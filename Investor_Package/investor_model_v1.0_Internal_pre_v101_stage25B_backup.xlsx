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</fonts>
  <fills count="3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7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>
        <f> 2700×0.20 + 270 + 180</f>
        <v/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>
        <f> 2700×0.50</f>
        <v/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>
        <f> 2700×0.15 − 135</f>
        <v/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>
        <f> 2700×0.15 − 135 + 120</f>
        <v/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W₃ default · 60/40 от residual после Liq Pref + coupon)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-785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Доля продюсера по дефолтному каскаду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2215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Чистые распределения инвестору T₁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 t="n">
        <v>-1200</v>
      </c>
      <c r="Q18" s="202" t="n">
        <v>-900</v>
      </c>
      <c r="R18" s="202" t="n">
        <v>-600</v>
      </c>
      <c r="S18" s="202" t="n">
        <v>-300</v>
      </c>
      <c r="T18" s="203" t="n">
        <v>0</v>
      </c>
      <c r="U18" s="203" t="n">
        <v>-3000</v>
      </c>
      <c r="V18" s="204" t="inlineStr">
        <is>
          <t>NDP 3000 распределяется 2029-2032 (40/30/20/10%)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(W₃ default)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W₃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44" t="inlineStr">
        <is>
          <t>★ DEFAULT — LP downside protection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8">
      <c r="B38" s="548" t="inlineStr">
        <is>
          <t>✓ W₁ Σ = 3 000.0  ·  ✓ W₂ Σ = 3 000.0  ·  ✓ W₃ Σ = 3 000.0 (★ DEFAULT)  ·  ✓ W₄ Σ = 3,000.0  |  IRR cash-on-cash: см. 24_Investor_Returns Matrix 3×4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(W₃ default)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18.04%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 (hurdle ровно)</t>
        </is>
      </c>
    </row>
    <row r="24">
      <c r="B24" s="205" t="inlineStr">
        <is>
          <t>3.4</t>
        </is>
      </c>
      <c r="C24" s="213" t="inlineStr">
        <is>
          <t>MOIC investor T₁ (W₃)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2.00×</t>
        </is>
      </c>
      <c r="H24" s="248" t="inlineStr">
        <is>
          <t>—</t>
        </is>
      </c>
      <c r="I24" s="248" t="inlineStr">
        <is>
          <t>2.00×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3.75y</t>
        </is>
      </c>
      <c r="H25" s="248" t="inlineStr">
        <is>
          <t>—</t>
        </is>
      </c>
      <c r="I25" s="248" t="inlineStr">
        <is>
          <t>3.75y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12.50%</t>
        </is>
      </c>
      <c r="H45" s="255" t="inlineStr">
        <is>
          <t>1.64×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18.04%</t>
        </is>
      </c>
      <c r="H46" s="256" t="inlineStr">
        <is>
          <t>2.00×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22.91%</t>
        </is>
      </c>
      <c r="H47" s="257" t="inlineStr">
        <is>
          <t>2.36×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M4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244" t="inlineStr">
        <is>
          <t>I. T₁ INVESTOR CASHFLOW SCHEDULE (Base case · W₃ Liq Pref + 8% + 60/40 DEFAULT)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Liq Pref partial</t>
        </is>
      </c>
      <c r="E12" s="549" t="n">
        <v>500</v>
      </c>
      <c r="F12" s="549" t="n"/>
      <c r="G12" s="257" t="n"/>
      <c r="H12" s="549" t="n">
        <v>500</v>
      </c>
      <c r="I12" s="549" t="n">
        <v>-750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Liq Pref final + coupon</t>
        </is>
      </c>
      <c r="E13" s="549" t="n">
        <v>750</v>
      </c>
      <c r="F13" s="549" t="n">
        <v>500</v>
      </c>
      <c r="G13" s="549" t="n"/>
      <c r="H13" s="549" t="n">
        <v>1250</v>
      </c>
      <c r="I13" s="549" t="n">
        <v>500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Carried interest share</t>
        </is>
      </c>
      <c r="E14" s="549" t="n"/>
      <c r="F14" s="257" t="n"/>
      <c r="G14" s="549" t="n">
        <v>375</v>
      </c>
      <c r="H14" s="549" t="n">
        <v>375</v>
      </c>
      <c r="I14" s="549" t="n">
        <v>875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Carried interest share</t>
        </is>
      </c>
      <c r="E15" s="549" t="n"/>
      <c r="F15" s="257" t="n"/>
      <c r="G15" s="549" t="n">
        <v>375</v>
      </c>
      <c r="H15" s="549" t="n">
        <v>375</v>
      </c>
      <c r="I15" s="549" t="n">
        <v>1250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0</v>
      </c>
      <c r="F16" s="550" t="n">
        <v>500</v>
      </c>
      <c r="G16" s="550" t="n">
        <v>750</v>
      </c>
      <c r="H16" s="550" t="n">
        <v>1250</v>
      </c>
      <c r="I16" s="273" t="n"/>
      <c r="J16" s="273" t="n"/>
      <c r="K16" s="273" t="n"/>
    </row>
    <row r="18">
      <c r="B18" s="244" t="inlineStr">
        <is>
          <t>II. RETURNS MATRIX — 3 SCENARIOS × 4 WATERFALLS (IRR / MOIC, единая методология)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30" t="inlineStr">
        <is>
          <t>Best</t>
        </is>
      </c>
      <c r="M19" s="530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212" t="inlineStr">
        <is>
          <t>W₄</t>
        </is>
      </c>
      <c r="M20" s="555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212" t="inlineStr">
        <is>
          <t>W₄</t>
        </is>
      </c>
      <c r="M21" s="555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212" t="inlineStr">
        <is>
          <t>W₄</t>
        </is>
      </c>
      <c r="M22" s="555" t="n">
        <v>3750</v>
      </c>
    </row>
    <row r="25">
      <c r="B25" s="244" t="inlineStr">
        <is>
          <t>III. CASH-ON-CASH METRICS (Base case · W₃ DEFAULT)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58" t="n">
        <v>2500</v>
      </c>
      <c r="H27" s="187" t="n"/>
      <c r="I27" s="159" t="inlineStr">
        <is>
          <t>W₃: 1250 liq pref + 500 coupon + 750 carried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58" t="n">
        <v>1250</v>
      </c>
      <c r="H28" s="187" t="n"/>
      <c r="I28" s="159" t="inlineStr">
        <is>
          <t>Return on capital (net gain)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59" t="n">
        <v>100</v>
      </c>
      <c r="H29" s="187" t="n"/>
      <c r="I29" s="159" t="inlineStr">
        <is>
          <t>Total return % (net gain / invest)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60" t="n">
        <v>2</v>
      </c>
      <c r="H30" s="187" t="n"/>
      <c r="I30" s="159" t="inlineStr">
        <is>
          <t>MOIC = 2500/1250 (investor-friendly W₃)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60" t="n">
        <v>2</v>
      </c>
      <c r="H31" s="187" t="n"/>
      <c r="I31" s="159" t="inlineStr">
        <is>
          <t>DPI fully realized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60" t="n">
        <v>2</v>
      </c>
      <c r="H32" s="187" t="n"/>
      <c r="I32" s="159">
        <f> DPI (no NAV)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59" t="n">
        <v>18.04314415327262</v>
      </c>
      <c r="H33" s="187" t="n"/>
      <c r="I33" s="159" t="inlineStr">
        <is>
          <t>Hurdle 18%, PASS (fractional period IRR)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58" t="n">
        <v>1250</v>
      </c>
      <c r="H34" s="187" t="n"/>
      <c r="I34" s="159" t="inlineStr">
        <is>
          <t>Q4'26 full draw 1 250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279" t="n">
        <v>3.75</v>
      </c>
      <c r="H35" s="187" t="n"/>
      <c r="I35" s="159" t="inlineStr">
        <is>
          <t>2029-начало 2030 full principal return</t>
        </is>
      </c>
      <c r="J35" s="186" t="n"/>
      <c r="K35" s="187" t="n"/>
    </row>
    <row r="38">
      <c r="B38" s="244" t="inlineStr">
        <is>
          <t>IV. RETURN ATTRIBUTION — РАЗБИВКА ROI (Base W₃ DEFAULT)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50</v>
      </c>
      <c r="J40" s="206" t="inlineStr">
        <is>
          <t>Stage 1 W₃: senior recovery</t>
        </is>
      </c>
      <c r="K40" s="187" t="n"/>
    </row>
    <row r="41">
      <c r="B41" s="205" t="n">
        <v>2</v>
      </c>
      <c r="C41" s="206" t="inlineStr">
        <is>
          <t>Preferred Return Coupon (8% × 5y)</t>
        </is>
      </c>
      <c r="D41" s="186" t="n"/>
      <c r="E41" s="186" t="n"/>
      <c r="F41" s="186" t="n"/>
      <c r="G41" s="187" t="n"/>
      <c r="H41" s="227" t="n">
        <v>500</v>
      </c>
      <c r="I41" s="236" t="n">
        <v>20</v>
      </c>
      <c r="J41" s="206" t="inlineStr">
        <is>
          <t>Stage 2 W₃: 1 250 × 8% × 5y = 500</t>
        </is>
      </c>
      <c r="K41" s="187" t="n"/>
    </row>
    <row r="42">
      <c r="B42" s="205" t="n">
        <v>3</v>
      </c>
      <c r="C42" s="206" t="inlineStr">
        <is>
          <t>Carried Interest Share (60% of 1 250 residual)</t>
        </is>
      </c>
      <c r="D42" s="186" t="n"/>
      <c r="E42" s="186" t="n"/>
      <c r="F42" s="186" t="n"/>
      <c r="G42" s="187" t="n"/>
      <c r="H42" s="227" t="n">
        <v>750</v>
      </c>
      <c r="I42" s="236" t="n">
        <v>30</v>
      </c>
      <c r="J42" s="206" t="inlineStr">
        <is>
          <t>Stage 3 W₃: 60% × (3000 − 1250 − 500)</t>
        </is>
      </c>
      <c r="K42" s="187" t="n"/>
    </row>
    <row r="43">
      <c r="B43" s="179" t="inlineStr"/>
      <c r="C43" s="180" t="inlineStr">
        <is>
          <t>ИТОГО ROI</t>
        </is>
      </c>
      <c r="D43" s="186" t="n"/>
      <c r="E43" s="186" t="n"/>
      <c r="F43" s="186" t="n"/>
      <c r="G43" s="187" t="n"/>
      <c r="H43" s="561" t="n">
        <v>2500</v>
      </c>
      <c r="I43" s="280" t="n">
        <v>100</v>
      </c>
      <c r="J43" s="180">
        <f> 1250 + 500 + 750 (W₃ Base NDP 3000)</f>
        <v/>
      </c>
      <c r="K43" s="187" t="n"/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 W₃ default)</t>
        </is>
      </c>
    </row>
    <row r="3"/>
    <row r="4">
      <c r="B4" s="189" t="inlineStr">
        <is>
          <t>Ранжирование ключевых драйверов по влиянию на EBITDA 3Y (база 2 152 млн ₽) и IRR T₁ W₃ (база 18.04% = hurdle 18% ровно). Под W₃ чувствительность IRR ниже из-за floor 1× Liq Pref (downside protection).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W₃ (база 18.04%)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13.54</v>
      </c>
      <c r="E31" s="236" t="n">
        <v>18.04</v>
      </c>
      <c r="F31" s="236" t="n">
        <v>21.84</v>
      </c>
      <c r="G31" s="291" t="n">
        <v>-4.5</v>
      </c>
      <c r="H31" s="291" t="n">
        <v>3.8</v>
      </c>
      <c r="I31" s="291" t="n">
        <v>8.300000000000001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14.24</v>
      </c>
      <c r="E32" s="236" t="n">
        <v>18.04</v>
      </c>
      <c r="F32" s="236" t="n">
        <v>21.24</v>
      </c>
      <c r="G32" s="291" t="n">
        <v>-3.8</v>
      </c>
      <c r="H32" s="291" t="n">
        <v>3.2</v>
      </c>
      <c r="I32" s="291" t="n">
        <v>7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19.84</v>
      </c>
      <c r="E33" s="236" t="n">
        <v>18.04</v>
      </c>
      <c r="F33" s="236" t="n">
        <v>15.84</v>
      </c>
      <c r="G33" s="291" t="n">
        <v>1.8</v>
      </c>
      <c r="H33" s="291" t="n">
        <v>-2.2</v>
      </c>
      <c r="I33" s="291" t="n">
        <v>4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18.64</v>
      </c>
      <c r="E34" s="236" t="n">
        <v>18.04</v>
      </c>
      <c r="F34" s="236" t="n">
        <v>17.24</v>
      </c>
      <c r="G34" s="291" t="n">
        <v>0.6</v>
      </c>
      <c r="H34" s="291" t="n">
        <v>-0.8</v>
      </c>
      <c r="I34" s="291" t="n">
        <v>1.4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18.24</v>
      </c>
      <c r="E35" s="236" t="n">
        <v>18.04</v>
      </c>
      <c r="F35" s="236" t="n">
        <v>17.79</v>
      </c>
      <c r="G35" s="291" t="n">
        <v>0.2</v>
      </c>
      <c r="H35" s="291" t="n">
        <v>-0.25</v>
      </c>
      <c r="I35" s="291" t="n">
        <v>0.45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17.98</v>
      </c>
      <c r="E36" s="236" t="n">
        <v>18.04</v>
      </c>
      <c r="F36" s="236" t="n">
        <v>18.1</v>
      </c>
      <c r="G36" s="291" t="n">
        <v>-0.06</v>
      </c>
      <c r="H36" s="291" t="n">
        <v>0.06</v>
      </c>
      <c r="I36" s="291" t="n">
        <v>0.12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15.64</v>
      </c>
      <c r="E37" s="236" t="n">
        <v>18.04</v>
      </c>
      <c r="F37" s="236" t="n">
        <v>15.84</v>
      </c>
      <c r="G37" s="291" t="n">
        <v>-2.4</v>
      </c>
      <c r="H37" s="291" t="n">
        <v>-2.2</v>
      </c>
      <c r="I37" s="291" t="n">
        <v>0.1999999999999997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13.54</v>
      </c>
      <c r="E38" s="236" t="n">
        <v>18.04</v>
      </c>
      <c r="F38" s="236" t="n">
        <v>21.84</v>
      </c>
      <c r="G38" s="291" t="n">
        <v>-4.5</v>
      </c>
      <c r="H38" s="291" t="n">
        <v>3.8</v>
      </c>
      <c r="I38" s="291" t="n">
        <v>8.300000000000001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W₃ защищён floor Liq Pref: downside ограничен (-4.5pp max при Revenue/Attendance −20%), но при этом апсайд компенсирован carried interest (+3.8pp при Revenue +20%).</t>
        </is>
      </c>
    </row>
    <row r="45">
      <c r="B45" s="246" t="inlineStr">
        <is>
          <t>• Под W₃ чувствительность значительно ниже, чем была под W₁ (range ~8pp vs 12pp): это прямой эффект структурной защиты инвестора через Liq Pref + coupon.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(W₃ Base)</t>
        </is>
      </c>
      <c r="D15" s="294" t="n">
        <v>12.5</v>
      </c>
      <c r="E15" s="295" t="n">
        <v>15.37</v>
      </c>
      <c r="F15" s="275" t="n">
        <v>18.04</v>
      </c>
      <c r="G15" s="296" t="n">
        <v>20.55</v>
      </c>
      <c r="H15" s="297" t="n">
        <v>22.91</v>
      </c>
      <c r="I15" s="236" t="n">
        <v>10.41</v>
      </c>
    </row>
    <row r="16">
      <c r="B16" s="205" t="n">
        <v>9</v>
      </c>
      <c r="C16" s="213" t="inlineStr">
        <is>
          <t>MOIC T₁ (W₃)</t>
        </is>
      </c>
      <c r="D16" s="304" t="n">
        <v>1.64</v>
      </c>
      <c r="E16" s="305" t="n">
        <v>1.82</v>
      </c>
      <c r="F16" s="276" t="n">
        <v>2</v>
      </c>
      <c r="G16" s="306" t="n">
        <v>2.18</v>
      </c>
      <c r="H16" s="307" t="n">
        <v>2.36</v>
      </c>
      <c r="I16" s="237" t="n">
        <v>0.72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distribution W₃</t>
        </is>
      </c>
      <c r="D18" s="292" t="n">
        <v>2050</v>
      </c>
      <c r="E18" s="202" t="n">
        <v>2275</v>
      </c>
      <c r="F18" s="270" t="n">
        <v>2500</v>
      </c>
      <c r="G18" s="293" t="n">
        <v>2725</v>
      </c>
      <c r="H18" s="193" t="n">
        <v>2950</v>
      </c>
      <c r="I18" s="207" t="n">
        <v>900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18.354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 · W₃ BASE</t>
        </is>
      </c>
    </row>
    <row r="3"/>
    <row r="4">
      <c r="B4" s="189" t="inlineStr">
        <is>
          <t>Распределения NDP, EBITDA, IRR, MOIC, EV под Waterfall W₃ (DEFAULT, 1× Liq Pref + 8% coupon + 60/40). Percentiles, probability of hurdle/target pass, Value at Risk. Seed=42. IRR/MOIC рассчитаны единой методологией: out квартально Q1-Q4 2026, in 20/50/15/15 в 2029-2032.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3013.024231940783</v>
      </c>
      <c r="E17" s="207" t="n">
        <v>620.8922201026729</v>
      </c>
      <c r="F17" s="207" t="n">
        <v>2061.551183400659</v>
      </c>
      <c r="G17" s="207" t="n">
        <v>2265.093898037318</v>
      </c>
      <c r="H17" s="207" t="n">
        <v>2549.831901700255</v>
      </c>
      <c r="I17" s="270" t="n">
        <v>2976.521452177528</v>
      </c>
      <c r="J17" s="207" t="n">
        <v>3429.128405437157</v>
      </c>
      <c r="K17" s="207" t="n">
        <v>3837.452803918447</v>
      </c>
      <c r="L17" s="207" t="n">
        <v>4065.081654442005</v>
      </c>
    </row>
    <row r="18">
      <c r="B18" s="317" t="inlineStr">
        <is>
          <t>EBITDA</t>
        </is>
      </c>
      <c r="C18" s="187" t="n"/>
      <c r="D18" s="207" t="n">
        <v>2157.333617287114</v>
      </c>
      <c r="E18" s="207" t="n">
        <v>431.0494292190086</v>
      </c>
      <c r="F18" s="207" t="n">
        <v>1486.322905324711</v>
      </c>
      <c r="G18" s="207" t="n">
        <v>1619.296045987819</v>
      </c>
      <c r="H18" s="207" t="n">
        <v>1840.485344820347</v>
      </c>
      <c r="I18" s="270" t="n">
        <v>2130.980992685321</v>
      </c>
      <c r="J18" s="207" t="n">
        <v>2439.949847087632</v>
      </c>
      <c r="K18" s="207" t="n">
        <v>2726.467835662731</v>
      </c>
      <c r="L18" s="207" t="n">
        <v>2876.552753403357</v>
      </c>
    </row>
    <row r="19">
      <c r="B19" s="317" t="inlineStr">
        <is>
          <t>IRR</t>
        </is>
      </c>
      <c r="C19" s="187" t="n"/>
      <c r="D19" s="236" t="n">
        <v>17.90404398861444</v>
      </c>
      <c r="E19" s="236" t="n">
        <v>4.266813507178683</v>
      </c>
      <c r="F19" s="236" t="n">
        <v>10.97794187473445</v>
      </c>
      <c r="G19" s="236" t="n">
        <v>12.62350749917582</v>
      </c>
      <c r="H19" s="236" t="n">
        <v>14.81291573656237</v>
      </c>
      <c r="I19" s="275" t="n">
        <v>17.88096050207096</v>
      </c>
      <c r="J19" s="236" t="n">
        <v>20.89947482689052</v>
      </c>
      <c r="K19" s="236" t="n">
        <v>23.44691359734223</v>
      </c>
      <c r="L19" s="236" t="n">
        <v>24.80367058210948</v>
      </c>
    </row>
    <row r="20">
      <c r="B20" s="317" t="inlineStr">
        <is>
          <t>MOIC</t>
        </is>
      </c>
      <c r="C20" s="187" t="n"/>
      <c r="D20" s="237" t="n">
        <v>2.005952392921614</v>
      </c>
      <c r="E20" s="237" t="n">
        <v>0.2987887834220987</v>
      </c>
      <c r="F20" s="237" t="n">
        <v>1.549544568032317</v>
      </c>
      <c r="G20" s="237" t="n">
        <v>1.647245071057913</v>
      </c>
      <c r="H20" s="237" t="n">
        <v>1.783919312816122</v>
      </c>
      <c r="I20" s="276" t="n">
        <v>1.988730297045213</v>
      </c>
      <c r="J20" s="237" t="n">
        <v>2.205981634609835</v>
      </c>
      <c r="K20" s="237" t="n">
        <v>2.401977345880854</v>
      </c>
      <c r="L20" s="237" t="n">
        <v>2.511239194132162</v>
      </c>
    </row>
    <row r="21">
      <c r="B21" s="317" t="inlineStr">
        <is>
          <t>EV</t>
        </is>
      </c>
      <c r="C21" s="187" t="n"/>
      <c r="D21" s="207" t="n">
        <v>10699.06609815291</v>
      </c>
      <c r="E21" s="207" t="n">
        <v>2766.470232575132</v>
      </c>
      <c r="F21" s="207" t="n">
        <v>6510.285945446833</v>
      </c>
      <c r="G21" s="207" t="n">
        <v>7287.918327832361</v>
      </c>
      <c r="H21" s="207" t="n">
        <v>8722.258874834171</v>
      </c>
      <c r="I21" s="270" t="n">
        <v>10458.84307374762</v>
      </c>
      <c r="J21" s="207" t="n">
        <v>12453.55109655373</v>
      </c>
      <c r="K21" s="207" t="n">
        <v>14524.08353581089</v>
      </c>
      <c r="L21" s="207" t="n">
        <v>15657.10412946274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49.2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91.90000000000001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99.59999999999999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48.6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938.4488165993405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1091.93892712422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3013.024231940783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2.005952392921614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10458.84307374762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1448 − 1825</t>
        </is>
      </c>
      <c r="D39" s="187" t="n"/>
      <c r="E39" s="205" t="n">
        <v>10</v>
      </c>
      <c r="F39" s="236" t="n">
        <v>1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1825 − 2201</t>
        </is>
      </c>
      <c r="D40" s="187" t="n"/>
      <c r="E40" s="205" t="n">
        <v>76</v>
      </c>
      <c r="F40" s="236" t="n">
        <v>7.6</v>
      </c>
      <c r="G40" s="206" t="inlineStr">
        <is>
          <t>██████████</t>
        </is>
      </c>
      <c r="H40" s="186" t="n"/>
      <c r="I40" s="187" t="n"/>
    </row>
    <row r="41">
      <c r="B41" s="205" t="n">
        <v>3</v>
      </c>
      <c r="C41" s="206" t="inlineStr">
        <is>
          <t>2201 − 2578</t>
        </is>
      </c>
      <c r="D41" s="187" t="n"/>
      <c r="E41" s="205" t="n">
        <v>175</v>
      </c>
      <c r="F41" s="236" t="n">
        <v>17.5</v>
      </c>
      <c r="G41" s="206" t="inlineStr">
        <is>
          <t>███████████████████████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2578 − 2955</t>
        </is>
      </c>
      <c r="D42" s="187" t="n"/>
      <c r="E42" s="205" t="n">
        <v>227</v>
      </c>
      <c r="F42" s="236" t="n">
        <v>22.7</v>
      </c>
      <c r="G42" s="206" t="inlineStr">
        <is>
          <t>██████████████████████████████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2955 − 3332</t>
        </is>
      </c>
      <c r="D43" s="187" t="n"/>
      <c r="E43" s="226" t="n">
        <v>223</v>
      </c>
      <c r="F43" s="251" t="n">
        <v>22.3</v>
      </c>
      <c r="G43" s="281" t="inlineStr">
        <is>
          <t>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3332 − 3708</t>
        </is>
      </c>
      <c r="D44" s="187" t="n"/>
      <c r="E44" s="205" t="n">
        <v>147</v>
      </c>
      <c r="F44" s="236" t="n">
        <v>14.7</v>
      </c>
      <c r="G44" s="206" t="inlineStr">
        <is>
          <t>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3708 − 4085</t>
        </is>
      </c>
      <c r="D45" s="187" t="n"/>
      <c r="E45" s="205" t="n">
        <v>97</v>
      </c>
      <c r="F45" s="236" t="n">
        <v>9.700000000000001</v>
      </c>
      <c r="G45" s="206" t="inlineStr">
        <is>
          <t>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4085 − 4462</t>
        </is>
      </c>
      <c r="D46" s="187" t="n"/>
      <c r="E46" s="205" t="n">
        <v>29</v>
      </c>
      <c r="F46" s="236" t="n">
        <v>2.9</v>
      </c>
      <c r="G46" s="206" t="inlineStr">
        <is>
          <t>███</t>
        </is>
      </c>
      <c r="H46" s="186" t="n"/>
      <c r="I46" s="187" t="n"/>
    </row>
    <row r="47">
      <c r="B47" s="205" t="n">
        <v>9</v>
      </c>
      <c r="C47" s="206" t="inlineStr">
        <is>
          <t>4462 − 4838</t>
        </is>
      </c>
      <c r="D47" s="187" t="n"/>
      <c r="E47" s="205" t="n">
        <v>11</v>
      </c>
      <c r="F47" s="236" t="n">
        <v>1.1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4838 − 5215</t>
        </is>
      </c>
      <c r="D48" s="187" t="n"/>
      <c r="E48" s="205" t="n">
        <v>5</v>
      </c>
      <c r="F48" s="236" t="n">
        <v>0.5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Симуляция: numpy seed=42, 1 000 итераций, 5 стохастических переменных (Revenue mult Triangular 0.6/1.0/1.4, Margin shock Normal 0/4pp, CAPEX LogNormal σ=10%, Exit mult Triangular 3/5/7, Film hit rate Binomial p=0.70 n=12). Applied Waterfall W₃ DEFAULT. Methodology: unified numpy_financial.irr() с паттерном 20/50/15/15.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W₃ Base IRR = 18.04% (hurdle ровно)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W₃ Liq Pref 1× floor + 8% coupon + W₄ премиум-опция (12% pref + 65/35); exit stratagem backup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W₃ Base IRR = 18.04%</t>
        </is>
      </c>
      <c r="E54" s="350" t="n">
        <v>12</v>
      </c>
      <c r="F54" s="349" t="inlineStr">
        <is>
          <t>Базовый IRR T₁ под Waterfall W₃ DEFAULT составляет 18.04%, что ровно соответствует hurdle 18%. Downside защищён 1× Liq Pref floor (1 250 млн ₽) + 8% coupon × 5y (500 млн ₽). Риск активируется только при глубоком NDP shortfall (&lt;2 500 млн ₽, -17% от базы). Премиум-опция W₄ (12% preferred + 65/35) даёт IRR 19.73% для LP с enhanced requirements.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(default) / W₄ premium upgrade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C27" s="563" t="inlineStr">
        <is>
          <t>Investor Returns T₁ (W₃ default)</t>
        </is>
      </c>
      <c r="E27" t="inlineStr">
        <is>
          <t>IRR 18.04% · MOIC 2.00× · Payback 3.75y</t>
        </is>
      </c>
      <c r="G27" t="inlineStr">
        <is>
          <t>24_Investor_Returns</t>
        </is>
      </c>
      <c r="I27" t="inlineStr">
        <is>
          <t>Base W₃ = hurdle 18% ровно</t>
        </is>
      </c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(W₃ Base IRR = 18.04% = hurdle)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Waterfall W₃ (1× Liq Pref floor + 8% coupon + 60/40), W₄ premium опция (12% preferred + 65/35)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W₃ default (1× Liq Pref + 8% coupon + 60/40) или W₄ premium (12% pref + 65/35)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2.00× (W₃) / 2.12× (W₄), IRR 18.04% = hurdle 18%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W₃ Base = hurdle)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W₃ base, P(IRR&gt;18%), VaR 95% NDP shortfall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2026-04-11T23:24:29Z</dcterms:modified>
  <cp:keywords>investor, financial model, L3, pre-IPO, cinema</cp:keywords>
</cp:coreProperties>
</file>