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W₅ V-D (T₁ Liq Pref 1× + T₂ Pref 12%×5y + T₃ Catch-up 70/30 + T₄ Carry 60/40) под A+C revenue pattern (33/45/9/13). Обновлены 13 листов: 24/27/26/28/36 + 13/17/21/25/29/35/40/42. Monte Carlo расширен до N=5 000. Ключевые цифры: IRR Base 24.75% / MoIC 2.13× / Payback 3.21y / LP 2657. Добавлены дислеймеры V.1-V.4. КРИТИЧЕСКОЕ: Bear scenario IRR=10.70% (&lt;&lt;hurdle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Текущая ★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8" t="inlineStr">
        <is>
          <t>Готово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8" t="inlineStr">
        <is>
          <t>Готово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8" t="inlineStr">
        <is>
          <t>Готово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8" t="inlineStr">
        <is>
          <t>Готово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8" t="inlineStr">
        <is>
          <t>Готово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8" t="inlineStr">
        <is>
          <t>Готово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8" t="inlineStr">
        <is>
          <t>Готово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8" t="inlineStr">
        <is>
          <t>Готово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8" t="inlineStr">
        <is>
          <t>Готово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8" t="inlineStr">
        <is>
          <t>Готово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8" t="inlineStr">
        <is>
          <t>Готово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8" t="inlineStr">
        <is>
          <t>Готово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8" t="inlineStr">
        <is>
          <t>Готово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8" t="inlineStr">
        <is>
          <t>Готово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8" t="inlineStr">
        <is>
          <t>Готово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8" t="inlineStr">
        <is>
          <t>Готово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>
        <v>7</v>
      </c>
      <c r="E6" s="45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>
        <v>3</v>
      </c>
      <c r="E7" s="45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>
        <v>8</v>
      </c>
      <c r="E8" s="45">
        <v>150000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>
        <v>5</v>
      </c>
      <c r="E9" s="45">
        <v>140000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>
        <v>4</v>
      </c>
      <c r="E10" s="45">
        <v>110000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>
        <v>8</v>
      </c>
      <c r="E11" s="45">
        <v>180000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>
        <v>1</v>
      </c>
      <c r="E12" s="45">
        <v>90000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>
        <v>7</v>
      </c>
      <c r="E13" s="45">
        <v>100000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F14*1.08</f>
      </c>
      <c r="F19" s="54">
        <f>H14*1.08</f>
      </c>
      <c r="G19" s="55">
        <f>I14*1.08/1000000</f>
      </c>
      <c r="H19" s="56">
        <f>G14*12*1.08/1000000</f>
      </c>
      <c r="I19" s="57" t="inlineStr">
        <is>
          <t>8.0%</t>
        </is>
      </c>
    </row>
    <row r="20" ht="20" customHeight="1">
      <c r="C20" s="52" t="n">
        <v>2028</v>
      </c>
      <c r="D20" s="53">
        <f>D14</f>
        <v/>
      </c>
      <c r="E20" s="54">
        <f>F14*1.1664</f>
      </c>
      <c r="F20" s="54">
        <f>H14*1.1664</f>
      </c>
      <c r="G20" s="55">
        <f>I14*1.1664/1000000</f>
      </c>
      <c r="H20" s="56">
        <f>G14*12*1.1664/1000000</f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Dynamic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>
        <v>43</v>
      </c>
      <c r="D7" s="44">
        <v>43</v>
      </c>
      <c r="E7" s="44">
        <v>43</v>
      </c>
      <c r="F7" s="44">
        <v>43</v>
      </c>
      <c r="G7" s="44">
        <v>43</v>
      </c>
      <c r="H7" s="44">
        <v>43</v>
      </c>
      <c r="I7" s="44">
        <v>43</v>
      </c>
    </row>
    <row r="8" ht="18" customHeight="1">
      <c r="B8" s="23" t="inlineStr">
        <is>
          <t>Индекс оклада (база 2026=1.00)</t>
        </is>
      </c>
      <c r="C8" s="61">
        <v>1.0</v>
      </c>
      <c r="D8" s="61">
        <v>1.08</v>
      </c>
      <c r="E8" s="61">
        <v>1.1664</v>
      </c>
      <c r="F8" s="61">
        <v>1.2597</v>
      </c>
      <c r="G8" s="61">
        <v>1.3605</v>
      </c>
      <c r="H8" s="61">
        <v>1.4693</v>
      </c>
      <c r="I8" s="61">
        <v>1.5869</v>
      </c>
    </row>
    <row r="9" ht="18" customHeight="1">
      <c r="B9" s="23" t="inlineStr">
        <is>
          <t>Ср. оклад gross (₽/мес, база 2026)</t>
        </is>
      </c>
      <c r="C9" s="46">
        <f>149302*C8</f>
      </c>
      <c r="D9" s="46">
        <f>149302*D8</f>
      </c>
      <c r="E9" s="46">
        <f>149302*E8</f>
      </c>
      <c r="F9" s="46">
        <f>149302*F8</f>
      </c>
      <c r="G9" s="46">
        <f>149302*G8</f>
      </c>
      <c r="H9" s="46">
        <f>149302*H8</f>
      </c>
      <c r="I9" s="46">
        <f>149302*I8</f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>
        <v>100.152</v>
      </c>
      <c r="D7" s="71">
        <v>108.164</v>
      </c>
      <c r="E7" s="71">
        <v>116.817</v>
      </c>
      <c r="F7" s="71">
        <v>126.161</v>
      </c>
      <c r="G7" s="71">
        <v>136.256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W₅ V-D ★ default v1.0.1 (1× Liq Pref 1 250 + 12% pref × 5y + catch-up 70/30 + carry 60/40, base IRR 24.75%, MoIC 2.13×, см. 19_Waterfall + 24_Investor_Returns Section II); legacy W₃ остался опцией (8%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(W₅ V-D ★ default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W₅ V-D ★ v1.0.1 (legacy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 t="inlineStr">
        <is>
          <t>= EBITDA × multiple</t>
        </is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 t="inlineStr">
        <is>
          <t>= EV − Net Debt</t>
        </is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593" t="inlineStr">
        <is>
          <t>IRR investor T₁ (W₅ V-D ★ default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W₅ V-D (margin +6.75pp к hurdle)</t>
        </is>
      </c>
    </row>
    <row r="24">
      <c r="B24" s="205" t="inlineStr">
        <is>
          <t>3.4</t>
        </is>
      </c>
      <c r="C24" s="593" t="inlineStr">
        <is>
          <t>MOIC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</t>
        </is>
      </c>
    </row>
    <row r="25">
      <c r="B25" s="205" t="inlineStr">
        <is>
          <t>3.5</t>
        </is>
      </c>
      <c r="C25" s="593" t="inlineStr">
        <is>
          <t>Payback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>
        <v>1800</v>
      </c>
      <c r="F45" s="202" t="n">
        <v>1182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>
        <v>4200</v>
      </c>
      <c r="F47" s="193" t="n">
        <v>2111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 t="inlineStr">
        <is>
          <t>= Equity Value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 t="inlineStr">
        <is>
          <t>= DPI (no NAV residual)</t>
        </is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3000 · MoIC 2.13×)</t>
        </is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 BEAR SCENARIO IRR &lt; HURDLE: Под Stress Bear (NDP=1800) Investor IRR W₅ V-D = 10.70% (vs hurdle 18%). Под Downside (NDP=2400) IRR = 18.87% (margin к hurdle). Hurdle break-even target NDP ≥ 2 402 млн ₽. Capital protection: Liq Pref 1× = 1250 (MoIC ≥ 1.44× в Bear). См. 27_Scenario_Analysis r15.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 t="inlineStr">
        <is>
          <t>= Enterprise Value</t>
        </is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 t="inlineStr">
        <is>
          <t>= Equity Value</t>
        </is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 t="inlineStr">
        <is>
          <t>= Net Equity Proceeds</t>
        </is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W₅ V-D ★ default Base MOIC = 2.13× (legacy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(W₅ V-D ★ (v1.0.1 default; legacy W₃))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драйверам) · EBITDA 3Y и IRR T₁ W₅ V-D ★ default v1.0.1 · A+C pattern 33/45/9/13</t>
        </is>
      </c>
    </row>
    <row r="3"/>
    <row r="4">
      <c r="B4" s="189" t="inlineStr">
        <is>
          <t>Ранжирование ключевых драйверов по влиянию на EBITDA 3Y (база 2 152 млн ₽) и IRR T₁ под W₅ V-D + A+C pattern (база 24.75%).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W₅ V-D ★ (база 24.75%)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EBITDA: Revenue, Attendance и EBITDA margin (эквивалентные, ±430 млн ₽ при ±20%).</t>
        </is>
      </c>
    </row>
    <row r="43">
      <c r="B43" s="246" t="inlineStr">
        <is>
          <t>• Production CAPEX — 4th critical driver EBITDA (range ±240 млн ₽ при ±20%).</t>
        </is>
      </c>
    </row>
    <row r="44">
      <c r="B44" s="246" t="inlineStr">
        <is>
          <t>• IRR T₁ W₅ V-D имеет ВЫСОКУЮ чувствительность к Revenue/Attendance (range ~10.9pp), значительно выше чем под W₃ (~8.3pp). Причина: catch-up 70/30 «впитывает» upside в LP,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hurdle: при NDP&lt;2402 IRR &lt; 18% (см. 27_Scenario_Analysis Bear=10.70%). Liq Pref 1× защищает капитал, но не IRR. Hedge: scenario diversification, milestone-based tranches.</t>
        </is>
      </c>
    </row>
    <row r="46">
      <c r="B46" s="246" t="inlineStr">
        <is>
          <t>• Рекомендация: фокус на Box Office revenue (attendance × ticket price), маркетинг premium-фильмов, контроль CAPEX overrun. Exit Multiple под W₅ V-D НЕ влияет на LP IRR (NDP-based waterfall).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 · W₅ V-D ★ default v1.0.1 · A+C pattern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(W₅ V-D ★ default)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distribution W₅ V-D (млн ₽)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W₅ V-D ★ DEFAULT v1.0.1 · A+C PATTERN 33/45/9/13</t>
        </is>
      </c>
    </row>
    <row r="3"/>
    <row r="4">
      <c r="B4" s="189" t="inlineStr">
        <is>
          <t>Распределения NDP, EBITDA, IRR, MOIC, EV под Waterfall W₅ V-D + sensitivity grid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SENSITIVITY GRID — A+C PATTERN VARIATIONS (W₅ V-D fixed)</t>
        </is>
      </c>
    </row>
    <row r="53">
      <c r="B53" s="571" t="inlineStr">
        <is>
          <t>#</t>
        </is>
      </c>
      <c r="C53" s="571" t="inlineStr">
        <is>
          <t>Pattern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IRR %</t>
        </is>
      </c>
      <c r="J53" s="571" t="inlineStr">
        <is>
          <t>LP MoIC</t>
        </is>
      </c>
      <c r="K53" s="571" t="inlineStr">
        <is>
          <t>vs Base</t>
        </is>
      </c>
    </row>
    <row r="54">
      <c r="B54" t="n">
        <v>1</v>
      </c>
      <c r="C54" t="inlineStr">
        <is>
          <t>Slow A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NDP=3000)</t>
        </is>
      </c>
    </row>
    <row r="61">
      <c r="B61" s="571" t="inlineStr">
        <is>
          <t>Catch-up LP %↓</t>
        </is>
      </c>
      <c r="C61" s="571" t="inlineStr">
        <is>
          <t>Carry LP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W₅ V-D SPECIFIC STATS — confidence &amp; calibration</t>
        </is>
      </c>
    </row>
    <row r="70">
      <c r="B70" s="357" t="inlineStr">
        <is>
          <t>P(LP IRR &gt; 18% hurdle)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IRR &gt; 24.75% base)</t>
        </is>
      </c>
      <c r="G71" s="357" t="inlineStr">
        <is>
          <t>7.0%</t>
        </is>
      </c>
      <c r="I71" s="574" t="inlineStr">
        <is>
          <t>Probability of beating Base case</t>
        </is>
      </c>
    </row>
    <row r="72">
      <c r="B72" s="357" t="inlineStr">
        <is>
          <t>P(LP MoIC &gt; 2.13× base)</t>
        </is>
      </c>
      <c r="G72" s="357" t="inlineStr">
        <is>
          <t>6.8%</t>
        </is>
      </c>
      <c r="I72" s="574" t="inlineStr">
        <is>
          <t>Probability of beating Base MoIC</t>
        </is>
      </c>
    </row>
    <row r="73">
      <c r="B73" s="357" t="inlineStr">
        <is>
          <t>P(LP MoIC &gt; 2.5× upside)</t>
        </is>
      </c>
      <c r="G73" s="357" t="inlineStr">
        <is>
          <t>0.6%</t>
        </is>
      </c>
      <c r="I73" s="574" t="inlineStr">
        <is>
          <t>Bull-case probability</t>
        </is>
      </c>
    </row>
    <row r="74">
      <c r="B74" s="357" t="inlineStr">
        <is>
          <t>Median LP IRR</t>
        </is>
      </c>
      <c r="G74" s="357" t="inlineStr">
        <is>
          <t>14.80%</t>
        </is>
      </c>
      <c r="I74" s="574" t="inlineStr">
        <is>
          <t>P50 percentile</t>
        </is>
      </c>
    </row>
    <row r="75">
      <c r="B75" s="357" t="inlineStr">
        <is>
          <t>Mean LP IRR (computed)</t>
        </is>
      </c>
      <c r="G75" s="357" t="inlineStr">
        <is>
          <t>13.95%</t>
        </is>
      </c>
      <c r="I75" s="574" t="inlineStr">
        <is>
          <t>vs deterministic 24.75%</t>
        </is>
      </c>
    </row>
    <row r="76">
      <c r="B76" s="357" t="inlineStr">
        <is>
          <t>LP IRR StDev</t>
        </is>
      </c>
      <c r="G76" s="357" t="inlineStr">
        <is>
          <t>8.05%</t>
        </is>
      </c>
      <c r="I76" s="574" t="inlineStr">
        <is>
          <t>Risk dispersion</t>
        </is>
      </c>
    </row>
    <row r="77">
      <c r="B77" s="357" t="inlineStr">
        <is>
          <t>Producer Mean Share</t>
        </is>
      </c>
      <c r="G77" s="357" t="inlineStr">
        <is>
          <t>93 млн ₽</t>
        </is>
      </c>
      <c r="I77" s="574" t="inlineStr">
        <is>
          <t>Avg producer payout</t>
        </is>
      </c>
    </row>
    <row r="78">
      <c r="B78" s="571" t="inlineStr">
        <is>
          <t>ПОЯСНЕНИЕ: разница MC mean (13.95%) vs Base deterministic (24.75%)</t>
        </is>
      </c>
    </row>
    <row r="79" ht="60" customHeight="1">
      <c r="B79" s="587" t="inlineStr">
        <is>
          <t>Base 24.75% = «если всё пойдёт по плану» (NDP=3000, все 12 фильмов хиты, exit ×5). MC mean 13.95% = «честный прогноз с учётом рисков»: hit_rate ~ Bin(12, 0.7)/12 даёт в среднем 8.4 хита из 12, rev_mult Triangular(0.6/1.0/1.4), CAPEX overrun, EBITDA shock. Mean NDP падает 3000→2104. Median MC IRR = 14.80% ближе к реалистичному ожиданию для инвестора. P(IRR &gt; 18% hurdle)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W₅ V-D Base IRR = 24.75% (margin к hurdle), но Bear=10.70%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W₅ V-D 1× Liq Pref floor (1250) + 12% pref × 5y + catch-up 70/30 + carry 60/40; legacy W₃/W₄ доступны как опции; exit stratagem backup; milestone-based tranches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W₅ V-D Base IRR = 24.75%, Bear=10.70% (NDP=1800), Down=18.87% (NDP=2400)</t>
        </is>
      </c>
      <c r="E54" s="350" t="n">
        <v>12</v>
      </c>
      <c r="F54" s="349" t="inlineStr">
        <is>
          <t>Базовый IRR T₁ под Waterfall W₅ V-D ★ default v1.0.1 составляет 24.75% (vs hurdle 18%, margin +6.75pp). Однако в downside-сценариях: Bear (NDP=1800) даёт IRR 10.70% (значительно ниже hurdle), Downside (NDP=2400) — 18.87% (margin к hurdle). Hurdle break-even target NDP ≥ 2 402 млн ₽. Capital protection обеспечивается Liq Pref 1× = 1250 (MoIC ≥ 1.44× даже в Bear).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 W₅ V-D: (1) Liq Pref 1× гарантирует возврат principal; (2) 12% pref × 5y создаёт priority claim на NDP сверх 1250; (3) catch-up 70/30 ускоряет accrual в среднем диапазоне; (4) carry 60/40 обеспечивает upside participation. Дополнительно: scenario diversification, milestone-based tranches, W₃/W₄ как fallback.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W₅ V-D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C-02 структурный bug фиксирован через переход на W₅ V-D ★ default. Базовый IRR T₁ W₅ V-D = 24.75% (margin +6.75pp к hurdle), но Bear=10.70% (NDP=1800) остаётся структурным риском. Legacy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v1.0.1) / W₄ premium upgrade decision / W₃ legacy fallback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Маржа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Инвестиция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T₁ (W₅ V-D ★ default v1.0.1)</t>
        </is>
      </c>
      <c r="D27" s="588" t="n"/>
      <c r="E27" s="588" t="inlineStr">
        <is>
          <t>IRR 24.75% · MOIC 2.13× · Payback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 (см. 28_Monte_Carlo_Summary); дислеймер V.1-V.4</t>
        </is>
      </c>
      <c r="J27" s="588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Медиана Comps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Рыночная оценка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— Bear NDP=1800 даёт W₅ V-D IRR 10.70% &lt;&lt; 18% hurdle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Hurdle target NDP ≥ 2 402 (W₅ V-D break-even @18%); Liq Pref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Рынок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премия за контроль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премия за вертикальную интеграцию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W₅ V-D ★ default v1.0.1 (1× Liq Pref + 12% pref × 5y + catch-up 70/30 + carry 60/40); legacy W₃ (8% coupon) и W₄ premium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2.13× (W₅ V-D ★) / 2.00× (W₃ legacy) / 2.12× (W₄), IRR 24.75% (W₅ V-D vs hurdle 18%, margin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= 24.75% (margin к hurdle), Bear=10.70%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v1.0.1: N=5000, W₅ V-D ★ + A+C pattern 33/45/9/13, P(IRR&gt;18%) = 32.7%, VaR 95% NDP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W₅ V-D ★ DEFAULT v1.0.1 (1× Liq Pref + 12% pref × 5y + catch-up 70/30 + carry 60/40) — IRR 24.75% (margin +6.75pp к hurdle 18%); legacy W₃ (18.04%) и W₄ premium доступны%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2026-04-12T00:24:22Z</dcterms:modified>
  <cp:keywords>investor, financial model, L3, pre-IPO, cinema</cp:keywords>
</cp:coreProperties>
</file>