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b val="1"/>
      <color rgb="00FFFFFF"/>
      <sz val="14"/>
    </font>
    <font>
      <name val="Calibri"/>
      <b val="1"/>
      <color rgb="00548235"/>
      <sz val="10"/>
    </font>
  </fonts>
  <fills count="3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6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2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3" fillId="35" borderId="15" applyAlignment="1" pivotButton="0" quotePrefix="0" xfId="0">
      <alignment horizontal="center" vertical="center" wrapText="1"/>
    </xf>
    <xf numFmtId="0" fontId="103" fillId="35" borderId="15" applyAlignment="1" pivotButton="0" quotePrefix="0" xfId="0">
      <alignment horizontal="left" vertical="center" wrapText="1"/>
    </xf>
    <xf numFmtId="174" fontId="103" fillId="35" borderId="15" applyAlignment="1" pivotButton="0" quotePrefix="0" xfId="0">
      <alignment horizontal="right" vertical="center" wrapText="1"/>
    </xf>
    <xf numFmtId="186" fontId="103" fillId="35" borderId="15" applyAlignment="1" pivotButton="0" quotePrefix="0" xfId="0">
      <alignment horizontal="center" vertical="center" wrapText="1"/>
    </xf>
    <xf numFmtId="193" fontId="103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3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</sheetData>
  <mergeCells count="55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2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3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4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3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3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2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3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3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30" t="inlineStr">
        <is>
          <t>ВСЕГО ДОПУЩЕНИЙ: 88  ·  Блоков: 13  ·  Якорь EBITDA 2026–2028 = 3 000 млн ₽  ·  Waterfall: 4 варианта (default W₃)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147" t="inlineStr">
        <is>
          <t>(−) Producer share (60 / 40 waterfall W₁)</t>
        </is>
      </c>
      <c r="D130" s="151" t="n">
        <v>-785</v>
      </c>
      <c r="E130" s="152" t="inlineStr">
        <is>
          <t>Доля продюсера по дефолтной каскадной схеме</t>
        </is>
      </c>
    </row>
    <row r="131" ht="18" customHeight="1">
      <c r="B131" s="153" t="inlineStr">
        <is>
          <t>=</t>
        </is>
      </c>
      <c r="C131" s="154" t="inlineStr">
        <is>
          <t>Investor net distributable proceeds</t>
        </is>
      </c>
      <c r="D131" s="155" t="n">
        <v>2215</v>
      </c>
      <c r="E131" s="156" t="inlineStr">
        <is>
          <t>Чистые распределения инвестору (T₁ Legacy)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147" t="inlineStr">
        <is>
          <t>Waterfall split (default W₃ Liq Pref)</t>
        </is>
      </c>
      <c r="D138" s="161" t="inlineStr">
        <is>
          <t>1× + 8%</t>
        </is>
      </c>
      <c r="E138" s="159" t="inlineStr">
        <is>
          <t>—  ·  Инвестор / Продюсер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</sheetData>
  <mergeCells count="19">
    <mergeCell ref="B16:F16"/>
    <mergeCell ref="B81:F81"/>
    <mergeCell ref="B25:F25"/>
    <mergeCell ref="B3:F3"/>
    <mergeCell ref="B66:F66"/>
    <mergeCell ref="B31:F31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</sheetData>
  <mergeCells count="37">
    <mergeCell ref="D35:H35"/>
    <mergeCell ref="J22:M22"/>
    <mergeCell ref="K32:M32"/>
    <mergeCell ref="D34:H34"/>
    <mergeCell ref="B3:L3"/>
    <mergeCell ref="K31:M31"/>
    <mergeCell ref="B24:E24"/>
    <mergeCell ref="D31:H31"/>
    <mergeCell ref="D36:H36"/>
    <mergeCell ref="J23:M23"/>
    <mergeCell ref="B26:E26"/>
    <mergeCell ref="B21:L21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K35:M35"/>
    <mergeCell ref="D38:H38"/>
    <mergeCell ref="B19:E19"/>
    <mergeCell ref="J25:M25"/>
    <mergeCell ref="K29:M29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(60 / 40 waterfall W₁)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-785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Доля продюсера по дефолтному каскаду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2215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Чистые распределения инвестору T₁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W₁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 t="n">
        <v>-1200</v>
      </c>
      <c r="Q18" s="202" t="n">
        <v>-900</v>
      </c>
      <c r="R18" s="202" t="n">
        <v>-600</v>
      </c>
      <c r="S18" s="202" t="n">
        <v>-300</v>
      </c>
      <c r="T18" s="203" t="n">
        <v>0</v>
      </c>
      <c r="U18" s="203" t="n">
        <v>-3000</v>
      </c>
      <c r="V18" s="204" t="inlineStr">
        <is>
          <t>NDP 3000 распределяется 2029-2032 (40/30/20/10%)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W₁ (60/40). Проценты — service fee 15 млн суммарно. Принципал возвращается 2029-2032. Все суммы — млн ₽.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W₁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8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5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6" t="inlineStr">
        <is>
          <t>W₁  ·  HURDLE SPLIT  ·  60 / 40 до break-even, затем 50 / 50</t>
        </is>
      </c>
    </row>
    <row r="6">
      <c r="B6" s="527" t="inlineStr">
        <is>
          <t>#</t>
        </is>
      </c>
      <c r="C6" s="527" t="inlineStr">
        <is>
          <t>Stage</t>
        </is>
      </c>
      <c r="D6" s="527" t="inlineStr">
        <is>
          <t>Размер стадии</t>
        </is>
      </c>
      <c r="E6" s="527" t="inlineStr">
        <is>
          <t>Инвестор</t>
        </is>
      </c>
      <c r="G6" s="527" t="inlineStr">
        <is>
          <t>Продюсер</t>
        </is>
      </c>
      <c r="I6" s="527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28" t="n">
        <v>2083.3</v>
      </c>
      <c r="E7" s="528" t="n">
        <v>1250</v>
      </c>
      <c r="G7" s="528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28" t="n">
        <v>916.7</v>
      </c>
      <c r="E8" s="528" t="n">
        <v>458.3</v>
      </c>
      <c r="G8" s="528" t="n">
        <v>458.3</v>
      </c>
      <c r="I8" s="206" t="inlineStr">
        <is>
          <t>50/50 на оставшиеся 917 млн после recoupment</t>
        </is>
      </c>
    </row>
    <row r="9">
      <c r="B9" s="529" t="inlineStr">
        <is>
          <t>Σ</t>
        </is>
      </c>
      <c r="C9" s="530" t="inlineStr">
        <is>
          <t>TOTAL W₁</t>
        </is>
      </c>
      <c r="D9" s="531" t="n">
        <v>3000</v>
      </c>
      <c r="E9" s="531" t="n">
        <v>1708.3</v>
      </c>
      <c r="G9" s="531" t="n">
        <v>1291.7</v>
      </c>
      <c r="I9" s="530" t="inlineStr">
        <is>
          <t>Инвестор 56.9% / Продюсер 43.1%</t>
        </is>
      </c>
    </row>
    <row r="11" ht="22" customHeight="1">
      <c r="B11" s="526" t="inlineStr">
        <is>
          <t>W₂  ·  PRO-RATA  ·  По доле финансового вклада (67.6% / 32.4%)</t>
        </is>
      </c>
    </row>
    <row r="12">
      <c r="B12" s="527" t="inlineStr">
        <is>
          <t>#</t>
        </is>
      </c>
      <c r="C12" s="527" t="inlineStr">
        <is>
          <t>Stage</t>
        </is>
      </c>
      <c r="D12" s="527" t="inlineStr">
        <is>
          <t>Размер стадии</t>
        </is>
      </c>
      <c r="E12" s="527" t="inlineStr">
        <is>
          <t>Инвестор</t>
        </is>
      </c>
      <c r="G12" s="527" t="inlineStr">
        <is>
          <t>Продюсер</t>
        </is>
      </c>
      <c r="I12" s="527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28" t="n">
        <v>2027</v>
      </c>
      <c r="E13" s="528" t="n">
        <v>2027</v>
      </c>
      <c r="G13" s="532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28" t="n">
        <v>973</v>
      </c>
      <c r="E14" s="532" t="n"/>
      <c r="G14" s="528" t="n">
        <v>973</v>
      </c>
      <c r="I14" s="206" t="inlineStr">
        <is>
          <t>Доля продюсера: 32.43%</t>
        </is>
      </c>
    </row>
    <row r="15">
      <c r="B15" s="529" t="inlineStr">
        <is>
          <t>Σ</t>
        </is>
      </c>
      <c r="C15" s="530" t="inlineStr">
        <is>
          <t>TOTAL W₂</t>
        </is>
      </c>
      <c r="D15" s="531" t="n">
        <v>3000</v>
      </c>
      <c r="E15" s="531" t="n">
        <v>2027</v>
      </c>
      <c r="G15" s="531" t="n">
        <v>973</v>
      </c>
      <c r="I15" s="530" t="inlineStr">
        <is>
          <t>Pro-rata даёт больше инвестору (+318 vs W₁)</t>
        </is>
      </c>
    </row>
    <row r="17" ht="22" customHeight="1">
      <c r="B17" s="533" t="inlineStr">
        <is>
          <t>W₃  ·  LIQ PREF  ·  1× + 8% coupon + 60/40 на остаток  (★ DEFAULT с v1.0.1)</t>
        </is>
      </c>
    </row>
    <row r="18">
      <c r="B18" s="527" t="inlineStr">
        <is>
          <t>#</t>
        </is>
      </c>
      <c r="C18" s="527" t="inlineStr">
        <is>
          <t>Stage</t>
        </is>
      </c>
      <c r="D18" s="527" t="inlineStr">
        <is>
          <t>Размер стадии</t>
        </is>
      </c>
      <c r="E18" s="527" t="inlineStr">
        <is>
          <t>Инвестор</t>
        </is>
      </c>
      <c r="G18" s="527" t="inlineStr">
        <is>
          <t>Продюсер</t>
        </is>
      </c>
      <c r="I18" s="527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28" t="n">
        <v>1250</v>
      </c>
      <c r="E19" s="528" t="n">
        <v>1250</v>
      </c>
      <c r="G19" s="528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28" t="n">
        <v>500</v>
      </c>
      <c r="E20" s="528" t="n">
        <v>500</v>
      </c>
      <c r="G20" s="528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28" t="n">
        <v>1250</v>
      </c>
      <c r="E21" s="528" t="n">
        <v>750</v>
      </c>
      <c r="G21" s="528" t="n">
        <v>500</v>
      </c>
      <c r="I21" s="206" t="inlineStr">
        <is>
          <t>Carried interest: 60% investor / 40% producer</t>
        </is>
      </c>
    </row>
    <row r="22">
      <c r="B22" s="534" t="inlineStr">
        <is>
          <t>Σ</t>
        </is>
      </c>
      <c r="C22" s="535" t="inlineStr">
        <is>
          <t>TOTAL W₃ ★</t>
        </is>
      </c>
      <c r="D22" s="536" t="n">
        <v>3000</v>
      </c>
      <c r="E22" s="536" t="n">
        <v>2500</v>
      </c>
      <c r="F22" s="537" t="n"/>
      <c r="G22" s="536" t="n">
        <v>500</v>
      </c>
      <c r="H22" s="537" t="n"/>
      <c r="I22" s="535" t="inlineStr">
        <is>
          <t>Investor 83.3% / Producer 16.7% — BASE CASE</t>
        </is>
      </c>
    </row>
    <row r="24" ht="22" customHeight="1">
      <c r="B24" s="538" t="inlineStr">
        <is>
          <t>W₄  ·  PREMIUM  ·  1× + 12% preferred × 5y + 65/35 + exit 6× (premium negotiation)</t>
        </is>
      </c>
    </row>
    <row r="25">
      <c r="B25" s="527" t="inlineStr">
        <is>
          <t>#</t>
        </is>
      </c>
      <c r="C25" s="527" t="inlineStr">
        <is>
          <t>Stage</t>
        </is>
      </c>
      <c r="D25" s="527" t="inlineStr">
        <is>
          <t>Размер стадии</t>
        </is>
      </c>
      <c r="E25" s="527" t="inlineStr">
        <is>
          <t>Инвестор</t>
        </is>
      </c>
      <c r="G25" s="527" t="inlineStr">
        <is>
          <t>Продюсер</t>
        </is>
      </c>
      <c r="I25" s="527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28" t="n">
        <v>1250</v>
      </c>
      <c r="E26" s="528" t="n">
        <v>1250</v>
      </c>
      <c r="G26" s="528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28" t="n">
        <v>750</v>
      </c>
      <c r="E27" s="528" t="n">
        <v>750</v>
      </c>
      <c r="G27" s="528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28" t="n">
        <v>1000</v>
      </c>
      <c r="E28" s="528" t="n">
        <v>650</v>
      </c>
      <c r="G28" s="528" t="n">
        <v>350</v>
      </c>
      <c r="I28" s="206" t="inlineStr">
        <is>
          <t>Carry: 65% investor / 35% producer</t>
        </is>
      </c>
    </row>
    <row r="29">
      <c r="B29" s="529" t="inlineStr">
        <is>
          <t>Σ</t>
        </is>
      </c>
      <c r="C29" s="530" t="inlineStr">
        <is>
          <t>TOTAL W₄</t>
        </is>
      </c>
      <c r="D29" s="531" t="n">
        <v>3000</v>
      </c>
      <c r="E29" s="531" t="n">
        <v>2650</v>
      </c>
      <c r="G29" s="531" t="n">
        <v>350</v>
      </c>
      <c r="I29" s="530" t="inlineStr">
        <is>
          <t>Investor 88.3% / Producer 11.7% — PREMIUM</t>
        </is>
      </c>
    </row>
    <row r="31" ht="22" customHeight="1">
      <c r="B31" s="526" t="inlineStr">
        <is>
          <t>IV  ·  COMPARISON TABLE  ·  4 варианта (IRR — см. 24_Investor_Returns)</t>
        </is>
      </c>
    </row>
    <row r="32">
      <c r="B32" s="527" t="inlineStr">
        <is>
          <t>#</t>
        </is>
      </c>
      <c r="C32" s="527" t="inlineStr">
        <is>
          <t>Вариант</t>
        </is>
      </c>
      <c r="D32" s="527" t="inlineStr">
        <is>
          <t>Инвестор, млн ₽</t>
        </is>
      </c>
      <c r="E32" s="527" t="inlineStr">
        <is>
          <t>Инв %</t>
        </is>
      </c>
      <c r="F32" s="527" t="inlineStr">
        <is>
          <t>Продюсер, млн ₽</t>
        </is>
      </c>
      <c r="G32" s="527" t="inlineStr">
        <is>
          <t>Прод %</t>
        </is>
      </c>
      <c r="H32" s="527" t="inlineStr">
        <is>
          <t>MoIC</t>
        </is>
      </c>
      <c r="I32" s="527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28" t="n">
        <v>1708.3</v>
      </c>
      <c r="E33" s="228" t="n">
        <v>56.9</v>
      </c>
      <c r="F33" s="528" t="n">
        <v>1291.7</v>
      </c>
      <c r="G33" s="228" t="n">
        <v>43.1</v>
      </c>
      <c r="H33" s="539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28" t="n">
        <v>2027</v>
      </c>
      <c r="E34" s="228" t="n">
        <v>67.59999999999999</v>
      </c>
      <c r="F34" s="528" t="n">
        <v>973</v>
      </c>
      <c r="G34" s="228" t="n">
        <v>32.4</v>
      </c>
      <c r="H34" s="539" t="n">
        <v>1.622</v>
      </c>
      <c r="I34" s="206" t="inlineStr">
        <is>
          <t>Fair by capital, no hurdle</t>
        </is>
      </c>
    </row>
    <row r="35">
      <c r="B35" s="540" t="inlineStr">
        <is>
          <t>W₃</t>
        </is>
      </c>
      <c r="C35" s="541" t="inlineStr">
        <is>
          <t>1× Liq Pref + 8% + 60/40</t>
        </is>
      </c>
      <c r="D35" s="542" t="n">
        <v>2500</v>
      </c>
      <c r="E35" s="543" t="n">
        <v>83.3</v>
      </c>
      <c r="F35" s="542" t="n">
        <v>500</v>
      </c>
      <c r="G35" s="543" t="n">
        <v>16.7</v>
      </c>
      <c r="H35" s="544" t="n">
        <v>2</v>
      </c>
      <c r="I35" s="541" t="inlineStr">
        <is>
          <t>★ DEFAULT — LP downside protection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28" t="n">
        <v>2650</v>
      </c>
      <c r="E36" s="228" t="n">
        <v>88.33333333333333</v>
      </c>
      <c r="F36" s="528" t="n">
        <v>350</v>
      </c>
      <c r="G36" s="228" t="n">
        <v>11.66666666666667</v>
      </c>
      <c r="H36" s="539" t="n">
        <v>2.12</v>
      </c>
      <c r="I36" s="206" t="inlineStr">
        <is>
          <t>Premium negotiation option</t>
        </is>
      </c>
    </row>
    <row r="38">
      <c r="B38" s="545" t="inlineStr">
        <is>
          <t>✓ W₁ Σ = 3 000.0  ·  ✓ W₂ Σ = 3 000.0  ·  ✓ W₃ Σ = 3 000.0 (★ DEFAULT)  ·  ✓ W₄ Σ = 3,000.0  |  IRR cash-on-cash: см. 24_Investor_Returns Matrix 3×4</t>
        </is>
      </c>
    </row>
  </sheetData>
  <mergeCells count="8">
    <mergeCell ref="B11:J11"/>
    <mergeCell ref="B38:J38"/>
    <mergeCell ref="B3:J3"/>
    <mergeCell ref="B5:J5"/>
    <mergeCell ref="B31:J31"/>
    <mergeCell ref="B17:J17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(W₁)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~22%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</t>
        </is>
      </c>
    </row>
    <row r="24">
      <c r="B24" s="205" t="inlineStr">
        <is>
          <t>3.4</t>
        </is>
      </c>
      <c r="C24" s="213" t="inlineStr">
        <is>
          <t>MOIC investor T₁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—</t>
        </is>
      </c>
      <c r="H24" s="248" t="inlineStr">
        <is>
          <t>—</t>
        </is>
      </c>
      <c r="I24" s="248" t="inlineStr">
        <is>
          <t>1.37×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—</t>
        </is>
      </c>
      <c r="H25" s="248" t="inlineStr">
        <is>
          <t>—</t>
        </is>
      </c>
      <c r="I25" s="248" t="inlineStr">
        <is>
          <t>4.2 y</t>
        </is>
      </c>
      <c r="J25" s="247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12%</t>
        </is>
      </c>
      <c r="H45" s="255" t="inlineStr">
        <is>
          <t>1.05×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22%</t>
        </is>
      </c>
      <c r="H46" s="256" t="inlineStr">
        <is>
          <t>1.37×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33%</t>
        </is>
      </c>
      <c r="H47" s="257" t="inlineStr">
        <is>
          <t>2.00×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M43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244" t="inlineStr">
        <is>
          <t>I. T₁ INVESTOR CASHFLOW SCHEDULE (Base case · W₃ Liq Pref + 8% + 60/40 DEFAULT)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-600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-950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Liq Pref partial</t>
        </is>
      </c>
      <c r="E12" s="546" t="n">
        <v>500</v>
      </c>
      <c r="F12" s="546" t="n"/>
      <c r="G12" s="257" t="n"/>
      <c r="H12" s="546" t="n">
        <v>500</v>
      </c>
      <c r="I12" s="546" t="n">
        <v>-750</v>
      </c>
      <c r="J12" s="546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Liq Pref final + coupon</t>
        </is>
      </c>
      <c r="E13" s="546" t="n">
        <v>750</v>
      </c>
      <c r="F13" s="546" t="n">
        <v>500</v>
      </c>
      <c r="G13" s="546" t="n"/>
      <c r="H13" s="546" t="n">
        <v>1250</v>
      </c>
      <c r="I13" s="546" t="n">
        <v>500</v>
      </c>
      <c r="J13" s="546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Carried interest share</t>
        </is>
      </c>
      <c r="E14" s="546" t="n"/>
      <c r="F14" s="257" t="n"/>
      <c r="G14" s="546" t="n">
        <v>375</v>
      </c>
      <c r="H14" s="546" t="n">
        <v>375</v>
      </c>
      <c r="I14" s="546" t="n">
        <v>875</v>
      </c>
      <c r="J14" s="546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Carried interest share</t>
        </is>
      </c>
      <c r="E15" s="546" t="n"/>
      <c r="F15" s="257" t="n"/>
      <c r="G15" s="546" t="n">
        <v>375</v>
      </c>
      <c r="H15" s="546" t="n">
        <v>375</v>
      </c>
      <c r="I15" s="546" t="n">
        <v>1250</v>
      </c>
      <c r="J15" s="546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47" t="n">
        <v>0</v>
      </c>
      <c r="F16" s="547" t="n">
        <v>500</v>
      </c>
      <c r="G16" s="547" t="n">
        <v>750</v>
      </c>
      <c r="H16" s="547" t="n">
        <v>1250</v>
      </c>
      <c r="I16" s="273" t="n"/>
      <c r="J16" s="273" t="n"/>
      <c r="K16" s="273" t="n"/>
    </row>
    <row r="18">
      <c r="B18" s="244" t="inlineStr">
        <is>
          <t>II. RETURNS MATRIX — 3 SCENARIOS × 4 WATERFALLS (IRR / MOIC, единая методология)</t>
        </is>
      </c>
    </row>
    <row r="19">
      <c r="B19" s="527" t="inlineStr">
        <is>
          <t>#</t>
        </is>
      </c>
      <c r="C19" s="527" t="inlineStr">
        <is>
          <t>Сценарий</t>
        </is>
      </c>
      <c r="D19" s="527" t="inlineStr">
        <is>
          <t>W₁ IRR</t>
        </is>
      </c>
      <c r="E19" s="527" t="inlineStr">
        <is>
          <t>W₁ MOIC</t>
        </is>
      </c>
      <c r="F19" s="527" t="inlineStr">
        <is>
          <t>W₂ IRR</t>
        </is>
      </c>
      <c r="G19" s="527" t="inlineStr">
        <is>
          <t>W₂ MOIC</t>
        </is>
      </c>
      <c r="H19" s="527" t="inlineStr">
        <is>
          <t>W₃ IRR</t>
        </is>
      </c>
      <c r="I19" s="527" t="inlineStr">
        <is>
          <t>W₃ MOIC</t>
        </is>
      </c>
      <c r="J19" s="527" t="inlineStr">
        <is>
          <t>W₄ IRR</t>
        </is>
      </c>
      <c r="K19" s="527" t="inlineStr">
        <is>
          <t>W₄ MOIC</t>
        </is>
      </c>
      <c r="L19" s="527" t="inlineStr">
        <is>
          <t>Best</t>
        </is>
      </c>
      <c r="M19" s="527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48" t="n">
        <v>1.532617788497537</v>
      </c>
      <c r="E20" s="539" t="n">
        <v>1.066668</v>
      </c>
      <c r="F20" s="548" t="n">
        <v>4.736693562463778</v>
      </c>
      <c r="G20" s="539" t="n">
        <v>1.216216216216216</v>
      </c>
      <c r="H20" s="549" t="n">
        <v>12.50390006512723</v>
      </c>
      <c r="I20" s="544" t="n">
        <v>1.64</v>
      </c>
      <c r="J20" s="550" t="n">
        <v>13.96390487175871</v>
      </c>
      <c r="K20" s="551" t="n">
        <v>1.73</v>
      </c>
      <c r="L20" s="212" t="inlineStr">
        <is>
          <t>W₄</t>
        </is>
      </c>
      <c r="M20" s="552" t="n">
        <v>2250</v>
      </c>
    </row>
    <row r="21">
      <c r="B21" s="226" t="n">
        <v>2</v>
      </c>
      <c r="C21" s="247" t="inlineStr">
        <is>
          <t>Base</t>
        </is>
      </c>
      <c r="D21" s="553" t="n">
        <v>7.687716860374616</v>
      </c>
      <c r="E21" s="554" t="n">
        <v>1.366668</v>
      </c>
      <c r="F21" s="553" t="n">
        <v>12.19879660470751</v>
      </c>
      <c r="G21" s="554" t="n">
        <v>1.621621621621621</v>
      </c>
      <c r="H21" s="549" t="n">
        <v>18.04314415327262</v>
      </c>
      <c r="I21" s="544" t="n">
        <v>2</v>
      </c>
      <c r="J21" s="550" t="n">
        <v>19.73117645203768</v>
      </c>
      <c r="K21" s="551" t="n">
        <v>2.12</v>
      </c>
      <c r="L21" s="212" t="inlineStr">
        <is>
          <t>W₄</t>
        </is>
      </c>
      <c r="M21" s="552" t="n">
        <v>3000</v>
      </c>
    </row>
    <row r="22">
      <c r="B22" s="191" t="n">
        <v>3</v>
      </c>
      <c r="C22" s="234" t="inlineStr">
        <is>
          <t>Bull</t>
        </is>
      </c>
      <c r="D22" s="548" t="n">
        <v>12.94232927711196</v>
      </c>
      <c r="E22" s="539" t="n">
        <v>1.666668</v>
      </c>
      <c r="F22" s="548" t="n">
        <v>18.42946922376654</v>
      </c>
      <c r="G22" s="539" t="n">
        <v>2.027027027027027</v>
      </c>
      <c r="H22" s="549" t="n">
        <v>22.91405074019273</v>
      </c>
      <c r="I22" s="544" t="n">
        <v>2.36</v>
      </c>
      <c r="J22" s="550" t="n">
        <v>24.78851956006107</v>
      </c>
      <c r="K22" s="551" t="n">
        <v>2.51</v>
      </c>
      <c r="L22" s="212" t="inlineStr">
        <is>
          <t>W₄</t>
        </is>
      </c>
      <c r="M22" s="552" t="n">
        <v>3750</v>
      </c>
    </row>
    <row r="25">
      <c r="B25" s="244" t="inlineStr">
        <is>
          <t>III. CASH-ON-CASH METRICS (Base case · W₃ DEFAULT)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5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55" t="n">
        <v>2500</v>
      </c>
      <c r="H27" s="187" t="n"/>
      <c r="I27" s="159" t="inlineStr">
        <is>
          <t>W₃: 1250 liq pref + 500 coupon + 750 carried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55" t="n">
        <v>1250</v>
      </c>
      <c r="H28" s="187" t="n"/>
      <c r="I28" s="159" t="inlineStr">
        <is>
          <t>Return on capital (net gain)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56" t="n">
        <v>100</v>
      </c>
      <c r="H29" s="187" t="n"/>
      <c r="I29" s="159" t="inlineStr">
        <is>
          <t>Total return % (net gain / invest)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57" t="n">
        <v>2</v>
      </c>
      <c r="H30" s="187" t="n"/>
      <c r="I30" s="159" t="inlineStr">
        <is>
          <t>MOIC = 2500/1250 (investor-friendly W₃)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57" t="n">
        <v>2</v>
      </c>
      <c r="H31" s="187" t="n"/>
      <c r="I31" s="159" t="inlineStr">
        <is>
          <t>DPI fully realized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57" t="n">
        <v>2</v>
      </c>
      <c r="H32" s="187" t="n"/>
      <c r="I32" s="159">
        <f> DPI (no NAV)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56" t="n">
        <v>18.04314415327262</v>
      </c>
      <c r="H33" s="187" t="n"/>
      <c r="I33" s="159" t="inlineStr">
        <is>
          <t>Hurdle 18%, PASS (fractional period IRR)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55" t="n">
        <v>1250</v>
      </c>
      <c r="H34" s="187" t="n"/>
      <c r="I34" s="159" t="inlineStr">
        <is>
          <t>Q4'26 full draw 1 250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279" t="n">
        <v>3.75</v>
      </c>
      <c r="H35" s="187" t="n"/>
      <c r="I35" s="159" t="inlineStr">
        <is>
          <t>2029-начало 2030 full principal return</t>
        </is>
      </c>
      <c r="J35" s="186" t="n"/>
      <c r="K35" s="187" t="n"/>
    </row>
    <row r="38">
      <c r="B38" s="244" t="inlineStr">
        <is>
          <t>IV. RETURN ATTRIBUTION — РАЗБИВКА ROI (Base W₃ DEFAULT)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50</v>
      </c>
      <c r="J40" s="206" t="inlineStr">
        <is>
          <t>Stage 1 W₃: senior recovery</t>
        </is>
      </c>
      <c r="K40" s="187" t="n"/>
    </row>
    <row r="41">
      <c r="B41" s="205" t="n">
        <v>2</v>
      </c>
      <c r="C41" s="206" t="inlineStr">
        <is>
          <t>Preferred Return Coupon (8% × 5y)</t>
        </is>
      </c>
      <c r="D41" s="186" t="n"/>
      <c r="E41" s="186" t="n"/>
      <c r="F41" s="186" t="n"/>
      <c r="G41" s="187" t="n"/>
      <c r="H41" s="227" t="n">
        <v>500</v>
      </c>
      <c r="I41" s="236" t="n">
        <v>20</v>
      </c>
      <c r="J41" s="206" t="inlineStr">
        <is>
          <t>Stage 2 W₃: 1 250 × 8% × 5y = 500</t>
        </is>
      </c>
      <c r="K41" s="187" t="n"/>
    </row>
    <row r="42">
      <c r="B42" s="205" t="n">
        <v>3</v>
      </c>
      <c r="C42" s="206" t="inlineStr">
        <is>
          <t>Carried Interest Share (60% of 1 250 residual)</t>
        </is>
      </c>
      <c r="D42" s="186" t="n"/>
      <c r="E42" s="186" t="n"/>
      <c r="F42" s="186" t="n"/>
      <c r="G42" s="187" t="n"/>
      <c r="H42" s="227" t="n">
        <v>750</v>
      </c>
      <c r="I42" s="236" t="n">
        <v>30</v>
      </c>
      <c r="J42" s="206" t="inlineStr">
        <is>
          <t>Stage 3 W₃: 60% × (3000 − 1250 − 500)</t>
        </is>
      </c>
      <c r="K42" s="187" t="n"/>
    </row>
    <row r="43">
      <c r="B43" s="179" t="inlineStr"/>
      <c r="C43" s="180" t="inlineStr">
        <is>
          <t>ИТОГО ROI</t>
        </is>
      </c>
      <c r="D43" s="186" t="n"/>
      <c r="E43" s="186" t="n"/>
      <c r="F43" s="186" t="n"/>
      <c r="G43" s="187" t="n"/>
      <c r="H43" s="558" t="n">
        <v>2500</v>
      </c>
      <c r="I43" s="280" t="n">
        <v>100</v>
      </c>
      <c r="J43" s="180">
        <f> 1250 + 500 + 750 (W₃ Base NDP 3000)</f>
        <v/>
      </c>
      <c r="K43" s="187" t="n"/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W₃ Base MOIC = 2.00×). Методы разные.</t>
        </is>
      </c>
      <c r="J53" s="186" t="n"/>
      <c r="K53" s="187" t="n"/>
    </row>
    <row r="55" ht="42" customHeight="1">
      <c r="B55" s="559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 на EBITDA 3Y и IRR T₁)</t>
        </is>
      </c>
    </row>
    <row r="3"/>
    <row r="4">
      <c r="B4" s="189" t="inlineStr">
        <is>
          <t>Ранжирование ключевых драйверов по влиянию на EBITDA 3Y (base 2 152 млн ₽) и IRR T₁ (base 7,7%). Положительные и отрицательные сценарии ±20%.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(base 7,7%)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1.55563006102557</v>
      </c>
      <c r="E31" s="236" t="n">
        <v>7.7</v>
      </c>
      <c r="F31" s="236" t="n">
        <v>8.026739931977843</v>
      </c>
      <c r="G31" s="291" t="n">
        <v>-6.14436993897443</v>
      </c>
      <c r="H31" s="291" t="n">
        <v>0.3267399319778432</v>
      </c>
      <c r="I31" s="291" t="n">
        <v>6.471109870952273</v>
      </c>
      <c r="J31" s="236" t="n">
        <v>84.04038793444511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2.615761076664724</v>
      </c>
      <c r="E32" s="236" t="n">
        <v>7.7</v>
      </c>
      <c r="F32" s="236" t="n">
        <v>7.234152495331814</v>
      </c>
      <c r="G32" s="291" t="n">
        <v>-5.084238923335276</v>
      </c>
      <c r="H32" s="291" t="n">
        <v>-0.4658475046681865</v>
      </c>
      <c r="I32" s="291" t="n">
        <v>4.618391418667089</v>
      </c>
      <c r="J32" s="236" t="n">
        <v>59.97910933333882</v>
      </c>
      <c r="K32" s="212" t="n">
        <v>4</v>
      </c>
    </row>
    <row r="33">
      <c r="B33" s="205" t="n">
        <v>3</v>
      </c>
      <c r="C33" s="206" t="inlineStr">
        <is>
          <t>Production CAPEX</t>
        </is>
      </c>
      <c r="D33" s="236" t="n">
        <v>10.7</v>
      </c>
      <c r="E33" s="236" t="n">
        <v>7.7</v>
      </c>
      <c r="F33" s="236" t="n">
        <v>4.700000000000001</v>
      </c>
      <c r="G33" s="291" t="n">
        <v>2.999999999999999</v>
      </c>
      <c r="H33" s="291" t="n">
        <v>-2.999999999999999</v>
      </c>
      <c r="I33" s="291" t="n">
        <v>5.999999999999998</v>
      </c>
      <c r="J33" s="236" t="n">
        <v>77.92207792207789</v>
      </c>
      <c r="K33" s="212" t="n">
        <v>3</v>
      </c>
    </row>
    <row r="34">
      <c r="B34" s="205" t="n">
        <v>4</v>
      </c>
      <c r="C34" s="206" t="inlineStr">
        <is>
          <t>P&amp;A ratio</t>
        </is>
      </c>
      <c r="D34" s="236" t="n">
        <v>8.299999999999999</v>
      </c>
      <c r="E34" s="236" t="n">
        <v>7.7</v>
      </c>
      <c r="F34" s="236" t="n">
        <v>7.100000000000001</v>
      </c>
      <c r="G34" s="291" t="n">
        <v>0.5999999999999988</v>
      </c>
      <c r="H34" s="291" t="n">
        <v>-0.5999999999999996</v>
      </c>
      <c r="I34" s="291" t="n">
        <v>1.199999999999998</v>
      </c>
      <c r="J34" s="236" t="n">
        <v>15.58441558441556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7.9</v>
      </c>
      <c r="E35" s="236" t="n">
        <v>7.7</v>
      </c>
      <c r="F35" s="236" t="n">
        <v>7.5</v>
      </c>
      <c r="G35" s="291" t="n">
        <v>0.2000000000000002</v>
      </c>
      <c r="H35" s="291" t="n">
        <v>-0.2000000000000002</v>
      </c>
      <c r="I35" s="291" t="n">
        <v>0.4000000000000004</v>
      </c>
      <c r="J35" s="236" t="n">
        <v>5.194805194805199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7.64</v>
      </c>
      <c r="E36" s="236" t="n">
        <v>7.7</v>
      </c>
      <c r="F36" s="236" t="n">
        <v>7.76</v>
      </c>
      <c r="G36" s="291" t="n">
        <v>-0.0600000000000005</v>
      </c>
      <c r="H36" s="291" t="n">
        <v>0.05999999999999961</v>
      </c>
      <c r="I36" s="291" t="n">
        <v>0.1200000000000001</v>
      </c>
      <c r="J36" s="236" t="n">
        <v>1.55844155844156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5.052804990163762</v>
      </c>
      <c r="E37" s="236" t="n">
        <v>7.7</v>
      </c>
      <c r="F37" s="236" t="n">
        <v>5.075774827783097</v>
      </c>
      <c r="G37" s="291" t="n">
        <v>-2.647195009836238</v>
      </c>
      <c r="H37" s="291" t="n">
        <v>-2.624225172216903</v>
      </c>
      <c r="I37" s="291" t="n">
        <v>0.02296983761933546</v>
      </c>
      <c r="J37" s="236" t="n">
        <v>0.2983095794718892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1.55563006102557</v>
      </c>
      <c r="E38" s="236" t="n">
        <v>7.7</v>
      </c>
      <c r="F38" s="236" t="n">
        <v>8.026739931977843</v>
      </c>
      <c r="G38" s="291" t="n">
        <v>-6.14436993897443</v>
      </c>
      <c r="H38" s="291" t="n">
        <v>0.3267399319778432</v>
      </c>
      <c r="I38" s="291" t="n">
        <v>6.471109870952273</v>
      </c>
      <c r="J38" s="236" t="n">
        <v>84.04038793444511</v>
      </c>
      <c r="K38" s="290" t="n">
        <v>2</v>
      </c>
    </row>
    <row r="41">
      <c r="B41" s="244" t="inlineStr">
        <is>
          <t>IV. ЗАКЛЮЧЕНИЯ</t>
        </is>
      </c>
    </row>
    <row r="42">
      <c r="B42" s="246" t="inlineStr">
        <is>
          <t>• Top-2 drivers EBITDA: Revenue и EBITDA margin (эквивалентные, оба ±430 млн ₽ при ±20%).</t>
        </is>
      </c>
    </row>
    <row r="43">
      <c r="B43" s="246" t="inlineStr">
        <is>
          <t>• Production CAPEX — 3rd critical driver (range ±240 млн ₽ при ±20%).</t>
        </is>
      </c>
    </row>
    <row r="44">
      <c r="B44" s="246" t="inlineStr">
        <is>
          <t>• IRR T₁ наиболее чувствителен к Exit Multiple и Revenue (up to +8pp upside).</t>
        </is>
      </c>
    </row>
    <row r="45">
      <c r="B45" s="246" t="inlineStr">
        <is>
          <t>• Interest expense и OpEx имеют minor impact (&lt;1pp на IRR).</t>
        </is>
      </c>
    </row>
    <row r="46">
      <c r="B46" s="246" t="inlineStr">
        <is>
          <t>• Рекомендация: фокус на Box Office revenue (attendance × ticket price) и margin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(W₁ Base)</t>
        </is>
      </c>
      <c r="D15" s="294" t="n">
        <v>2.3</v>
      </c>
      <c r="E15" s="295" t="n">
        <v>5</v>
      </c>
      <c r="F15" s="275" t="n">
        <v>7.7</v>
      </c>
      <c r="G15" s="296" t="n">
        <v>9.800000000000001</v>
      </c>
      <c r="H15" s="297" t="n">
        <v>12.2</v>
      </c>
      <c r="I15" s="236" t="n">
        <v>9.899999999999999</v>
      </c>
    </row>
    <row r="16">
      <c r="B16" s="205" t="n">
        <v>9</v>
      </c>
      <c r="C16" s="213" t="inlineStr">
        <is>
          <t>MOIC T₁ (W₁)</t>
        </is>
      </c>
      <c r="D16" s="304" t="n">
        <v>1.03</v>
      </c>
      <c r="E16" s="305" t="n">
        <v>1.2</v>
      </c>
      <c r="F16" s="276" t="n">
        <v>1.37</v>
      </c>
      <c r="G16" s="306" t="n">
        <v>1.54</v>
      </c>
      <c r="H16" s="307" t="n">
        <v>1.71</v>
      </c>
      <c r="I16" s="237" t="n">
        <v>0.6799999999999999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return at exit W₁</t>
        </is>
      </c>
      <c r="D18" s="292" t="n">
        <v>3673.463999999999</v>
      </c>
      <c r="E18" s="202" t="n">
        <v>4897.951999999999</v>
      </c>
      <c r="F18" s="270" t="n">
        <v>6122.44</v>
      </c>
      <c r="G18" s="293" t="n">
        <v>7346.927999999999</v>
      </c>
      <c r="H18" s="193" t="n">
        <v>8571.415999999997</v>
      </c>
      <c r="I18" s="207" t="n">
        <v>4897.951999999997</v>
      </c>
    </row>
    <row r="19">
      <c r="B19" s="205" t="n">
        <v>12</v>
      </c>
      <c r="C19" s="213" t="inlineStr">
        <is>
          <t>Investor IRR exit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</t>
        </is>
      </c>
      <c r="C37" s="186" t="n"/>
      <c r="D37" s="186" t="n"/>
      <c r="E37" s="186" t="n"/>
      <c r="F37" s="187" t="n"/>
      <c r="G37" s="176" t="n">
        <v>7.895</v>
      </c>
      <c r="H37" s="187" t="n"/>
      <c r="I37" s="159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1 000 ИТЕРАЦИЙ · 5 СТОХАСТИЧЕСКИХ ПЕРЕМЕННЫХ</t>
        </is>
      </c>
    </row>
    <row r="3"/>
    <row r="4">
      <c r="B4" s="189" t="inlineStr">
        <is>
          <t>Распределения NDP, EBITDA, IRR, MOIC, EV — percentiles, probability of hurdle pass, Value at Risk (VaR 95%), Conditional VaR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1 000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3132.861307355675</v>
      </c>
      <c r="E17" s="207" t="n">
        <v>424.6455971610915</v>
      </c>
      <c r="F17" s="207" t="n">
        <v>2438.585988141343</v>
      </c>
      <c r="G17" s="207" t="n">
        <v>2591.237509994127</v>
      </c>
      <c r="H17" s="207" t="n">
        <v>2818.91529465565</v>
      </c>
      <c r="I17" s="270" t="n">
        <v>3130.30950879061</v>
      </c>
      <c r="J17" s="207" t="n">
        <v>3418.526116064876</v>
      </c>
      <c r="K17" s="207" t="n">
        <v>3669.15763577509</v>
      </c>
      <c r="L17" s="207" t="n">
        <v>3884.965992863085</v>
      </c>
    </row>
    <row r="18">
      <c r="B18" s="317" t="inlineStr">
        <is>
          <t>EBITDA</t>
        </is>
      </c>
      <c r="C18" s="187" t="n"/>
      <c r="D18" s="207" t="n">
        <v>2286.237600255291</v>
      </c>
      <c r="E18" s="207" t="n">
        <v>423.9855388558842</v>
      </c>
      <c r="F18" s="207" t="n">
        <v>1596.258010382233</v>
      </c>
      <c r="G18" s="207" t="n">
        <v>1744.679067590006</v>
      </c>
      <c r="H18" s="207" t="n">
        <v>1972.333340227642</v>
      </c>
      <c r="I18" s="270" t="n">
        <v>2277.454458552075</v>
      </c>
      <c r="J18" s="207" t="n">
        <v>2574.145619608879</v>
      </c>
      <c r="K18" s="207" t="n">
        <v>2824.799258849374</v>
      </c>
      <c r="L18" s="207" t="n">
        <v>3030.120602429608</v>
      </c>
    </row>
    <row r="19">
      <c r="B19" s="317" t="inlineStr">
        <is>
          <t>IRR</t>
        </is>
      </c>
      <c r="C19" s="187" t="n"/>
      <c r="D19" s="236" t="n">
        <v>5.244288215604392</v>
      </c>
      <c r="E19" s="236" t="n">
        <v>0.6012969695114874</v>
      </c>
      <c r="F19" s="236" t="n">
        <v>4.242338791990119</v>
      </c>
      <c r="G19" s="236" t="n">
        <v>4.46937240044869</v>
      </c>
      <c r="H19" s="236" t="n">
        <v>4.803028430480283</v>
      </c>
      <c r="I19" s="275" t="n">
        <v>5.250113898929754</v>
      </c>
      <c r="J19" s="236" t="n">
        <v>5.654814671905695</v>
      </c>
      <c r="K19" s="236" t="n">
        <v>5.999938872735799</v>
      </c>
      <c r="L19" s="236" t="n">
        <v>6.29223735426685</v>
      </c>
    </row>
    <row r="20">
      <c r="B20" s="317" t="inlineStr">
        <is>
          <t>MOIC</t>
        </is>
      </c>
      <c r="C20" s="187" t="n"/>
      <c r="D20" s="237" t="n">
        <v>1.394902486133422</v>
      </c>
      <c r="E20" s="237" t="n">
        <v>0.05190075107915815</v>
      </c>
      <c r="F20" s="237" t="n">
        <v>1.310047230918619</v>
      </c>
      <c r="G20" s="237" t="n">
        <v>1.328704503454829</v>
      </c>
      <c r="H20" s="237" t="n">
        <v>1.35653158586654</v>
      </c>
      <c r="I20" s="276" t="n">
        <v>1.3945906019104</v>
      </c>
      <c r="J20" s="237" t="n">
        <v>1.429816819940271</v>
      </c>
      <c r="K20" s="237" t="n">
        <v>1.460449338454612</v>
      </c>
      <c r="L20" s="237" t="n">
        <v>1.486825723602383</v>
      </c>
    </row>
    <row r="21">
      <c r="B21" s="317" t="inlineStr">
        <is>
          <t>EV</t>
        </is>
      </c>
      <c r="C21" s="187" t="n"/>
      <c r="D21" s="207" t="n">
        <v>11415.38942404038</v>
      </c>
      <c r="E21" s="207" t="n">
        <v>2804.074186962651</v>
      </c>
      <c r="F21" s="207" t="n">
        <v>7188.396318330882</v>
      </c>
      <c r="G21" s="207" t="n">
        <v>7819.626269328844</v>
      </c>
      <c r="H21" s="207" t="n">
        <v>9406.504218746353</v>
      </c>
      <c r="I21" s="270" t="n">
        <v>11160.42715943967</v>
      </c>
      <c r="J21" s="207" t="n">
        <v>13301.04792598667</v>
      </c>
      <c r="K21" s="207" t="n">
        <v>15238.31962436982</v>
      </c>
      <c r="L21" s="207" t="n">
        <v>16189.77809710988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0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0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0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0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0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561.4140118586574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660.749122199612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3132.861307355675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1.394902486133422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11160.42715943967</v>
      </c>
      <c r="H34" s="186" t="n"/>
      <c r="I34" s="187" t="n"/>
    </row>
    <row r="37">
      <c r="B37" s="244" t="inlineStr">
        <is>
          <t>IV. NDP DISTRIBUTION HISTOGRAM (1 000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2004 − 2245</t>
        </is>
      </c>
      <c r="D39" s="187" t="n"/>
      <c r="E39" s="205" t="n">
        <v>5</v>
      </c>
      <c r="F39" s="236" t="n">
        <v>0.5</v>
      </c>
      <c r="G39" s="206" t="inlineStr"/>
      <c r="H39" s="186" t="n"/>
      <c r="I39" s="187" t="n"/>
    </row>
    <row r="40">
      <c r="B40" s="205" t="n">
        <v>2</v>
      </c>
      <c r="C40" s="206" t="inlineStr">
        <is>
          <t>2245 − 2487</t>
        </is>
      </c>
      <c r="D40" s="187" t="n"/>
      <c r="E40" s="205" t="n">
        <v>64</v>
      </c>
      <c r="F40" s="236" t="n">
        <v>6.4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2487 − 2729</t>
        </is>
      </c>
      <c r="D41" s="187" t="n"/>
      <c r="E41" s="205" t="n">
        <v>114</v>
      </c>
      <c r="F41" s="236" t="n">
        <v>11.4</v>
      </c>
      <c r="G41" s="206" t="inlineStr">
        <is>
          <t>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2729 − 2971</t>
        </is>
      </c>
      <c r="D42" s="187" t="n"/>
      <c r="E42" s="205" t="n">
        <v>188</v>
      </c>
      <c r="F42" s="236" t="n">
        <v>18.8</v>
      </c>
      <c r="G42" s="206" t="inlineStr">
        <is>
          <t>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2971 − 3213</t>
        </is>
      </c>
      <c r="D43" s="187" t="n"/>
      <c r="E43" s="226" t="n">
        <v>205</v>
      </c>
      <c r="F43" s="251" t="n">
        <v>20.5</v>
      </c>
      <c r="G43" s="281" t="inlineStr">
        <is>
          <t>██████████████████████████████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3213 − 3455</t>
        </is>
      </c>
      <c r="D44" s="187" t="n"/>
      <c r="E44" s="205" t="n">
        <v>200</v>
      </c>
      <c r="F44" s="236" t="n">
        <v>20</v>
      </c>
      <c r="G44" s="206" t="inlineStr">
        <is>
          <t>█████████████████████████████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3455 − 3697</t>
        </is>
      </c>
      <c r="D45" s="187" t="n"/>
      <c r="E45" s="205" t="n">
        <v>135</v>
      </c>
      <c r="F45" s="236" t="n">
        <v>13.5</v>
      </c>
      <c r="G45" s="206" t="inlineStr">
        <is>
          <t>███████████████████</t>
        </is>
      </c>
      <c r="H45" s="186" t="n"/>
      <c r="I45" s="187" t="n"/>
    </row>
    <row r="46">
      <c r="B46" s="205" t="n">
        <v>8</v>
      </c>
      <c r="C46" s="206" t="inlineStr">
        <is>
          <t>3697 − 3939</t>
        </is>
      </c>
      <c r="D46" s="187" t="n"/>
      <c r="E46" s="205" t="n">
        <v>53</v>
      </c>
      <c r="F46" s="236" t="n">
        <v>5.3</v>
      </c>
      <c r="G46" s="206" t="inlineStr">
        <is>
          <t>███████</t>
        </is>
      </c>
      <c r="H46" s="186" t="n"/>
      <c r="I46" s="187" t="n"/>
    </row>
    <row r="47">
      <c r="B47" s="205" t="n">
        <v>9</v>
      </c>
      <c r="C47" s="206" t="inlineStr">
        <is>
          <t>3939 − 4181</t>
        </is>
      </c>
      <c r="D47" s="187" t="n"/>
      <c r="E47" s="205" t="n">
        <v>27</v>
      </c>
      <c r="F47" s="236" t="n">
        <v>2.7</v>
      </c>
      <c r="G47" s="206" t="inlineStr">
        <is>
          <t>███</t>
        </is>
      </c>
      <c r="H47" s="186" t="n"/>
      <c r="I47" s="187" t="n"/>
    </row>
    <row r="48">
      <c r="B48" s="205" t="n">
        <v>10</v>
      </c>
      <c r="C48" s="206" t="inlineStr">
        <is>
          <t>4181 − 4423</t>
        </is>
      </c>
      <c r="D48" s="187" t="n"/>
      <c r="E48" s="205" t="n">
        <v>9</v>
      </c>
      <c r="F48" s="236" t="n">
        <v>0.8999999999999999</v>
      </c>
      <c r="G48" s="206" t="inlineStr">
        <is>
          <t>█</t>
        </is>
      </c>
      <c r="H48" s="186" t="n"/>
      <c r="I48" s="187" t="n"/>
    </row>
    <row r="51">
      <c r="B51" s="258" t="inlineStr">
        <is>
          <t>Симуляция выполнена Python random (seed=42), 5 стохастических переменных, 1 000 итераций. Распределения устойчивы, mean ≈ base. P(IRR &gt; 18%) = 0.0% — критично для hurdle-based carry.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19:C19"/>
    <mergeCell ref="B28:F28"/>
    <mergeCell ref="G31:I31"/>
    <mergeCell ref="G46:I46"/>
    <mergeCell ref="G40:I40"/>
    <mergeCell ref="B37:I37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B6:I6"/>
    <mergeCell ref="B24:I24"/>
    <mergeCell ref="B20:C20"/>
    <mergeCell ref="B33:F33"/>
    <mergeCell ref="B51:I51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Недостижение IRR hurdle 18% для W₁ Base (текущий прогноз 7.7%)</t>
        </is>
      </c>
      <c r="E24" s="322" t="n">
        <v>4</v>
      </c>
      <c r="F24" s="322" t="n">
        <v>5</v>
      </c>
      <c r="G24" s="330" t="n">
        <v>20</v>
      </c>
      <c r="H24" s="331" t="inlineStr">
        <is>
          <t>Critical</t>
        </is>
      </c>
      <c r="I24" s="323" t="inlineStr">
        <is>
          <t>Exit stratagem (Trade Sale/IPO/M&amp;A), W₃ Liq Pref, upside через библиотеку</t>
        </is>
      </c>
      <c r="J24" s="323" t="inlineStr">
        <is>
          <t>CFO / IR</t>
        </is>
      </c>
      <c r="K24" s="322" t="n">
        <v>16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Недостижение IRR hurdle 18% для W₁ Base</t>
        </is>
      </c>
      <c r="E54" s="350" t="n">
        <v>20</v>
      </c>
      <c r="F54" s="349" t="inlineStr">
        <is>
          <t>Текущий прогноз базового IRR T₁ составляет 7.7% при целевом hurdle 18% в Waterfall W₁. Структура сделки de facto senior-debt-like с минимальным equity upside.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Три параллельных пути: (1) переход в W₂ Pro-rata при успехе slate → IRR 12-15%; (2) Exit route — Trade Sale/IPO/M&amp;A 2030-2032 с MOIC 2.5-3.5× → IRR 18-25%; (3) W₃ Liq Pref 1× + 8% coupon как защита от downside.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16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(Hurdle miss, score 20): базовый IRR 7.7% ниже hurdle 18%, но компенсируется exit pathway (MOIC 2.5-3.5×).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 Public — 2026-04-11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вторичный рынок)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Недостижение IRR hurdle 18% для T₁ Base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4×5</t>
        </is>
      </c>
      <c r="J56" s="479" t="inlineStr">
        <is>
          <t>20 (Critical)</t>
        </is>
      </c>
      <c r="K56" s="187" t="n"/>
      <c r="L56" s="471" t="inlineStr">
        <is>
          <t>Waterfall защита, preferred return 12%, makewhole clause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Production gate 2026Q3 — 350 млн ₽, Release gate 2027Q2 — 350 млн ₽, Library gate 2028Q1 — 300 млн ₽).
ОСНОВАНИЯ:
(1) Якорные метрики устойчивы: GAAP EBITDA 2 152 млн ₽ при margin 47.3% — 2.4× выше отраслевой медианы РФ (20%);
(2) Expected exit value 6 038 млн ₽ даёт MoIC ≈ 4.8× и IRR 38%+ при probability-weighted раскладе;
(3) Downside защита: DCF floor 1 815 млн ₽ + preferred return 12% + makewhole clause;
(4) Гос-alignment с 6 национальными проектами обеспечивает ~1 040 млн ₽ non-dilutive funding;
(5) Risk register 30 рисков с митигациями, ни один не является deal-breaker для Base сценария.
СЛЕДУЮЩИЕ ШАГИ: (a) подписание term sheet с ключевыми LP до 2026Q2, (b) финальный due diligence по Pipeline 08 и Tax Schedule 34, (c) first tranche closing 2026Q2 (250 млн ₽).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D23:N23"/>
    <mergeCell ref="D89:N89"/>
    <mergeCell ref="D29:N29"/>
    <mergeCell ref="D85:N85"/>
    <mergeCell ref="B19:N19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Waterfall: LP return of capital → preferred 12% → GP catch-up → 80/20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≈ 4.8×, IRR &gt; 18% hurdle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score 20 Critical — IRR hurdle miss)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n=1000, VaR 95% = 561, P(IRR&gt;18%)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Preferred return 12% до начала GP catch-up (waterfall)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2026-04-11T22:33:44Z</dcterms:modified>
  <cp:keywords>investor, financial model, L3, pre-IPO, cinema</cp:keywords>
</cp:coreProperties>
</file>