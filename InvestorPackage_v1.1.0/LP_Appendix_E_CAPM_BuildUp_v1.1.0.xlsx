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M_Build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0070C0"/>
      <sz val="16"/>
    </font>
    <font>
      <name val="Calibri"/>
      <i val="1"/>
      <color rgb="00595959"/>
      <sz val="11"/>
    </font>
    <font>
      <i val="1"/>
      <color rgb="00595959"/>
      <sz val="10"/>
    </font>
    <font>
      <b val="1"/>
      <color rgb="000070C0"/>
      <sz val="13"/>
    </font>
    <font>
      <name val="Calibri"/>
      <b val="1"/>
      <color rgb="00FFFFFF"/>
      <sz val="12"/>
    </font>
    <font>
      <name val="Calibri"/>
      <sz val="11"/>
    </font>
    <font>
      <b val="1"/>
      <i val="1"/>
    </font>
    <font>
      <color rgb="000563C1"/>
      <sz val="10"/>
      <u val="single"/>
    </font>
    <font>
      <b val="1"/>
      <color rgb="000070C0"/>
    </font>
    <font>
      <b val="1"/>
    </font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right" vertical="center"/>
    </xf>
    <xf numFmtId="0" fontId="8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10" fontId="1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28" customWidth="1" min="4" max="4"/>
    <col width="30" customWidth="1" min="5" max="5"/>
    <col width="12" customWidth="1" min="6" max="6"/>
    <col width="40" customWidth="1" min="7" max="7"/>
  </cols>
  <sheetData>
    <row r="1">
      <c r="A1" s="1" t="inlineStr">
        <is>
          <t>Appendix E — CAPM Build-Up &amp; WACC Derivation</t>
        </is>
      </c>
    </row>
    <row r="2">
      <c r="A2" s="2" t="inlineStr">
        <is>
          <t>ТрендСтудио Kinoholding • v1.1.0 • Ke=23.1% • WACC=19.05% • Full source attribution</t>
        </is>
      </c>
    </row>
    <row r="4">
      <c r="A4" s="3" t="inlineStr">
        <is>
          <t>NOTE: Данное приложение закрывает finding И1 из П5-верификации v1.1.0 — явная атрибуция источников CAPM-входов.</t>
        </is>
      </c>
    </row>
    <row r="6">
      <c r="A6" s="4" t="inlineStr">
        <is>
          <t>I. COST OF EQUITY (Kₑ) — CAPM Extended Build-Up</t>
        </is>
      </c>
    </row>
    <row r="7">
      <c r="A7" s="5" t="inlineStr">
        <is>
          <t>Компонент</t>
        </is>
      </c>
      <c r="B7" s="5" t="inlineStr">
        <is>
          <t>Символ</t>
        </is>
      </c>
      <c r="C7" s="5" t="inlineStr">
        <is>
          <t>Значение</t>
        </is>
      </c>
      <c r="D7" s="5" t="inlineStr">
        <is>
          <t>Источник</t>
        </is>
      </c>
      <c r="E7" s="5" t="inlineStr">
        <is>
          <t>URL/Ссылка</t>
        </is>
      </c>
      <c r="F7" s="5" t="inlineStr">
        <is>
          <t>Дата</t>
        </is>
      </c>
      <c r="G7" s="5" t="inlineStr">
        <is>
          <t>Примечание</t>
        </is>
      </c>
    </row>
    <row r="8">
      <c r="A8" s="6" t="inlineStr">
        <is>
          <t>Risk-free rate (безриск. ставка)</t>
        </is>
      </c>
      <c r="B8" s="7" t="inlineStr">
        <is>
          <t>Rf</t>
        </is>
      </c>
      <c r="C8" s="8" t="n">
        <v>0.145</v>
      </c>
      <c r="D8" s="6" t="inlineStr">
        <is>
          <t>ОФЗ-26238 (10Y)</t>
        </is>
      </c>
      <c r="E8" s="9" t="inlineStr">
        <is>
          <t>cbr.ru / cbonds.ru</t>
        </is>
      </c>
      <c r="F8" s="10" t="inlineStr">
        <is>
          <t>2026-04-01</t>
        </is>
      </c>
      <c r="G8" s="6" t="inlineStr">
        <is>
          <t>YTM 10-летней ОФЗ, актуальная на дату модели</t>
        </is>
      </c>
    </row>
    <row r="9">
      <c r="A9" s="6" t="inlineStr">
        <is>
          <t>Levered beta (кино/медиа сектор)</t>
        </is>
      </c>
      <c r="B9" s="7" t="inlineStr">
        <is>
          <t>β</t>
        </is>
      </c>
      <c r="C9" s="8" t="n">
        <v>0.8</v>
      </c>
      <c r="D9" s="6" t="inlineStr">
        <is>
          <t>Bloomberg Adjusted β + S&amp;P Capital IQ</t>
        </is>
      </c>
      <c r="E9" s="9" t="inlineStr">
        <is>
          <t>Bloomberg Terminal BETA&lt;GO&gt; / capitaliq.com</t>
        </is>
      </c>
      <c r="F9" s="10" t="inlineStr">
        <is>
          <t>2026-Q1</t>
        </is>
      </c>
      <c r="G9" s="6" t="inlineStr">
        <is>
          <t>Peer-group: Disney, Netflix, Fox, Warner, ivi, Okko (RU-adjusted)</t>
        </is>
      </c>
    </row>
    <row r="10">
      <c r="A10" s="6" t="inlineStr">
        <is>
          <t>Equity Risk Premium</t>
        </is>
      </c>
      <c r="B10" s="7" t="inlineStr">
        <is>
          <t>ERP</t>
        </is>
      </c>
      <c r="C10" s="8" t="n">
        <v>0.07000000000000001</v>
      </c>
      <c r="D10" s="6" t="inlineStr">
        <is>
          <t>Damodaran implied ERP for Russia</t>
        </is>
      </c>
      <c r="E10" s="9" t="inlineStr">
        <is>
          <t>pages.stern.nyu.edu/~adamodar/</t>
        </is>
      </c>
      <c r="F10" s="10" t="inlineStr">
        <is>
          <t>2026-01</t>
        </is>
      </c>
      <c r="G10" s="6" t="inlineStr">
        <is>
          <t>Implied ERP с премией страны</t>
        </is>
      </c>
    </row>
    <row r="11">
      <c r="A11" s="6" t="inlineStr">
        <is>
          <t>Country risk premium</t>
        </is>
      </c>
      <c r="B11" s="7" t="inlineStr">
        <is>
          <t>CRP</t>
        </is>
      </c>
      <c r="C11" s="8" t="n">
        <v>0.02</v>
      </c>
      <c r="D11" s="6" t="inlineStr">
        <is>
          <t>Damodaran country risk premium (RU)</t>
        </is>
      </c>
      <c r="E11" s="9" t="inlineStr">
        <is>
          <t>pages.stern.nyu.edu/~adamodar/</t>
        </is>
      </c>
      <c r="F11" s="10" t="inlineStr">
        <is>
          <t>2026-01</t>
        </is>
      </c>
      <c r="G11" s="6" t="inlineStr">
        <is>
          <t>На основе sovereign CDS spread + volatility adjustment</t>
        </is>
      </c>
    </row>
    <row r="12">
      <c r="A12" s="6" t="inlineStr">
        <is>
          <t>Size premium (small-cap)</t>
        </is>
      </c>
      <c r="B12" s="7" t="inlineStr">
        <is>
          <t>SMB</t>
        </is>
      </c>
      <c r="C12" s="8" t="n">
        <v>0.01</v>
      </c>
      <c r="D12" s="6" t="inlineStr">
        <is>
          <t>Duff &amp; Phelps / Kroll Size Premium Study</t>
        </is>
      </c>
      <c r="E12" s="9" t="inlineStr">
        <is>
          <t>kroll.com/valuation-handbook</t>
        </is>
      </c>
      <c r="F12" s="10" t="inlineStr">
        <is>
          <t>2025 ed.</t>
        </is>
      </c>
      <c r="G12" s="6" t="inlineStr">
        <is>
          <t>10-й дециль по market cap</t>
        </is>
      </c>
    </row>
    <row r="14">
      <c r="A14" s="11" t="inlineStr">
        <is>
          <t>Kₑ = Rf + β×ERP + CRP + SMB</t>
        </is>
      </c>
      <c r="B14" s="12" t="inlineStr">
        <is>
          <t>Kₑ</t>
        </is>
      </c>
      <c r="C14" s="13" t="n">
        <v>0.231</v>
      </c>
      <c r="D14" s="6">
        <f> 14.5% + 5.6% + 2.0% + 1.0% = 23.1%</f>
        <v/>
      </c>
      <c r="E14" s="14" t="n"/>
      <c r="F14" s="14" t="n"/>
      <c r="G14" s="14" t="n"/>
    </row>
    <row r="17">
      <c r="A17" s="4" t="inlineStr">
        <is>
          <t>II. COST OF DEBT (Kd)</t>
        </is>
      </c>
    </row>
    <row r="18">
      <c r="A18" s="5" t="inlineStr">
        <is>
          <t>Компонент</t>
        </is>
      </c>
      <c r="B18" s="5" t="inlineStr">
        <is>
          <t>Символ</t>
        </is>
      </c>
      <c r="C18" s="5" t="inlineStr">
        <is>
          <t>Значение</t>
        </is>
      </c>
      <c r="D18" s="5" t="inlineStr">
        <is>
          <t>Источник</t>
        </is>
      </c>
      <c r="E18" s="5" t="inlineStr">
        <is>
          <t>URL</t>
        </is>
      </c>
      <c r="F18" s="5" t="inlineStr">
        <is>
          <t>Дата</t>
        </is>
      </c>
      <c r="G18" s="5" t="inlineStr">
        <is>
          <t>Примечание</t>
        </is>
      </c>
    </row>
    <row r="19">
      <c r="A19" s="6" t="inlineStr">
        <is>
          <t>Pre-tax cost of debt</t>
        </is>
      </c>
      <c r="B19" s="7" t="inlineStr">
        <is>
          <t>Kd</t>
        </is>
      </c>
      <c r="C19" s="8" t="n">
        <v>0.12</v>
      </c>
      <c r="D19" s="6" t="inlineStr">
        <is>
          <t>Средневзвешенная ставка банковского фин.</t>
        </is>
      </c>
      <c r="E19" s="9" t="inlineStr">
        <is>
          <t>Внутренняя ставка холдинга на основе term-sheets РСХБ/ВТБ</t>
        </is>
      </c>
      <c r="F19" s="12" t="inlineStr">
        <is>
          <t>2026-Q1</t>
        </is>
      </c>
      <c r="G19" s="6" t="inlineStr">
        <is>
          <t>2Y term-loan с covenant-based pricing</t>
        </is>
      </c>
    </row>
    <row r="20">
      <c r="A20" s="6" t="inlineStr">
        <is>
          <t>Tax shield</t>
        </is>
      </c>
      <c r="B20" s="7" t="inlineStr">
        <is>
          <t>t</t>
        </is>
      </c>
      <c r="C20" s="8" t="n">
        <v>0.2</v>
      </c>
      <c r="D20" s="6" t="inlineStr">
        <is>
          <t>ННП ст. 284 НК РФ</t>
        </is>
      </c>
      <c r="E20" s="9" t="inlineStr">
        <is>
          <t>nalog.gov.ru</t>
        </is>
      </c>
      <c r="F20" s="12" t="inlineStr">
        <is>
          <t>2026</t>
        </is>
      </c>
      <c r="G20" s="6" t="inlineStr">
        <is>
          <t>Стандартная ставка налога на прибыль</t>
        </is>
      </c>
    </row>
    <row r="21">
      <c r="A21" s="6" t="inlineStr">
        <is>
          <t>After-tax cost of debt</t>
        </is>
      </c>
      <c r="B21" s="7" t="inlineStr">
        <is>
          <t>Kd(1-t)</t>
        </is>
      </c>
      <c r="C21" s="8" t="n">
        <v>0.096</v>
      </c>
      <c r="D21" s="6" t="inlineStr">
        <is>
          <t>Расчёт</t>
        </is>
      </c>
      <c r="E21" s="9" t="inlineStr">
        <is>
          <t>—</t>
        </is>
      </c>
      <c r="F21" s="12" t="inlineStr">
        <is>
          <t>—</t>
        </is>
      </c>
      <c r="G21" s="6" t="inlineStr">
        <is>
          <t>Kd × (1 − 20%) = 9.6%</t>
        </is>
      </c>
    </row>
    <row r="23">
      <c r="A23" s="4" t="inlineStr">
        <is>
          <t>III. CAPITAL STRUCTURE &amp; WACC</t>
        </is>
      </c>
    </row>
    <row r="24">
      <c r="A24" s="5" t="inlineStr">
        <is>
          <t>Параметр</t>
        </is>
      </c>
      <c r="B24" s="5" t="inlineStr">
        <is>
          <t>Символ</t>
        </is>
      </c>
      <c r="C24" s="5" t="inlineStr">
        <is>
          <t>Значение</t>
        </is>
      </c>
      <c r="D24" s="5" t="inlineStr">
        <is>
          <t>Расчёт</t>
        </is>
      </c>
      <c r="E24" s="5" t="inlineStr"/>
      <c r="F24" s="5" t="inlineStr"/>
      <c r="G24" s="5" t="inlineStr">
        <is>
          <t>Примечание</t>
        </is>
      </c>
    </row>
    <row r="25">
      <c r="A25" s="14" t="inlineStr">
        <is>
          <t>Equity weight</t>
        </is>
      </c>
      <c r="B25" s="12" t="inlineStr">
        <is>
          <t>E/V</t>
        </is>
      </c>
      <c r="C25" s="15" t="n">
        <v>0.7</v>
      </c>
      <c r="D25" s="14" t="n"/>
      <c r="E25" s="14" t="n"/>
      <c r="F25" s="14" t="n"/>
      <c r="G25" s="14" t="inlineStr">
        <is>
          <t>Целевая структура: 70% equity / 30% debt</t>
        </is>
      </c>
    </row>
    <row r="26">
      <c r="A26" s="14" t="inlineStr">
        <is>
          <t>Debt weight</t>
        </is>
      </c>
      <c r="B26" s="12" t="inlineStr">
        <is>
          <t>D/V</t>
        </is>
      </c>
      <c r="C26" s="15" t="n">
        <v>0.3</v>
      </c>
      <c r="D26" s="14" t="n"/>
      <c r="E26" s="14" t="n"/>
      <c r="F26" s="14" t="n"/>
      <c r="G26" s="14" t="n"/>
    </row>
    <row r="27">
      <c r="A27" s="11" t="inlineStr">
        <is>
          <t>WACC = E/V × Kₑ + D/V × Kd(1-t)</t>
        </is>
      </c>
      <c r="B27" s="14" t="n"/>
      <c r="C27" s="13" t="n">
        <v>0.1905</v>
      </c>
      <c r="D27" s="16">
        <f> 0.70 × 23.1% + 0.30 × 9.6% = 19.05%</f>
        <v/>
      </c>
      <c r="E27" s="14" t="n"/>
      <c r="F27" s="14" t="n"/>
      <c r="G27" s="14" t="n"/>
    </row>
    <row r="30">
      <c r="A30" s="4" t="inlineStr">
        <is>
          <t>IV. СПРАВОЧНИК ИСТОЧНИКОВ</t>
        </is>
      </c>
    </row>
    <row r="31">
      <c r="A31" s="5" t="inlineStr">
        <is>
          <t>№</t>
        </is>
      </c>
      <c r="B31" s="5" t="inlineStr">
        <is>
          <t>Источник</t>
        </is>
      </c>
      <c r="C31" s="5" t="inlineStr">
        <is>
          <t>Категория</t>
        </is>
      </c>
      <c r="D31" s="5" t="inlineStr">
        <is>
          <t>URL</t>
        </is>
      </c>
      <c r="E31" s="5" t="inlineStr">
        <is>
          <t>Использование</t>
        </is>
      </c>
    </row>
    <row r="32">
      <c r="A32" s="12" t="n">
        <v>1</v>
      </c>
      <c r="B32" s="6" t="inlineStr">
        <is>
          <t>Центральный банк РФ</t>
        </is>
      </c>
      <c r="C32" s="6" t="inlineStr">
        <is>
          <t>Rf (безриск. ставка)</t>
        </is>
      </c>
      <c r="D32" s="9" t="inlineStr">
        <is>
          <t>cbr.ru</t>
        </is>
      </c>
      <c r="E32" s="6" t="inlineStr">
        <is>
          <t>ОФЗ-26238 YTM</t>
        </is>
      </c>
    </row>
    <row r="33">
      <c r="A33" s="12" t="n">
        <v>2</v>
      </c>
      <c r="B33" s="6" t="inlineStr">
        <is>
          <t>Cbonds</t>
        </is>
      </c>
      <c r="C33" s="6" t="inlineStr">
        <is>
          <t>Rf валидация</t>
        </is>
      </c>
      <c r="D33" s="9" t="inlineStr">
        <is>
          <t>cbonds.ru</t>
        </is>
      </c>
      <c r="E33" s="6" t="inlineStr">
        <is>
          <t>Независимая валидация ОФЗ YTM</t>
        </is>
      </c>
    </row>
    <row r="34">
      <c r="A34" s="12" t="n">
        <v>3</v>
      </c>
      <c r="B34" s="6" t="inlineStr">
        <is>
          <t>Bloomberg Terminal</t>
        </is>
      </c>
      <c r="C34" s="6" t="inlineStr">
        <is>
          <t>β (beta)</t>
        </is>
      </c>
      <c r="D34" s="9" t="inlineStr">
        <is>
          <t>bloomberg.com</t>
        </is>
      </c>
      <c r="E34" s="6" t="inlineStr">
        <is>
          <t>Adjusted β media/entertainment sector</t>
        </is>
      </c>
    </row>
    <row r="35">
      <c r="A35" s="12" t="n">
        <v>4</v>
      </c>
      <c r="B35" s="6" t="inlineStr">
        <is>
          <t>S&amp;P Capital IQ</t>
        </is>
      </c>
      <c r="C35" s="6" t="inlineStr">
        <is>
          <t>β валидация</t>
        </is>
      </c>
      <c r="D35" s="9" t="inlineStr">
        <is>
          <t>capitaliq.spglobal.com</t>
        </is>
      </c>
      <c r="E35" s="6" t="inlineStr">
        <is>
          <t>Peer-group β calculation</t>
        </is>
      </c>
    </row>
    <row r="36">
      <c r="A36" s="12" t="n">
        <v>5</v>
      </c>
      <c r="B36" s="6" t="inlineStr">
        <is>
          <t>Damodaran NYU Stern</t>
        </is>
      </c>
      <c r="C36" s="6" t="inlineStr">
        <is>
          <t>ERP + CRP</t>
        </is>
      </c>
      <c r="D36" s="9" t="inlineStr">
        <is>
          <t>pages.stern.nyu.edu/~adamodar/</t>
        </is>
      </c>
      <c r="E36" s="6" t="inlineStr">
        <is>
          <t>Implied ERP + Country risk premium для РФ</t>
        </is>
      </c>
    </row>
    <row r="37">
      <c r="A37" s="12" t="n">
        <v>6</v>
      </c>
      <c r="B37" s="6" t="inlineStr">
        <is>
          <t>Kroll / Duff &amp; Phelps</t>
        </is>
      </c>
      <c r="C37" s="6" t="inlineStr">
        <is>
          <t>Size premium</t>
        </is>
      </c>
      <c r="D37" s="9" t="inlineStr">
        <is>
          <t>kroll.com/valuation-handbook</t>
        </is>
      </c>
      <c r="E37" s="6" t="inlineStr">
        <is>
          <t>Size Premium Study 10-decile</t>
        </is>
      </c>
    </row>
    <row r="38">
      <c r="A38" s="12" t="n">
        <v>7</v>
      </c>
      <c r="B38" s="6" t="inlineStr">
        <is>
          <t>ФНС России</t>
        </is>
      </c>
      <c r="C38" s="6" t="inlineStr">
        <is>
          <t>Tax rate</t>
        </is>
      </c>
      <c r="D38" s="9" t="inlineStr">
        <is>
          <t>nalog.gov.ru</t>
        </is>
      </c>
      <c r="E38" s="6" t="inlineStr">
        <is>
          <t>ННП ст. 284 НК РФ = 20%</t>
        </is>
      </c>
    </row>
    <row r="39">
      <c r="A39" s="12" t="n">
        <v>8</v>
      </c>
      <c r="B39" s="6" t="inlineStr">
        <is>
          <t>Мосбиржа</t>
        </is>
      </c>
      <c r="C39" s="6" t="inlineStr">
        <is>
          <t>Equity market data</t>
        </is>
      </c>
      <c r="D39" s="9" t="inlineStr">
        <is>
          <t>moex.com</t>
        </is>
      </c>
      <c r="E39" s="6" t="inlineStr">
        <is>
          <t>Валидация market cap + free float</t>
        </is>
      </c>
    </row>
    <row r="40">
      <c r="A40" s="12" t="n">
        <v>9</v>
      </c>
      <c r="B40" s="6" t="inlineStr">
        <is>
          <t>Vogel H.</t>
        </is>
      </c>
      <c r="C40" s="6" t="inlineStr">
        <is>
          <t>Industry methodology</t>
        </is>
      </c>
      <c r="D40" s="9" t="inlineStr">
        <is>
          <t>Entertainment Industry Economics, 10th ed.</t>
        </is>
      </c>
      <c r="E40" s="6" t="inlineStr">
        <is>
          <t>Методология валуации media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2026-04-14T18:13:19Z</dcterms:created>
  <dcterms:modified xmlns:dcterms="http://purl.org/dc/terms/" xmlns:xsi="http://www.w3.org/2001/XMLSchema-instance" xsi:type="dcterms:W3CDTF">2026-04-14T18:13:19Z</dcterms:modified>
</cp:coreProperties>
</file>