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01_Cover" sheetId="1" state="visible" ns1:id="rId1"/>
    <ns0:sheet name="02_Assumptions" sheetId="2" state="visible" ns1:id="rId2"/>
    <ns0:sheet name="03_Change_Log" sheetId="3" state="visible" ns1:id="rId3"/>
    <ns0:sheet name="04_FOT_Staff_A1" sheetId="4" state="visible" ns1:id="rId4"/>
    <ns0:sheet name="05_FOT_Staff_A2" sheetId="5" state="visible" ns1:id="rId5"/>
    <ns0:sheet name="06_Cost_Structure" sheetId="6" state="visible" ns1:id="rId6"/>
    <ns0:sheet name="07_Revenue_Breakdown" sheetId="7" state="visible" ns1:id="rId7"/>
    <ns0:sheet name="08_Content_Pipeline" sheetId="8" state="visible" ns1:id="rId8"/>
    <ns0:sheet name="09_P&amp;L_Statement" sheetId="9" state="visible" ns1:id="rId9"/>
    <ns0:sheet name="10_Cash_Flow" sheetId="10" state="visible" ns1:id="rId10"/>
    <ns0:sheet name="11_Balance_Sheet" sheetId="11" state="visible" ns1:id="rId11"/>
    <ns0:sheet name="12_Working_Capital" sheetId="12" state="visible" ns1:id="rId12"/>
    <ns0:sheet name="13_Debt_Schedule" sheetId="13" state="visible" ns1:id="rId13"/>
    <ns0:sheet name="14_Investment_Inflow" sheetId="14" state="visible" ns1:id="rId14"/>
    <ns0:sheet name="15_Use_of_Funds" sheetId="15" state="visible" ns1:id="rId15"/>
    <ns0:sheet name="16_CAPEX_Schedule" sheetId="16" state="visible" ns1:id="rId16"/>
    <ns0:sheet name="17_Deal_Structures" sheetId="17" state="visible" ns1:id="rId17"/>
    <ns0:sheet name="18_Cap_Table" sheetId="18" state="visible" ns1:id="rId18"/>
    <ns0:sheet name="19_Waterfall" sheetId="19" state="visible" ns1:id="rId19"/>
    <ns0:sheet name="20_Unit_Economics_per_Film" sheetId="20" state="visible" ns1:id="rId20"/>
    <ns0:sheet name="21_KPI_Dashboard" sheetId="21" state="visible" ns1:id="rId21"/>
    <ns0:sheet name="22_Valuation_DCF" sheetId="22" state="visible" ns1:id="rId22"/>
    <ns0:sheet name="23_Valuation_Multiples" sheetId="23" state="visible" ns1:id="rId23"/>
    <ns0:sheet name="24_Investor_Returns" sheetId="24" state="visible" ns1:id="rId24"/>
    <ns0:sheet name="25_Exit_Scenarios" sheetId="25" state="visible" ns1:id="rId25"/>
    <ns0:sheet name="26_Sensitivity" sheetId="26" state="visible" ns1:id="rId26"/>
    <ns0:sheet name="27_Scenario_Analysis" sheetId="27" state="visible" ns1:id="rId27"/>
    <ns0:sheet name="28_Monte_Carlo_Summary" sheetId="28" state="visible" ns1:id="rId28"/>
    <ns0:sheet name="29_Risk_Register" sheetId="29" state="visible" ns1:id="rId29"/>
    <ns0:sheet name="30_Market_Analysis" sheetId="30" state="visible" ns1:id="rId30"/>
    <ns0:sheet name="31_Benchmarks" sheetId="31" state="visible" ns1:id="rId31"/>
    <ns0:sheet name="32_Comparable_Transactions" sheetId="32" state="visible" ns1:id="rId32"/>
    <ns0:sheet name="33_Gov_KPI" sheetId="33" state="visible" ns1:id="rId33"/>
    <ns0:sheet name="34_Tax_Schedule" sheetId="34" state="visible" ns1:id="rId34"/>
    <ns0:sheet name="35_Roadmap_2026_2032" sheetId="35" state="visible" ns1:id="rId35"/>
    <ns0:sheet name="36_Executive_Summary" sheetId="36" state="visible" ns1:id="rId36"/>
    <ns0:sheet name="37_Glossary" sheetId="37" state="visible" ns1:id="rId37"/>
    <ns0:sheet name="38_Notes_and_Sources" sheetId="38" state="visible" ns1:id="rId38"/>
    <ns0:sheet name="39_TOC" sheetId="39" state="visible" ns1:id="rId39"/>
    <ns0:sheet name="40_Investor_Checklist" sheetId="40" state="visible" ns1:id="rId40"/>
    <ns0:sheet name="41_Print_Setup" sheetId="41" state="visible" ns1:id="rId41"/>
    <ns0:sheet name="42_Cover_Letter" sheetId="42" state="visible" ns1:id="rId42"/>
  </ns0:sheets>
  <ns0:definedNames/>
  <ns0:calcPr calcId="124519" fullCalcOnLoad="1"/>
</ns0: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4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  <fill>
      <patternFill patternType="solid">
        <fgColor rgb="00FFF4CC"/>
        <bgColor rgb="00FFF4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9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  <xf numFmtId="186" fontId="107" fillId="17" borderId="15" applyAlignment="1" pivotButton="0" quotePrefix="0" xfId="0">
      <alignment horizontal="right" vertical="center"/>
    </xf>
    <xf numFmtId="0" fontId="107" fillId="0" borderId="0" applyAlignment="1" pivotButton="0" quotePrefix="0" xfId="0">
      <alignment vertical="top" wrapText="1"/>
    </xf>
    <xf numFmtId="0" fontId="76" fillId="38" borderId="0" pivotButton="0" quotePrefix="0" xfId="0"/>
    <xf numFmtId="0" fontId="61" fillId="38" borderId="15" applyAlignment="1" pivotButton="0" quotePrefix="0" xfId="0">
      <alignment horizontal="left" vertical="center" wrapText="1"/>
    </xf>
    <xf numFmtId="49" fontId="59" fillId="38" borderId="15" applyAlignment="1" pivotButton="0" quotePrefix="0" xfId="0">
      <alignment horizontal="right" vertical="center"/>
    </xf>
    <xf numFmtId="0" fontId="61" fillId="38" borderId="15" applyAlignment="1" pivotButton="0" quotePrefix="0" xfId="0">
      <alignment horizontal="center" vertical="center" wrapText="1"/>
    </xf>
    <xf numFmtId="0" fontId="21" fillId="39" borderId="0" applyAlignment="1" pivotButton="0" quotePrefix="0" xfId="0">
      <alignment vertical="top" wrapText="1"/>
    </xf>
    <xf numFmtId="0" fontId="18" fillId="39" borderId="0" applyAlignment="1" pivotButton="0" quotePrefix="0" xfId="0">
      <alignment vertical="top" wrapText="1"/>
    </xf>
    <xf numFmtId="0" fontId="20" fillId="3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L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/>
    </row>
    <row r="8" ht="36" customHeight="1">
      <c r="B8" s="137" t="inlineStr">
        <is>
          <t>4 545</t>
        </is>
      </c>
      <c r="C8" s="185"/>
      <c r="D8" s="137" t="inlineStr">
        <is>
          <t>2 152</t>
        </is>
      </c>
      <c r="E8" s="185"/>
      <c r="F8" s="138" t="inlineStr">
        <is>
          <t>3 000</t>
        </is>
      </c>
      <c r="G8" s="185"/>
      <c r="H8" s="137" t="inlineStr">
        <is>
          <t>1 689</t>
        </is>
      </c>
      <c r="I8" s="185"/>
      <c r="J8" s="137" t="inlineStr">
        <is>
          <t>1 250</t>
        </is>
      </c>
      <c r="K8" s="185"/>
      <c r="L8" s="136"/>
    </row>
    <row r="9" ht="20" customHeight="1">
      <c r="B9" s="139" t="inlineStr">
        <is>
          <t>Revenue (Выручка)  ·  Σ 2026–2028</t>
        </is>
      </c>
      <c r="C9" s="185"/>
      <c r="D9" s="139" t="inlineStr">
        <is>
          <t xml:space="preserve">EBITDA (прибыль до вычетов) GAAP </t>
        </is>
      </c>
      <c r="E9" s="185"/>
      <c r="F9" s="140" t="inlineStr">
        <is>
          <t>NDP (чистые распределяемые поступления) (Net Distrib. Proc.)</t>
        </is>
      </c>
      <c r="G9" s="185"/>
      <c r="H9" s="139" t="inlineStr">
        <is>
          <t>Net Profit (Чистая прибыль)</t>
        </is>
      </c>
      <c r="I9" s="185"/>
      <c r="J9" s="139" t="inlineStr">
        <is>
          <t>Investment (Инвестиция)  ·  T₁</t>
        </is>
      </c>
      <c r="K9" s="185"/>
      <c r="L9" s="136"/>
    </row>
    <row r="10" ht="18" customHeight="1">
      <c r="B10" s="141" t="inlineStr">
        <is>
          <t>млн ₽</t>
        </is>
      </c>
      <c r="C10" s="185"/>
      <c r="D10" s="141" t="inlineStr">
        <is>
          <t>млн ₽  ·  стандарт</t>
        </is>
      </c>
      <c r="E10" s="185"/>
      <c r="F10" s="142" t="inlineStr">
        <is>
          <t>млн ₽  ·  legacy (базовый вариант)</t>
        </is>
      </c>
      <c r="G10" s="185"/>
      <c r="H10" s="141" t="inlineStr">
        <is>
          <t>млн ₽  ·  после 20% налога</t>
        </is>
      </c>
      <c r="I10" s="185"/>
      <c r="J10" s="141" t="inlineStr">
        <is>
          <t>млн ₽  ·  4 транша</t>
        </is>
      </c>
      <c r="K10" s="185"/>
      <c r="L10" s="136"/>
    </row>
    <row r="11"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</row>
    <row r="12" ht="18" customHeight="1">
      <c r="B12" s="143" t="inlineStr">
        <is>
      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      </is>
      </c>
      <c r="L12" s="136"/>
    </row>
    <row r="13" ht="18" customHeight="1">
      <c r="L13" s="136"/>
    </row>
    <row r="14" ht="30" customHeight="1"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</row>
    <row r="15" ht="22" customHeight="1">
      <c r="B15" s="144" t="inlineStr">
        <is>
          <t>СЦЕНАРИИ  ·  Bear (Пессимистичный)  /  Base (Базовый)  /  Bull (Оптимистичный)</t>
        </is>
      </c>
      <c r="L15" s="136"/>
    </row>
    <row r="16">
      <c r="B16" s="145" t="inlineStr">
        <is>
          <t>Показатель</t>
        </is>
      </c>
      <c r="C16" s="186"/>
      <c r="D16" s="186"/>
      <c r="E16" s="187"/>
      <c r="F16" s="145" t="inlineStr">
        <is>
          <t>Bear (Пессимистичный) (0.70×)</t>
        </is>
      </c>
      <c r="G16" s="187"/>
      <c r="H16" s="146" t="inlineStr">
        <is>
          <t>Base (Базовый) (1.00×)</t>
        </is>
      </c>
      <c r="I16" s="187"/>
      <c r="J16" s="145" t="inlineStr">
        <is>
          <t>Bull (Оптимистичный) (1.25×)</t>
        </is>
      </c>
      <c r="K16" s="187"/>
      <c r="L16" s="136"/>
    </row>
    <row r="17" ht="18" customHeight="1">
      <c r="B17" s="147" t="inlineStr">
        <is>
          <t>Revenue (Выручка) Σ, млн ₽</t>
        </is>
      </c>
      <c r="C17" s="186"/>
      <c r="D17" s="186"/>
      <c r="E17" s="187"/>
      <c r="F17" s="148" t="inlineStr">
        <is>
          <t>3 181</t>
        </is>
      </c>
      <c r="G17" s="187"/>
      <c r="H17" s="146" t="inlineStr">
        <is>
          <t>4 545</t>
        </is>
      </c>
      <c r="I17" s="187"/>
      <c r="J17" s="148" t="inlineStr">
        <is>
          <t>5 681</t>
        </is>
      </c>
      <c r="K17" s="187"/>
      <c r="L17" s="136"/>
    </row>
    <row r="18" ht="18" customHeight="1">
      <c r="B18" s="147" t="inlineStr">
        <is>
          <t>EBITDA (прибыль до вычетов) GAAP, млн ₽</t>
        </is>
      </c>
      <c r="C18" s="186"/>
      <c r="D18" s="186"/>
      <c r="E18" s="187"/>
      <c r="F18" s="148" t="inlineStr">
        <is>
          <t>1 506</t>
        </is>
      </c>
      <c r="G18" s="187"/>
      <c r="H18" s="146" t="inlineStr">
        <is>
          <t>2 152</t>
        </is>
      </c>
      <c r="I18" s="187"/>
      <c r="J18" s="148" t="inlineStr">
        <is>
          <t>2 690</t>
        </is>
      </c>
      <c r="K18" s="187"/>
      <c r="L18" s="136"/>
    </row>
    <row r="19" ht="18" customHeight="1">
      <c r="B19" s="147" t="inlineStr">
        <is>
          <t>NDP (чистые распределяемые поступления) Σ, млн ₽</t>
        </is>
      </c>
      <c r="C19" s="186"/>
      <c r="D19" s="186"/>
      <c r="E19" s="187"/>
      <c r="F19" s="148" t="inlineStr">
        <is>
          <t>2 100</t>
        </is>
      </c>
      <c r="G19" s="187"/>
      <c r="H19" s="146" t="inlineStr">
        <is>
          <t>3 000</t>
        </is>
      </c>
      <c r="I19" s="187"/>
      <c r="J19" s="148" t="inlineStr">
        <is>
          <t>3 750</t>
        </is>
      </c>
      <c r="K19" s="187"/>
      <c r="L19" s="136"/>
    </row>
    <row r="20" ht="18" customHeight="1">
      <c r="B20" s="147" t="inlineStr">
        <is>
          <t>Net Profit (Чистая прибыль), млн ₽</t>
        </is>
      </c>
      <c r="C20" s="186"/>
      <c r="D20" s="186"/>
      <c r="E20" s="187"/>
      <c r="F20" s="148" t="inlineStr">
        <is>
          <t>1 182</t>
        </is>
      </c>
      <c r="G20" s="187"/>
      <c r="H20" s="146" t="inlineStr">
        <is>
          <t>1 689</t>
        </is>
      </c>
      <c r="I20" s="187"/>
      <c r="J20" s="148" t="inlineStr">
        <is>
          <t>2 111</t>
        </is>
      </c>
      <c r="K20" s="187"/>
      <c r="L20" s="136"/>
    </row>
    <row r="21" ht="18" customHeight="1">
      <c r="B21" s="147" t="inlineStr">
        <is>
          <t>IRR (внутренняя норма доходности) (5-year), %</t>
        </is>
      </c>
      <c r="C21" s="186"/>
      <c r="D21" s="186"/>
      <c r="E21" s="187"/>
      <c r="F21" s="148" t="inlineStr">
        <is>
          <t>~14 %</t>
        </is>
      </c>
      <c r="G21" s="187"/>
      <c r="H21" s="146" t="inlineStr">
        <is>
          <t>~22 %</t>
        </is>
      </c>
      <c r="I21" s="187"/>
      <c r="J21" s="148" t="inlineStr">
        <is>
          <t>~31 %</t>
        </is>
      </c>
      <c r="K21" s="187"/>
      <c r="L21" s="136"/>
    </row>
    <row r="22" ht="20" customHeight="1"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</row>
    <row r="23" ht="18" customHeight="1"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</row>
    <row r="24" ht="18" customHeight="1"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</row>
    <row r="25" ht="18" customHeight="1"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v3.0 (на базе v1.4.4, 348 тестов) — реструктуризация: 5 фильмов + 2 сериала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v3.0 — management use only</t>
        </is>
      </c>
    </row>
    <row r="42">
      <c r="B42" s="524" t="inlineStr">
        <is>
          <t>Internal v3.0 — 42 листа. Реструктуризация пайплайна: 7 проектов (5 фильмов + 2 сериала).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(Базовый)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(Базовый) 14% 2026</t>
        </is>
      </c>
    </row>
    <row r="9" ht="18" customHeight="1">
      <c r="B9" s="22" t="n">
        <v>3</v>
      </c>
      <c r="C9" s="23" t="inlineStr">
        <is>
          <t>WACC (средневзвешенная стоимость капитала) для DCF (дисконтированный денежный поток) (Russian media)</t>
        </is>
      </c>
      <c r="D9" s="24" t="n">
        <v>0.2</v>
      </c>
      <c r="E9" s="22" t="inlineStr">
        <is>
          <t>%</t>
        </is>
      </c>
      <c r="F9" s="25" t="inlineStr">
        <is>
          <t>Бенчмарк рос. медиа 18–22%, Base (Базовый)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(номинальный)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(Терминальный рост)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(Базовый) 3%</t>
        </is>
      </c>
    </row>
    <row r="14" ht="18" customHeight="1">
      <c r="B14" s="22" t="n">
        <v>8</v>
      </c>
      <c r="C14" s="23" t="inlineStr">
        <is>
          <t>Курс USD/RUB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 (базовый вариант))</t>
        </is>
      </c>
    </row>
    <row r="17" ht="18" customHeight="1">
      <c r="B17" s="22" t="n">
        <v>9</v>
      </c>
      <c r="C17" s="23" t="inlineStr">
        <is>
          <t>Cumulative EBITDA (прибыль до вычетов) 2026–2028 Base (Базовый)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(Итого) investment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 (базовый вариант))</t>
        </is>
      </c>
    </row>
    <row r="19" ht="18" customHeight="1">
      <c r="B19" s="22" t="n">
        <v>11</v>
      </c>
      <c r="C19" s="23" t="inlineStr">
        <is>
          <t>Total (Итого) content budget (бюджет) (5 фильмов + 2 сериала)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(доля в капитале) 600</t>
        </is>
      </c>
    </row>
    <row r="20" ht="18" customHeight="1">
      <c r="B20" s="22" t="n">
        <v>12</v>
      </c>
      <c r="C20" s="23" t="inlineStr">
        <is>
          <t>Target revenue 2026–2028 Base (Базовый)</t>
        </is>
      </c>
      <c r="D20" s="26" t="n">
        <v>4545</v>
      </c>
      <c r="E20" s="22" t="inlineStr">
        <is>
          <t>млн ₽</t>
        </is>
      </c>
      <c r="F20" s="25" t="inlineStr">
        <is>
          <t>7 проектов × 649.29 млн средняя</t>
        </is>
      </c>
    </row>
    <row r="21" ht="18" customHeight="1">
      <c r="B21" s="22" t="n">
        <v>13</v>
      </c>
      <c r="C21" s="23" t="inlineStr">
        <is>
          <t>Target Net Profit (Чистая прибыль)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проектов в портфеле</t>
        </is>
      </c>
      <c r="D22" s="27">
        <v>7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проекта</t>
        </is>
      </c>
      <c r="D23" s="26">
        <v>264.3</v>
      </c>
      <c r="E23" s="22" t="inlineStr">
        <is>
          <t>млн ₽</t>
        </is>
      </c>
      <c r="F23" s="25" t="inlineStr">
        <is>
          <t>1850 / 7</t>
        </is>
      </c>
    </row>
    <row r="25" ht="20" customHeight="1">
      <c r="B25" s="14" t="inlineStr">
        <is>
          <t>C. РАСПИСАНИЕ ТРАНШЕЙ (T₁ Legacy (Базовый вариант))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 (доля в капитале), диапазон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диапазон 10–30%</t>
        </is>
      </c>
    </row>
    <row r="34" ht="18" customHeight="1">
      <c r="B34" s="22" t="n">
        <v>22</v>
      </c>
      <c r="C34" s="23" t="inlineStr">
        <is>
          <t>Pre-money valuation (базовый)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(базовый)</t>
        </is>
      </c>
      <c r="D35" s="26" t="n">
        <v>2500</v>
      </c>
      <c r="E35" s="22" t="inlineStr">
        <is>
          <t>млн ₽</t>
        </is>
      </c>
      <c r="F35" s="25" t="inlineStr">
        <is>
          <t>pre-money (доинвестиц.) + 500</t>
        </is>
      </c>
    </row>
    <row r="36" ht="18" customHeight="1">
      <c r="B36" s="22" t="n">
        <v>24</v>
      </c>
      <c r="C36" s="23" t="inlineStr">
        <is>
          <t>Coupon (Купон)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(Каскад) — 4 варианта)</t>
        </is>
      </c>
    </row>
    <row r="39" ht="18" customHeight="1">
      <c r="B39" s="22" t="n">
        <v>25</v>
      </c>
      <c r="C39" s="23" t="inlineStr">
        <is>
          <t>W₁ Инвестор фаза I</t>
        </is>
      </c>
      <c r="D39" s="24" t="n">
        <v>0.6</v>
      </c>
      <c r="E39" s="22" t="inlineStr">
        <is>
          <t>%</t>
        </is>
      </c>
      <c r="F39" s="25" t="inlineStr">
        <is>
          <t>Legacy (Базовый вариант)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(Базовый вариант) 60/40</t>
        </is>
      </c>
    </row>
    <row r="41" ht="18" customHeight="1">
      <c r="B41" s="22" t="n">
        <v>27</v>
      </c>
      <c r="C41" s="23" t="inlineStr">
        <is>
          <t>W₁ Инвестор фаза II</t>
        </is>
      </c>
      <c r="D41" s="24" t="n">
        <v>0.5</v>
      </c>
      <c r="E41" s="22" t="inlineStr">
        <is>
          <t>%</t>
        </is>
      </c>
      <c r="F41" s="25" t="inlineStr">
        <is>
          <t>Legacy (Базовый вариант)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(Базовый вариант)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(доля в капитале) T₂ (инвестор)</t>
        </is>
      </c>
    </row>
    <row r="44" ht="18" customHeight="1">
      <c r="B44" s="22" t="n">
        <v>30</v>
      </c>
      <c r="C44" s="23" t="inlineStr">
        <is>
          <t>W₃ 1× liquidation preference (ликвидационная привилегия)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Доля участия</t>
        </is>
      </c>
      <c r="D45" s="28" t="n">
        <v>1</v>
      </c>
      <c r="E45" s="22" t="inlineStr">
        <is>
          <t>×</t>
        </is>
      </c>
      <c r="F45" s="25" t="inlineStr">
        <is>
          <t>Full participation (Полное участие) after preference</t>
        </is>
      </c>
    </row>
    <row r="46">
      <c r="B46" s="206" t="inlineStr">
        <is>
          <t>31a</t>
        </is>
      </c>
      <c r="C46" s="206" t="inlineStr">
        <is>
          <t>W₄ 1× liquidation preference (ликвидационная привилегия)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(Привилегированная доходность) rate</t>
        </is>
      </c>
      <c r="D47" s="526" t="n">
        <v>0.12</v>
      </c>
      <c r="E47" s="206" t="inlineStr">
        <is>
          <t>%</t>
        </is>
      </c>
      <c r="F47" s="159" t="inlineStr">
        <is>
          <t>12% annual (годовой)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(Привилегированная доходность) duration (Срок привилегированной доходности)</t>
        </is>
      </c>
      <c r="D48" s="527" t="n">
        <v>5</v>
      </c>
      <c r="E48" s="206" t="inlineStr">
        <is>
          <t>years (лет)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(разделение)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(разделение)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(Мультипликатор выхода) (EV/EBITDA)</t>
        </is>
      </c>
      <c r="D51" s="525" t="n">
        <v>6</v>
      </c>
      <c r="E51" s="206" t="inlineStr">
        <is>
          <t>×</t>
        </is>
      </c>
      <c r="F51" s="159" t="inlineStr">
        <is>
          <t>Premium (Премия) к базовым 5×</t>
        </is>
      </c>
    </row>
    <row r="52" ht="18" customHeight="1">
      <c r="B52" s="206" t="inlineStr">
        <is>
          <t>31g</t>
        </is>
      </c>
      <c r="C52" s="206" t="inlineStr">
        <is>
          <t>W₄ LP (ограниченный партнёр) equity (доля в капитале)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(ограниченный партнёр) (Только внутреннее)</t>
        </is>
      </c>
    </row>
    <row r="53" ht="18" customHeight="1">
      <c r="B53" s="206" t="inlineStr">
        <is>
          <t>31h</t>
        </is>
      </c>
      <c r="C53" s="206" t="inlineStr">
        <is>
          <t>Target IRR (внутренняя норма доходности) W₄ Base (Базовый)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(Кассовые сборы)</t>
        </is>
      </c>
      <c r="D56" s="24">
        <v>0.38</v>
      </c>
      <c r="E56" s="22" t="inlineStr">
        <is>
          <t>%</t>
        </is>
      </c>
      <c r="F56" s="25" t="inlineStr">
        <is>
          <t>Средневзвешенная доля, снижена из-за сериалов</t>
        </is>
      </c>
    </row>
    <row r="57" ht="20" customHeight="1">
      <c r="B57" s="22" t="n">
        <v>33</v>
      </c>
      <c r="C57" s="40" t="inlineStr">
        <is>
          <t>Online SVOD (подписной стриминг)</t>
        </is>
      </c>
      <c r="D57" s="40">
        <v>0.28</v>
      </c>
      <c r="E57" s="40" t="inlineStr">
        <is>
          <t>%</t>
        </is>
      </c>
      <c r="F57" s="41" t="inlineStr">
        <is>
          <t>Повышена доля: 2 сериала увеличивают SVOD</t>
        </is>
      </c>
    </row>
    <row r="58" ht="18" customHeight="1">
      <c r="B58" s="22" t="n">
        <v>34</v>
      </c>
      <c r="C58" s="23" t="inlineStr">
        <is>
          <t>TV (телевидение) rights</t>
        </is>
      </c>
      <c r="D58" s="24">
        <v>0.12</v>
      </c>
      <c r="E58" s="22" t="inlineStr">
        <is>
          <t>%</t>
        </is>
      </c>
      <c r="F58" s="25" t="inlineStr">
        <is>
          <t>Повышена доля: сериалы на Первый, Россия-1, ТНТ</t>
        </is>
      </c>
    </row>
    <row r="59" ht="18" customHeight="1">
      <c r="B59" s="22" t="n">
        <v>35</v>
      </c>
      <c r="C59" s="23" t="inlineStr">
        <is>
          <t>Международные продажи (Международные продажи)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(транзакционный)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Спонсорство / продакт-плейсмент (Спонсорство / продакт-плейсмент)</t>
        </is>
      </c>
      <c r="D61" s="24">
        <v>0.04</v>
      </c>
      <c r="E61" s="22" t="inlineStr">
        <is>
          <t>%</t>
        </is>
      </c>
      <c r="F61" s="25" t="inlineStr">
        <is>
          <t>15–120 млн</t>
        </is>
      </c>
    </row>
    <row r="62" ht="18" customHeight="1">
      <c r="B62" s="22" t="n">
        <v>38</v>
      </c>
      <c r="C62" s="23" t="inlineStr">
        <is>
          <t>Мерчандайзинг (Мерчандайзинг)</t>
        </is>
      </c>
      <c r="D62" s="24">
        <v>0.01</v>
      </c>
      <c r="E62" s="22" t="inlineStr">
        <is>
          <t>%</t>
        </is>
      </c>
      <c r="F62" s="25" t="inlineStr">
        <is>
          <t>5–50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 (Базовый))</t>
        </is>
      </c>
    </row>
    <row r="66" ht="20" customHeight="1">
      <c r="B66" s="22" t="n">
        <v>40</v>
      </c>
      <c r="C66" s="40"/>
      <c r="D66" s="40"/>
      <c r="E66" s="40"/>
      <c r="F66" s="41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(Чувствительность)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(Чувствительность)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Грант или заём</t>
        </is>
      </c>
    </row>
    <row r="74" ht="20" customHeight="1">
      <c r="B74" s="14" t="inlineStr">
        <is>
          <t>H. FOT (фонд оплаты труда) / ШТАТ (Модель A₁ Fixed (Фиксированный),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(фонд оплаты труда) / ШТАТ (Модель A₂ Full Dynamic (Динамический))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 (ключевые показатели)-bonus</t>
        </is>
      </c>
    </row>
    <row r="88" ht="20" customHeight="1"/>
    <row r="89" ht="18" customHeight="1">
      <c r="B89" s="14" t="inlineStr">
        <is>
          <t>J. OPEX (Операционные расходы)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 (Операционные расходы)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(Операционные расходы)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(Операционные расходы)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(себестоимость) / ПРОИЗВОДСТВО</t>
        </is>
      </c>
    </row>
    <row r="97" ht="18" customHeight="1">
      <c r="B97" s="22" t="n">
        <v>63</v>
      </c>
      <c r="C97" s="23" t="inlineStr">
        <is>
          <t>Total (Итого) content budget (бюджет)</t>
        </is>
      </c>
      <c r="D97" s="26" t="n">
        <v>1850</v>
      </c>
      <c r="E97" s="22" t="inlineStr">
        <is>
          <t>млн ₽</t>
        </is>
      </c>
      <c r="F97" s="25" t="inlineStr">
        <is>
          <t>Бюджет 5 фильмов + 2 сериалов</t>
        </is>
      </c>
    </row>
    <row r="98" ht="18" customHeight="1">
      <c r="B98" s="22" t="n">
        <v>64</v>
      </c>
      <c r="C98" s="23" t="inlineStr">
        <is>
          <t>Средний бюджет 1 проекта</t>
        </is>
      </c>
      <c r="D98" s="26">
        <v>264.3</v>
      </c>
      <c r="E98" s="22" t="inlineStr">
        <is>
          <t>млн ₽</t>
        </is>
      </c>
      <c r="F98" s="25" t="inlineStr">
        <is>
          <t>1850 / 7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Предпродакшн 6 + продакшн 6 + постпродакшн 6</t>
        </is>
      </c>
    </row>
    <row r="100" ht="18" customHeight="1">
      <c r="B100" s="22" t="n">
        <v>66</v>
      </c>
      <c r="C100" s="23" t="inlineStr">
        <is>
          <t>Amortization (Амортизация)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(тиражирование и реклама)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 (Тиражирование и реклама)</t>
        </is>
      </c>
    </row>
    <row r="102" ht="20" customHeight="1"/>
    <row r="103" ht="18" customHeight="1">
      <c r="B103" s="14" t="inlineStr">
        <is>
          <t>L. ОБОРОТНЫЙ КАПИТАЛ</t>
        </is>
      </c>
    </row>
    <row r="104" ht="18" customHeight="1">
      <c r="B104" s="22" t="n">
        <v>68</v>
      </c>
      <c r="C104" s="23" t="inlineStr">
        <is>
          <t>DSO (дни дебиторки)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(дни кредиторки)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(дни запасов)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(Денежные средства) Conversion Cycle</t>
        </is>
      </c>
      <c r="D107" s="27" t="n">
        <v>75</v>
      </c>
      <c r="E107" s="22" t="inlineStr">
        <is>
          <t>дн</t>
        </is>
      </c>
      <c r="F107" s="25" t="inlineStr">
        <is>
          <t>DSO (дни дебиторки)+DIO (дни запасов)−DPO (дни кредиторки)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ВЫХОД / ОЦЕНКА (ОЦЕНКА)</t>
        </is>
      </c>
    </row>
    <row r="111">
      <c r="B111" s="22" t="n">
        <v>73</v>
      </c>
      <c r="C111" s="23" t="inlineStr">
        <is>
          <t>EV/EBITDA Bear (Пессимистичный)</t>
        </is>
      </c>
      <c r="D111" s="28" t="n">
        <v>3</v>
      </c>
      <c r="E111" s="22" t="inlineStr">
        <is>
          <t>×</t>
        </is>
      </c>
      <c r="F111" s="25" t="inlineStr">
        <is>
          <t>Нижняя граница рос. медиа</t>
        </is>
      </c>
    </row>
    <row r="112" ht="22" customHeight="1">
      <c r="B112" s="22" t="n">
        <v>74</v>
      </c>
      <c r="C112" s="40"/>
      <c r="D112" s="40"/>
      <c r="E112" s="40"/>
      <c r="F112" s="41"/>
    </row>
    <row r="113">
      <c r="B113" s="22" t="n">
        <v>75</v>
      </c>
      <c r="C113" s="23" t="inlineStr">
        <is>
          <t>EV/EBITDA Bull (Оптимистичный)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 (премия)</t>
        </is>
      </c>
    </row>
    <row r="114" ht="22" customHeight="1">
      <c r="B114" s="22" t="n">
        <v>76</v>
      </c>
      <c r="C114" s="40"/>
      <c r="D114" s="40"/>
      <c r="E114" s="41"/>
      <c r="F114" s="25" t="inlineStr">
        <is>
          <t>Q4 2028</t>
        </is>
      </c>
    </row>
    <row r="115" ht="36" customHeight="1">
      <c r="B115" s="22" t="n">
        <v>77</v>
      </c>
      <c r="C115" s="40"/>
      <c r="D115" s="40"/>
      <c r="E115" s="41"/>
      <c r="F115" s="25" t="inlineStr">
        <is>
          <t>Q4 2030</t>
        </is>
      </c>
    </row>
    <row r="116">
      <c r="B116" s="22" t="n">
        <v>78</v>
      </c>
      <c r="C116" s="23" t="inlineStr">
        <is>
          <t>Горизонт выхода (Горизонт выхода)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(внутренняя норма доходности)</t>
        </is>
      </c>
      <c r="D117" s="24" t="n">
        <v>0.3</v>
      </c>
      <c r="E117" s="22" t="inlineStr">
        <is>
          <t>%</t>
        </is>
      </c>
      <c r="F117" s="25" t="inlineStr">
        <is>
          <t>30% minimum hurdle (порог) rate</t>
        </is>
      </c>
    </row>
    <row r="118" ht="20" customHeight="1">
      <c r="B118" s="22" t="n">
        <v>80</v>
      </c>
      <c r="C118" s="23" t="inlineStr">
        <is>
          <t>Target MOIC (мультипликатор вложенного капитала)</t>
        </is>
      </c>
      <c r="D118" s="28" t="n">
        <v>2.5</v>
      </c>
      <c r="E118" s="22" t="inlineStr">
        <is>
          <t>×</t>
        </is>
      </c>
      <c r="F118" s="25" t="inlineStr">
        <is>
          <t>Multiple (Мультипликатор) of Invested Capital (Капитал)</t>
        </is>
      </c>
    </row>
    <row r="119" ht="20" customHeight="1"/>
    <row r="120" ht="20" customHeight="1">
      <c r="B120" s="564" t="inlineStr">
        <is>
          <t>ВСЕГО ДОПУЩЕНИЙ: 124  ·  Блоков: 16  ·  Якорь NDP (чистые распределяемые поступления) 2029–2032 = 3 000 млн ₽  ·  Waterfall (Каскад): 5 вариантов (default (по умолчанию) W₅ L8+L4 V-D)</t>
        </is>
      </c>
    </row>
    <row r="121" ht="20" customHeight="1"/>
    <row r="122" ht="20" customHeight="1">
      <c r="B122" s="149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188"/>
      <c r="D122" s="188"/>
      <c r="E122" s="185"/>
    </row>
    <row r="123" ht="20" customHeight="1">
      <c r="B123" s="150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5">
      <c r="B125" s="145" t="inlineStr">
        <is>
          <t>#</t>
        </is>
      </c>
      <c r="C125" s="186"/>
      <c r="D125" s="186"/>
      <c r="E125" s="187"/>
    </row>
    <row r="126" ht="18" customHeight="1">
      <c r="B126" s="148" t="inlineStr">
        <is>
          <t>1</t>
        </is>
      </c>
      <c r="C126" s="147" t="inlineStr">
        <is>
          <t>EBITDA (прибыль до вычетов) GAAP, standard Σ 2026–2028</t>
        </is>
      </c>
      <c r="D126" s="151" t="n">
        <v>2152</v>
      </c>
      <c r="E126" s="152" t="inlineStr">
        <is>
          <t>Revenue (Выручка) 4545 − COGS (себестоимость)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 (вклад продюсера в капитал)</t>
        </is>
      </c>
      <c r="D127" s="151" t="n">
        <v>600</v>
      </c>
      <c r="E127" s="152" t="inlineStr">
        <is>
          <t>Участие продюсера (off-P&amp;L minority interest / JV (совместное предприятие) capital (капитал))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(капитал)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(чистые распределяемые поступления) Σ (legacy v1.4.4 anchor (якорь))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(доля продюсера) (waterfall (каскад) W₅ V-D default (по умолчанию)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(Инвестор) net distributable proceeds (LP (ограниченный партнёр) total)</t>
        </is>
      </c>
      <c r="D131" s="567" t="n">
        <v>2657</v>
      </c>
      <c r="E131" s="183" t="inlineStr">
        <is>
          <t>Под W₅ V-D: 1250 (Liq Pref (Ликвидационная привилегия))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 (совместное предприятие)-интерпретации:</t>
        </is>
      </c>
    </row>
    <row r="134">
      <c r="B134" s="148" t="inlineStr">
        <is>
          <t>N.01</t>
        </is>
      </c>
      <c r="C134" s="147" t="inlineStr">
        <is>
          <t>Investor (Инвестор) funded production cost</t>
        </is>
      </c>
      <c r="D134" s="158" t="n">
        <v>1250</v>
      </c>
      <c r="E134" s="159" t="inlineStr">
        <is>
          <t>млн ₽  ·  T₁ Legacy (Базовый вариант),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(вклад продюсера в капитал) (off-P&amp;L)</t>
        </is>
      </c>
      <c r="D135" s="158" t="n">
        <v>600</v>
      </c>
      <c r="E135" s="159" t="inlineStr">
        <is>
          <t>млн ₽  ·  Вклад продюсера в JV (совместное предприятие)</t>
        </is>
      </c>
    </row>
    <row r="136">
      <c r="B136" s="148" t="inlineStr">
        <is>
          <t>N.03</t>
        </is>
      </c>
      <c r="C136" s="147" t="inlineStr">
        <is>
          <t>Total production budget (итого производственный бюджет) (consolidated COGS (себестоимость))</t>
        </is>
      </c>
      <c r="D136" s="158" t="n">
        <v>1850</v>
      </c>
      <c r="E136" s="159" t="inlineStr">
        <is>
          <t>млн ₽  ·  7 проектов, средний бюджет 264 млн</t>
        </is>
      </c>
    </row>
    <row r="137">
      <c r="B137" s="148" t="inlineStr">
        <is>
          <t>N.04</t>
        </is>
      </c>
      <c r="C137" s="147" t="inlineStr">
        <is>
          <t>P&amp;A (тиражирование и реклама) (Prints &amp; Advertising (Тиражирование и реклама))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(разделение каскада) (default (по умолчанию)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(порог) 2402</t>
        </is>
      </c>
    </row>
    <row r="139">
      <c r="B139" s="148" t="inlineStr">
        <is>
          <t>N.06</t>
        </is>
      </c>
      <c r="C139" s="147" t="inlineStr">
        <is>
          <t>NDP (чистые распределяемые поступления) anchor (якорь) (legacy (базовый вариант)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(прибыль до вычетов) GAAP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(Чистая прибыль)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(КАСКАД) W₅ V-D — РАСШИРЕНИЕ (Catch-up 70/30 + Carry 60/40, default (по умолчанию) v1.0.1)</t>
        </is>
      </c>
    </row>
    <row r="144" ht="36" customHeight="1">
      <c r="B144" s="570" t="inlineStr">
        <is>
          <t>Замечание: новый default (по умолчанию). W₃ остаётся в листе как baseline для сравнения, но все downstream-расчёты в P&amp;L, Cash (Денежные средства) Flow, Waterfall (Каскад) и Investor Returns (Доходность инвестора) переведены на W₅ V-D под A+C pattern (паттерн).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 (ликвидационная привилегия)</t>
        </is>
      </c>
      <c r="D146" s="573" t="n">
        <v>1</v>
      </c>
      <c r="E146" s="572" t="inlineStr">
        <is>
          <t>×</t>
        </is>
      </c>
      <c r="F146" s="574" t="inlineStr">
        <is>
          <t>Tranche (Транш)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(Привилегированная доходность) rate</t>
        </is>
      </c>
      <c r="D147" s="573" t="n">
        <v>0.12</v>
      </c>
      <c r="E147" s="572" t="inlineStr">
        <is>
          <t>%</t>
        </is>
      </c>
      <c r="F147" s="574" t="inlineStr">
        <is>
          <t>Tranche (Транш) 2: 12% annual (годовой) × 5y cumulative = 750</t>
        </is>
      </c>
    </row>
    <row r="148">
      <c r="B148" s="572" t="inlineStr">
        <is>
          <t>31k</t>
        </is>
      </c>
      <c r="C148" s="572" t="inlineStr">
        <is>
          <t>W₅ Preferred return (Привилегированная доходность) duration (Срок привилегированной доходности)</t>
        </is>
      </c>
      <c r="D148" s="573" t="n">
        <v>5</v>
      </c>
      <c r="E148" s="572" t="inlineStr">
        <is>
          <t>years (лет)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(разделение) LP (ограниченный партнёр)</t>
        </is>
      </c>
      <c r="D149" s="573" t="n">
        <v>0.7</v>
      </c>
      <c r="E149" s="572" t="inlineStr">
        <is>
          <t>%</t>
        </is>
      </c>
      <c r="F149" s="574" t="inlineStr">
        <is>
          <t>Tranche (Транш) 3: 70% LP (ограниченный партнёр) / 30% Producer (Продюсер) до hurdle (порог) 2402</t>
        </is>
      </c>
    </row>
    <row r="150">
      <c r="B150" s="572" t="inlineStr">
        <is>
          <t>31m</t>
        </is>
      </c>
      <c r="C150" s="572" t="inlineStr">
        <is>
          <t>W₅ Catch-up split (разделение) Producer (Продюсер)</t>
        </is>
      </c>
      <c r="D150" s="573" t="n">
        <v>0.3</v>
      </c>
      <c r="E150" s="572" t="inlineStr">
        <is>
          <t>%</t>
        </is>
      </c>
      <c r="F150" s="574" t="inlineStr">
        <is>
          <t>30% Producer (Продюсер) в catch-up tranche (транш)</t>
        </is>
      </c>
    </row>
    <row r="151">
      <c r="B151" s="572" t="inlineStr">
        <is>
          <t>31n</t>
        </is>
      </c>
      <c r="C151" s="572" t="inlineStr">
        <is>
          <t>W₅ Carry split (разделение) LP (ограниченный партнёр) (residual (остаток))</t>
        </is>
      </c>
      <c r="D151" s="573" t="n">
        <v>0.6</v>
      </c>
      <c r="E151" s="572" t="inlineStr">
        <is>
          <t>%</t>
        </is>
      </c>
      <c r="F151" s="574" t="inlineStr">
        <is>
          <t>Tranche (Транш) 4: 60% LP (ограниченный партнёр) в carry residual (остаток) после hurdle (порог)</t>
        </is>
      </c>
    </row>
    <row r="152">
      <c r="B152" s="572" t="inlineStr">
        <is>
          <t>31o</t>
        </is>
      </c>
      <c r="C152" s="572" t="inlineStr">
        <is>
          <t>W₅ Carry split (разделение) Producer (Продюсер) (residual (остаток))</t>
        </is>
      </c>
      <c r="D152" s="573" t="n">
        <v>0.4</v>
      </c>
      <c r="E152" s="572" t="inlineStr">
        <is>
          <t>%</t>
        </is>
      </c>
      <c r="F152" s="574" t="inlineStr">
        <is>
          <t>40% Producer (Продюсер) в carry residual (остаток)</t>
        </is>
      </c>
    </row>
    <row r="153">
      <c r="B153" s="572" t="inlineStr">
        <is>
          <t>31p</t>
        </is>
      </c>
      <c r="C153" s="572" t="inlineStr">
        <is>
          <t>W₅ Hurdle (Порог) target IRR (внутренняя норма доходности)</t>
        </is>
      </c>
      <c r="D153" s="573" t="n">
        <v>0.18</v>
      </c>
      <c r="E153" s="572" t="inlineStr">
        <is>
          <t>%</t>
        </is>
      </c>
      <c r="F153" s="574" t="inlineStr">
        <is>
          <t>18% target LP (ограниченный партнёр) IRR (внутренняя норма доходности) под A+C pattern (паттерн)</t>
        </is>
      </c>
    </row>
    <row r="154">
      <c r="B154" s="572" t="inlineStr">
        <is>
          <t>31q</t>
        </is>
      </c>
      <c r="C154" s="572" t="inlineStr">
        <is>
          <t>W₅ Hurdle (Порог) target (LP (ограниченный партнёр)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 (паттерн)×discount) @ r=18%, A+C</t>
        </is>
      </c>
    </row>
    <row r="155">
      <c r="B155" s="572" t="inlineStr">
        <is>
          <t>31r</t>
        </is>
      </c>
      <c r="C155" s="572" t="inlineStr">
        <is>
          <t>Target IRR (внутренняя норма доходности) W₅ Base (Базовый) (LP (ограниченный партнёр))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(чистые распределяемые поступления) 3000 (MC verified)</t>
        </is>
      </c>
    </row>
    <row r="158">
      <c r="B158" s="569" t="inlineStr">
        <is>
          <t>O.  NDP (чистые распределяемые поступления) DISTRIBUTION PATTERN — fast A+C (default (по умолчанию) под W₅)</t>
        </is>
      </c>
    </row>
    <row r="159" ht="48" customHeight="1">
      <c r="B159" s="570" t="inlineStr">
        <is>
          <t>Методологическое примечание: pattern (паттерн)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 (чистые распределяемые поступления)=3000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(чистые распределяемые поступления)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7 проектов (5 фильмов + 2 сериала), стандартный release→distribution (распределение) lag</t>
        </is>
      </c>
    </row>
    <row r="163">
      <c r="B163" s="572" t="inlineStr">
        <is>
          <t>O.02</t>
        </is>
      </c>
      <c r="C163" s="572" t="inlineStr">
        <is>
          <t>SVoD presell advance (аванс предпродажи, 2 проекта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</t>
        </is>
      </c>
    </row>
    <row r="164">
      <c r="B164" s="572" t="inlineStr">
        <is>
          <t>O.03</t>
        </is>
      </c>
      <c r="C164" s="572" t="inlineStr">
        <is>
          <t>International package (международный пакет, 7 проектов)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(паттерн) 2029</t>
        </is>
      </c>
      <c r="D165" s="573" t="n">
        <v>0.2</v>
      </c>
      <c r="E165" s="572" t="inlineStr">
        <is>
          <t>%</t>
        </is>
      </c>
      <c r="F165" s="574" t="inlineStr">
        <is>
          <t>Legacy (Базовый вариант)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(паттерн) 2030</t>
        </is>
      </c>
      <c r="D166" s="573" t="n">
        <v>0.5</v>
      </c>
      <c r="E166" s="572" t="inlineStr">
        <is>
          <t>%</t>
        </is>
      </c>
      <c r="F166" s="574"/>
    </row>
    <row r="167">
      <c r="B167" s="572" t="inlineStr">
        <is>
          <t>O.06</t>
        </is>
      </c>
      <c r="C167" s="572" t="inlineStr">
        <is>
          <t>Domestic pattern (паттерн) 2031</t>
        </is>
      </c>
      <c r="D167" s="573" t="n">
        <v>0.15</v>
      </c>
      <c r="E167" s="572" t="inlineStr">
        <is>
          <t>%</t>
        </is>
      </c>
      <c r="F167" s="574"/>
    </row>
    <row r="168">
      <c r="B168" s="572" t="inlineStr">
        <is>
          <t>O.07</t>
        </is>
      </c>
      <c r="C168" s="572" t="inlineStr">
        <is>
          <t>Domestic pattern (паттерн) 2032</t>
        </is>
      </c>
      <c r="D168" s="573" t="n">
        <v>0.15</v>
      </c>
      <c r="E168" s="572" t="inlineStr">
        <is>
          <t>%</t>
        </is>
      </c>
      <c r="F168" s="574"/>
    </row>
    <row r="169">
      <c r="B169" s="572" t="inlineStr">
        <is>
          <t>O.08</t>
        </is>
      </c>
      <c r="C169" s="572" t="inlineStr">
        <is>
          <t>SVoD advance year (год аванса)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 (доля)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 (доля)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(чистые распределяемые поступления) 2029</t>
        </is>
      </c>
      <c r="D172" s="575" t="n">
        <v>990</v>
      </c>
      <c r="E172" s="572" t="inlineStr">
        <is>
          <t>млн ₽</t>
        </is>
      </c>
      <c r="F172" s="574" t="inlineStr">
        <is>
          <t>= 2700×0.20 + 270 + 180</t>
        </is>
      </c>
    </row>
    <row r="173">
      <c r="B173" s="572" t="inlineStr">
        <is>
          <t>O.12</t>
        </is>
      </c>
      <c r="C173" s="572" t="inlineStr">
        <is>
          <t>Consolidated NDP (чистые распределяемые поступления) 2030</t>
        </is>
      </c>
      <c r="D173" s="575" t="n">
        <v>1350</v>
      </c>
      <c r="E173" s="572" t="inlineStr">
        <is>
          <t>млн ₽</t>
        </is>
      </c>
      <c r="F173" s="574" t="inlineStr">
        <is>
          <t>= 2700×0.50</t>
        </is>
      </c>
    </row>
    <row r="174">
      <c r="B174" s="572" t="inlineStr">
        <is>
          <t>O.13</t>
        </is>
      </c>
      <c r="C174" s="572" t="inlineStr">
        <is>
          <t>Consolidated NDP (чистые распределяемые поступления) 2031</t>
        </is>
      </c>
      <c r="D174" s="575" t="n">
        <v>270</v>
      </c>
      <c r="E174" s="572" t="inlineStr">
        <is>
          <t>млн ₽</t>
        </is>
      </c>
      <c r="F174" s="574" t="inlineStr">
        <is>
          <t>= 2700×0.15 − 135</t>
        </is>
      </c>
    </row>
    <row r="175">
      <c r="B175" s="572" t="inlineStr">
        <is>
          <t>O.14</t>
        </is>
      </c>
      <c r="C175" s="572" t="inlineStr">
        <is>
          <t>Consolidated NDP (чистые распределяемые поступления) 2032</t>
        </is>
      </c>
      <c r="D175" s="575" t="n">
        <v>390</v>
      </c>
      <c r="E175" s="572" t="inlineStr">
        <is>
          <t>млн ₽</t>
        </is>
      </c>
      <c r="F175" s="574" t="inlineStr">
        <is>
          <t>= 2700×0.15 − 135 + 120</t>
        </is>
      </c>
    </row>
    <row r="176">
      <c r="B176" s="572" t="inlineStr">
        <is>
          <t>O.15</t>
        </is>
      </c>
      <c r="C176" s="572" t="inlineStr">
        <is>
          <t>Σ Consolidated NDP (чистые распределяемые поступления)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>0</v>
      </c>
    </row>
    <row r="177">
      <c r="B177" s="572" t="inlineStr">
        <is>
          <t>O.16</t>
        </is>
      </c>
      <c r="C177" s="572" t="inlineStr">
        <is>
          <t>A+C pattern (паттерн) share (доля)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(паттерн) share (доля)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(паттерн) share (доля)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(паттерн) share (доля)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(Порог) target LP (ограниченный партнёр)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 (паттерн)×discount_3..6) — таргет catch-up</t>
        </is>
      </c>
    </row>
    <row r="182">
      <c r="B182" s="572" t="inlineStr">
        <is>
          <t>O.21</t>
        </is>
      </c>
      <c r="C182" s="572" t="inlineStr">
        <is>
          <t>Base (Базовый) case LP (ограниченный партнёр) total (W₅ V-D @ NDP (чистые распределяемые поступления)=3000)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(догоняющий) + 256 (премия) — MC верифицировано</t>
        </is>
      </c>
    </row>
    <row r="183">
      <c r="B183" s="572" t="inlineStr">
        <is>
          <t>O.22</t>
        </is>
      </c>
      <c r="C183" s="572" t="inlineStr">
        <is>
          <t>Base (Базовый) case Producer (Продюсер)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(догоняющий 30%) + 170 (премия 40%)</t>
        </is>
      </c>
    </row>
    <row r="184">
      <c r="B184" s="572" t="inlineStr">
        <is>
          <t>O.23</t>
        </is>
      </c>
      <c r="C184" s="572" t="inlineStr">
        <is>
          <t>Base (Базовый) case LP (ограниченный партнёр) MOIC (мультипликатор вложенного капитала)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(Базовый) case LP (ограниченный партнёр) IRR (внутренняя норма доходности) (fast pattern (паттерн))</t>
        </is>
      </c>
      <c r="D185" s="575" t="n">
        <v>0.209</v>
      </c>
      <c r="E185" s="572" t="inlineStr">
        <is>
          <t>%</t>
        </is>
      </c>
      <c r="F185" s="574" t="inlineStr">
        <is>
          <t>20,9% — верифицировано MC seed=42, N=1000</t>
        </is>
      </c>
    </row>
    <row r="186">
      <c r="B186" s="572" t="inlineStr">
        <is>
          <t>O.25</t>
        </is>
      </c>
      <c r="C186" s="572" t="inlineStr">
        <is>
          <t>P(IRR (внутренняя норма доходности) &gt; 18% hurdle (порог))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(внутренняя норма доходности) &gt; 12% target)</t>
        </is>
      </c>
      <c r="D187" s="575" t="n">
        <v>0.971</v>
      </c>
      <c r="E187" s="572" t="inlineStr">
        <is>
          <t>%</t>
        </is>
      </c>
      <c r="F187" s="574" t="inlineStr">
        <is>
          <t>97,1% — стабильно выше цели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 (Журнал изменений))</t>
        </is>
      </c>
    </row>
    <row r="3">
      <c r="B3" s="20" t="inlineStr">
        <is>
          <t>История версий модели investor_model v3.0.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(каскад) W₅ V-D (T₁ Liq Pref (Ликвидационная привилегия) 1× + T₂ Pref 12%×5y + T₃ Catch-up 70/30 + T₄ Carry 60/40) под A+C revenue pattern (паттерн) (33/45/9/13). Обновлены 13 листов: 24/27/26/28/36 + 13/17/21/25/29/35/40/42. Monte Carlo (Монте-Карло) расширен до N=5 000. Ключевые цифры: IRR (внутренняя норма доходности) Base (Базовый) 24.75% / MoIC 2.13× / Payback (Окупаемость) 3.21y / LP (ограниченный партнёр) 2657. Добавлены дислеймеры V.1-V.4. КРИТИЧЕСКОЕ: Bear (Пессимистичный) scenario IRR (внутренняя норма доходности)=10.70% (&lt;&lt;hurdle (порог)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Архивировано</t>
        </is>
      </c>
    </row>
    <row r="12">
      <c r="B12" t="inlineStr" s="596">
        <is>
          <t>v3.0</t>
        </is>
      </c>
      <c r="C12" t="inlineStr" s="597">
        <is>
          <t>12.04.2026</t>
        </is>
      </c>
      <c r="D12" t="inlineStr" s="597">
        <is>
          <t>rakhman + Claude</t>
        </is>
      </c>
      <c r="E12" t="inlineStr" s="597">
        <is>
          <t>Реструктуризация пайплайна: 12 фильмов → 7 проектов (5 фильмов + 2 сериала). Новые доли выручки: Box Office 38%, SVOD 28%, TV 12%, International 10%, VOD 4%, Sponsorship 4%, Merch 1%, Господдержка 3%. Пересчёт Revenue Breakdown 570/2475/1500. Обновлены Assumptions (блоки B, F, K, N, O).</t>
        </is>
      </c>
      <c r="F12" t="inlineStr" s="598">
        <is>
          <t>Текущая ★</t>
        </is>
      </c>
    </row>
    <row r="13" ht="20" customHeight="1">
      <c r="B13" s="14" t="inlineStr">
        <is>
          <t>ПЛАН СЛЕДУЮЩИХ ВЕРСИЙ (roadmap)</t>
        </is>
      </c>
    </row>
    <row r="14" ht="16" customHeight="1">
      <c r="B14" s="36" t="inlineStr">
        <is>
          <t>v1.0 А.1</t>
        </is>
      </c>
      <c r="C14" s="37" t="inlineStr">
        <is>
          <t>Cover + Assumptions + Change_Log</t>
        </is>
      </c>
      <c r="D14" s="40"/>
      <c r="E14" s="41"/>
      <c r="F14" s="38" t="inlineStr">
        <is>
          <t>Готово</t>
        </is>
      </c>
    </row>
    <row r="15" ht="16" customHeight="1">
      <c r="B15" s="36" t="inlineStr">
        <is>
          <t>v1.0 А.2</t>
        </is>
      </c>
      <c r="C15" s="37" t="inlineStr">
        <is>
          <t>FOT_Staff (A₁+A₂) + Cost_Structure</t>
        </is>
      </c>
      <c r="D15" s="40"/>
      <c r="E15" s="41"/>
      <c r="F15" s="38" t="inlineStr">
        <is>
          <t>Готово</t>
        </is>
      </c>
    </row>
    <row r="16" ht="16" customHeight="1">
      <c r="B16" s="36" t="inlineStr">
        <is>
          <t>v1.0 А.3</t>
        </is>
      </c>
      <c r="C16" s="37" t="inlineStr">
        <is>
          <t>Revenue_Breakdown + Content_Pipeline</t>
        </is>
      </c>
      <c r="D16" s="40"/>
      <c r="E16" s="41"/>
      <c r="F16" s="38" t="inlineStr">
        <is>
          <t>Готово</t>
        </is>
      </c>
    </row>
    <row r="17" ht="16" customHeight="1">
      <c r="B17" s="36" t="inlineStr">
        <is>
          <t>v1.0 А.4</t>
        </is>
      </c>
      <c r="C17" s="37" t="inlineStr">
        <is>
          <t>P&amp;L_Statements (12Q + 2029–2032)</t>
        </is>
      </c>
      <c r="D17" s="40"/>
      <c r="E17" s="41"/>
      <c r="F17" s="38" t="inlineStr">
        <is>
          <t>Готово</t>
        </is>
      </c>
    </row>
    <row r="18" ht="16" customHeight="1">
      <c r="B18" s="36" t="inlineStr">
        <is>
          <t>v1.0 А.5</t>
        </is>
      </c>
      <c r="C18" s="37" t="inlineStr">
        <is>
          <t>Cash_Flow_Statement + Balance_Sheet</t>
        </is>
      </c>
      <c r="D18" s="40"/>
      <c r="E18" s="41"/>
      <c r="F18" s="38" t="inlineStr">
        <is>
          <t>Готово</t>
        </is>
      </c>
    </row>
    <row r="19" ht="16" customHeight="1">
      <c r="B19" s="36" t="inlineStr">
        <is>
          <t>v1.0 А.6</t>
        </is>
      </c>
      <c r="C19" s="37" t="inlineStr">
        <is>
          <t>Working_Capital + Debt_Schedule</t>
        </is>
      </c>
      <c r="D19" s="40"/>
      <c r="E19" s="41"/>
      <c r="F19" s="38" t="inlineStr">
        <is>
          <t>Готово</t>
        </is>
      </c>
    </row>
    <row r="20" ht="16" customHeight="1">
      <c r="B20" s="36" t="inlineStr">
        <is>
          <t>v1.0 А.7</t>
        </is>
      </c>
      <c r="C20" s="37" t="inlineStr">
        <is>
          <t>Investment_Inflow + Use_of_Funds + CAPEX (Капзатраты)</t>
        </is>
      </c>
      <c r="D20" s="40"/>
      <c r="E20" s="41"/>
      <c r="F20" s="38" t="inlineStr">
        <is>
          <t>Готово</t>
        </is>
      </c>
    </row>
    <row r="21" ht="16" customHeight="1">
      <c r="B21" s="36" t="inlineStr">
        <is>
          <t>v1.0 А.8</t>
        </is>
      </c>
      <c r="C21" s="37" t="inlineStr">
        <is>
          <t>Deal_Structures + Cap_Table + Waterfall (Каскад)</t>
        </is>
      </c>
      <c r="D21" s="40"/>
      <c r="E21" s="41"/>
      <c r="F21" s="38" t="inlineStr">
        <is>
          <t>Готово</t>
        </is>
      </c>
    </row>
    <row r="22" ht="16" customHeight="1">
      <c r="B22" s="36" t="inlineStr">
        <is>
          <t>v1.0 А.9</t>
        </is>
      </c>
      <c r="C22" s="37" t="inlineStr">
        <is>
          <t>Unit_Economics + KPI_Dashboard</t>
        </is>
      </c>
      <c r="D22" s="40"/>
      <c r="E22" s="41"/>
      <c r="F22" s="38" t="inlineStr">
        <is>
          <t>Готово</t>
        </is>
      </c>
    </row>
    <row r="23" ht="16" customHeight="1">
      <c r="B23" s="36" t="inlineStr">
        <is>
          <t>v1.0 А.10</t>
        </is>
      </c>
      <c r="C23" s="37" t="inlineStr">
        <is>
          <t>Valuation_DCF + Valuation_Multiples</t>
        </is>
      </c>
      <c r="D23" s="40"/>
      <c r="E23" s="41"/>
      <c r="F23" s="38" t="inlineStr">
        <is>
          <t>Готово</t>
        </is>
      </c>
    </row>
    <row r="24" ht="16" customHeight="1">
      <c r="B24" s="36" t="inlineStr">
        <is>
          <t>v1.0 А.11</t>
        </is>
      </c>
      <c r="C24" s="37" t="inlineStr">
        <is>
          <t>Investor_Returns + Exit_Scenarios</t>
        </is>
      </c>
      <c r="D24" s="40"/>
      <c r="E24" s="41"/>
      <c r="F24" s="38" t="inlineStr">
        <is>
          <t>Готово</t>
        </is>
      </c>
    </row>
    <row r="25" ht="16" customHeight="1">
      <c r="B25" s="36" t="inlineStr">
        <is>
          <t>v1.0 А.12</t>
        </is>
      </c>
      <c r="C25" s="37" t="inlineStr">
        <is>
          <t>Sensitivity (Чувствительность) + Scenario (Сценарий) + Monte Carlo (Монте-Карло)</t>
        </is>
      </c>
      <c r="D25" s="40"/>
      <c r="E25" s="41"/>
      <c r="F25" s="38" t="inlineStr">
        <is>
          <t>Готово</t>
        </is>
      </c>
    </row>
    <row r="26" ht="16" customHeight="1">
      <c r="B26" s="36" t="inlineStr">
        <is>
          <t>v1.0 А.13</t>
        </is>
      </c>
      <c r="C26" s="37" t="inlineStr">
        <is>
          <t>Risk_Register</t>
        </is>
      </c>
      <c r="D26" s="40"/>
      <c r="E26" s="41"/>
      <c r="F26" s="38" t="inlineStr">
        <is>
          <t>Готово</t>
        </is>
      </c>
    </row>
    <row r="27" ht="16" customHeight="1">
      <c r="B27" s="36" t="inlineStr">
        <is>
          <t>v1.0 А.14</t>
        </is>
      </c>
      <c r="C27" s="37" t="inlineStr">
        <is>
          <t>Market + Benchmarks (Бенчмарки) + Comparable Tx</t>
        </is>
      </c>
      <c r="D27" s="40"/>
      <c r="E27" s="41"/>
      <c r="F27" s="38" t="inlineStr">
        <is>
          <t>Готово</t>
        </is>
      </c>
    </row>
    <row r="28" ht="16" customHeight="1">
      <c r="B28" s="36" t="inlineStr">
        <is>
          <t>v1.0 А.15</t>
        </is>
      </c>
      <c r="C28" s="37" t="inlineStr">
        <is>
          <t>Gov_KPI + Tax + Roadmap (Дорожная карта) 2026–2032</t>
        </is>
      </c>
      <c r="D28" s="40"/>
      <c r="E28" s="41"/>
      <c r="F28" s="38" t="inlineStr">
        <is>
          <t>Готово</t>
        </is>
      </c>
    </row>
    <row r="29" ht="16" customHeight="1">
      <c r="B29" s="36" t="inlineStr">
        <is>
          <t>v1.0 А.16</t>
        </is>
      </c>
      <c r="C29" s="37" t="inlineStr">
        <is>
          <t>Executive_Summary + Glossary (Глоссарий) + Notes</t>
        </is>
      </c>
      <c r="D29" s="40"/>
      <c r="E29" s="41"/>
      <c r="F29" s="38" t="inlineStr">
        <is>
          <t>Готово</t>
        </is>
      </c>
    </row>
    <row r="30" ht="16" customHeight="1">
      <c r="B30" s="36" t="inlineStr">
        <is>
          <t>v1.0 А.17</t>
        </is>
      </c>
      <c r="C30" s="37" t="inlineStr">
        <is>
          <t>Public export + Internal (Внутренний) с 4 сервисными</t>
        </is>
      </c>
      <c r="D30" s="40"/>
      <c r="E30" s="41"/>
      <c r="F30" s="38" t="inlineStr">
        <is>
          <t>Готово</t>
        </is>
      </c>
    </row>
    <row r="31" ht="16" customHeight="1">
      <c r="B31" s="36" t="inlineStr">
        <is>
          <t>v1.0 А.18</t>
        </is>
      </c>
      <c r="C31" s="37" t="inlineStr">
        <is>
          <t>П5 «Максимум» 32/32 верификация</t>
        </is>
      </c>
      <c r="D31" s="40"/>
      <c r="E31" s="41"/>
      <c r="F31" s="38" t="inlineStr">
        <is>
          <t>Готово</t>
        </is>
      </c>
    </row>
    <row r="32" ht="16" customHeight="1">
      <c r="B32" s="36" t="inlineStr">
        <is>
          <t>v1.0 А.19</t>
        </is>
      </c>
      <c r="C32" s="37" t="inlineStr">
        <is>
          <t>Финализация + computer:// ссылки</t>
        </is>
      </c>
      <c r="F32" s="38" t="inlineStr">
        <is>
          <t>Готово</t>
        </is>
      </c>
    </row>
    <row r="33">
      <c r="A33" t="inlineStr">
        <is>
          <t>v1.0.2</t>
        </is>
      </c>
      <c r="B33" t="inlineStr">
        <is>
          <t>2026-04-12</t>
        </is>
      </c>
      <c r="C33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3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(фонд оплаты труда) / Штат — Модель A₂ (Market-Based)</t>
        </is>
      </c>
    </row>
    <row r="3">
      <c r="B3" s="20" t="inlineStr">
        <is>
          <t>43 чел. Рыночные оклады P50 МСК. Индексация 8%/год.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 (вкл. линейные)</t>
        </is>
      </c>
      <c r="D6" s="44">
        <v>7</v>
      </c>
      <c r="E6" s="45" t="n">
        <v>200000</v>
      </c>
      <c r="F6" s="46">
        <f>D6*E6</f>
        <v>0</v>
      </c>
      <c r="G6" s="46">
        <f>F6*0.3</f>
        <v>0</v>
      </c>
      <c r="H6" s="47">
        <f>F6+G6</f>
        <v>0</v>
      </c>
      <c r="I6" s="47">
        <f>H6*12</f>
        <v>0</v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>0</v>
      </c>
      <c r="G7" s="46">
        <f>F7*0.3</f>
        <v>0</v>
      </c>
      <c r="H7" s="47">
        <f>F7+G7</f>
        <v>0</v>
      </c>
      <c r="I7" s="47">
        <f>H7*12</f>
        <v>0</v>
      </c>
    </row>
    <row r="8" ht="20" customHeight="1">
      <c r="B8" s="43" t="n">
        <v>3</v>
      </c>
      <c r="C8" s="23" t="inlineStr">
        <is>
          <t>Производственный цех</t>
        </is>
      </c>
      <c r="D8" s="44">
        <v>8</v>
      </c>
      <c r="E8" s="45">
        <v>150000</v>
      </c>
      <c r="F8" s="46">
        <f>D8*E8</f>
        <v>0</v>
      </c>
      <c r="G8" s="46">
        <f>F8*0.3</f>
        <v>0</v>
      </c>
      <c r="H8" s="47">
        <f>F8+G8</f>
        <v>0</v>
      </c>
      <c r="I8" s="47">
        <f>H8*12</f>
        <v>0</v>
      </c>
    </row>
    <row r="9" ht="20" customHeight="1">
      <c r="B9" s="43" t="n">
        <v>4</v>
      </c>
      <c r="C9" s="23" t="inlineStr">
        <is>
          <t>Аналитики</t>
        </is>
      </c>
      <c r="D9" s="44">
        <v>5</v>
      </c>
      <c r="E9" s="45">
        <v>140000</v>
      </c>
      <c r="F9" s="46">
        <f>D9*E9</f>
        <v>0</v>
      </c>
      <c r="G9" s="46">
        <f>F9*0.3</f>
        <v>0</v>
      </c>
      <c r="H9" s="47">
        <f>F9+G9</f>
        <v>0</v>
      </c>
      <c r="I9" s="47">
        <f>H9*12</f>
        <v>0</v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>
        <v>110000</v>
      </c>
      <c r="F10" s="46">
        <f>D10*E10</f>
        <v>0</v>
      </c>
      <c r="G10" s="46">
        <f>F10*0.3</f>
        <v>0</v>
      </c>
      <c r="H10" s="47">
        <f>F10+G10</f>
        <v>0</v>
      </c>
      <c r="I10" s="47">
        <f>H10*12</f>
        <v>0</v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>
        <v>8</v>
      </c>
      <c r="E11" s="45">
        <v>180000</v>
      </c>
      <c r="F11" s="46">
        <f>D11*E11</f>
        <v>0</v>
      </c>
      <c r="G11" s="46">
        <f>F11*0.3</f>
        <v>0</v>
      </c>
      <c r="H11" s="47">
        <f>F11+G11</f>
        <v>0</v>
      </c>
      <c r="I11" s="47">
        <f>H11*12</f>
        <v>0</v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>
        <v>90000</v>
      </c>
      <c r="F12" s="46">
        <f>D12*E12</f>
        <v>0</v>
      </c>
      <c r="G12" s="46">
        <f>F12*0.3</f>
        <v>0</v>
      </c>
      <c r="H12" s="47">
        <f>F12+G12</f>
        <v>0</v>
      </c>
      <c r="I12" s="47">
        <f>H12*12</f>
        <v>0</v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>
        <v>7</v>
      </c>
      <c r="E13" s="45">
        <v>100000</v>
      </c>
      <c r="F13" s="46">
        <f>D13*E13</f>
        <v>0</v>
      </c>
      <c r="G13" s="46">
        <f>F13*0.3</f>
        <v>0</v>
      </c>
      <c r="H13" s="47">
        <f>F13+G13</f>
        <v>0</v>
      </c>
      <c r="I13" s="47">
        <f>H13*12</f>
        <v>0</v>
      </c>
    </row>
    <row r="14" ht="26" customHeight="1">
      <c r="B14" s="48"/>
      <c r="C14" s="49" t="inlineStr">
        <is>
          <t>ИТОГО ФОТ (A₂ Market)</t>
        </is>
      </c>
      <c r="D14" s="50">
        <v>43</v>
      </c>
      <c r="E14" s="51"/>
      <c r="F14" s="51">
        <v>6420000</v>
      </c>
      <c r="G14" s="51">
        <v>1926000</v>
      </c>
      <c r="H14" s="51">
        <v>8346000</v>
      </c>
      <c r="I14" s="51">
        <v>100152000</v>
      </c>
    </row>
    <row r="16" ht="20" customHeight="1">
      <c r="B16" s="14" t="inlineStr">
        <is>
          <t>ФОТ A₂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v>43</v>
      </c>
      <c r="E18" s="54">
        <v>6420000</v>
      </c>
      <c r="F18" s="54">
        <v>8346000</v>
      </c>
      <c r="G18" s="55">
        <v>100.152</v>
      </c>
      <c r="H18" s="56">
        <v>23.112</v>
      </c>
      <c r="I18" s="57" t="inlineStr">
        <is>
          <t>0.0%</t>
        </is>
      </c>
    </row>
    <row r="19" ht="20" customHeight="1">
      <c r="C19" s="52" t="n">
        <v>2027</v>
      </c>
      <c r="D19" s="53">
        <v>43</v>
      </c>
      <c r="E19" s="54">
        <v>6933600.0</v>
        <f>E18*1.08</f>
        <v>0</v>
      </c>
      <c r="F19" s="54">
        <v>9013680.0</v>
        <f>F18*1.08</f>
        <v>0</v>
      </c>
      <c r="G19" s="55">
        <v>108.16416000000001</v>
        <f>G18*1.08</f>
        <v>0</v>
      </c>
      <c r="H19" s="56">
        <v>24.96096</v>
        <f>H18*1.08</f>
        <v>0</v>
      </c>
      <c r="I19" s="57" t="inlineStr">
        <is>
          <t>8.0%</t>
        </is>
      </c>
    </row>
    <row r="20" ht="20" customHeight="1">
      <c r="C20" s="52" t="n">
        <v>2028</v>
      </c>
      <c r="D20" s="53">
        <v>43</v>
      </c>
      <c r="E20" s="54">
        <v>7488288.000000001</v>
        <f>E19*1.08</f>
        <v>0</v>
      </c>
      <c r="F20" s="54">
        <v>9734774.4</v>
        <f>F19*1.08</f>
        <v>0</v>
      </c>
      <c r="G20" s="55">
        <v>116.81729280000002</v>
        <f>G19*1.08</f>
        <v>0</v>
      </c>
      <c r="H20" s="56">
        <v>26.957836800000003</v>
        <f>H19*1.08</f>
        <v>0</v>
      </c>
      <c r="I20" s="57" t="inlineStr">
        <is>
          <t>8.0%</t>
        </is>
      </c>
    </row>
    <row r="21" ht="24" customHeight="1">
      <c r="C21" s="58" t="inlineStr">
        <is>
          <t>Σ 2026–2028</t>
        </is>
      </c>
      <c r="D21" s="50">
        <v>43</v>
      </c>
      <c r="E21" s="51">
        <v>6420000</v>
      </c>
      <c r="F21" s="51">
        <v>8346000</v>
      </c>
      <c r="G21" s="59">
        <v>325.13345280000004</v>
        <f>SUM(G18:G20)</f>
        <v>0</v>
      </c>
      <c r="H21" s="59">
        <v>75.03079679999999</v>
        <f>SUM(H18:H20)</f>
        <v>0</v>
      </c>
      <c r="I21" s="58" t="inlineStr">
        <is>
          <t>—</t>
        </is>
      </c>
    </row>
    <row r="23" ht="32" customHeight="1">
      <c r="B23" s="1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(фонд оплаты труда) / Штат — Модель A₂ Dynamic (Динамический) (Market + 8% индексация)</t>
        </is>
      </c>
    </row>
    <row r="3">
      <c r="B3" s="20" t="inlineStr">
        <is>
          <t>Рост штата 43 (фиксированный core) + индексация 8%/год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>
        <v>43</v>
      </c>
      <c r="D7" s="44">
        <v>43</v>
      </c>
      <c r="E7" s="44">
        <v>43</v>
      </c>
      <c r="F7" s="44">
        <v>43</v>
      </c>
      <c r="G7" s="44">
        <v>43</v>
      </c>
      <c r="H7" s="44">
        <v>43</v>
      </c>
      <c r="I7" s="44">
        <v>43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>
        <v>1.08</v>
      </c>
      <c r="E8" s="61">
        <v>1.17</v>
      </c>
      <c r="F8" s="61">
        <v>1.26</v>
      </c>
      <c r="G8" s="61">
        <v>1.36</v>
      </c>
      <c r="H8" s="61">
        <v>1.47</v>
      </c>
      <c r="I8" s="61">
        <v>1.59</v>
      </c>
    </row>
    <row r="9" ht="18" customHeight="1">
      <c r="B9" s="23" t="inlineStr">
        <is>
          <t>Ср. оклад gross (₽/мес, база 2026)</t>
        </is>
      </c>
      <c r="C9" s="46">
        <v>149302.32558139536</v>
      </c>
      <c r="D9" s="46">
        <v>161246.511627907</v>
      </c>
      <c r="E9" s="46">
        <v>174683.72093023255</v>
      </c>
      <c r="F9" s="46">
        <v>188120.93023255817</v>
      </c>
      <c r="G9" s="46">
        <v>203051.1627906977</v>
      </c>
      <c r="H9" s="46">
        <v>219474.41860465117</v>
      </c>
      <c r="I9" s="46">
        <v>237390.69767441862</v>
      </c>
    </row>
    <row r="10" ht="18" customHeight="1">
      <c r="B10" s="23" t="inlineStr">
        <is>
          <t>ФОТ gross / мес</t>
        </is>
      </c>
      <c r="C10" s="46">
        <f>C7*C9</f>
        <v>6420000.0</v>
      </c>
      <c r="D10" s="46">
        <f>D7*D9</f>
        <v>6933600.000000001</v>
      </c>
      <c r="E10" s="46">
        <f>E7*E9</f>
        <v>7511400.0</v>
      </c>
      <c r="F10" s="46">
        <f>F7*F9</f>
        <v>8089200.000000001</v>
      </c>
      <c r="G10" s="46">
        <f>G7*G9</f>
        <v>8731200.000000002</v>
      </c>
      <c r="H10" s="46">
        <f>H7*H9</f>
        <v>9437400.0</v>
      </c>
      <c r="I10" s="46">
        <f>I7*I9</f>
        <v>10207800.0</v>
      </c>
    </row>
    <row r="11" ht="20" customHeight="1">
      <c r="B11" s="60" t="inlineStr">
        <is>
          <t>ФОТ с налогами / мес (×1.30)</t>
        </is>
      </c>
      <c r="C11" s="47">
        <f>C10*1.3</f>
        <v>8346000.0</v>
      </c>
      <c r="D11" s="47">
        <f>D10*1.3</f>
        <v>9013680.000000002</v>
      </c>
      <c r="E11" s="47">
        <f>E10*1.3</f>
        <v>9764820.0</v>
      </c>
      <c r="F11" s="47">
        <f>F10*1.3</f>
        <v>10515960.000000002</v>
      </c>
      <c r="G11" s="47">
        <f>G10*1.3</f>
        <v>11350560.000000004</v>
      </c>
      <c r="H11" s="47">
        <f>H10*1.3</f>
        <v>12268620.0</v>
      </c>
      <c r="I11" s="47">
        <f>I10*1.3</f>
        <v>13270140.0</v>
      </c>
    </row>
    <row r="12" ht="24" customHeight="1">
      <c r="B12" s="49" t="inlineStr">
        <is>
          <t>ФОТ годовой (млн ₽)</t>
        </is>
      </c>
      <c r="C12" s="59">
        <f>C11*12/1000000</f>
        <v>100.152</v>
      </c>
      <c r="D12" s="59">
        <f>D11*12/1000000</f>
        <v>108.16416000000002</v>
      </c>
      <c r="E12" s="59">
        <f>E11*12/1000000</f>
        <v>117.17784</v>
      </c>
      <c r="F12" s="59">
        <f>F11*12/1000000</f>
        <v>126.19152000000003</v>
      </c>
      <c r="G12" s="59">
        <f>G11*12/1000000</f>
        <v>136.20672000000005</v>
      </c>
      <c r="H12" s="59">
        <f>H11*12/1000000</f>
        <v>147.22344</v>
      </c>
      <c r="I12" s="59">
        <f>I11*12/1000000</f>
        <v>159.24168</v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>25.038</v>
      </c>
      <c r="D16" s="63">
        <f>C12/4</f>
        <v>25.038</v>
      </c>
      <c r="E16" s="63">
        <f>C12/4</f>
        <v>25.038</v>
      </c>
      <c r="F16" s="63">
        <f>C12/4</f>
        <v>25.038</v>
      </c>
      <c r="G16" s="64">
        <f>C12</f>
        <v>100.152</v>
      </c>
    </row>
    <row r="17" ht="20" customHeight="1">
      <c r="B17" s="62" t="inlineStr">
        <is>
          <t>2027</t>
        </is>
      </c>
      <c r="C17" s="63">
        <f>D12/4</f>
        <v>27.041040000000006</v>
      </c>
      <c r="D17" s="63">
        <f>D12/4</f>
        <v>27.041040000000006</v>
      </c>
      <c r="E17" s="63">
        <f>D12/4</f>
        <v>27.041040000000006</v>
      </c>
      <c r="F17" s="63">
        <f>D12/4</f>
        <v>27.041040000000006</v>
      </c>
      <c r="G17" s="64">
        <f>D12</f>
        <v>108.16416000000002</v>
      </c>
    </row>
    <row r="18" ht="20" customHeight="1">
      <c r="B18" s="62" t="inlineStr">
        <is>
          <t>2028</t>
        </is>
      </c>
      <c r="C18" s="63">
        <f>E12/4</f>
        <v>29.29446</v>
      </c>
      <c r="D18" s="63">
        <f>E12/4</f>
        <v>29.29446</v>
      </c>
      <c r="E18" s="63">
        <f>E12/4</f>
        <v>29.29446</v>
      </c>
      <c r="F18" s="63">
        <f>E12/4</f>
        <v>29.29446</v>
      </c>
      <c r="G18" s="64">
        <f>E12</f>
        <v>117.17784</v>
      </c>
    </row>
    <row r="19" ht="24" customHeight="1">
      <c r="B19" s="58" t="inlineStr">
        <is>
          <t>Σ 2026–2028</t>
        </is>
      </c>
      <c r="C19" s="65">
        <f>SUM(C16:C18)</f>
        <v>81.3735</v>
      </c>
      <c r="D19" s="65">
        <f>SUM(D16:D18)</f>
        <v>81.3735</v>
      </c>
      <c r="E19" s="65">
        <f>SUM(E16:E18)</f>
        <v>81.3735</v>
      </c>
      <c r="F19" s="65">
        <f>SUM(F16:F18)</f>
        <v>81.3735</v>
      </c>
      <c r="G19" s="59">
        <f>SUM(G16:G18)</f>
        <v>325.494</v>
      </c>
    </row>
    <row r="21" ht="20" customHeight="1">
      <c r="B21" s="14" t="inlineStr">
        <is>
          <t>СРАВНЕНИЕ A₁ Fixed (Фиксированный) vs A₂ Dynamic (Динамический)</t>
        </is>
      </c>
    </row>
    <row r="22" ht="22" customHeight="1">
      <c r="B22" s="42" t="inlineStr">
        <is>
          <t>Период</t>
        </is>
      </c>
      <c r="C22" s="42" t="inlineStr">
        <is>
          <t>A₁ Fixed (Фиксированный)</t>
        </is>
      </c>
      <c r="D22" s="42" t="inlineStr">
        <is>
          <t>A₂ Dynamic (Динамический)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>100.152</v>
      </c>
      <c r="E23" s="67">
        <f>D23-C23</f>
        <v>26.208</v>
      </c>
      <c r="F23" s="68">
        <f>(D23-C23)/C23</f>
        <v>0.3544303797468354</v>
      </c>
    </row>
    <row r="24" ht="20" customHeight="1">
      <c r="B24" s="32" t="n">
        <v>2027</v>
      </c>
      <c r="C24" s="66" t="n">
        <v>73.944</v>
      </c>
      <c r="D24" s="63">
        <f>D12</f>
        <v>108.16416000000002</v>
      </c>
      <c r="E24" s="67">
        <f>D24-C24</f>
        <v>34.22016000000002</v>
      </c>
      <c r="F24" s="68">
        <f>(D24-C24)/C24</f>
        <v>0.46278481012658257</v>
      </c>
    </row>
    <row r="25" ht="20" customHeight="1">
      <c r="B25" s="32" t="n">
        <v>2028</v>
      </c>
      <c r="C25" s="66" t="n">
        <v>73.944</v>
      </c>
      <c r="D25" s="63">
        <f>E12</f>
        <v>117.17784</v>
      </c>
      <c r="E25" s="67">
        <f>D25-C25</f>
        <v>43.23384</v>
      </c>
      <c r="F25" s="68">
        <f>(D25-C25)/C25</f>
        <v>0.5846835443037974</v>
      </c>
    </row>
    <row r="26" ht="24" customHeight="1">
      <c r="B26" s="58" t="inlineStr">
        <is>
          <t>Σ 3 года</t>
        </is>
      </c>
      <c r="C26" s="59">
        <f>SUM(C23:C25)</f>
        <v>221.832</v>
      </c>
      <c r="D26" s="59">
        <f>SUM(D23:D25)</f>
        <v>325.494</v>
      </c>
      <c r="E26" s="69">
        <f>D26-C26</f>
        <v>103.66200000000003</v>
      </c>
      <c r="F26" s="70">
        <f>(D26-C26)/C26</f>
        <v>0.4672995780590719</v>
      </c>
    </row>
    <row r="28" ht="50" customHeight="1">
      <c r="B28" s="18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(Операционные расходы) (Cost Structure (Структура затрат))</t>
        </is>
      </c>
    </row>
    <row r="3">
      <c r="B3" s="20" t="inlineStr">
        <is>
          <t>Сводка операционных расходов холдинга. Годовые показатели 2026–2032 на основе A₂ Market и Assumptions.</t>
        </is>
      </c>
    </row>
    <row r="5" ht="20" customHeight="1">
      <c r="B5" s="14" t="inlineStr">
        <is>
          <t>OPEX (Операционные расходы) ПО ГОДАМ (Base (Базовый), модель A₂ Market),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(A₂ Market, 8%)</t>
        </is>
      </c>
      <c r="C7" s="71">
        <v>100.152</v>
      </c>
      <c r="D7" s="71">
        <v>108.164</v>
      </c>
      <c r="E7" s="71">
        <v>116.817</v>
      </c>
      <c r="F7" s="71">
        <v>126.161</v>
      </c>
      <c r="G7" s="71">
        <v>136.256</v>
      </c>
      <c r="H7" s="72">
        <v>325.133</v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>0</v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>0</v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>0</v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>0</v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>0</v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>0</v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>0</v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>0</v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>0</v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>0</v>
      </c>
    </row>
    <row r="18" ht="26" customHeight="1">
      <c r="B18" s="73" t="inlineStr">
        <is>
          <t>ИТОГО OPEX (Операционные расходы)</t>
        </is>
      </c>
      <c r="C18" s="74">
        <v>114.714</v>
        <f>SUM(C7:C17)</f>
        <v>0</v>
      </c>
      <c r="D18" s="74">
        <v>123.673</v>
      </c>
      <c r="E18" s="74">
        <v>133.333</v>
      </c>
      <c r="F18" s="74">
        <v>143.752</v>
      </c>
      <c r="G18" s="74">
        <v>154.989</v>
      </c>
      <c r="H18" s="74">
        <v>371.72</v>
      </c>
    </row>
    <row r="20" ht="20" customHeight="1">
      <c r="B20" s="14" t="inlineStr">
        <is>
          <t>СТРУКТУРА OPEX (Операционные расходы)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/>
      <c r="G21" s="75"/>
      <c r="H21" s="76"/>
    </row>
    <row r="22" ht="20" customHeight="1">
      <c r="B22" s="23" t="inlineStr">
        <is>
          <t>ФОТ с налогами</t>
        </is>
      </c>
      <c r="C22" s="77">
        <v>100.152</v>
        <f>C7</f>
        <v>0</v>
      </c>
      <c r="D22" s="78">
        <v>0.8730582143417543</v>
        <f>C22/C18</f>
        <v>0</v>
      </c>
      <c r="E22" s="79" t="inlineStr">
        <is>
          <t>ключевая статья (~87%)</t>
        </is>
      </c>
      <c r="F22" s="40"/>
      <c r="G22" s="40"/>
      <c r="H22" s="41"/>
    </row>
    <row r="23" ht="20" customHeight="1">
      <c r="B23" s="23" t="inlineStr">
        <is>
          <t>Офисные расходы (аренда + коммуналки)</t>
        </is>
      </c>
      <c r="C23" s="77">
        <v>8.646</v>
        <f>C8+C9</f>
        <v>0</v>
      </c>
      <c r="D23" s="78">
        <v>0.07537005073487107</v>
        <f>C23/C18</f>
        <v>0</v>
      </c>
      <c r="E23" s="79" t="inlineStr">
        <is>
          <t>фиксированная аренда 750 м²</t>
        </is>
      </c>
      <c r="F23" s="40"/>
      <c r="G23" s="40"/>
      <c r="H23" s="41"/>
    </row>
    <row r="24" ht="20" customHeight="1">
      <c r="B24" s="23" t="inlineStr">
        <is>
          <t>Операционные нужды (связь, ПО, канцтовары)</t>
        </is>
      </c>
      <c r="C24" s="77">
        <v>1.296</v>
        <f>C10+C11+C15</f>
        <v>0</v>
      </c>
      <c r="D24" s="78">
        <v>0.011297662011611486</v>
        <f>C24/C18</f>
        <v>0</v>
      </c>
      <c r="E24" s="79" t="inlineStr">
        <is>
          <t>рабочая инфраструктура</t>
        </is>
      </c>
      <c r="F24" s="40"/>
      <c r="G24" s="40"/>
      <c r="H24" s="41"/>
    </row>
    <row r="25" ht="20" customHeight="1">
      <c r="B25" s="23" t="inlineStr">
        <is>
          <t>Командировки и представительские</t>
        </is>
      </c>
      <c r="C25" s="77">
        <v>1.7999999999999998</v>
        <f>C12+C13</f>
        <v>0</v>
      </c>
      <c r="D25" s="78">
        <v>0.015691197238349285</v>
        <f>C25/C18</f>
        <v>0</v>
      </c>
      <c r="E25" s="79" t="inlineStr">
        <is>
          <t>продюсерская деятельность</t>
        </is>
      </c>
      <c r="F25" s="40"/>
      <c r="G25" s="40"/>
      <c r="H25" s="41"/>
    </row>
    <row r="26" ht="20" customHeight="1">
      <c r="B26" s="23" t="inlineStr">
        <is>
          <t>Консультанты (юр/аудит)</t>
        </is>
      </c>
      <c r="C26" s="77">
        <v>1.5</v>
      </c>
      <c r="D26" s="78">
        <v>0.013075997698624406</v>
        <f>C26/C18</f>
        <v>0</v>
      </c>
      <c r="E26" s="79" t="inlineStr">
        <is>
          <t>внешние услуги</t>
        </is>
      </c>
      <c r="F26" s="40"/>
      <c r="G26" s="40"/>
      <c r="H26" s="41"/>
    </row>
    <row r="27" ht="20" customHeight="1">
      <c r="B27" s="23" t="inlineStr">
        <is>
          <t>Банковские комиссии + маркетинг</t>
        </is>
      </c>
      <c r="C27" s="77">
        <v>1.32</v>
        <f>C16+C17</f>
        <v>0</v>
      </c>
      <c r="D27" s="78">
        <v>0.011506877974789477</v>
        <f>C27/C18</f>
        <v>0</v>
      </c>
      <c r="E27" s="79" t="inlineStr">
        <is>
          <t>финансовые и PR</t>
        </is>
      </c>
      <c r="F27" s="40"/>
      <c r="G27" s="40"/>
      <c r="H27" s="41"/>
    </row>
    <row r="28" ht="22" customHeight="1">
      <c r="B28" s="80" t="inlineStr">
        <is>
          <t>ПРОВЕРКА: Σ категорий = OPEX (Операционные расходы) total</t>
        </is>
      </c>
      <c r="C28" s="81">
        <v>114.714</v>
        <f>SUM(C22:C27)</f>
        <v>0</v>
      </c>
      <c r="D28" s="82">
        <v>1.0</v>
        <f>SUM(D22:D27)</f>
        <v>0</v>
      </c>
      <c r="E28" s="83" t="inlineStr">
        <is>
          <t>✓ Совпадает с ИТОГО OPEX (Операционные расходы) 2026 (114.7 млн) = 100%</t>
        </is>
      </c>
      <c r="F28" s="40"/>
      <c r="G28" s="40"/>
      <c r="H28" s="41"/>
    </row>
    <row r="30" ht="20" customHeight="1">
      <c r="B30" s="14" t="inlineStr">
        <is>
          <t>COGS (себестоимость)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/>
      <c r="G31" s="75"/>
      <c r="H31" s="76"/>
    </row>
    <row r="32" ht="20" customHeight="1">
      <c r="B32" s="23" t="inlineStr">
        <is>
          <t>Total (Итого) content budget (бюджет)</t>
        </is>
      </c>
      <c r="C32" s="84">
        <v>1746.8</v>
      </c>
      <c r="D32" s="22" t="inlineStr">
        <is>
          <t>млн ₽</t>
        </is>
      </c>
      <c r="E32" s="79" t="inlineStr">
        <is>
          <t>7 проектов × 154.2</t>
        </is>
      </c>
      <c r="F32" s="40"/>
      <c r="G32" s="40"/>
      <c r="H32" s="41"/>
    </row>
    <row r="33" ht="20" customHeight="1">
      <c r="B33" s="23" t="inlineStr">
        <is>
          <t>Средний бюджет 1 фильма</t>
        </is>
      </c>
      <c r="C33" s="84">
        <v>145.6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/>
      <c r="G33" s="40"/>
      <c r="H33" s="41"/>
    </row>
    <row r="34" ht="20" customHeight="1">
      <c r="B34" s="23" t="inlineStr">
        <is>
          <t>Producer equity (капитал продюсера)</t>
        </is>
      </c>
      <c r="C34" s="84">
        <v>600</v>
      </c>
      <c r="D34" s="22" t="inlineStr">
        <is>
          <t>млн ₽</t>
        </is>
      </c>
      <c r="E34" s="79" t="inlineStr">
        <is>
          <t>600 / 1747 = 34.3%</t>
        </is>
      </c>
      <c r="F34" s="40"/>
      <c r="G34" s="40"/>
      <c r="H34" s="41"/>
    </row>
    <row r="35" ht="20" customHeight="1">
      <c r="B35" s="23" t="inlineStr">
        <is>
          <t>Investor (Инвестор) funding</t>
        </is>
      </c>
      <c r="C35" s="84">
        <v>1250</v>
      </c>
      <c r="D35" s="22" t="inlineStr">
        <is>
          <t>млн ₽</t>
        </is>
      </c>
      <c r="E35" s="79" t="inlineStr">
        <is>
          <t>1250 / 1747 = 71.6%</t>
        </is>
      </c>
      <c r="F35" s="40"/>
      <c r="G35" s="40"/>
      <c r="H35" s="41"/>
    </row>
    <row r="36" ht="20" customHeight="1">
      <c r="B36" s="23" t="inlineStr">
        <is>
          <t>Amortization (Амортизация)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/>
      <c r="G36" s="40"/>
      <c r="H36" s="41"/>
    </row>
    <row r="37" ht="20" customHeight="1">
      <c r="B37" s="23" t="inlineStr">
        <is>
          <t>P&amp;A (тиражирование и реклама) (Print &amp; Advertising (Тиражирование и реклама))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/>
      <c r="G37" s="40"/>
      <c r="H37" s="41"/>
    </row>
    <row r="39" ht="45" customHeight="1">
      <c r="B39" s="18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 (Структура выручки))</t>
        </is>
      </c>
    </row>
    <row r="3">
      <c r="B3" s="20" t="inlineStr">
        <is>
          <t>8 источников выручки × 2026–2028. Якорь Σ = 4 545 млн ₽ (5 фильмов + 2 сериала).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 (среднегодовой темп роста)</t>
        </is>
      </c>
    </row>
    <row r="7" ht="20" customHeight="1">
      <c r="B7" s="23" t="inlineStr">
        <is>
          <t>Box Office (Кассовые сборы)</t>
        </is>
      </c>
      <c r="C7" s="85">
        <v>0.38</v>
      </c>
      <c r="D7" s="86">
        <v>216.6</v>
      </c>
      <c r="E7" s="86">
        <v>940.5</v>
      </c>
      <c r="F7" s="86">
        <v>570.0</v>
      </c>
      <c r="G7" s="87">
        <f>SUM(D7:F7)</f>
        <v>1727.1</v>
      </c>
      <c r="H7" s="88">
        <f>(F7/D7)^(1/2)-1</f>
        <v>0.62221</v>
      </c>
    </row>
    <row r="8" ht="20" customHeight="1">
      <c r="B8" s="23" t="inlineStr">
        <is>
          <t>Online SVOD (подписной стриминг)</t>
        </is>
      </c>
      <c r="C8" s="85">
        <v>0.28</v>
      </c>
      <c r="D8" s="86">
        <v>159.6</v>
      </c>
      <c r="E8" s="86">
        <v>693.0</v>
      </c>
      <c r="F8" s="86">
        <v>420.0</v>
      </c>
      <c r="G8" s="87">
        <f>SUM(D8:F8)</f>
        <v>1272.6</v>
      </c>
      <c r="H8" s="88">
        <f>(F8/D8)^(1/2)-1</f>
        <v>0.62221</v>
      </c>
    </row>
    <row r="9" ht="20" customHeight="1">
      <c r="B9" s="23" t="inlineStr">
        <is>
          <t>TV (телевидение) rights</t>
        </is>
      </c>
      <c r="C9" s="85">
        <v>0.12</v>
      </c>
      <c r="D9" s="86">
        <v>68.4</v>
      </c>
      <c r="E9" s="86">
        <v>297.0</v>
      </c>
      <c r="F9" s="86">
        <v>180.0</v>
      </c>
      <c r="G9" s="87">
        <f>SUM(D9:F9)</f>
        <v>545.4</v>
      </c>
      <c r="H9" s="88">
        <f>(F9/D9)^(1/2)-1</f>
        <v>0.62221</v>
      </c>
    </row>
    <row r="10" ht="20" customHeight="1">
      <c r="B10" s="23" t="inlineStr">
        <is>
          <t>Международные продажи (Международные продажи)</t>
        </is>
      </c>
      <c r="C10" s="85">
        <v>0.1</v>
      </c>
      <c r="D10" s="86">
        <v>57.0</v>
      </c>
      <c r="E10" s="86">
        <v>247.5</v>
      </c>
      <c r="F10" s="86">
        <v>150.0</v>
      </c>
      <c r="G10" s="87">
        <f>SUM(D10:F10)</f>
        <v>454.5</v>
      </c>
      <c r="H10" s="88">
        <f>(F10/D10)^(1/2)-1</f>
        <v>0.62221</v>
      </c>
    </row>
    <row r="11" ht="20" customHeight="1">
      <c r="B11" s="23" t="inlineStr">
        <is>
          <t>VOD (транзакционный)</t>
        </is>
      </c>
      <c r="C11" s="85">
        <v>0.04</v>
      </c>
      <c r="D11" s="86">
        <v>22.8</v>
      </c>
      <c r="E11" s="86">
        <v>99.0</v>
      </c>
      <c r="F11" s="86">
        <v>60.0</v>
      </c>
      <c r="G11" s="87">
        <f>SUM(D11:F11)</f>
        <v>181.8</v>
      </c>
      <c r="H11" s="88">
        <f>(F11/D11)^(1/2)-1</f>
        <v>0.62221</v>
      </c>
    </row>
    <row r="12" ht="20" customHeight="1">
      <c r="B12" s="23" t="inlineStr">
        <is>
          <t>Спонсорство / продакт-плейсмент (Спонсорство / продакт-плейсмент)</t>
        </is>
      </c>
      <c r="C12" s="85">
        <v>0.04</v>
      </c>
      <c r="D12" s="86">
        <v>22.8</v>
      </c>
      <c r="E12" s="86">
        <v>99.0</v>
      </c>
      <c r="F12" s="86">
        <v>60.0</v>
      </c>
      <c r="G12" s="87">
        <f>SUM(D12:F12)</f>
        <v>181.8</v>
      </c>
      <c r="H12" s="88">
        <f>(F12/D12)^(1/2)-1</f>
        <v>0.62221</v>
      </c>
    </row>
    <row r="13" ht="20" customHeight="1">
      <c r="B13" s="23" t="inlineStr">
        <is>
          <t>Мерчандайзинг (Мерчандайзинг)</t>
        </is>
      </c>
      <c r="C13" s="85">
        <v>0.01</v>
      </c>
      <c r="D13" s="86">
        <v>5.7</v>
      </c>
      <c r="E13" s="86">
        <v>24.75</v>
      </c>
      <c r="F13" s="86">
        <v>15.0</v>
      </c>
      <c r="G13" s="87">
        <f>SUM(D13:F13)</f>
        <v>45.45</v>
      </c>
      <c r="H13" s="88">
        <f>(F13/D13)^(1/2)-1</f>
        <v>0.62221</v>
      </c>
    </row>
    <row r="14" ht="20" customHeight="1">
      <c r="B14" s="23" t="inlineStr">
        <is>
          <t>Господдержка (безвозвратная)</t>
        </is>
      </c>
      <c r="C14" s="85">
        <v>0.03</v>
      </c>
      <c r="D14" s="86">
        <v>17.1</v>
      </c>
      <c r="E14" s="86">
        <v>74.25</v>
      </c>
      <c r="F14" s="86">
        <v>45.0</v>
      </c>
      <c r="G14" s="87">
        <f>SUM(D14:F14)</f>
        <v>136.35</v>
      </c>
      <c r="H14" s="88">
        <f>(F14/D14)^(1/2)-1</f>
        <v>0.62221</v>
      </c>
    </row>
    <row r="15" ht="28" customHeight="1">
      <c r="B15" s="73" t="inlineStr">
        <is>
          <t>ИТОГО ВЫРУЧКА</t>
        </is>
      </c>
      <c r="C15" s="89">
        <f>SUM(C7:C14)</f>
        <v>1.0</v>
      </c>
      <c r="D15" s="90">
        <f>SUM(D7:D14)</f>
        <v>570.0</v>
      </c>
      <c r="E15" s="90">
        <f>SUM(E7:E14)</f>
        <v>2475.0</v>
      </c>
      <c r="F15" s="90">
        <f>SUM(F7:F14)</f>
        <v>1500.0</v>
      </c>
      <c r="G15" s="91">
        <f>SUM(G7:G14)</f>
        <v>4545.0</v>
      </c>
      <c r="H15" s="92">
        <f>(F15/D15)^(1/2)-1</f>
        <v>0.62221</v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(Выручка) 2026–2028 (якорь)</t>
        </is>
      </c>
      <c r="C18" s="40"/>
      <c r="D18" s="41"/>
      <c r="E18" s="95" t="n">
        <v>4545</v>
      </c>
      <c r="F18" s="41"/>
      <c r="G18" s="79" t="inlineStr">
        <is>
          <t>7 проектов × 649.29 млн ср.</t>
        </is>
      </c>
      <c r="H18" s="41"/>
    </row>
    <row r="19" ht="22" customHeight="1">
      <c r="B19" s="94" t="inlineStr">
        <is>
          <t>Actual Σ Revenue (Выручка)</t>
        </is>
      </c>
      <c r="C19" s="40"/>
      <c r="D19" s="41"/>
      <c r="E19" s="96">
        <f>G15</f>
        <v>4545.0</v>
      </c>
      <c r="F19" s="41"/>
      <c r="G19" s="79" t="inlineStr">
        <is>
          <t>Sum-check (Контрольная сумма)</t>
        </is>
      </c>
      <c r="H19" s="41"/>
    </row>
    <row r="20" ht="22" customHeight="1">
      <c r="B20" s="97" t="inlineStr">
        <is>
          <t>Δ = Факт − План</t>
        </is>
      </c>
      <c r="C20" s="40"/>
      <c r="D20" s="41"/>
      <c r="E20" s="98">
        <f>G15-4545</f>
        <v>0.0</v>
      </c>
      <c r="F20" s="41"/>
      <c r="G20" s="83" t="inlineStr">
        <is>
          <t>✓ должен быть 0.00 (±0.01 tolerance)</t>
        </is>
      </c>
      <c r="H20" s="41"/>
    </row>
    <row r="22" ht="20" customHeight="1">
      <c r="B22" s="14" t="inlineStr">
        <is>
          <t>СЦЕНАРНЫЙ РАЗБРОС (Bear (Пессимистичный) / Base (Базовый) / Bull (Оптимистичный)),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 (Выручка)</t>
        </is>
      </c>
      <c r="E23" s="42" t="inlineStr">
        <is>
          <t>EBITDA (прибыль до вычетов)</t>
        </is>
      </c>
      <c r="F23" s="42" t="inlineStr">
        <is>
          <t>Net Profit (Чистая прибыль)</t>
        </is>
      </c>
      <c r="G23" s="42" t="inlineStr">
        <is>
          <t>IRR (внутренняя норма доходности)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(Пессимистичный)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(Оптимистичный)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Структура выручки v3 учитывает включение 2 сериалов в пайплайн: повышенная доля SVOD (28%) и TV (12%) отражает серийный контент. Box Office снижен до 38%. Распределение по годам (570/2475/1500) отражает производственный цикл: 2026 — 1 релиз Q4, 2027 — 3 проекта, 2028 — 3 проекта.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7 проектов (Content Pipeline (Портфель контента))</t>
        </is>
      </c>
    </row>
    <row r="3">
      <c r="B3" s="20" t="inlineStr">
        <is>
          <t>Жанровое распределение, бюджеты, прогнозная выручка и ROI для 5 фильмов и 2 сериалов</t>
        </is>
      </c>
    </row>
    <row r="5" ht="20" customHeight="1">
      <c r="B5" s="14" t="inlineStr">
        <is>
          <t>ПОРТФЕЛЬ 5 ФИЛЬМОВ + 2 СЕРИАЛА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(тиражирование и реклама) (15%)</t>
        </is>
      </c>
      <c r="H6" s="42" t="inlineStr">
        <is>
          <t>Σ затраты</t>
        </is>
      </c>
      <c r="I6" s="42" t="inlineStr">
        <is>
          <t>Revenue (Выручка)</t>
        </is>
      </c>
      <c r="J6" s="42" t="inlineStr">
        <is>
          <t>ROI (возврат на инвестиции), %</t>
        </is>
      </c>
      <c r="K6" s="42" t="inlineStr">
        <is>
          <t>Margin (Маржа)</t>
        </is>
      </c>
      <c r="L6" s="42" t="inlineStr">
        <is>
          <t>Payback (Окупаемость)</t>
        </is>
      </c>
      <c r="M6" s="42" t="inlineStr">
        <is>
          <t>Tier (Уровень)</t>
        </is>
      </c>
    </row>
    <row r="7" ht="22" customHeight="1">
      <c r="B7" s="111">
        <v>1</v>
      </c>
      <c r="C7" s="60" t="inlineStr">
        <is>
          <t>Ночной патруль</t>
        </is>
      </c>
      <c r="D7" s="79" t="inlineStr">
        <is>
          <t>Боевик</t>
        </is>
      </c>
      <c r="E7" s="112" t="inlineStr">
        <is>
          <t>Q4 2026</t>
        </is>
      </c>
      <c r="F7" s="27">
        <v>250</v>
      </c>
      <c r="G7" s="113">
        <f>F7*0.15</f>
        <v>37.5</v>
      </c>
      <c r="H7" s="114">
        <f>F7+G7</f>
        <v>287.5</v>
      </c>
      <c r="I7" s="115">
        <v>570</v>
      </c>
      <c r="J7" s="116">
        <f>(I7-H7)/H7</f>
        <v>0.9826086956521739</v>
      </c>
      <c r="K7" s="117">
        <f>(I7-H7)/I7</f>
        <v>0.4956140350877193</v>
      </c>
      <c r="L7" s="118">
        <v>12</v>
      </c>
      <c r="M7" s="119" t="inlineStr">
        <is>
          <t>A+</t>
        </is>
      </c>
    </row>
    <row r="8" ht="22" customHeight="1">
      <c r="B8" s="111">
        <v>2</v>
      </c>
      <c r="C8" s="60" t="inlineStr">
        <is>
          <t>Тёмная сторона</t>
        </is>
      </c>
      <c r="D8" s="79" t="inlineStr">
        <is>
          <t>Сериал 8 эп. · Криминальный триллер</t>
        </is>
      </c>
      <c r="E8" s="112" t="inlineStr">
        <is>
          <t>Q2 2027</t>
        </is>
      </c>
      <c r="F8" s="27">
        <v>400</v>
      </c>
      <c r="G8" s="113">
        <f>F8*0.15</f>
        <v>60.0</v>
      </c>
      <c r="H8" s="114">
        <f>F8+G8</f>
        <v>460.0</v>
      </c>
      <c r="I8" s="115">
        <v>980</v>
      </c>
      <c r="J8" s="116">
        <f>(I8-H8)/H8</f>
        <v>1.1304347826086956</v>
      </c>
      <c r="K8" s="117">
        <f>(I8-H8)/I8</f>
        <v>0.5306122448979592</v>
      </c>
      <c r="L8" s="118">
        <v>18</v>
      </c>
      <c r="M8" s="120" t="inlineStr">
        <is>
          <t>A+</t>
        </is>
      </c>
    </row>
    <row r="9" ht="22" customHeight="1">
      <c r="B9" s="111">
        <v>3</v>
      </c>
      <c r="C9" s="60" t="inlineStr">
        <is>
          <t>Время героев</t>
        </is>
      </c>
      <c r="D9" s="79" t="inlineStr">
        <is>
          <t>Исторический эпос</t>
        </is>
      </c>
      <c r="E9" s="112" t="inlineStr">
        <is>
          <t>Q3 2027</t>
        </is>
      </c>
      <c r="F9" s="27">
        <v>280</v>
      </c>
      <c r="G9" s="113">
        <f>F9*0.15</f>
        <v>42.0</v>
      </c>
      <c r="H9" s="114">
        <f>F9+G9</f>
        <v>322.0</v>
      </c>
      <c r="I9" s="115">
        <v>700</v>
      </c>
      <c r="J9" s="116">
        <f>(I9-H9)/H9</f>
        <v>1.173913043478261</v>
      </c>
      <c r="K9" s="117">
        <f>(I9-H9)/I9</f>
        <v>0.54</v>
      </c>
      <c r="L9" s="118">
        <v>14</v>
      </c>
      <c r="M9" s="35" t="inlineStr">
        <is>
          <t>A+</t>
        </is>
      </c>
    </row>
    <row r="10" ht="22" customHeight="1">
      <c r="B10" s="111">
        <v>4</v>
      </c>
      <c r="C10" s="60" t="inlineStr">
        <is>
          <t>Наследие</t>
        </is>
      </c>
      <c r="D10" s="79" t="inlineStr">
        <is>
          <t>Сериал 10 эп. · Семейная сага</t>
        </is>
      </c>
      <c r="E10" s="112" t="inlineStr">
        <is>
          <t>Q4 2027</t>
        </is>
      </c>
      <c r="F10" s="27">
        <v>340</v>
      </c>
      <c r="G10" s="113">
        <f>F10*0.15</f>
        <v>51.0</v>
      </c>
      <c r="H10" s="114">
        <f>F10+G10</f>
        <v>391.0</v>
      </c>
      <c r="I10" s="115">
        <v>795</v>
      </c>
      <c r="J10" s="116">
        <f>(I10-H10)/H10</f>
        <v>1.0332480818414322</v>
      </c>
      <c r="K10" s="117">
        <f>(I10-H10)/I10</f>
        <v>0.5081761006289308</v>
      </c>
      <c r="L10" s="118">
        <v>20</v>
      </c>
      <c r="M10" s="120" t="inlineStr">
        <is>
          <t>A</t>
        </is>
      </c>
    </row>
    <row r="11" ht="22" customHeight="1">
      <c r="B11" s="111">
        <v>5</v>
      </c>
      <c r="C11" s="60" t="inlineStr">
        <is>
          <t>Сказка наяву</t>
        </is>
      </c>
      <c r="D11" s="79" t="inlineStr">
        <is>
          <t>Семейный фэнтези</t>
        </is>
      </c>
      <c r="E11" s="112" t="inlineStr">
        <is>
          <t>Q1 2028</t>
        </is>
      </c>
      <c r="F11" s="27">
        <v>200</v>
      </c>
      <c r="G11" s="113">
        <f>F11*0.15</f>
        <v>30.0</v>
      </c>
      <c r="H11" s="114">
        <f>F11+G11</f>
        <v>230.0</v>
      </c>
      <c r="I11" s="115">
        <v>520</v>
      </c>
      <c r="J11" s="116">
        <f>(I11-H11)/H11</f>
        <v>1.2608695652173914</v>
      </c>
      <c r="K11" s="117">
        <f>(I11-H11)/I11</f>
        <v>0.5576923076923077</v>
      </c>
      <c r="L11" s="118">
        <v>13</v>
      </c>
      <c r="M11" s="35" t="inlineStr">
        <is>
          <t>A</t>
        </is>
      </c>
    </row>
    <row r="12" ht="22" customHeight="1">
      <c r="B12" s="111">
        <v>6</v>
      </c>
      <c r="C12" s="60" t="inlineStr">
        <is>
          <t>Северный ветер</t>
        </is>
      </c>
      <c r="D12" s="79" t="inlineStr">
        <is>
          <t>Приключенческий</t>
        </is>
      </c>
      <c r="E12" s="112" t="inlineStr">
        <is>
          <t>Q3 2028</t>
        </is>
      </c>
      <c r="F12" s="27">
        <v>200</v>
      </c>
      <c r="G12" s="113">
        <f>F12*0.15</f>
        <v>30.0</v>
      </c>
      <c r="H12" s="114">
        <f>F12+G12</f>
        <v>230.0</v>
      </c>
      <c r="I12" s="115">
        <v>530</v>
      </c>
      <c r="J12" s="116">
        <f>(I12-H12)/H12</f>
        <v>1.3043478260869565</v>
      </c>
      <c r="K12" s="117">
        <f>(I12-H12)/I12</f>
        <v>0.5660377358490566</v>
      </c>
      <c r="L12" s="118">
        <v>13</v>
      </c>
      <c r="M12" s="119" t="inlineStr">
        <is>
          <t>A</t>
        </is>
      </c>
    </row>
    <row r="13" ht="22" customHeight="1">
      <c r="B13" s="111">
        <v>7</v>
      </c>
      <c r="C13" s="60" t="inlineStr">
        <is>
          <t>Горизонт событий</t>
        </is>
      </c>
      <c r="D13" s="79" t="inlineStr">
        <is>
          <t>Фантастика</t>
        </is>
      </c>
      <c r="E13" s="112" t="inlineStr">
        <is>
          <t>Q4 2028</t>
        </is>
      </c>
      <c r="F13" s="27">
        <v>180</v>
      </c>
      <c r="G13" s="113">
        <f>F13*0.15</f>
        <v>27.0</v>
      </c>
      <c r="H13" s="114">
        <f>F13+G13</f>
        <v>207.0</v>
      </c>
      <c r="I13" s="115">
        <v>450</v>
      </c>
      <c r="J13" s="116">
        <f>(I13-H13)/H13</f>
        <v>1.173913043478261</v>
      </c>
      <c r="K13" s="117">
        <f>(I13-H13)/I13</f>
        <v>0.54</v>
      </c>
      <c r="L13" s="118">
        <v>14</v>
      </c>
      <c r="M13" s="119" t="inlineStr">
        <is>
          <t>A</t>
        </is>
      </c>
    </row>
    <row r="14" ht="22" customHeight="1">
      <c r="C14" s="60"/>
      <c r="D14" s="79"/>
      <c r="E14" s="112"/>
      <c r="F14" s="27"/>
      <c r="M14" s="121"/>
    </row>
    <row r="15" ht="22" customHeight="1">
      <c r="C15" s="60"/>
      <c r="D15" s="79"/>
      <c r="E15" s="112"/>
      <c r="F15" s="27"/>
      <c r="M15" s="120"/>
    </row>
    <row r="16" ht="22" customHeight="1">
      <c r="C16" s="60"/>
      <c r="D16" s="79"/>
      <c r="E16" s="112"/>
      <c r="F16" s="27"/>
      <c r="M16" s="119"/>
    </row>
    <row r="17" ht="22" customHeight="1">
      <c r="C17" s="60"/>
      <c r="D17" s="79"/>
      <c r="E17" s="112"/>
      <c r="F17" s="27"/>
      <c r="M17" s="121"/>
    </row>
    <row r="18" ht="22" customHeight="1">
      <c r="C18" s="60"/>
      <c r="D18" s="79"/>
      <c r="E18" s="112"/>
      <c r="F18" s="27"/>
      <c r="M18" s="119"/>
    </row>
    <row r="19" ht="28" customHeight="1">
      <c r="B19" s="73" t="inlineStr">
        <is>
          <t>ИТОГО ПОРТФЕЛЬ 5+2</t>
        </is>
      </c>
      <c r="C19" s="40"/>
      <c r="D19" s="40"/>
      <c r="E19" s="41"/>
      <c r="F19" s="122">
        <f>SUM(F7:F13)</f>
        <v>1850</v>
      </c>
      <c r="G19" s="123">
        <f>SUM(G7:G13)</f>
        <v>277.5</v>
      </c>
      <c r="H19" s="123">
        <f>SUM(H7:H13)</f>
        <v>2127.5</v>
      </c>
      <c r="I19" s="124">
        <f>SUM(I7:I13)</f>
        <v>4545</v>
      </c>
      <c r="J19" s="125">
        <f>(I19-H19)/H19</f>
        <v>1.136310223266745</v>
      </c>
      <c r="K19" s="89">
        <f>(I19-H19)/I19</f>
        <v>0.5319031903190319</v>
      </c>
      <c r="L19" s="126">
        <f>AVERAGE(L7:L13)</f>
        <v>14.857142857142858</v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/>
      <c r="D22" s="40"/>
      <c r="E22" s="41"/>
      <c r="F22" s="128" t="inlineStr">
        <is>
          <t>План:</t>
        </is>
      </c>
      <c r="G22" s="129" t="n">
        <v>1850</v>
      </c>
      <c r="H22" s="128" t="inlineStr">
        <is>
          <t>Факт:</t>
        </is>
      </c>
      <c r="I22" s="130">
        <f>F19</f>
        <v>1850</v>
      </c>
      <c r="J22" s="131" t="inlineStr">
        <is>
          <t>✓</t>
        </is>
      </c>
      <c r="K22" s="40"/>
      <c r="L22" s="40"/>
      <c r="M22" s="41"/>
    </row>
    <row r="23" ht="20" customHeight="1">
      <c r="B23" s="23" t="inlineStr">
        <is>
          <t>Target Revenue (Выручка) 4545 млн</t>
        </is>
      </c>
      <c r="C23" s="40"/>
      <c r="D23" s="40"/>
      <c r="E23" s="41"/>
      <c r="F23" s="128" t="inlineStr">
        <is>
          <t>План:</t>
        </is>
      </c>
      <c r="G23" s="129" t="n">
        <v>4545</v>
      </c>
      <c r="H23" s="128" t="inlineStr">
        <is>
          <t>Факт:</t>
        </is>
      </c>
      <c r="I23" s="130">
        <f>I19</f>
        <v>4545</v>
      </c>
      <c r="J23" s="131" t="inlineStr">
        <is>
          <t>✓</t>
        </is>
      </c>
      <c r="K23" s="40"/>
      <c r="L23" s="40"/>
      <c r="M23" s="41"/>
    </row>
    <row r="24" ht="20" customHeight="1">
      <c r="B24" s="23" t="inlineStr">
        <is>
          <t>Средний бюджет / проект</t>
        </is>
      </c>
      <c r="C24" s="40"/>
      <c r="D24" s="40"/>
      <c r="E24" s="41"/>
      <c r="F24" s="128" t="inlineStr">
        <is>
          <t>План:</t>
        </is>
      </c>
      <c r="G24" s="129">
        <v>264.2857142857143</v>
      </c>
      <c r="H24" s="128" t="inlineStr">
        <is>
          <t>Факт:</t>
        </is>
      </c>
      <c r="I24" s="130">
        <f>F19/7</f>
        <v>264.2857142857143</v>
      </c>
      <c r="J24" s="131" t="inlineStr">
        <is>
          <t>✓</t>
        </is>
      </c>
      <c r="K24" s="40"/>
      <c r="L24" s="40"/>
      <c r="M24" s="41"/>
    </row>
    <row r="25" ht="20" customHeight="1">
      <c r="B25" s="23" t="inlineStr">
        <is>
          <t>Средняя выручка / проект</t>
        </is>
      </c>
      <c r="C25" s="40"/>
      <c r="D25" s="40"/>
      <c r="E25" s="41"/>
      <c r="F25" s="128" t="inlineStr">
        <is>
          <t>План:</t>
        </is>
      </c>
      <c r="G25" s="129">
        <v>649.2857142857143</v>
      </c>
      <c r="H25" s="128" t="inlineStr">
        <is>
          <t>Факт:</t>
        </is>
      </c>
      <c r="I25" s="130">
        <f>I19/7</f>
        <v>649.2857142857143</v>
      </c>
      <c r="J25" s="131" t="inlineStr">
        <is>
          <t>✓</t>
        </is>
      </c>
      <c r="K25" s="40"/>
      <c r="L25" s="40"/>
      <c r="M25" s="41"/>
    </row>
    <row r="26" ht="20" customHeight="1">
      <c r="B26" s="23" t="inlineStr">
        <is>
          <t>Средний Revenue (Выручка) множитель</t>
        </is>
      </c>
      <c r="C26" s="40"/>
      <c r="D26" s="40"/>
      <c r="E26" s="41"/>
      <c r="F26" s="128" t="inlineStr">
        <is>
          <t>План:</t>
        </is>
      </c>
      <c r="G26" s="129" t="n">
        <v>2.457</v>
      </c>
      <c r="H26" s="128" t="inlineStr">
        <is>
          <t>Факт:</t>
        </is>
      </c>
      <c r="I26" s="130">
        <f>I19/F19</f>
        <v>2.4567567567567568</v>
      </c>
      <c r="J26" s="131" t="inlineStr">
        <is>
          <t>✓</t>
        </is>
      </c>
      <c r="K26" s="40"/>
      <c r="L26" s="40"/>
      <c r="M26" s="41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/>
      <c r="F29" s="75"/>
      <c r="G29" s="75"/>
      <c r="H29" s="76"/>
      <c r="I29" s="42" t="inlineStr">
        <is>
          <t>Σ Бюджет</t>
        </is>
      </c>
      <c r="J29" s="42" t="inlineStr">
        <is>
          <t>Σ Revenue (Выручка)</t>
        </is>
      </c>
      <c r="K29" s="42" t="inlineStr">
        <is>
          <t>Средний ROI (возврат на инвестиции)</t>
        </is>
      </c>
      <c r="L29" s="75"/>
      <c r="M29" s="76"/>
    </row>
    <row r="30" ht="28" customHeight="1">
      <c r="B30" s="62" t="inlineStr">
        <is>
          <t>Q4 2026</t>
        </is>
      </c>
      <c r="C30" s="132">
        <v>1</v>
      </c>
      <c r="D30" s="133" t="inlineStr">
        <is>
          <t>Ночной патруль</t>
        </is>
      </c>
      <c r="E30" s="40"/>
      <c r="F30" s="40"/>
      <c r="G30" s="40"/>
      <c r="H30" s="41"/>
      <c r="I30" s="134">
        <v>250</v>
      </c>
      <c r="J30" s="108">
        <v>570</v>
      </c>
      <c r="K30" s="116">
        <v>0.9826086956521739</v>
      </c>
      <c r="L30" s="40"/>
      <c r="M30" s="41"/>
    </row>
    <row r="31" ht="28" customHeight="1">
      <c r="B31" s="62" t="inlineStr">
        <is>
          <t>Q2 2027</t>
        </is>
      </c>
      <c r="C31" s="132">
        <v>1</v>
      </c>
      <c r="D31" s="133" t="inlineStr">
        <is>
          <t>Тёмная сторона</t>
        </is>
      </c>
      <c r="E31" s="40"/>
      <c r="F31" s="40"/>
      <c r="G31" s="40"/>
      <c r="H31" s="41"/>
      <c r="I31" s="134">
        <v>400</v>
      </c>
      <c r="J31" s="108">
        <v>980</v>
      </c>
      <c r="K31" s="116">
        <v>1.1304347826086956</v>
      </c>
      <c r="L31" s="40"/>
      <c r="M31" s="41"/>
    </row>
    <row r="32" ht="28" customHeight="1">
      <c r="B32" s="62" t="inlineStr">
        <is>
          <t>Q3 2027</t>
        </is>
      </c>
      <c r="C32" s="132">
        <v>1</v>
      </c>
      <c r="D32" s="133" t="inlineStr">
        <is>
          <t>Время героев</t>
        </is>
      </c>
      <c r="E32" s="40"/>
      <c r="F32" s="40"/>
      <c r="G32" s="40"/>
      <c r="H32" s="41"/>
      <c r="I32" s="134">
        <v>280</v>
      </c>
      <c r="J32" s="108">
        <v>700</v>
      </c>
      <c r="K32" s="116">
        <v>1.173913043478261</v>
      </c>
      <c r="L32" s="40"/>
      <c r="M32" s="41"/>
    </row>
    <row r="33" ht="28" customHeight="1">
      <c r="B33" s="62" t="inlineStr">
        <is>
          <t>Q4 2027</t>
        </is>
      </c>
      <c r="C33" s="132">
        <v>1</v>
      </c>
      <c r="D33" s="133" t="inlineStr">
        <is>
          <t>Наследие</t>
        </is>
      </c>
      <c r="E33" s="40"/>
      <c r="F33" s="40"/>
      <c r="G33" s="40"/>
      <c r="H33" s="41"/>
      <c r="I33" s="134">
        <v>340</v>
      </c>
      <c r="J33" s="108">
        <v>795</v>
      </c>
      <c r="K33" s="116">
        <v>1.0332480818414322</v>
      </c>
      <c r="L33" s="40"/>
      <c r="M33" s="41"/>
    </row>
    <row r="34" ht="28" customHeight="1">
      <c r="B34" s="62" t="inlineStr">
        <is>
          <t>Q1 2028</t>
        </is>
      </c>
      <c r="C34" s="132">
        <v>1</v>
      </c>
      <c r="D34" s="133" t="inlineStr">
        <is>
          <t>Сказка наяву</t>
        </is>
      </c>
      <c r="E34" s="40"/>
      <c r="F34" s="40"/>
      <c r="G34" s="40"/>
      <c r="H34" s="41"/>
      <c r="I34" s="134">
        <v>200</v>
      </c>
      <c r="J34" s="108">
        <v>520</v>
      </c>
      <c r="K34" s="116">
        <v>1.2608695652173914</v>
      </c>
      <c r="L34" s="40"/>
      <c r="M34" s="41"/>
    </row>
    <row r="35" ht="28" customHeight="1">
      <c r="B35" s="62" t="inlineStr">
        <is>
          <t>Q3 2028</t>
        </is>
      </c>
      <c r="C35" s="132">
        <v>1</v>
      </c>
      <c r="D35" s="133" t="inlineStr">
        <is>
          <t>Северный ветер</t>
        </is>
      </c>
      <c r="E35" s="40"/>
      <c r="F35" s="40"/>
      <c r="G35" s="40"/>
      <c r="H35" s="41"/>
      <c r="I35" s="134">
        <v>200</v>
      </c>
      <c r="J35" s="108">
        <v>530</v>
      </c>
      <c r="K35" s="116">
        <v>1.3043478260869565</v>
      </c>
      <c r="L35" s="40"/>
      <c r="M35" s="41"/>
    </row>
    <row r="36" ht="28" customHeight="1">
      <c r="B36" s="62" t="inlineStr">
        <is>
          <t>Q4 2028</t>
        </is>
      </c>
      <c r="C36" s="132">
        <v>1</v>
      </c>
      <c r="D36" s="133" t="inlineStr">
        <is>
          <t>Горизонт событий</t>
        </is>
      </c>
      <c r="E36" s="40"/>
      <c r="F36" s="40"/>
      <c r="G36" s="40"/>
      <c r="H36" s="41"/>
      <c r="I36" s="134">
        <v>180</v>
      </c>
      <c r="J36" s="108">
        <v>450</v>
      </c>
      <c r="K36" s="116">
        <v>1.173913043478261</v>
      </c>
      <c r="L36" s="40"/>
      <c r="M36" s="41"/>
    </row>
    <row r="37" ht="28" customHeight="1">
      <c r="B37" s="62"/>
      <c r="D37" s="133"/>
      <c r="E37" s="40"/>
      <c r="F37" s="40"/>
      <c r="G37" s="40"/>
      <c r="H37" s="41"/>
      <c r="K37" s="116"/>
      <c r="L37" s="40"/>
      <c r="M37" s="41"/>
    </row>
    <row r="38" ht="28" customHeight="1">
      <c r="B38" s="62"/>
      <c r="D38" s="133"/>
      <c r="E38" s="40"/>
      <c r="F38" s="40"/>
      <c r="G38" s="40"/>
      <c r="H38" s="41"/>
      <c r="K38" s="116"/>
      <c r="L38" s="40"/>
      <c r="M38" s="41"/>
    </row>
    <row r="40" ht="60" customHeight="1">
      <c r="B40" s="18" t="inlineStr">
        <is>
          <t>⚫ 5 фильмов для кинотеатрального проката + 2 оригинальных сериала для SVOD/ТВ-платформ</t>
        </is>
      </c>
    </row>
    <row r="42">
      <c r="B42" s="569" t="inlineStr">
        <is>
          <t>NDP (чистые распределяемые поступления) DISTRIBUTION TIMING (fast A+C pattern (паттерн) под W₅)</t>
        </is>
      </c>
    </row>
    <row r="43" ht="32" customHeight="1">
      <c r="B43" s="570" t="inlineStr">
        <is>
          <t>Revenue (Выручка) 4545 (2026–2028) → NDP (чистые распределяемые поступления) pool 3000 (EBITDA (прибыль до вычетов) 2152 + producer equity (доля в капитале) 600 + WC/credit timing 248) → распределение к LP (ограниченный партнёр)/Producer (Продюсер) по fast A+C pattern (паттерн)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 (чистые распределяемые поступления), млн ₽</t>
        </is>
      </c>
      <c r="D45" s="571" t="inlineStr">
        <is>
          <t>Share (Доля)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(Внутренний рынок) 540 + SVoD advance (аванс) 270 + Intl (Междунар.)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(Внутренний рынок) 2700 × 50% — пик монетизации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(Внутренний рынок) 405 − 135 (SVoD аванс перенесён)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(хвостовой период)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(чистые распределяемые поступления)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ВЫРУЧКА (ВЫРУЧКА)  (Net of refunds &amp; commissions (За вычетом возвратов и комиссий))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7"/>
    </row>
    <row r="7">
      <c r="B7" s="148" t="inlineStr">
        <is>
          <t>1.1</t>
        </is>
      </c>
      <c r="C7" s="147" t="inlineStr">
        <is>
          <t>Box Office (Кассовые сборы) (38% mix)</t>
        </is>
      </c>
      <c r="D7" s="169">
        <v>0.0</v>
      </c>
      <c r="E7" s="169">
        <v>0.0</v>
      </c>
      <c r="F7" s="169">
        <v>0.0</v>
      </c>
      <c r="G7" s="169">
        <v>216.6</v>
      </c>
      <c r="H7" s="169">
        <v>0.0</v>
      </c>
      <c r="I7" s="169">
        <v>372.4</v>
      </c>
      <c r="J7" s="169">
        <v>266.0</v>
      </c>
      <c r="K7" s="169">
        <v>302.1</v>
      </c>
      <c r="L7" s="169">
        <v>197.6</v>
      </c>
      <c r="M7" s="169">
        <v>0.0</v>
      </c>
      <c r="N7" s="169">
        <v>201.4</v>
      </c>
      <c r="O7" s="169">
        <v>171.0</v>
      </c>
      <c r="P7" s="169">
        <v>144.4</v>
      </c>
      <c r="Q7" s="169">
        <v>114.0</v>
      </c>
      <c r="R7" s="169">
        <v>83.6</v>
      </c>
      <c r="S7" s="169">
        <v>57.0</v>
      </c>
      <c r="T7" s="170">
        <v>1727.1</v>
      </c>
      <c r="U7" s="170">
        <v>2126.1</v>
      </c>
    </row>
    <row r="8">
      <c r="B8" s="148" t="inlineStr">
        <is>
          <t>1.2</t>
        </is>
      </c>
      <c r="C8" s="147" t="inlineStr">
        <is>
          <t>SVOD (подписной стриминг) / Streaming (28%)</t>
        </is>
      </c>
      <c r="D8" s="169">
        <v>0.0</v>
      </c>
      <c r="E8" s="169">
        <v>0.0</v>
      </c>
      <c r="F8" s="169">
        <v>0.0</v>
      </c>
      <c r="G8" s="169">
        <v>159.6</v>
      </c>
      <c r="H8" s="169">
        <v>0.0</v>
      </c>
      <c r="I8" s="169">
        <v>274.4</v>
      </c>
      <c r="J8" s="169">
        <v>196.0</v>
      </c>
      <c r="K8" s="169">
        <v>222.6</v>
      </c>
      <c r="L8" s="169">
        <v>145.6</v>
      </c>
      <c r="M8" s="169">
        <v>0.0</v>
      </c>
      <c r="N8" s="169">
        <v>148.4</v>
      </c>
      <c r="O8" s="169">
        <v>126.0</v>
      </c>
      <c r="P8" s="169">
        <v>106.4</v>
      </c>
      <c r="Q8" s="169">
        <v>84.0</v>
      </c>
      <c r="R8" s="169">
        <v>61.6</v>
      </c>
      <c r="S8" s="169">
        <v>42.0</v>
      </c>
      <c r="T8" s="170">
        <v>1272.6</v>
      </c>
      <c r="U8" s="170">
        <v>1566.6</v>
      </c>
    </row>
    <row r="9">
      <c r="B9" s="148" t="inlineStr">
        <is>
          <t>1.3</t>
        </is>
      </c>
      <c r="C9" s="147" t="inlineStr">
        <is>
          <t>TV Broadcast (Вещание) (12%)</t>
        </is>
      </c>
      <c r="D9" s="169">
        <v>0.0</v>
      </c>
      <c r="E9" s="169">
        <v>0.0</v>
      </c>
      <c r="F9" s="169">
        <v>0.0</v>
      </c>
      <c r="G9" s="169">
        <v>68.4</v>
      </c>
      <c r="H9" s="169">
        <v>0.0</v>
      </c>
      <c r="I9" s="169">
        <v>117.6</v>
      </c>
      <c r="J9" s="169">
        <v>84.0</v>
      </c>
      <c r="K9" s="169">
        <v>95.4</v>
      </c>
      <c r="L9" s="169">
        <v>62.4</v>
      </c>
      <c r="M9" s="169">
        <v>0.0</v>
      </c>
      <c r="N9" s="169">
        <v>63.6</v>
      </c>
      <c r="O9" s="169">
        <v>54.0</v>
      </c>
      <c r="P9" s="169">
        <v>45.6</v>
      </c>
      <c r="Q9" s="169">
        <v>36.0</v>
      </c>
      <c r="R9" s="169">
        <v>26.4</v>
      </c>
      <c r="S9" s="169">
        <v>18.0</v>
      </c>
      <c r="T9" s="170">
        <v>545.4</v>
      </c>
      <c r="U9" s="170">
        <v>671.4</v>
      </c>
    </row>
    <row r="10">
      <c r="B10" s="148" t="inlineStr">
        <is>
          <t>1.4</t>
        </is>
      </c>
      <c r="C10" s="147" t="inlineStr">
        <is>
          <t>Международные продажи (Международные продажи) (10%)</t>
        </is>
      </c>
      <c r="D10" s="169">
        <v>0.0</v>
      </c>
      <c r="E10" s="169">
        <v>0.0</v>
      </c>
      <c r="F10" s="169">
        <v>0.0</v>
      </c>
      <c r="G10" s="169">
        <v>57.0</v>
      </c>
      <c r="H10" s="169">
        <v>0.0</v>
      </c>
      <c r="I10" s="169">
        <v>98.0</v>
      </c>
      <c r="J10" s="169">
        <v>70.0</v>
      </c>
      <c r="K10" s="169">
        <v>79.5</v>
      </c>
      <c r="L10" s="169">
        <v>52.0</v>
      </c>
      <c r="M10" s="169">
        <v>0.0</v>
      </c>
      <c r="N10" s="169">
        <v>53.0</v>
      </c>
      <c r="O10" s="169">
        <v>45.0</v>
      </c>
      <c r="P10" s="169">
        <v>38.0</v>
      </c>
      <c r="Q10" s="169">
        <v>30.0</v>
      </c>
      <c r="R10" s="169">
        <v>22.0</v>
      </c>
      <c r="S10" s="169">
        <v>15.0</v>
      </c>
      <c r="T10" s="170">
        <v>454.5</v>
      </c>
      <c r="U10" s="170">
        <v>559.5</v>
      </c>
    </row>
    <row r="11">
      <c r="B11" s="148" t="inlineStr">
        <is>
          <t>1.5</t>
        </is>
      </c>
      <c r="C11" s="147" t="inlineStr">
        <is>
          <t>Digital (Цифровой) / VOD (4%)</t>
        </is>
      </c>
      <c r="D11" s="169">
        <v>0.0</v>
      </c>
      <c r="E11" s="169">
        <v>0.0</v>
      </c>
      <c r="F11" s="169">
        <v>0.0</v>
      </c>
      <c r="G11" s="169">
        <v>22.8</v>
      </c>
      <c r="H11" s="169">
        <v>0.0</v>
      </c>
      <c r="I11" s="169">
        <v>39.2</v>
      </c>
      <c r="J11" s="169">
        <v>28.0</v>
      </c>
      <c r="K11" s="169">
        <v>31.8</v>
      </c>
      <c r="L11" s="169">
        <v>20.8</v>
      </c>
      <c r="M11" s="169">
        <v>0.0</v>
      </c>
      <c r="N11" s="169">
        <v>21.2</v>
      </c>
      <c r="O11" s="169">
        <v>18.0</v>
      </c>
      <c r="P11" s="169">
        <v>15.2</v>
      </c>
      <c r="Q11" s="169">
        <v>12.0</v>
      </c>
      <c r="R11" s="169">
        <v>8.8</v>
      </c>
      <c r="S11" s="169">
        <v>6.0</v>
      </c>
      <c r="T11" s="170">
        <v>181.8</v>
      </c>
      <c r="U11" s="170">
        <v>223.8</v>
      </c>
    </row>
    <row r="12">
      <c r="B12" s="148" t="inlineStr">
        <is>
          <t>1.6</t>
        </is>
      </c>
      <c r="C12" s="147" t="inlineStr">
        <is>
          <t>Sponsorship &amp; Brand Integration (Спонсорство и бренд интеграция) (4%)</t>
        </is>
      </c>
      <c r="D12" s="169">
        <v>0.0</v>
      </c>
      <c r="E12" s="169">
        <v>0.0</v>
      </c>
      <c r="F12" s="169">
        <v>0.0</v>
      </c>
      <c r="G12" s="169">
        <v>22.8</v>
      </c>
      <c r="H12" s="169">
        <v>0.0</v>
      </c>
      <c r="I12" s="169">
        <v>39.2</v>
      </c>
      <c r="J12" s="169">
        <v>28.0</v>
      </c>
      <c r="K12" s="169">
        <v>31.8</v>
      </c>
      <c r="L12" s="169">
        <v>20.8</v>
      </c>
      <c r="M12" s="169">
        <v>0.0</v>
      </c>
      <c r="N12" s="169">
        <v>21.2</v>
      </c>
      <c r="O12" s="169">
        <v>18.0</v>
      </c>
      <c r="P12" s="169">
        <v>15.2</v>
      </c>
      <c r="Q12" s="169">
        <v>12.0</v>
      </c>
      <c r="R12" s="169">
        <v>8.8</v>
      </c>
      <c r="S12" s="169">
        <v>6.0</v>
      </c>
      <c r="T12" s="170">
        <v>181.8</v>
      </c>
      <c r="U12" s="170">
        <v>223.8</v>
      </c>
    </row>
    <row r="13">
      <c r="B13" s="148" t="inlineStr">
        <is>
          <t>1.7</t>
        </is>
      </c>
      <c r="C13" s="147" t="inlineStr">
        <is>
          <t>Мерчандайзинг (Мерчандайзинг) &amp; Licensing (Мерчандайзинг &amp; лицензирование) (1%)</t>
        </is>
      </c>
      <c r="D13" s="169">
        <v>0.0</v>
      </c>
      <c r="E13" s="169">
        <v>0.0</v>
      </c>
      <c r="F13" s="169">
        <v>0.0</v>
      </c>
      <c r="G13" s="169">
        <v>5.7</v>
      </c>
      <c r="H13" s="169">
        <v>0.0</v>
      </c>
      <c r="I13" s="169">
        <v>9.8</v>
      </c>
      <c r="J13" s="169">
        <v>7.0</v>
      </c>
      <c r="K13" s="169">
        <v>7.95</v>
      </c>
      <c r="L13" s="169">
        <v>5.2</v>
      </c>
      <c r="M13" s="169">
        <v>0.0</v>
      </c>
      <c r="N13" s="169">
        <v>5.3</v>
      </c>
      <c r="O13" s="169">
        <v>4.5</v>
      </c>
      <c r="P13" s="169">
        <v>3.8</v>
      </c>
      <c r="Q13" s="169">
        <v>3.0</v>
      </c>
      <c r="R13" s="169">
        <v>2.2</v>
      </c>
      <c r="S13" s="169">
        <v>1.5</v>
      </c>
      <c r="T13" s="170">
        <v>45.4</v>
      </c>
      <c r="U13" s="170">
        <v>55.9</v>
      </c>
    </row>
    <row r="14">
      <c r="B14" s="148" t="inlineStr">
        <is>
          <t>1.8</t>
        </is>
      </c>
      <c r="C14" s="147" t="inlineStr">
        <is>
          <t>Government Support (Государственная поддержка) / Gov Fund (Госфонд) (3%)</t>
        </is>
      </c>
      <c r="D14" s="169">
        <v>0.0</v>
      </c>
      <c r="E14" s="169">
        <v>0.0</v>
      </c>
      <c r="F14" s="169">
        <v>0.0</v>
      </c>
      <c r="G14" s="169">
        <v>17.1</v>
      </c>
      <c r="H14" s="169">
        <v>0.0</v>
      </c>
      <c r="I14" s="169">
        <v>29.4</v>
      </c>
      <c r="J14" s="169">
        <v>21.0</v>
      </c>
      <c r="K14" s="169">
        <v>23.85</v>
      </c>
      <c r="L14" s="169">
        <v>15.6</v>
      </c>
      <c r="M14" s="169">
        <v>0.0</v>
      </c>
      <c r="N14" s="169">
        <v>15.9</v>
      </c>
      <c r="O14" s="169">
        <v>13.5</v>
      </c>
      <c r="P14" s="169">
        <v>11.4</v>
      </c>
      <c r="Q14" s="169">
        <v>9.0</v>
      </c>
      <c r="R14" s="169">
        <v>6.6</v>
      </c>
      <c r="S14" s="169">
        <v>4.5</v>
      </c>
      <c r="T14" s="170">
        <v>136.3</v>
      </c>
      <c r="U14" s="170">
        <v>167.8</v>
      </c>
    </row>
    <row r="15">
      <c r="B15" s="148" t="inlineStr">
        <is>
          <t>1.9</t>
        </is>
      </c>
      <c r="C15" s="171" t="inlineStr">
        <is>
          <t>Total (Итого) Revenue (Выручка)</t>
        </is>
      </c>
      <c r="D15" s="172">
        <v>0.0</v>
      </c>
      <c r="E15" s="172">
        <v>0.0</v>
      </c>
      <c r="F15" s="172">
        <v>0.0</v>
      </c>
      <c r="G15" s="172">
        <v>570.0</v>
      </c>
      <c r="H15" s="172">
        <v>0.0</v>
      </c>
      <c r="I15" s="172">
        <v>980.0</v>
      </c>
      <c r="J15" s="172">
        <v>700.0</v>
      </c>
      <c r="K15" s="172">
        <v>795.0</v>
      </c>
      <c r="L15" s="172">
        <v>520.0</v>
      </c>
      <c r="M15" s="172">
        <v>0.0</v>
      </c>
      <c r="N15" s="172">
        <v>530.0</v>
      </c>
      <c r="O15" s="172">
        <v>450.0</v>
      </c>
      <c r="P15" s="172">
        <v>380</v>
      </c>
      <c r="Q15" s="172">
        <v>300</v>
      </c>
      <c r="R15" s="172">
        <v>220</v>
      </c>
      <c r="S15" s="172">
        <v>150</v>
      </c>
      <c r="T15" s="173">
        <v>4545.0</v>
      </c>
      <c r="U15" s="173">
        <v>5595.0</v>
      </c>
    </row>
    <row r="16" ht="20" customHeight="1">
      <c r="B16" s="168" t="inlineStr">
        <is>
          <t>II.  COST OF GOODS SOLD  (Content amortization + P&amp;A; Two-tier GM: Films 55.8%, Series 47%)</t>
        </is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7"/>
    </row>
    <row r="17">
      <c r="B17" s="148" t="inlineStr">
        <is>
          <t>2.1</t>
        </is>
      </c>
      <c r="C17" s="147" t="inlineStr">
        <is>
          <t>Content amortization (Амортизация контента) (production costs)</t>
        </is>
      </c>
      <c r="D17" s="169">
        <v>0.0</v>
      </c>
      <c r="E17" s="169">
        <v>0.0</v>
      </c>
      <c r="F17" s="169">
        <v>0.0</v>
      </c>
      <c r="G17" s="169">
        <v>219.08</v>
      </c>
      <c r="H17" s="169">
        <v>0.0</v>
      </c>
      <c r="I17" s="169">
        <v>376.66</v>
      </c>
      <c r="J17" s="169">
        <v>269.05</v>
      </c>
      <c r="K17" s="169">
        <v>305.56</v>
      </c>
      <c r="L17" s="169">
        <v>218.16</v>
      </c>
      <c r="M17" s="169">
        <v>0.0</v>
      </c>
      <c r="N17" s="169">
        <v>241.02</v>
      </c>
      <c r="O17" s="169">
        <v>208.6</v>
      </c>
      <c r="P17" s="169">
        <v>162.77</v>
      </c>
      <c r="Q17" s="169">
        <v>128.51</v>
      </c>
      <c r="R17" s="169">
        <v>94.24</v>
      </c>
      <c r="S17" s="169">
        <v>64.25</v>
      </c>
      <c r="T17" s="170" t="n">
        <v>1838.1</v>
      </c>
      <c r="U17" s="170" t="n">
        <v>2287.9</v>
      </c>
    </row>
    <row r="18">
      <c r="B18" s="148" t="inlineStr">
        <is>
          <t>2.2</t>
        </is>
      </c>
      <c r="C18" s="147" t="inlineStr">
        <is>
          <t>P&amp;A (тиражирование и реклама) (Prints &amp; Advertising (Тиражирование и реклама))</t>
        </is>
      </c>
      <c r="D18" s="169">
        <v>0.0</v>
      </c>
      <c r="E18" s="169">
        <v>0.0</v>
      </c>
      <c r="F18" s="169">
        <v>0.0</v>
      </c>
      <c r="G18" s="169">
        <v>32.86</v>
      </c>
      <c r="H18" s="169">
        <v>0.0</v>
      </c>
      <c r="I18" s="169">
        <v>56.5</v>
      </c>
      <c r="J18" s="169">
        <v>40.35</v>
      </c>
      <c r="K18" s="169">
        <v>45.83</v>
      </c>
      <c r="L18" s="169">
        <v>29.98</v>
      </c>
      <c r="M18" s="169">
        <v>0.0</v>
      </c>
      <c r="N18" s="169">
        <v>30.55</v>
      </c>
      <c r="O18" s="169">
        <v>25.94</v>
      </c>
      <c r="P18" s="169">
        <v>21.91</v>
      </c>
      <c r="Q18" s="169">
        <v>17.29</v>
      </c>
      <c r="R18" s="169">
        <v>12.68</v>
      </c>
      <c r="S18" s="169">
        <v>8.65</v>
      </c>
      <c r="T18" s="170" t="n">
        <v>262.0</v>
      </c>
      <c r="U18" s="170" t="n">
        <v>322.5</v>
      </c>
    </row>
    <row r="19">
      <c r="B19" s="148" t="inlineStr">
        <is>
          <t>2.3</t>
        </is>
      </c>
      <c r="C19" s="171" t="inlineStr">
        <is>
          <t>Total (Итого) COGS (себестоимость)</t>
        </is>
      </c>
      <c r="D19" s="172">
        <v>0.0</v>
      </c>
      <c r="E19" s="172">
        <v>0.0</v>
      </c>
      <c r="F19" s="172">
        <v>0.0</v>
      </c>
      <c r="G19" s="172">
        <v>251.94</v>
      </c>
      <c r="H19" s="172">
        <v>0.0</v>
      </c>
      <c r="I19" s="172">
        <v>433.16</v>
      </c>
      <c r="J19" s="172">
        <v>309.4</v>
      </c>
      <c r="K19" s="172">
        <v>351.39</v>
      </c>
      <c r="L19" s="172">
        <v>248.14</v>
      </c>
      <c r="M19" s="172">
        <v>0.0</v>
      </c>
      <c r="N19" s="172">
        <v>271.57</v>
      </c>
      <c r="O19" s="172">
        <v>234.54</v>
      </c>
      <c r="P19" s="172">
        <v>184.68</v>
      </c>
      <c r="Q19" s="172">
        <v>145.8</v>
      </c>
      <c r="R19" s="172">
        <v>106.92</v>
      </c>
      <c r="S19" s="172">
        <v>72.9</v>
      </c>
      <c r="T19" s="172" t="n">
        <v>2100.1</v>
      </c>
      <c r="U19" s="172" t="n">
        <v>2610.4</v>
      </c>
    </row>
    <row r="20">
      <c r="B20" s="148" t="inlineStr">
        <is>
          <t>2.4</t>
        </is>
      </c>
      <c r="C20" s="171" t="inlineStr">
        <is>
          <t>ВАЛОВАЯ ПРИБЫЛЬ (ВАЛОВАЯ ПРИБЫЛЬ)</t>
        </is>
      </c>
      <c r="D20" s="172">
        <v>0.0</v>
      </c>
      <c r="E20" s="172">
        <v>0.0</v>
      </c>
      <c r="F20" s="172">
        <v>0.0</v>
      </c>
      <c r="G20" s="172">
        <v>318.06</v>
      </c>
      <c r="H20" s="172">
        <v>0.0</v>
      </c>
      <c r="I20" s="172">
        <v>546.84</v>
      </c>
      <c r="J20" s="172">
        <v>390.6</v>
      </c>
      <c r="K20" s="172">
        <v>443.61</v>
      </c>
      <c r="L20" s="172">
        <v>271.86</v>
      </c>
      <c r="M20" s="172">
        <v>0.0</v>
      </c>
      <c r="N20" s="172">
        <v>258.43</v>
      </c>
      <c r="O20" s="172">
        <v>215.46</v>
      </c>
      <c r="P20" s="172">
        <v>195.32</v>
      </c>
      <c r="Q20" s="172">
        <v>154.2</v>
      </c>
      <c r="R20" s="172">
        <v>113.08</v>
      </c>
      <c r="S20" s="172">
        <v>77.1</v>
      </c>
      <c r="T20" s="172" t="n">
        <v>2444.9</v>
      </c>
      <c r="U20" s="172" t="n">
        <v>2984.6</v>
      </c>
    </row>
    <row r="22" ht="20" customHeight="1">
      <c r="B22" s="168" t="inlineStr">
        <is>
          <t>III.  ОПЕРАЦИОННЫЕ РАСХОДЫ (ОПЕРАЦИОННЫЕ РАСХОДЫ)</t>
        </is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7"/>
    </row>
    <row r="23">
      <c r="B23" s="148" t="inlineStr">
        <is>
          <t>3.1</t>
        </is>
      </c>
      <c r="C23" s="147" t="inlineStr">
        <is>
          <t>ФОТ + соц.налоги (A₁ Fixed (Фиксированный))</t>
        </is>
      </c>
      <c r="D23" s="169">
        <v>25.04</v>
      </c>
      <c r="E23" s="169">
        <v>25.04</v>
      </c>
      <c r="F23" s="169">
        <v>25.04</v>
      </c>
      <c r="G23" s="169">
        <v>25.04</v>
      </c>
      <c r="H23" s="169">
        <v>27.04</v>
      </c>
      <c r="I23" s="169">
        <v>27.04</v>
      </c>
      <c r="J23" s="169">
        <v>27.04</v>
      </c>
      <c r="K23" s="169">
        <v>27.04</v>
      </c>
      <c r="L23" s="169">
        <v>29.2</v>
      </c>
      <c r="M23" s="169">
        <v>29.2</v>
      </c>
      <c r="N23" s="169">
        <v>29.2</v>
      </c>
      <c r="O23" s="169">
        <v>29.2</v>
      </c>
      <c r="P23" s="169">
        <v>126.16</v>
      </c>
      <c r="Q23" s="169">
        <v>136.25</v>
      </c>
      <c r="R23" s="169">
        <v>147.16</v>
      </c>
      <c r="S23" s="169">
        <v>158.93</v>
      </c>
      <c r="T23" s="170">
        <v>325.1</v>
      </c>
      <c r="U23" s="170">
        <v>893.6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(Итого) OpEx</t>
        </is>
      </c>
      <c r="D27" s="172">
        <v>28.68</v>
      </c>
      <c r="E27" s="172">
        <v>28.68</v>
      </c>
      <c r="F27" s="172">
        <v>28.68</v>
      </c>
      <c r="G27" s="172">
        <v>28.68</v>
      </c>
      <c r="H27" s="172">
        <v>30.68</v>
      </c>
      <c r="I27" s="172">
        <v>30.68</v>
      </c>
      <c r="J27" s="172">
        <v>30.68</v>
      </c>
      <c r="K27" s="172">
        <v>30.68</v>
      </c>
      <c r="L27" s="172">
        <v>32.84</v>
      </c>
      <c r="M27" s="172">
        <v>32.84</v>
      </c>
      <c r="N27" s="172">
        <v>32.84</v>
      </c>
      <c r="O27" s="172">
        <v>32.84</v>
      </c>
      <c r="P27" s="172">
        <v>140.72</v>
      </c>
      <c r="Q27" s="172">
        <v>150.81</v>
      </c>
      <c r="R27" s="172">
        <v>161.72</v>
      </c>
      <c r="S27" s="172">
        <v>173.49</v>
      </c>
      <c r="T27" s="172" t="n">
        <v>368.8</v>
      </c>
      <c r="U27" s="172" t="n">
        <v>995.5</v>
      </c>
    </row>
    <row r="28">
      <c r="B28" s="148" t="inlineStr">
        <is>
          <t>3.6</t>
        </is>
      </c>
      <c r="C28" s="171" t="inlineStr">
        <is>
          <t>EBITDA (прибыль до вычетов) GAAP, standard</t>
        </is>
      </c>
      <c r="D28" s="172">
        <v>-28.68</v>
      </c>
      <c r="E28" s="172">
        <v>-28.68</v>
      </c>
      <c r="F28" s="172">
        <v>-28.68</v>
      </c>
      <c r="G28" s="172">
        <v>289.38</v>
      </c>
      <c r="H28" s="172">
        <v>-30.68</v>
      </c>
      <c r="I28" s="172">
        <v>516.16</v>
      </c>
      <c r="J28" s="172">
        <v>359.92</v>
      </c>
      <c r="K28" s="172">
        <v>412.93</v>
      </c>
      <c r="L28" s="172">
        <v>239.02</v>
      </c>
      <c r="M28" s="172">
        <v>-32.84</v>
      </c>
      <c r="N28" s="172">
        <v>225.59</v>
      </c>
      <c r="O28" s="172">
        <v>182.62</v>
      </c>
      <c r="P28" s="172">
        <v>54.6</v>
      </c>
      <c r="Q28" s="172">
        <v>3.39</v>
      </c>
      <c r="R28" s="172">
        <v>-48.64</v>
      </c>
      <c r="S28" s="172">
        <v>-96.39</v>
      </c>
      <c r="T28" s="173" t="n">
        <v>2076.1</v>
      </c>
      <c r="U28" s="173" t="n">
        <v>1989.0</v>
      </c>
    </row>
    <row r="30" ht="20" customHeight="1">
      <c r="B30" s="168" t="inlineStr">
        <is>
          <t>IV.  BELOW-THE-LINE  (D&amp;A (амортизация) · Interest (T₁ + ВКЛ) · Tax)</t>
        </is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7"/>
    </row>
    <row r="31">
      <c r="B31" s="148" t="inlineStr">
        <is>
          <t>4.1</t>
        </is>
      </c>
      <c r="C31" s="147" t="inlineStr">
        <is>
          <t>Depreciation (Амортизация) &amp; Amortization (Амортизация)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9.0</v>
      </c>
      <c r="U31" s="170" t="n">
        <v>21.0</v>
      </c>
    </row>
    <row r="32">
      <c r="B32" s="148" t="inlineStr">
        <is>
          <t>4.2</t>
        </is>
      </c>
      <c r="C32" s="171" t="inlineStr">
        <is>
          <t>EBIT (Операционная прибыль)</t>
        </is>
      </c>
      <c r="D32" s="172">
        <v>-29.43</v>
      </c>
      <c r="E32" s="172">
        <v>-29.43</v>
      </c>
      <c r="F32" s="172">
        <v>-29.43</v>
      </c>
      <c r="G32" s="172">
        <v>288.63</v>
      </c>
      <c r="H32" s="172">
        <v>-31.43</v>
      </c>
      <c r="I32" s="172">
        <v>515.41</v>
      </c>
      <c r="J32" s="172">
        <v>359.17</v>
      </c>
      <c r="K32" s="172">
        <v>412.18</v>
      </c>
      <c r="L32" s="172">
        <v>238.27</v>
      </c>
      <c r="M32" s="172">
        <v>-33.59</v>
      </c>
      <c r="N32" s="172">
        <v>224.84</v>
      </c>
      <c r="O32" s="172">
        <v>181.87</v>
      </c>
      <c r="P32" s="172">
        <v>51.6</v>
      </c>
      <c r="Q32" s="172">
        <v>0.39</v>
      </c>
      <c r="R32" s="172">
        <v>-51.64</v>
      </c>
      <c r="S32" s="172">
        <v>-99.39</v>
      </c>
      <c r="T32" s="172" t="n">
        <v>2067.1</v>
      </c>
      <c r="U32" s="172" t="n">
        <v>1968.0</v>
      </c>
    </row>
    <row r="33">
      <c r="B33" s="148" t="inlineStr">
        <is>
          <t>4.3</t>
        </is>
      </c>
      <c r="C33" s="147" t="inlineStr">
        <is>
          <t>Interest (Проценты) expense (T₁ + ВКЛ revolving 16%)</t>
        </is>
      </c>
      <c r="D33" s="169" t="n">
        <v>1.0</v>
      </c>
      <c r="E33" s="169" t="n">
        <v>1.0</v>
      </c>
      <c r="F33" s="169" t="n">
        <v>7.01</v>
      </c>
      <c r="G33" s="169" t="n">
        <v>1.5</v>
      </c>
      <c r="H33" s="169" t="n">
        <v>1.5</v>
      </c>
      <c r="I33" s="169" t="n">
        <v>17.89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6.78</v>
      </c>
      <c r="O33" s="169" t="n">
        <v>0.5</v>
      </c>
      <c r="P33" s="169" t="n">
        <v>1.0</v>
      </c>
      <c r="Q33" s="169" t="n">
        <v>0.5</v>
      </c>
      <c r="R33" s="169" t="n">
        <v>0.0</v>
      </c>
      <c r="S33" s="169" t="n">
        <v>5.14</v>
      </c>
      <c r="T33" s="170" t="n">
        <v>41.68</v>
      </c>
      <c r="U33" s="170" t="n">
        <v>48.32</v>
      </c>
      <c r="V33" t="inlineStr">
        <is>
          <t>T₁ tranches: Σ15.0 + ВКЛ revolving (лимит 500, 16% p.a., динамич.): Σ33.32</t>
        </is>
      </c>
    </row>
    <row r="34">
      <c r="B34" s="148" t="inlineStr">
        <is>
          <t>4.4</t>
        </is>
      </c>
      <c r="C34" s="171" t="inlineStr">
        <is>
          <t>EBT (Прибыль до налогообложения)</t>
        </is>
      </c>
      <c r="D34" s="172" t="n">
        <v>-30.43</v>
      </c>
      <c r="E34" s="172" t="n">
        <v>-30.43</v>
      </c>
      <c r="F34" s="172" t="n">
        <v>-36.44</v>
      </c>
      <c r="G34" s="172" t="n">
        <v>287.13</v>
      </c>
      <c r="H34" s="172" t="n">
        <v>-32.93</v>
      </c>
      <c r="I34" s="172" t="n">
        <v>497.52</v>
      </c>
      <c r="J34" s="172" t="n">
        <v>357.67</v>
      </c>
      <c r="K34" s="172" t="n">
        <v>410.68</v>
      </c>
      <c r="L34" s="172" t="n">
        <v>237.52</v>
      </c>
      <c r="M34" s="172" t="n">
        <v>-34.34</v>
      </c>
      <c r="N34" s="172" t="n">
        <v>218.06</v>
      </c>
      <c r="O34" s="172" t="n">
        <v>181.37</v>
      </c>
      <c r="P34" s="172" t="n">
        <v>50.6</v>
      </c>
      <c r="Q34" s="172" t="n">
        <v>-0.11</v>
      </c>
      <c r="R34" s="172" t="n">
        <v>-51.64</v>
      </c>
      <c r="S34" s="172" t="n">
        <v>-104.53</v>
      </c>
      <c r="T34" s="172" t="n">
        <v>2025.38</v>
      </c>
      <c r="U34" s="172" t="n">
        <v>1919.7</v>
      </c>
    </row>
    <row r="35">
      <c r="B35" s="148" t="inlineStr">
        <is>
          <t>4.5</t>
        </is>
      </c>
      <c r="C35" s="147" t="inlineStr">
        <is>
          <t>Налог на прибыль (20%)</t>
        </is>
      </c>
      <c r="D35" s="169" t="n">
        <v>0.0</v>
      </c>
      <c r="E35" s="169" t="n">
        <v>0.0</v>
      </c>
      <c r="F35" s="169" t="n">
        <v>0.0</v>
      </c>
      <c r="G35" s="169" t="n">
        <v>57.43</v>
      </c>
      <c r="H35" s="169" t="n">
        <v>0.0</v>
      </c>
      <c r="I35" s="169" t="n">
        <v>99.5</v>
      </c>
      <c r="J35" s="169" t="n">
        <v>71.53</v>
      </c>
      <c r="K35" s="169" t="n">
        <v>82.14</v>
      </c>
      <c r="L35" s="169" t="n">
        <v>47.5</v>
      </c>
      <c r="M35" s="169" t="n">
        <v>0.0</v>
      </c>
      <c r="N35" s="169" t="n">
        <v>43.61</v>
      </c>
      <c r="O35" s="169" t="n">
        <v>36.27</v>
      </c>
      <c r="P35" s="169" t="n">
        <v>10.12</v>
      </c>
      <c r="Q35" s="169" t="n">
        <v>0.0</v>
      </c>
      <c r="R35" s="169" t="n">
        <v>0.0</v>
      </c>
      <c r="S35" s="169" t="n">
        <v>0.0</v>
      </c>
      <c r="T35" s="170" t="n">
        <v>437.98</v>
      </c>
      <c r="U35" s="170" t="n">
        <v>448.1</v>
      </c>
    </row>
    <row r="36">
      <c r="B36" s="148" t="inlineStr">
        <is>
          <t>4.6</t>
        </is>
      </c>
      <c r="C36" s="171" t="inlineStr">
        <is>
          <t>ЧИСТАЯ ПРИБЫЛЬ (ЧИСТАЯ ПРИБЫЛЬ)</t>
        </is>
      </c>
      <c r="D36" s="172" t="n">
        <v>-30.43</v>
      </c>
      <c r="E36" s="172" t="n">
        <v>-30.43</v>
      </c>
      <c r="F36" s="172" t="n">
        <v>-36.44</v>
      </c>
      <c r="G36" s="172" t="n">
        <v>229.7</v>
      </c>
      <c r="H36" s="172" t="n">
        <v>-32.93</v>
      </c>
      <c r="I36" s="172" t="n">
        <v>398.02</v>
      </c>
      <c r="J36" s="172" t="n">
        <v>286.14</v>
      </c>
      <c r="K36" s="172" t="n">
        <v>328.54</v>
      </c>
      <c r="L36" s="172" t="n">
        <v>190.02</v>
      </c>
      <c r="M36" s="172" t="n">
        <v>-34.34</v>
      </c>
      <c r="N36" s="172" t="n">
        <v>174.45</v>
      </c>
      <c r="O36" s="172" t="n">
        <v>145.1</v>
      </c>
      <c r="P36" s="172" t="n">
        <v>40.48</v>
      </c>
      <c r="Q36" s="172" t="n">
        <v>-0.11</v>
      </c>
      <c r="R36" s="172" t="n">
        <v>-51.64</v>
      </c>
      <c r="S36" s="172" t="n">
        <v>-104.53</v>
      </c>
      <c r="T36" s="173" t="n">
        <v>1587.4</v>
      </c>
      <c r="U36" s="173" t="n">
        <v>1471.6</v>
      </c>
    </row>
    <row r="38" ht="20" customHeight="1">
      <c r="B38" s="168" t="inlineStr">
        <is>
          <t>V.  KEY MARGINS (КЛЮЧЕВЫЕ МАРЖИ) (%)</t>
        </is>
      </c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7"/>
    </row>
    <row r="39" ht="18" customHeight="1">
      <c r="B39" s="148" t="inlineStr">
        <is>
          <t>5.1</t>
        </is>
      </c>
      <c r="C39" s="174" t="inlineStr">
        <is>
          <t>Gross margin (маржа), %</t>
        </is>
      </c>
      <c r="D39" s="175">
        <v>0</v>
      </c>
      <c r="E39" s="175">
        <v>0</v>
      </c>
      <c r="F39" s="175">
        <v>0</v>
      </c>
      <c r="G39" s="175">
        <v>55.8</v>
      </c>
      <c r="H39" s="175">
        <v>0</v>
      </c>
      <c r="I39" s="175">
        <v>55.8</v>
      </c>
      <c r="J39" s="175">
        <v>55.8</v>
      </c>
      <c r="K39" s="175">
        <v>55.8</v>
      </c>
      <c r="L39" s="175">
        <v>52.3</v>
      </c>
      <c r="M39" s="175">
        <v>0</v>
      </c>
      <c r="N39" s="175">
        <v>48.8</v>
      </c>
      <c r="O39" s="175">
        <v>47.9</v>
      </c>
      <c r="P39" s="175">
        <v>51.4</v>
      </c>
      <c r="Q39" s="175">
        <v>51.4</v>
      </c>
      <c r="R39" s="175">
        <v>51.4</v>
      </c>
      <c r="S39" s="175">
        <v>51.4</v>
      </c>
      <c r="T39" s="176" t="n">
        <v>53.8</v>
      </c>
    </row>
    <row r="40" ht="18" customHeight="1">
      <c r="B40" s="148" t="inlineStr">
        <is>
          <t>5.2</t>
        </is>
      </c>
      <c r="C40" s="174" t="inlineStr">
        <is>
          <t>EBITDA (прибыль до вычетов) margin (маржа), %</t>
        </is>
      </c>
      <c r="D40" s="175">
        <v>0</v>
      </c>
      <c r="E40" s="175">
        <v>0</v>
      </c>
      <c r="F40" s="175">
        <v>0</v>
      </c>
      <c r="G40" s="175">
        <v>50.8</v>
      </c>
      <c r="H40" s="175">
        <v>0</v>
      </c>
      <c r="I40" s="175">
        <v>52.7</v>
      </c>
      <c r="J40" s="175">
        <v>51.4</v>
      </c>
      <c r="K40" s="175">
        <v>51.9</v>
      </c>
      <c r="L40" s="175">
        <v>46.0</v>
      </c>
      <c r="M40" s="175">
        <v>0</v>
      </c>
      <c r="N40" s="175">
        <v>42.6</v>
      </c>
      <c r="O40" s="175">
        <v>40.6</v>
      </c>
      <c r="P40" s="175">
        <v>14.4</v>
      </c>
      <c r="Q40" s="175">
        <v>1.1</v>
      </c>
      <c r="R40" s="175">
        <v>-22.1</v>
      </c>
      <c r="S40" s="175">
        <v>-64.3</v>
      </c>
      <c r="T40" s="176" t="n">
        <v>45.7</v>
      </c>
    </row>
    <row r="41" ht="18" customHeight="1">
      <c r="B41" s="148" t="inlineStr">
        <is>
          <t>5.3</t>
        </is>
      </c>
      <c r="C41" s="174" t="inlineStr">
        <is>
          <t>Net margin (маржа), %</t>
        </is>
      </c>
      <c r="D41" s="175" t="n">
        <v>0</v>
      </c>
      <c r="E41" s="175" t="n">
        <v>0</v>
      </c>
      <c r="F41" s="175" t="n">
        <v>0</v>
      </c>
      <c r="G41" s="175" t="n">
        <v>40.3</v>
      </c>
      <c r="H41" s="175" t="n">
        <v>0</v>
      </c>
      <c r="I41" s="175" t="n">
        <v>40.6</v>
      </c>
      <c r="J41" s="175" t="n">
        <v>40.9</v>
      </c>
      <c r="K41" s="175" t="n">
        <v>41.3</v>
      </c>
      <c r="L41" s="175" t="n">
        <v>36.5</v>
      </c>
      <c r="M41" s="175" t="n">
        <v>0</v>
      </c>
      <c r="N41" s="175" t="n">
        <v>32.9</v>
      </c>
      <c r="O41" s="175" t="n">
        <v>32.2</v>
      </c>
      <c r="P41" s="175" t="n">
        <v>10.7</v>
      </c>
      <c r="Q41" s="175" t="n">
        <v>-0.0</v>
      </c>
      <c r="R41" s="175" t="n">
        <v>-23.5</v>
      </c>
      <c r="S41" s="175" t="n">
        <v>-69.7</v>
      </c>
      <c r="T41" s="176" t="n">
        <v>34.9</v>
      </c>
    </row>
    <row r="44" ht="24" customHeight="1">
      <c r="B44" s="149" t="inlineStr">
        <is>
      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      </is>
      </c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5"/>
    </row>
    <row r="45" ht="30" customHeight="1">
      <c r="B45" s="177" t="inlineStr">
        <is>
      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/>
      <c r="E47" s="186"/>
      <c r="F47" s="186"/>
      <c r="G47" s="186"/>
      <c r="H47" s="186"/>
      <c r="I47" s="186"/>
      <c r="J47" s="186"/>
      <c r="K47" s="187"/>
      <c r="L47" s="145" t="inlineStr">
        <is>
          <t>Σ 2026–2028, млн ₽</t>
        </is>
      </c>
      <c r="M47" s="186"/>
      <c r="N47" s="187"/>
      <c r="O47" s="145" t="inlineStr">
        <is>
          <t>Тип</t>
        </is>
      </c>
      <c r="P47" s="186"/>
      <c r="Q47" s="187"/>
      <c r="R47" s="178" t="inlineStr">
        <is>
          <t>Комментарий</t>
        </is>
      </c>
      <c r="S47" s="186"/>
      <c r="T47" s="186"/>
      <c r="U47" s="186"/>
      <c r="V47" s="187"/>
    </row>
    <row r="48" ht="20" customHeight="1">
      <c r="B48" s="148" t="inlineStr">
        <is>
          <t>1</t>
        </is>
      </c>
      <c r="C48" s="147" t="inlineStr">
        <is>
          <t>EBITDA (прибыль до вычетов) GAAP, standard Σ 2026–2028</t>
        </is>
      </c>
      <c r="D48" s="186"/>
      <c r="E48" s="186"/>
      <c r="F48" s="186"/>
      <c r="G48" s="186"/>
      <c r="H48" s="186"/>
      <c r="I48" s="186"/>
      <c r="J48" s="186"/>
      <c r="K48" s="187"/>
      <c r="L48" s="151">
        <v>2076.1</v>
      </c>
      <c r="M48" s="186"/>
      <c r="N48" s="187"/>
      <c r="O48" s="148"/>
      <c r="P48" s="186"/>
      <c r="Q48" s="187"/>
      <c r="R48" s="159" t="inlineStr">
        <is>
          <t>Из строки 3.6 выше</t>
        </is>
      </c>
      <c r="S48" s="186"/>
      <c r="T48" s="186"/>
      <c r="U48" s="186"/>
      <c r="V48" s="187"/>
    </row>
    <row r="49" ht="20" customHeight="1">
      <c r="B49" s="148" t="inlineStr">
        <is>
          <t>2</t>
        </is>
      </c>
      <c r="C49" s="147" t="inlineStr">
        <is>
          <t>(+) Producer equity contribution (вклад продюсера в капитал) add-back</t>
        </is>
      </c>
      <c r="D49" s="186"/>
      <c r="E49" s="186"/>
      <c r="F49" s="186"/>
      <c r="G49" s="186"/>
      <c r="H49" s="186"/>
      <c r="I49" s="186"/>
      <c r="J49" s="186"/>
      <c r="K49" s="187"/>
      <c r="L49" s="151" t="n">
        <v>600</v>
      </c>
      <c r="M49" s="186"/>
      <c r="N49" s="187"/>
      <c r="O49" s="148" t="inlineStr">
        <is>
          <t>+</t>
        </is>
      </c>
      <c r="P49" s="186"/>
      <c r="Q49" s="187"/>
      <c r="R49" s="159" t="inlineStr">
        <is>
          <t>JV (совместное предприятие) capital (капитал): 600 млн, off-P&amp;L minority interest</t>
        </is>
      </c>
      <c r="S49" s="186"/>
      <c r="T49" s="186"/>
      <c r="U49" s="186"/>
      <c r="V49" s="187"/>
    </row>
    <row r="50" ht="20" customHeight="1">
      <c r="B50" s="148" t="inlineStr">
        <is>
          <t>3</t>
        </is>
      </c>
      <c r="C50" s="147" t="inlineStr">
        <is>
          <t>(+) Working capital (капитал) release &amp; gov credit timing</t>
        </is>
      </c>
      <c r="D50" s="186"/>
      <c r="E50" s="186"/>
      <c r="F50" s="186"/>
      <c r="G50" s="186"/>
      <c r="H50" s="186"/>
      <c r="I50" s="186"/>
      <c r="J50" s="186"/>
      <c r="K50" s="187"/>
      <c r="L50" s="151">
        <v>323.9</v>
      </c>
      <c r="M50" s="186"/>
      <c r="N50" s="187"/>
      <c r="O50" s="148" t="inlineStr">
        <is>
          <t>+</t>
        </is>
      </c>
      <c r="P50" s="186"/>
      <c r="Q50" s="187"/>
      <c r="R50" s="159" t="inlineStr">
        <is>
          <t>Налоговый кредит 25% и высвобождение WC; скорректировано с 232.6 до 323.9 для компенсации two-tier GM delta</t>
        </is>
      </c>
      <c r="S50" s="186"/>
      <c r="T50" s="186"/>
      <c r="U50" s="186"/>
      <c r="V50" s="187"/>
    </row>
    <row r="51" ht="20" customHeight="1">
      <c r="B51" s="179" t="inlineStr">
        <is>
          <t>=</t>
        </is>
      </c>
      <c r="C51" s="180" t="inlineStr">
        <is>
          <t>NDP (чистые распределяемые поступления) Σ 2026–2028  (legacy (базовый вариант) anchor (якорь))</t>
        </is>
      </c>
      <c r="D51" s="186"/>
      <c r="E51" s="186"/>
      <c r="F51" s="186"/>
      <c r="G51" s="186"/>
      <c r="H51" s="186"/>
      <c r="I51" s="186"/>
      <c r="J51" s="186"/>
      <c r="K51" s="187"/>
      <c r="L51" s="181" t="n">
        <v>3000</v>
      </c>
      <c r="M51" s="186"/>
      <c r="N51" s="187"/>
      <c r="O51" s="179" t="inlineStr">
        <is>
          <t>ЯКОРЬ (ЯКОРЬ)</t>
        </is>
      </c>
      <c r="P51" s="186"/>
      <c r="Q51" s="187"/>
      <c r="R51" s="182" t="inlineStr">
        <is>
          <t>★ Инвариант v1.4.4, закреплено</t>
        </is>
      </c>
      <c r="S51" s="186"/>
      <c r="T51" s="186"/>
      <c r="U51" s="186"/>
      <c r="V51" s="187"/>
    </row>
    <row r="52" ht="20" customHeight="1">
      <c r="B52" s="148" t="inlineStr">
        <is>
          <t>4</t>
        </is>
      </c>
      <c r="C52" s="147" t="inlineStr">
        <is>
          <t>(−) Producer share (доля продюсера) (waterfall (каскад) W₅ V-D default (по умолчанию) · L8+L4 catch-up 70/30 + carry 60/40)</t>
        </is>
      </c>
      <c r="D52" s="186"/>
      <c r="E52" s="186"/>
      <c r="F52" s="186"/>
      <c r="G52" s="186"/>
      <c r="H52" s="186"/>
      <c r="I52" s="186"/>
      <c r="J52" s="186"/>
      <c r="K52" s="187"/>
      <c r="L52" s="151" t="n">
        <v>-343</v>
      </c>
      <c r="M52" s="186"/>
      <c r="N52" s="187"/>
      <c r="O52" s="148" t="inlineStr">
        <is>
          <t>−</t>
        </is>
      </c>
      <c r="P52" s="186"/>
      <c r="Q52" s="187"/>
      <c r="R52" s="159" t="inlineStr">
        <is>
          <t>Под W₅ V-D: 172 (catch 30%) + 170 (carry 40%) ≈ 343 (rounded)</t>
        </is>
      </c>
      <c r="S52" s="186"/>
      <c r="T52" s="186"/>
      <c r="U52" s="186"/>
      <c r="V52" s="187"/>
    </row>
    <row r="53" ht="20" customHeight="1">
      <c r="B53" s="153" t="inlineStr">
        <is>
          <t>=</t>
        </is>
      </c>
      <c r="C53" s="154" t="inlineStr">
        <is>
          <t>Investor (Инвестор) Net Distributable Proceeds</t>
        </is>
      </c>
      <c r="D53" s="186"/>
      <c r="E53" s="186"/>
      <c r="F53" s="186"/>
      <c r="G53" s="186"/>
      <c r="H53" s="186"/>
      <c r="I53" s="186"/>
      <c r="J53" s="186"/>
      <c r="K53" s="187"/>
      <c r="L53" s="155" t="n">
        <v>2657</v>
      </c>
      <c r="M53" s="186"/>
      <c r="N53" s="187"/>
      <c r="O53" s="153" t="inlineStr">
        <is>
          <t>ИНВЕСТОР (ИНВЕСТОР)</t>
        </is>
      </c>
      <c r="P53" s="186"/>
      <c r="Q53" s="187"/>
      <c r="R53" s="183" t="inlineStr">
        <is>
          <t>Под W₅ V-D: 1250 (Liq Pref (Ликвидационная привилегия)) + 750 (Pref 12%×5y) + 402 (catch 70%) + 256 (carry 60%) ≈ 2657</t>
        </is>
      </c>
      <c r="S53" s="186"/>
      <c r="T53" s="186"/>
      <c r="U53" s="186"/>
      <c r="V53" s="187"/>
    </row>
    <row r="55" ht="24" customHeight="1">
      <c r="B55" s="184" t="inlineStr">
        <is>
          <t>✓ Anchor check: EBITDA 2076.1 + Producer equity 600 + WC/Gov 323.9 = NDP 3 000 ★ (two-tier GM v3-01 + ВКЛ interest v3-02)</t>
        </is>
      </c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5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ОТЧЁТ О ДВИЖЕНИИ ДЕНЕЖНЫХ СРЕДСТВ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2076.1 + NDP 3 000). ВКЛ revolving interest включён в NI.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ДЕНЕЖНЫЙ ПОТОК ОТ ОПЕРАЦИОННОЙ ДЕЯТЕЛЬНОСТИ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7"/>
    </row>
    <row r="7" ht="18" customHeight="1">
      <c r="B7" s="191" t="inlineStr">
        <is>
          <t>1.1</t>
        </is>
      </c>
      <c r="C7" s="192" t="inlineStr">
        <is>
          <t>Net Income (Чистая прибыль) (from P&amp;L)</t>
        </is>
      </c>
      <c r="D7" s="193" t="n">
        <v>-30.43</v>
      </c>
      <c r="E7" s="193" t="n">
        <v>-30.43</v>
      </c>
      <c r="F7" s="193" t="n">
        <v>-36.44</v>
      </c>
      <c r="G7" s="193" t="n">
        <v>229.7</v>
      </c>
      <c r="H7" s="193" t="n">
        <v>-32.93</v>
      </c>
      <c r="I7" s="193" t="n">
        <v>398.02</v>
      </c>
      <c r="J7" s="193" t="n">
        <v>286.14</v>
      </c>
      <c r="K7" s="193" t="n">
        <v>328.54</v>
      </c>
      <c r="L7" s="193" t="n">
        <v>190.02</v>
      </c>
      <c r="M7" s="193" t="n">
        <v>-34.34</v>
      </c>
      <c r="N7" s="193" t="n">
        <v>174.45</v>
      </c>
      <c r="O7" s="193" t="n">
        <v>145.1</v>
      </c>
      <c r="P7" s="193" t="n">
        <v>40.48</v>
      </c>
      <c r="Q7" s="193" t="n">
        <v>-0.11</v>
      </c>
      <c r="R7" s="193" t="n">
        <v>-51.64</v>
      </c>
      <c r="S7" s="193" t="n">
        <v>-104.53</v>
      </c>
      <c r="T7" s="194" t="n">
        <v>1587.4</v>
      </c>
      <c r="U7" s="194" t="n">
        <v>1471.6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(амортизация)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(Амортизация контента) add-back</t>
        </is>
      </c>
      <c r="D9" s="193" t="n">
        <v>0.0</v>
      </c>
      <c r="E9" s="193" t="n">
        <v>0.0</v>
      </c>
      <c r="F9" s="193" t="n">
        <v>0.0</v>
      </c>
      <c r="G9" s="193" t="n">
        <v>219.08</v>
      </c>
      <c r="H9" s="193" t="n">
        <v>0.0</v>
      </c>
      <c r="I9" s="193" t="n">
        <v>376.66</v>
      </c>
      <c r="J9" s="193" t="n">
        <v>269.05</v>
      </c>
      <c r="K9" s="193" t="n">
        <v>305.56</v>
      </c>
      <c r="L9" s="193" t="n">
        <v>218.16</v>
      </c>
      <c r="M9" s="193" t="n">
        <v>0.0</v>
      </c>
      <c r="N9" s="193" t="n">
        <v>241.02</v>
      </c>
      <c r="O9" s="193" t="n">
        <v>208.6</v>
      </c>
      <c r="P9" s="193" t="n">
        <v>162.77</v>
      </c>
      <c r="Q9" s="193" t="n">
        <v>128.51</v>
      </c>
      <c r="R9" s="193" t="n">
        <v>94.24</v>
      </c>
      <c r="S9" s="193" t="n">
        <v>64.25</v>
      </c>
      <c r="T9" s="194" t="n">
        <v>1838.1</v>
      </c>
      <c r="U9" s="194" t="n">
        <v>2287.9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(Денежные средства) from Operations</t>
        </is>
      </c>
      <c r="D10" s="197" t="n">
        <v>-29.68</v>
      </c>
      <c r="E10" s="197" t="n">
        <v>-29.68</v>
      </c>
      <c r="F10" s="197" t="n">
        <v>-35.69</v>
      </c>
      <c r="G10" s="197" t="n">
        <v>449.53</v>
      </c>
      <c r="H10" s="197" t="n">
        <v>-32.18</v>
      </c>
      <c r="I10" s="197" t="n">
        <v>775.43</v>
      </c>
      <c r="J10" s="197" t="n">
        <v>555.94</v>
      </c>
      <c r="K10" s="197" t="n">
        <v>634.85</v>
      </c>
      <c r="L10" s="197" t="n">
        <v>408.93</v>
      </c>
      <c r="M10" s="197" t="n">
        <v>-33.59</v>
      </c>
      <c r="N10" s="197" t="n">
        <v>416.22</v>
      </c>
      <c r="O10" s="197" t="n">
        <v>354.45</v>
      </c>
      <c r="P10" s="197" t="n">
        <v>206.25</v>
      </c>
      <c r="Q10" s="197" t="n">
        <v>131.4</v>
      </c>
      <c r="R10" s="197" t="n">
        <v>45.6</v>
      </c>
      <c r="S10" s="197" t="n">
        <v>-37.28</v>
      </c>
      <c r="T10" s="198" t="n">
        <v>3434.5</v>
      </c>
      <c r="U10" s="198" t="n">
        <v>3780.5</v>
      </c>
      <c r="V10" s="199"/>
    </row>
    <row r="11" ht="20" customHeight="1">
      <c r="B11" s="168" t="inlineStr">
        <is>
          <t>II.  ДЕНЕЖНЫЙ ПОТОК ОТ ИНВЕСТИЦИОННОЙ ДЕЯТЕЛЬНОСТИ</t>
        </is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7"/>
    </row>
    <row r="12" ht="18" customHeight="1">
      <c r="B12" s="200" t="inlineStr">
        <is>
          <t>2.1</t>
        </is>
      </c>
      <c r="C12" s="201" t="inlineStr">
        <is>
          <t>(−) Content production (Производство контента) CAPEX (Капзатраты)</t>
        </is>
      </c>
      <c r="D12" s="202">
        <v>-12.5</v>
      </c>
      <c r="E12" s="202">
        <v>-112.5</v>
      </c>
      <c r="F12" s="202">
        <v>-107.5</v>
      </c>
      <c r="G12" s="202">
        <v>-231.5</v>
      </c>
      <c r="H12" s="202">
        <v>-283.0</v>
      </c>
      <c r="I12" s="202">
        <v>-321.0</v>
      </c>
      <c r="J12" s="202">
        <v>-251.0</v>
      </c>
      <c r="K12" s="202">
        <v>-131.0</v>
      </c>
      <c r="L12" s="202">
        <v>-129.0</v>
      </c>
      <c r="M12" s="202">
        <v>-151.0</v>
      </c>
      <c r="N12" s="202">
        <v>-93.0</v>
      </c>
      <c r="O12" s="202">
        <v>-27.0</v>
      </c>
      <c r="P12" s="202">
        <v>0</v>
      </c>
      <c r="Q12" s="202">
        <v>0</v>
      </c>
      <c r="R12" s="202">
        <v>0</v>
      </c>
      <c r="S12" s="202">
        <v>0</v>
      </c>
      <c r="T12" s="203">
        <v>-1850.0</v>
      </c>
      <c r="U12" s="203">
        <v>-1850.0</v>
      </c>
      <c r="V12" s="204" t="inlineStr">
        <is>
          <t>Производство 7 проектов: schedule по 5/45/35/15%</t>
        </is>
      </c>
    </row>
    <row r="13" ht="18" customHeight="1">
      <c r="B13" s="200" t="inlineStr">
        <is>
          <t>2.2</t>
        </is>
      </c>
      <c r="C13" s="201" t="inlineStr">
        <is>
          <t>(−) PP&amp;E CAPEX (Капзатраты)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(Денежные средства) from Investing</t>
        </is>
      </c>
      <c r="D14" s="197">
        <v>-13.33</v>
      </c>
      <c r="E14" s="197">
        <v>-113.33</v>
      </c>
      <c r="F14" s="197">
        <v>-108.33</v>
      </c>
      <c r="G14" s="197">
        <v>-232.33</v>
      </c>
      <c r="H14" s="197">
        <v>-283.83</v>
      </c>
      <c r="I14" s="197">
        <v>-321.83</v>
      </c>
      <c r="J14" s="197">
        <v>-251.83</v>
      </c>
      <c r="K14" s="197">
        <v>-131.83</v>
      </c>
      <c r="L14" s="197">
        <v>-129.83</v>
      </c>
      <c r="M14" s="197">
        <v>-151.83</v>
      </c>
      <c r="N14" s="197">
        <v>-93.83</v>
      </c>
      <c r="O14" s="197">
        <v>-27.83</v>
      </c>
      <c r="P14" s="197">
        <v>0</v>
      </c>
      <c r="Q14" s="197">
        <v>0</v>
      </c>
      <c r="R14" s="197">
        <v>0</v>
      </c>
      <c r="S14" s="197">
        <v>0</v>
      </c>
      <c r="T14" s="198">
        <v>-1860.0</v>
      </c>
      <c r="U14" s="198">
        <v>-1860.0</v>
      </c>
      <c r="V14" s="199"/>
    </row>
    <row r="15" ht="20" customHeight="1">
      <c r="B15" s="168" t="inlineStr">
        <is>
          <t>III.  ДЕНЕЖНЫЙ ПОТОК ОТ ФИНАНСОВОЙ ДЕЯТЕЛЬНОСТИ</t>
        </is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7"/>
    </row>
    <row r="16" ht="18" customHeight="1">
      <c r="B16" s="191" t="inlineStr">
        <is>
          <t>3.1</t>
        </is>
      </c>
      <c r="C16" s="192" t="inlineStr">
        <is>
          <t>(+) T₁ Legacy (Базовый вариант) tranches (транши)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 (вклад продюсера в капитал)s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(совместное предприятие) capital (капитал):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(Ликвидационная привилегия) + 8% coupon (купон)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>-990</v>
      </c>
      <c r="Q18" s="202">
        <f>-'02_Assumptions'!D173</f>
        <v>-1350</v>
      </c>
      <c r="R18" s="202">
        <f>-'02_Assumptions'!D174</f>
        <v>-270</v>
      </c>
      <c r="S18" s="202">
        <f>-'02_Assumptions'!D175</f>
        <v>-390</v>
      </c>
      <c r="T18" s="203" t="n">
        <v>0</v>
      </c>
      <c r="U18" s="203">
        <f>SUM(P18:T18)</f>
        <v>-3000</v>
      </c>
      <c r="V18" s="204" t="inlineStr">
        <is>
          <t>NDP (чистые распределяемые поступления) 3000 распределяется по A+C pattern (паттерн)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(Денежные средства) from Financing</t>
        </is>
      </c>
      <c r="D19" s="197">
        <v>450</v>
      </c>
      <c r="E19" s="197">
        <v>0</v>
      </c>
      <c r="F19" s="197">
        <v>0</v>
      </c>
      <c r="G19" s="197">
        <v>500</v>
      </c>
      <c r="H19" s="197">
        <v>0</v>
      </c>
      <c r="I19" s="197">
        <v>0</v>
      </c>
      <c r="J19" s="197">
        <v>500</v>
      </c>
      <c r="K19" s="197">
        <v>0</v>
      </c>
      <c r="L19" s="197">
        <v>0</v>
      </c>
      <c r="M19" s="197">
        <v>400</v>
      </c>
      <c r="N19" s="197">
        <v>0</v>
      </c>
      <c r="O19" s="197">
        <v>0</v>
      </c>
      <c r="P19" s="197">
        <v>-990</v>
      </c>
      <c r="Q19" s="197">
        <v>-1350</v>
      </c>
      <c r="R19" s="197">
        <v>-270</v>
      </c>
      <c r="S19" s="197">
        <v>-390</v>
      </c>
      <c r="T19" s="198">
        <v>1850</v>
      </c>
      <c r="U19" s="198">
        <v>-1150</v>
      </c>
      <c r="V19" s="199"/>
    </row>
    <row r="20" ht="20" customHeight="1">
      <c r="B20" s="168" t="inlineStr">
        <is>
          <t>IV.  ЧИСТОЕ ИЗМЕНЕНИЕ ДС И СВЕРКА (ЧИСТОЕ ИЗМЕНЕНИЕ ДС И СВЕРКА)</t>
        </is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7"/>
    </row>
    <row r="21" ht="18" customHeight="1">
      <c r="B21" s="195" t="inlineStr">
        <is>
          <t>4.1</t>
        </is>
      </c>
      <c r="C21" s="196" t="inlineStr">
        <is>
          <t>Чистое изменение ДС (Чистое изменение денежных средств)</t>
        </is>
      </c>
      <c r="D21" s="197" t="n">
        <v>406.99</v>
      </c>
      <c r="E21" s="197" t="n">
        <v>-143.01</v>
      </c>
      <c r="F21" s="197" t="n">
        <v>-144.02</v>
      </c>
      <c r="G21" s="197" t="n">
        <v>717.2</v>
      </c>
      <c r="H21" s="197" t="n">
        <v>-316.01</v>
      </c>
      <c r="I21" s="197" t="n">
        <v>453.6</v>
      </c>
      <c r="J21" s="197" t="n">
        <v>804.11</v>
      </c>
      <c r="K21" s="197" t="n">
        <v>503.02</v>
      </c>
      <c r="L21" s="197" t="n">
        <v>279.1</v>
      </c>
      <c r="M21" s="197" t="n">
        <v>214.58</v>
      </c>
      <c r="N21" s="197" t="n">
        <v>322.39</v>
      </c>
      <c r="O21" s="197" t="n">
        <v>326.62</v>
      </c>
      <c r="P21" s="197" t="n">
        <v>-783.75</v>
      </c>
      <c r="Q21" s="197" t="n">
        <v>-1218.6</v>
      </c>
      <c r="R21" s="197" t="n">
        <v>-224.4</v>
      </c>
      <c r="S21" s="197" t="n">
        <v>-427.28</v>
      </c>
      <c r="T21" s="198" t="n">
        <v>3424.6</v>
      </c>
      <c r="U21" s="198" t="n">
        <v>770.5</v>
      </c>
      <c r="V21" s="199"/>
    </row>
    <row r="22" ht="18" customHeight="1">
      <c r="B22" s="205" t="inlineStr">
        <is>
          <t>4.2</t>
        </is>
      </c>
      <c r="C22" s="206" t="inlineStr">
        <is>
          <t>Cash (Денежные средства) — beginning of period</t>
        </is>
      </c>
      <c r="D22" s="207" t="n">
        <v>0</v>
      </c>
      <c r="E22" s="207" t="n">
        <v>406.99</v>
      </c>
      <c r="F22" s="207" t="n">
        <v>263.98</v>
      </c>
      <c r="G22" s="207" t="n">
        <v>119.96</v>
      </c>
      <c r="H22" s="207" t="n">
        <v>837.16</v>
      </c>
      <c r="I22" s="207" t="n">
        <v>521.15</v>
      </c>
      <c r="J22" s="207" t="n">
        <v>974.75</v>
      </c>
      <c r="K22" s="207" t="n">
        <v>1778.86</v>
      </c>
      <c r="L22" s="207" t="n">
        <v>2281.88</v>
      </c>
      <c r="M22" s="207" t="n">
        <v>2560.98</v>
      </c>
      <c r="N22" s="207" t="n">
        <v>2775.56</v>
      </c>
      <c r="O22" s="207" t="n">
        <v>3097.95</v>
      </c>
      <c r="P22" s="207" t="n">
        <v>3424.57</v>
      </c>
      <c r="Q22" s="207" t="n">
        <v>2640.82</v>
      </c>
      <c r="R22" s="207" t="n">
        <v>1422.22</v>
      </c>
      <c r="S22" s="207" t="n">
        <v>1197.82</v>
      </c>
      <c r="T22" s="208" t="n">
        <v>15619.2</v>
      </c>
      <c r="U22" s="208" t="n">
        <v>24304.7</v>
      </c>
      <c r="V22" s="159"/>
    </row>
    <row r="23" ht="18" customHeight="1">
      <c r="B23" s="209" t="inlineStr">
        <is>
          <t>4.3</t>
        </is>
      </c>
      <c r="C23" s="210" t="inlineStr">
        <is>
          <t>Cash (Денежные средства) — end of period</t>
        </is>
      </c>
      <c r="D23" s="194" t="n">
        <v>406.99</v>
      </c>
      <c r="E23" s="194" t="n">
        <v>263.98</v>
      </c>
      <c r="F23" s="194" t="n">
        <v>119.96</v>
      </c>
      <c r="G23" s="194" t="n">
        <v>837.16</v>
      </c>
      <c r="H23" s="194" t="n">
        <v>521.15</v>
      </c>
      <c r="I23" s="194" t="n">
        <v>974.75</v>
      </c>
      <c r="J23" s="194" t="n">
        <v>1778.86</v>
      </c>
      <c r="K23" s="194" t="n">
        <v>2281.88</v>
      </c>
      <c r="L23" s="194" t="n">
        <v>2560.98</v>
      </c>
      <c r="M23" s="194" t="n">
        <v>2775.56</v>
      </c>
      <c r="N23" s="194" t="n">
        <v>3097.95</v>
      </c>
      <c r="O23" s="194" t="n">
        <v>3424.57</v>
      </c>
      <c r="P23" s="194" t="n">
        <v>2640.82</v>
      </c>
      <c r="Q23" s="194" t="n">
        <v>1422.22</v>
      </c>
      <c r="R23" s="194" t="n">
        <v>1197.82</v>
      </c>
      <c r="S23" s="194" t="n">
        <v>770.54</v>
      </c>
      <c r="T23" s="198" t="n">
        <v>19043.8</v>
      </c>
      <c r="U23" s="198" t="n">
        <v>25075.2</v>
      </c>
      <c r="V23" s="182" t="inlineStr">
        <is>
          <t>★ Совпадает с Cash (Денежные средства) в 11_Balance_Sheet</t>
        </is>
      </c>
    </row>
    <row r="25" ht="22" customHeight="1">
      <c r="B25" s="211" t="inlineStr">
        <is>
          <t>✓ Cash end of Q4'28 = 3,424.6 млн ₽  |  Consistent с 11_Balance_Sheet  |  V3-02 ВКЛ interest sync</t>
        </is>
      </c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5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БАЛАНС  ·  На конец периода  ·  12Q + 4Y</t>
        </is>
      </c>
    </row>
    <row r="3">
      <c r="B3" s="189" t="inlineStr">
        <is>
          <t>Все суммы — млн ₽. Верификация: Assets = Liabilities + Equity (Собственный капитал); Cash (Денежные средства)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АКТИВЫ (АКТИВЫ)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7"/>
    </row>
    <row r="7" ht="18" customHeight="1">
      <c r="B7" s="205" t="inlineStr">
        <is>
          <t>A1</t>
        </is>
      </c>
      <c r="C7" s="206" t="inlineStr">
        <is>
          <t>Cash (Денежные средства) &amp; equivalents</t>
        </is>
      </c>
      <c r="D7" s="207">
        <v>406.99</v>
      </c>
      <c r="E7" s="207">
        <v>263.98</v>
      </c>
      <c r="F7" s="207">
        <v>119.96</v>
      </c>
      <c r="G7" s="207">
        <v>837.16</v>
      </c>
      <c r="H7" s="207">
        <v>521.15</v>
      </c>
      <c r="I7" s="207">
        <v>974.75</v>
      </c>
      <c r="J7" s="207">
        <v>1778.86</v>
      </c>
      <c r="K7" s="207">
        <v>2281.88</v>
      </c>
      <c r="L7" s="207">
        <v>2560.98</v>
      </c>
      <c r="M7" s="207">
        <v>2775.56</v>
      </c>
      <c r="N7" s="207">
        <v>3097.95</v>
      </c>
      <c r="O7" s="207">
        <v>3424.57</v>
      </c>
      <c r="P7" s="207">
        <v>2640.82</v>
      </c>
      <c r="Q7" s="207">
        <v>1422.22</v>
      </c>
      <c r="R7" s="207">
        <v>1197.82</v>
      </c>
      <c r="S7" s="207">
        <v>770.54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(Контент) library (net)</t>
        </is>
      </c>
      <c r="D8" s="207">
        <v>12.5</v>
      </c>
      <c r="E8" s="207">
        <v>125.0</v>
      </c>
      <c r="F8" s="207">
        <v>232.5</v>
      </c>
      <c r="G8" s="207">
        <v>244.92</v>
      </c>
      <c r="H8" s="207">
        <v>527.92</v>
      </c>
      <c r="I8" s="207">
        <v>472.26</v>
      </c>
      <c r="J8" s="207">
        <v>454.21</v>
      </c>
      <c r="K8" s="207">
        <v>279.65</v>
      </c>
      <c r="L8" s="207">
        <v>208.79</v>
      </c>
      <c r="M8" s="207">
        <v>359.79</v>
      </c>
      <c r="N8" s="207">
        <v>249.08</v>
      </c>
      <c r="O8" s="207">
        <v>103.12</v>
      </c>
      <c r="P8" s="207">
        <v>-42.93</v>
      </c>
      <c r="Q8" s="207">
        <v>-158.24</v>
      </c>
      <c r="R8" s="207">
        <v>-242.8</v>
      </c>
      <c r="S8" s="207">
        <v>-300.45</v>
      </c>
      <c r="T8" s="159" t="inlineStr">
        <is>
          <t>Gross CAPEX (Капзатраты)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 (Основные средства)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 (Основные средства (нетто))</t>
        </is>
      </c>
    </row>
    <row r="10" ht="18" customHeight="1">
      <c r="B10" s="195" t="inlineStr">
        <is>
          <t>A4</t>
        </is>
      </c>
      <c r="C10" s="196" t="inlineStr">
        <is>
          <t>ИТОГО АКТИВЫ (АКТИВЫ) (ИТОГО АКТИВЫ)</t>
        </is>
      </c>
      <c r="D10" s="198">
        <v>419.57</v>
      </c>
      <c r="E10" s="198">
        <v>389.14</v>
      </c>
      <c r="F10" s="198">
        <v>352.7</v>
      </c>
      <c r="G10" s="198">
        <v>1082.4</v>
      </c>
      <c r="H10" s="198">
        <v>1049.47</v>
      </c>
      <c r="I10" s="198">
        <v>1447.49</v>
      </c>
      <c r="J10" s="198">
        <v>2233.63</v>
      </c>
      <c r="K10" s="198">
        <v>2562.17</v>
      </c>
      <c r="L10" s="198">
        <v>2770.49</v>
      </c>
      <c r="M10" s="198">
        <v>3136.15</v>
      </c>
      <c r="N10" s="198">
        <v>3347.91</v>
      </c>
      <c r="O10" s="198">
        <v>3528.65</v>
      </c>
      <c r="P10" s="198">
        <v>2595.85</v>
      </c>
      <c r="Q10" s="198">
        <v>1258.94</v>
      </c>
      <c r="R10" s="198">
        <v>946.98</v>
      </c>
      <c r="S10" s="198">
        <v>459.05</v>
      </c>
      <c r="T10" s="199" t="inlineStr">
        <is>
          <t>Σ A1+A2+A3</t>
        </is>
      </c>
    </row>
    <row r="12" ht="20" customHeight="1">
      <c r="B12" s="168" t="inlineStr">
        <is>
          <t>B.  ОБЯЗАТЕЛЬСТВА И КАПИТАЛ (ОБЯЗАТЕЛЬСТВА И КАПИТАЛ)</t>
        </is>
      </c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7"/>
    </row>
    <row r="13" ht="18" customHeight="1">
      <c r="B13" s="205" t="inlineStr">
        <is>
          <t>B1</t>
        </is>
      </c>
      <c r="C13" s="206" t="inlineStr">
        <is>
          <t>T₁ Legacy (Базовый вариант) loan balance</t>
        </is>
      </c>
      <c r="D13" s="207">
        <v>250</v>
      </c>
      <c r="E13" s="207">
        <v>250</v>
      </c>
      <c r="F13" s="207">
        <v>244.49</v>
      </c>
      <c r="G13" s="207">
        <v>594.49</v>
      </c>
      <c r="H13" s="207">
        <v>594.49</v>
      </c>
      <c r="I13" s="207">
        <v>581.38</v>
      </c>
      <c r="J13" s="207">
        <v>931.38</v>
      </c>
      <c r="K13" s="207">
        <v>931.38</v>
      </c>
      <c r="L13" s="207">
        <v>935.04</v>
      </c>
      <c r="M13" s="207">
        <v>1235.04</v>
      </c>
      <c r="N13" s="207">
        <v>1237.48</v>
      </c>
      <c r="O13" s="207">
        <v>1244.61</v>
      </c>
      <c r="P13" s="207">
        <v>257.95</v>
      </c>
      <c r="Q13" s="207">
        <v>-853.43</v>
      </c>
      <c r="R13" s="207">
        <v>-1015.43</v>
      </c>
      <c r="S13" s="207">
        <v>-1254.57</v>
      </c>
      <c r="T13" s="159" t="inlineStr">
        <is>
          <t>Привлечение − распределения инвестору</t>
        </is>
      </c>
    </row>
    <row r="14" ht="18" customHeight="1">
      <c r="B14" s="205" t="inlineStr">
        <is>
          <t>B2</t>
        </is>
      </c>
      <c r="C14" s="206" t="inlineStr">
        <is>
          <t>Producer equity (капитал продюсера) (JV (совместное предприятие) capital (капитал))</t>
        </is>
      </c>
      <c r="D14" s="207">
        <v>200</v>
      </c>
      <c r="E14" s="207">
        <v>200</v>
      </c>
      <c r="F14" s="207">
        <v>200</v>
      </c>
      <c r="G14" s="207">
        <v>350</v>
      </c>
      <c r="H14" s="207">
        <v>350</v>
      </c>
      <c r="I14" s="207">
        <v>350</v>
      </c>
      <c r="J14" s="207">
        <v>500</v>
      </c>
      <c r="K14" s="207">
        <v>500</v>
      </c>
      <c r="L14" s="207">
        <v>500</v>
      </c>
      <c r="M14" s="207">
        <v>600</v>
      </c>
      <c r="N14" s="207">
        <v>600</v>
      </c>
      <c r="O14" s="207">
        <v>600</v>
      </c>
      <c r="P14" s="207">
        <v>600.0</v>
      </c>
      <c r="Q14" s="207">
        <v>364.0</v>
      </c>
      <c r="R14" s="207">
        <v>256.0</v>
      </c>
      <c r="S14" s="207">
        <v>100.0</v>
      </c>
      <c r="T14" s="159" t="inlineStr">
        <is>
          <t>Вклады − распределения продюсеру</t>
        </is>
      </c>
    </row>
    <row r="15" ht="18" customHeight="1">
      <c r="B15" s="205" t="inlineStr">
        <is>
          <t>B3</t>
        </is>
      </c>
      <c r="C15" s="206" t="inlineStr">
        <is>
          <t>Нераспределённая прибыль (Нераспределённая прибыль)</t>
        </is>
      </c>
      <c r="D15" s="207">
        <v>-30.43</v>
      </c>
      <c r="E15" s="207">
        <v>-60.86</v>
      </c>
      <c r="F15" s="207">
        <v>-91.79</v>
      </c>
      <c r="G15" s="207">
        <v>137.91</v>
      </c>
      <c r="H15" s="207">
        <v>104.98</v>
      </c>
      <c r="I15" s="207">
        <v>516.11</v>
      </c>
      <c r="J15" s="207">
        <v>802.25</v>
      </c>
      <c r="K15" s="207">
        <v>1130.79</v>
      </c>
      <c r="L15" s="207">
        <v>1335.45</v>
      </c>
      <c r="M15" s="207">
        <v>1301.11</v>
      </c>
      <c r="N15" s="207">
        <v>1510.43</v>
      </c>
      <c r="O15" s="207">
        <v>1684.04</v>
      </c>
      <c r="P15" s="207">
        <v>1737.9</v>
      </c>
      <c r="Q15" s="207">
        <v>1748.37</v>
      </c>
      <c r="R15" s="207">
        <v>1706.41</v>
      </c>
      <c r="S15" s="207">
        <v>1613.62</v>
      </c>
      <c r="T15" s="159" t="inlineStr">
        <is>
          <t>Cumulative (Накопительный) Net Income (Чистая прибыль)</t>
        </is>
      </c>
    </row>
    <row r="16" ht="18" customHeight="1">
      <c r="B16" s="195" t="inlineStr">
        <is>
          <t>B4</t>
        </is>
      </c>
      <c r="C16" s="196" t="inlineStr">
        <is>
          <t>TOTAL (ИТОГО) LIABILITIES (ИТОГО ОБЯЗАТЕЛЬСТВА) + EQUITY (ИТОГО ОБЯЗАТЕЛЬСТВА + КАПИТАЛ)</t>
        </is>
      </c>
      <c r="D16" s="198">
        <v>419.57</v>
      </c>
      <c r="E16" s="198">
        <v>389.14</v>
      </c>
      <c r="F16" s="198">
        <v>352.7</v>
      </c>
      <c r="G16" s="198">
        <v>1082.4</v>
      </c>
      <c r="H16" s="198">
        <v>1049.47</v>
      </c>
      <c r="I16" s="198">
        <v>1447.49</v>
      </c>
      <c r="J16" s="198">
        <v>2233.63</v>
      </c>
      <c r="K16" s="198">
        <v>2562.17</v>
      </c>
      <c r="L16" s="198">
        <v>2770.49</v>
      </c>
      <c r="M16" s="198">
        <v>3136.15</v>
      </c>
      <c r="N16" s="198">
        <v>3347.91</v>
      </c>
      <c r="O16" s="198">
        <v>3528.65</v>
      </c>
      <c r="P16" s="198">
        <v>2595.85</v>
      </c>
      <c r="Q16" s="198">
        <v>1258.94</v>
      </c>
      <c r="R16" s="198">
        <v>946.98</v>
      </c>
      <c r="S16" s="198">
        <v>459.05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 (Собственный капитал); должно быть 0)</t>
        </is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7"/>
    </row>
    <row r="19" ht="20" customHeight="1">
      <c r="B19" s="212" t="inlineStr">
        <is>
          <t>C1</t>
        </is>
      </c>
      <c r="C19" s="213" t="inlineStr">
        <is>
          <t>Контроль баланса = Активы − (О+К)</t>
        </is>
      </c>
      <c r="D19" s="214">
        <v>0.0</v>
      </c>
      <c r="E19" s="214">
        <v>0.0</v>
      </c>
      <c r="F19" s="214">
        <v>0.0</v>
      </c>
      <c r="G19" s="214">
        <v>0.0</v>
      </c>
      <c r="H19" s="214">
        <v>0.0</v>
      </c>
      <c r="I19" s="214">
        <v>0.0</v>
      </c>
      <c r="J19" s="214">
        <v>0.0</v>
      </c>
      <c r="K19" s="214">
        <v>0.0</v>
      </c>
      <c r="L19" s="214">
        <v>0.0</v>
      </c>
      <c r="M19" s="214">
        <v>0.0</v>
      </c>
      <c r="N19" s="214">
        <v>0.0</v>
      </c>
      <c r="O19" s="214">
        <v>0.0</v>
      </c>
      <c r="P19" s="214">
        <v>0.0</v>
      </c>
      <c r="Q19" s="214">
        <v>0.0</v>
      </c>
      <c r="R19" s="214">
        <v>0.0</v>
      </c>
      <c r="S19" s="214">
        <v>0.0</v>
      </c>
      <c r="T19" s="215" t="inlineStr">
        <is>
          <t>✓ СБАЛАНСИРОВАН</t>
        </is>
      </c>
    </row>
    <row r="21" ht="24" customHeight="1">
      <c r="B21" s="211" t="inlineStr">
        <is>
          <t>★ Snapshot Q4'28: Assets 3,534 = Cash 3,430 + Content 103 + PP&amp;E 0.96</t>
        </is>
      </c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5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</row>
    <row r="3">
      <c r="B3" s="189" t="inlineStr">
        <is>
          <t>Предпосылки: AR = 25% Q revenue (60-day lag) · Prepaid = 5% Q revenue · AP = 30% (OpEx + P&amp;A (тиражирование и реклама)).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7"/>
    </row>
    <row r="7" ht="18" customHeight="1">
      <c r="B7" s="191" t="inlineStr">
        <is>
          <t>1.1</t>
        </is>
      </c>
      <c r="C7" s="192" t="inlineStr">
        <is>
          <t>Дебиторская задолженность (25% квартальной выручки)</t>
        </is>
      </c>
      <c r="D7" s="193">
        <v>0.0</v>
      </c>
      <c r="E7" s="193">
        <v>0.0</v>
      </c>
      <c r="F7" s="193">
        <v>0.0</v>
      </c>
      <c r="G7" s="193">
        <v>142.5</v>
      </c>
      <c r="H7" s="193">
        <v>0.0</v>
      </c>
      <c r="I7" s="193">
        <v>245.0</v>
      </c>
      <c r="J7" s="193">
        <v>175.0</v>
      </c>
      <c r="K7" s="193">
        <v>198.75</v>
      </c>
      <c r="L7" s="193">
        <v>130.0</v>
      </c>
      <c r="M7" s="193">
        <v>0.0</v>
      </c>
      <c r="N7" s="193">
        <v>132.5</v>
      </c>
      <c r="O7" s="193">
        <v>112.5</v>
      </c>
      <c r="P7" s="193">
        <v>95.0</v>
      </c>
      <c r="Q7" s="193">
        <v>75.0</v>
      </c>
      <c r="R7" s="193">
        <v>55.0</v>
      </c>
      <c r="S7" s="193">
        <v>37.5</v>
      </c>
      <c r="T7" s="194">
        <v>1136.2</v>
      </c>
      <c r="U7" s="182" t="inlineStr">
        <is>
          <t>AR = 25% × Revenue (Выручка) квартала</t>
        </is>
      </c>
    </row>
    <row r="8" ht="18" customHeight="1">
      <c r="B8" s="191" t="inlineStr">
        <is>
          <t>1.2</t>
        </is>
      </c>
      <c r="C8" s="192" t="inlineStr">
        <is>
          <t>Prepaid expenses (Авансовые платежи) / Inventory</t>
        </is>
      </c>
      <c r="D8" s="193">
        <v>0.0</v>
      </c>
      <c r="E8" s="193">
        <v>0.0</v>
      </c>
      <c r="F8" s="193">
        <v>0.0</v>
      </c>
      <c r="G8" s="193">
        <v>28.5</v>
      </c>
      <c r="H8" s="193">
        <v>0.0</v>
      </c>
      <c r="I8" s="193">
        <v>49.0</v>
      </c>
      <c r="J8" s="193">
        <v>35.0</v>
      </c>
      <c r="K8" s="193">
        <v>39.75</v>
      </c>
      <c r="L8" s="193">
        <v>26.0</v>
      </c>
      <c r="M8" s="193">
        <v>0.0</v>
      </c>
      <c r="N8" s="193">
        <v>26.5</v>
      </c>
      <c r="O8" s="193">
        <v>22.5</v>
      </c>
      <c r="P8" s="193">
        <v>19.0</v>
      </c>
      <c r="Q8" s="193">
        <v>15.0</v>
      </c>
      <c r="R8" s="193">
        <v>11.0</v>
      </c>
      <c r="S8" s="193">
        <v>7.5</v>
      </c>
      <c r="T8" s="194">
        <v>227.2</v>
      </c>
      <c r="U8" s="182" t="inlineStr">
        <is>
          <t>5% × Revenue (Выручка)</t>
        </is>
      </c>
    </row>
    <row r="9" ht="20" customHeight="1">
      <c r="B9" s="168" t="inlineStr">
        <is>
          <t>II.  ОБОРОТНЫЕ ОБЯЗАТЕЛЬСТВА</t>
        </is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7"/>
    </row>
    <row r="10" ht="18" customHeight="1">
      <c r="B10" s="200" t="inlineStr">
        <is>
          <t>2.1</t>
        </is>
      </c>
      <c r="C10" s="201" t="inlineStr">
        <is>
          <t>Accounts Payable (30% OpEx + P&amp;A (тиражирование и реклама))</t>
        </is>
      </c>
      <c r="D10" s="202">
        <v>8.6</v>
      </c>
      <c r="E10" s="202">
        <v>8.6</v>
      </c>
      <c r="F10" s="202">
        <v>8.6</v>
      </c>
      <c r="G10" s="202">
        <v>18.46</v>
      </c>
      <c r="H10" s="202">
        <v>9.2</v>
      </c>
      <c r="I10" s="202">
        <v>26.15</v>
      </c>
      <c r="J10" s="202">
        <v>21.31</v>
      </c>
      <c r="K10" s="202">
        <v>22.95</v>
      </c>
      <c r="L10" s="202">
        <v>18.85</v>
      </c>
      <c r="M10" s="202">
        <v>9.85</v>
      </c>
      <c r="N10" s="202">
        <v>19.02</v>
      </c>
      <c r="O10" s="202">
        <v>17.63</v>
      </c>
      <c r="P10" s="202">
        <v>48.79</v>
      </c>
      <c r="Q10" s="202">
        <v>50.43</v>
      </c>
      <c r="R10" s="202">
        <v>52.32</v>
      </c>
      <c r="S10" s="202">
        <v>54.64</v>
      </c>
      <c r="T10" s="203">
        <v>189.2</v>
      </c>
      <c r="U10" s="204" t="inlineStr">
        <is>
          <t>AP = 30% × (OpEx + P&amp;A (тиражирование и реклама))</t>
        </is>
      </c>
    </row>
    <row r="11" ht="20" customHeight="1">
      <c r="B11" s="168" t="inlineStr">
        <is>
          <t>III.  ЧИСТЫЙ ОБОРОТНЫЙ КАПИТАЛ (ЧИСТЫЙ ОБОРОТНЫЙ КАПИТАЛ)</t>
        </is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7"/>
    </row>
    <row r="12" ht="18" customHeight="1">
      <c r="B12" s="195" t="inlineStr">
        <is>
          <t>3.1</t>
        </is>
      </c>
      <c r="C12" s="196" t="inlineStr">
        <is>
          <t>NWC (чистый оборотный капитал) = AR + Prepaid − AP</t>
        </is>
      </c>
      <c r="D12" s="197">
        <v>-8.6</v>
      </c>
      <c r="E12" s="197">
        <v>-8.6</v>
      </c>
      <c r="F12" s="197">
        <v>-8.6</v>
      </c>
      <c r="G12" s="197">
        <v>152.54</v>
      </c>
      <c r="H12" s="197">
        <v>-9.2</v>
      </c>
      <c r="I12" s="197">
        <v>267.85</v>
      </c>
      <c r="J12" s="197">
        <v>188.69</v>
      </c>
      <c r="K12" s="197">
        <v>215.55</v>
      </c>
      <c r="L12" s="197">
        <v>137.15</v>
      </c>
      <c r="M12" s="197">
        <v>-9.85</v>
      </c>
      <c r="N12" s="197">
        <v>139.98</v>
      </c>
      <c r="O12" s="197">
        <v>117.37</v>
      </c>
      <c r="P12" s="197">
        <v>65.21</v>
      </c>
      <c r="Q12" s="197">
        <v>39.57</v>
      </c>
      <c r="R12" s="197">
        <v>13.68</v>
      </c>
      <c r="S12" s="197">
        <v>-9.64</v>
      </c>
      <c r="T12" s="198">
        <v>1174.3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>
        <v>-8.6</v>
      </c>
      <c r="E13" s="197">
        <v>0.0</v>
      </c>
      <c r="F13" s="197">
        <v>0.0</v>
      </c>
      <c r="G13" s="197">
        <v>161.14</v>
      </c>
      <c r="H13" s="197">
        <v>-161.74</v>
      </c>
      <c r="I13" s="197">
        <v>277.05</v>
      </c>
      <c r="J13" s="197">
        <v>-79.16</v>
      </c>
      <c r="K13" s="197">
        <v>26.86</v>
      </c>
      <c r="L13" s="197">
        <v>-78.4</v>
      </c>
      <c r="M13" s="197">
        <v>-147.0</v>
      </c>
      <c r="N13" s="197">
        <v>149.83</v>
      </c>
      <c r="O13" s="197">
        <v>-22.61</v>
      </c>
      <c r="P13" s="197">
        <v>-52.16</v>
      </c>
      <c r="Q13" s="197">
        <v>-25.64</v>
      </c>
      <c r="R13" s="197">
        <v>-25.89</v>
      </c>
      <c r="S13" s="197">
        <v>-23.32</v>
      </c>
      <c r="T13" s="198">
        <v>117.4</v>
      </c>
      <c r="U13" s="199" t="inlineStr">
        <is>
          <t>Рост NWC (чистый оборотный капитал) = отток cash</t>
        </is>
      </c>
    </row>
    <row r="14" ht="18" customHeight="1">
      <c r="B14" s="216" t="inlineStr">
        <is>
          <t>3.3</t>
        </is>
      </c>
      <c r="C14" s="217" t="inlineStr">
        <is>
          <t>Cash (Денежные средства) impact (−ΔNWC (изменение оборотного капитала))</t>
        </is>
      </c>
      <c r="D14" s="198">
        <v>8.6</v>
      </c>
      <c r="E14" s="198">
        <v>-0.0</v>
      </c>
      <c r="F14" s="198">
        <v>-0.0</v>
      </c>
      <c r="G14" s="198">
        <v>-161.14</v>
      </c>
      <c r="H14" s="198">
        <v>161.74</v>
      </c>
      <c r="I14" s="198">
        <v>-277.05</v>
      </c>
      <c r="J14" s="198">
        <v>79.16</v>
      </c>
      <c r="K14" s="198">
        <v>-26.86</v>
      </c>
      <c r="L14" s="198">
        <v>78.4</v>
      </c>
      <c r="M14" s="198">
        <v>147.0</v>
      </c>
      <c r="N14" s="198">
        <v>-149.83</v>
      </c>
      <c r="O14" s="198">
        <v>22.61</v>
      </c>
      <c r="P14" s="198">
        <v>52.16</v>
      </c>
      <c r="Q14" s="198">
        <v>25.64</v>
      </c>
      <c r="R14" s="198">
        <v>25.89</v>
      </c>
      <c r="S14" s="198">
        <v>23.32</v>
      </c>
      <c r="T14" s="198">
        <v>-117.4</v>
      </c>
      <c r="U14" s="183" t="inlineStr">
        <is>
          <t>Влияние на OCF: − при росте NWC (чистый оборотный капитал)</t>
        </is>
      </c>
    </row>
    <row r="16" ht="22" customHeight="1">
      <c r="B16" s="211" t="inlineStr">
        <is>
          <t>✓ NWC end Q4'28 = 117.4 млн ₽ | ΔNWC Σ = 117.4</t>
        </is>
      </c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5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ГРАФИК ЗАДОЛЖЕННОСТИ  ·  T₁ Legacy (Базовый вариант)  ·  1 250 млн ₽  ·  4 tranches (транши) 20/28/28/24%</t>
        </is>
      </c>
    </row>
    <row r="3">
      <c r="B3" s="189" t="inlineStr">
        <is>
          <t>T₁ Legacy (Базовый вариант): bullet-loan структура с распределением через waterfall (каскад) W₅ V-D ★ default (по умолчанию) v1.0.1 (1× Liq Pref (Ликвидационная привилегия) 1 250 + 12% pref × 5y + catch-up 70/30 + carry 60/40, base IRR (внутренняя норма доходности) 24.75%, MoIC 2.13×, см. 19_Waterfall + 24_Investor_Returns Section II); legacy (базовый вариант) W₃ остался опцией (8% coupon (купон) × 5y 500 + 60/40 от residual (остаток)).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ПРИВЛЕЧЕНИЕ СРЕДСТВ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7"/>
    </row>
    <row r="7" ht="18" customHeight="1">
      <c r="B7" s="205" t="inlineStr">
        <is>
          <t>1.1</t>
        </is>
      </c>
      <c r="C7" s="206" t="inlineStr">
        <is>
          <t>Начальный остаток (Начальный остаток)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 (транши))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(ПРОЦЕНТНЫЕ РАСХОДЫ) (servicing cost)</t>
        </is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7"/>
    </row>
    <row r="10" ht="18" customHeight="1">
      <c r="B10" s="200" t="inlineStr">
        <is>
          <t>2.1</t>
        </is>
      </c>
      <c r="C10" s="201" t="inlineStr">
        <is>
          <t>Interest (Проценты)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(Проценты)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ПОГАШЕНИЕ ОСНОВНОГО ДОЛГА (ПОГАШЕНИЕ ОСНОВНОГО ДОЛГА)</t>
        </is>
      </c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7"/>
    </row>
    <row r="13" ht="18" customHeight="1">
      <c r="B13" s="200" t="inlineStr">
        <is>
          <t>3.1</t>
        </is>
      </c>
      <c r="C13" s="201" t="inlineStr">
        <is>
          <t>(−) Погашение основного долга (Погашение основного долга)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КОНЕЧНЫЙ ОСТАТОК (КОНЕЧНЫЙ ОСТАТОК)</t>
        </is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7"/>
    </row>
    <row r="15" ht="18" customHeight="1">
      <c r="B15" s="195" t="inlineStr">
        <is>
          <t>4.1</t>
        </is>
      </c>
      <c r="C15" s="196" t="inlineStr">
        <is>
          <t>Конечный остаток основного долга (Конечный остаток основного долга)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КУМУЛЯТИВ</t>
        </is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7"/>
    </row>
    <row r="17" ht="18" customHeight="1">
      <c r="B17" s="205" t="inlineStr">
        <is>
          <t>5.1</t>
        </is>
      </c>
      <c r="C17" s="206" t="inlineStr">
        <is>
          <t>Σ Cumulative (Накопительный)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(Накопительный)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(Накопительный)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ПОТЕНЦИАЛ РОСТА КАПИТАЛА (ПОТЕНЦИАЛ РОСТА КАПИТАЛА) (sharing profit component)</t>
        </is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7"/>
    </row>
    <row r="21" ht="18" customHeight="1">
      <c r="B21" s="191" t="inlineStr">
        <is>
          <t>6.1</t>
        </is>
      </c>
      <c r="C21" s="192" t="inlineStr">
        <is>
          <t>Equity (Собственный капитал)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(Накопительный) equity (доля в капитале)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5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(ИНВЕСТИЦИИ) INFLOW SCHEDULE  ·  T₁ Legacy (Базовый вариант) Tranche (Транш) Structure</t>
        </is>
      </c>
    </row>
    <row r="3">
      <c r="B3" s="189" t="inlineStr">
        <is>
          <t>4 tranches (транши)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ГРАФИК ТРАНШЕЙ (ГРАФИК ТРАНШЕЙ)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7"/>
    </row>
    <row r="7" ht="22" customHeight="1">
      <c r="B7" s="205" t="inlineStr">
        <is>
          <t>T₁.1</t>
        </is>
      </c>
      <c r="C7" s="206" t="inlineStr">
        <is>
          <t>Транш №1 — 20% (Pre-production (Пре-продакшн)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«Ночной патруль»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«Ночной патруль», пре-продакшн «Тёмная сторона» и «Время героев»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«Наследие»+«Сказка наяву», релизы «Тёмная сторона»+«Время героев»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всех 7 проектов,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ТРАНШИ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(КУМУЛЯТИВНЫЕ ПОСТУПЛЕНИЯ)  &amp;  COVERAGE %</t>
        </is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7"/>
    </row>
    <row r="14" ht="18" customHeight="1">
      <c r="B14" s="205" t="inlineStr">
        <is>
          <t>2.1</t>
        </is>
      </c>
      <c r="C14" s="213" t="inlineStr">
        <is>
          <t>Σ Cumulative (Накопительный)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Покрытие % (привлечено / итого)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УПРАВЛЕНИЕ И УСЛОВИЯ</t>
        </is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7"/>
    </row>
    <row r="18" ht="22" customHeight="1">
      <c r="B18" s="205" t="inlineStr">
        <is>
          <t>3.1</t>
        </is>
      </c>
      <c r="C18" s="213" t="inlineStr">
        <is>
          <t>Release (Релиз) condition для транша №1</t>
        </is>
      </c>
      <c r="D18" s="159" t="inlineStr">
        <is>
          <t>Подписание SPA + Investment (Инвестиция) Agreement, KYC/AML clearance</t>
        </is>
      </c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7"/>
    </row>
    <row r="19" ht="22" customHeight="1">
      <c r="B19" s="205" t="inlineStr">
        <is>
          <t>3.2</t>
        </is>
      </c>
      <c r="C19" s="213" t="inlineStr">
        <is>
          <t>Release (Релиз) condition для транша №2</t>
        </is>
      </c>
      <c r="D19" s="159" t="inlineStr">
        <is>
          <t>Завершение pre-production F01-F03, утверждение production budgets</t>
        </is>
      </c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7"/>
    </row>
    <row r="20" ht="22" customHeight="1">
      <c r="B20" s="205" t="inlineStr">
        <is>
          <t>3.3</t>
        </is>
      </c>
      <c r="C20" s="213" t="inlineStr">
        <is>
          <t>Release (Релиз)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7"/>
    </row>
    <row r="21" ht="22" customHeight="1">
      <c r="B21" s="205" t="inlineStr">
        <is>
          <t>3.4</t>
        </is>
      </c>
      <c r="C21" s="213" t="inlineStr">
        <is>
          <t>Release (Релиз) condition для транша №4</t>
        </is>
      </c>
      <c r="D21" s="159" t="inlineStr">
        <is>
          <t>Релиз ≥ 4 проектов с совокупным RoI ≥ 1.2× (Q1-Q2 2028)</t>
        </is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7"/>
    </row>
    <row r="22" ht="22" customHeight="1">
      <c r="B22" s="205" t="inlineStr">
        <is>
          <t>3.5</t>
        </is>
      </c>
      <c r="C22" s="213" t="inlineStr">
        <is>
          <t>Reporting (Отчётность) cadence (Периодичность отчётности)</t>
        </is>
      </c>
      <c r="D22" s="159" t="inlineStr">
        <is>
          <t>Ежеквартальный financial report + KPI (ключевые показатели) dashboard</t>
        </is>
      </c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7"/>
    </row>
    <row r="23" ht="22" customHeight="1">
      <c r="B23" s="205" t="inlineStr">
        <is>
          <t>3.6</t>
        </is>
      </c>
      <c r="C23" s="213" t="inlineStr">
        <is>
          <t>Права на информацию (Права на информацию)</t>
        </is>
      </c>
      <c r="D23" s="159" t="inlineStr">
        <is>
          <t>Read-only (Только чтение) доступ к производственным треккерам и бухгалтерии</t>
        </is>
      </c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7"/>
    </row>
    <row r="24" ht="22" customHeight="1">
      <c r="B24" s="205" t="inlineStr">
        <is>
          <t>3.7</t>
        </is>
      </c>
      <c r="C24" s="213" t="inlineStr">
        <is>
          <t>Расторжение (Расторжение) clause (Оговорка о расторжении)</t>
        </is>
      </c>
      <c r="D24" s="159" t="inlineStr">
        <is>
          <t>При срыве milestone 2-х кварталов подряд — right to exit по fair value</t>
        </is>
      </c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7"/>
    </row>
    <row r="26" ht="22" customHeight="1">
      <c r="B26" s="211" t="inlineStr">
        <is>
          <t>✓ Σ Tranches = 1 250 млн ₽  (20% + 28% + 28% + 24% = 100%)  |  Matches T₁ Legacy (Базовый вариант) invariant &amp; 10_Cash_Flow 3.1</t>
        </is>
      </c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5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ИСПОЛЬЗОВАНИЕ СРЕДСТВ  ·  Распределение 1 250 млн ₽ инвестиций</t>
        </is>
      </c>
    </row>
    <row r="3">
      <c r="B3" s="189" t="inlineStr">
        <is>
          <t>Разбивка инвестиционного тикета T₁ Legacy (Базовый вариант) (1 250) по производственным категориям для 7 проектов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Мин (−10%)</t>
        </is>
      </c>
      <c r="G5" s="166" t="inlineStr">
        <is>
          <t>Макс (+10%)</t>
        </is>
      </c>
      <c r="H5" s="166" t="inlineStr">
        <is>
          <t>Allowance (Допуск)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(Пре-продакшн)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Гибкость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(Основной 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Гибкость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 (визуальные эффекты),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Гибкость ±10%</t>
        </is>
      </c>
      <c r="I8" s="159" t="inlineStr">
        <is>
          <t>Монтаж, цветокоррекция, VFX (визуальные эффекты),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Лимит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(Базовый вариант) Investment (Инвестиция)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ЯКОРЬ (ЯКОРЬ)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(Базовый вариант) (1 250) → Full Production Budget (Бюджет) (1 850)</t>
        </is>
      </c>
      <c r="C12" s="186"/>
      <c r="D12" s="186"/>
      <c r="E12" s="186"/>
      <c r="F12" s="186"/>
      <c r="G12" s="186"/>
      <c r="H12" s="186"/>
      <c r="I12" s="187"/>
    </row>
    <row r="13" ht="22" customHeight="1">
      <c r="B13" s="205" t="inlineStr">
        <is>
          <t>B.1</t>
        </is>
      </c>
      <c r="C13" s="206" t="inlineStr">
        <is>
          <t>T₁ Legacy (Базовый вариант) Investor (Инвестор) contribution</t>
        </is>
      </c>
      <c r="D13" s="187"/>
      <c r="E13" s="207" t="n">
        <v>1250</v>
      </c>
      <c r="F13" s="186"/>
      <c r="G13" s="187"/>
      <c r="H13" s="159" t="inlineStr">
        <is>
          <t>Основной тикет инвестора (67.6%)</t>
        </is>
      </c>
      <c r="I13" s="187"/>
    </row>
    <row r="14" ht="22" customHeight="1">
      <c r="B14" s="205" t="inlineStr">
        <is>
          <t>B.2</t>
        </is>
      </c>
      <c r="C14" s="206" t="inlineStr">
        <is>
          <t>(+) Producer equity (капитал продюсера) (JV (совместное предприятие) capital (капитал))</t>
        </is>
      </c>
      <c r="D14" s="187"/>
      <c r="E14" s="207" t="n">
        <v>600</v>
      </c>
      <c r="F14" s="186"/>
      <c r="G14" s="187"/>
      <c r="H14" s="159" t="inlineStr">
        <is>
          <t>Собственные средства продюсера (32.4%)</t>
        </is>
      </c>
      <c r="I14" s="187"/>
    </row>
    <row r="15" ht="22" customHeight="1">
      <c r="B15" s="216" t="inlineStr">
        <is>
          <t>=</t>
        </is>
      </c>
      <c r="C15" s="217" t="inlineStr">
        <is>
          <t>Full production budget (бюджет)  (7 проектов × avg 264.3 млн) (Полный бюджет производства)</t>
        </is>
      </c>
      <c r="D15" s="187"/>
      <c r="E15" s="198" t="n">
        <v>1850</v>
      </c>
      <c r="F15" s="186"/>
      <c r="G15" s="187"/>
      <c r="H15" s="183" t="inlineStr">
        <is>
          <t>★ Σ расходов на производство</t>
        </is>
      </c>
      <c r="I15" s="187"/>
    </row>
    <row r="16" ht="22" customHeight="1">
      <c r="B16" s="205" t="inlineStr">
        <is>
          <t>B.3</t>
        </is>
      </c>
      <c r="C16" s="206" t="inlineStr">
        <is>
          <t>(+) P&amp;A expenditure (Расходы на P&amp;A) (separate from CAPEX (Капзатраты))</t>
        </is>
      </c>
      <c r="D16" s="187"/>
      <c r="E16" s="207" t="n">
        <v>277.5</v>
      </c>
      <c r="F16" s="186"/>
      <c r="G16" s="187"/>
      <c r="H16" s="159" t="inlineStr">
        <is>
          <t>Prints &amp; Advertising (Тиражирование и реклама), финансируется из cashflow</t>
        </is>
      </c>
      <c r="I16" s="187"/>
    </row>
    <row r="17" ht="22" customHeight="1">
      <c r="B17" s="216" t="inlineStr">
        <is>
          <t>=</t>
        </is>
      </c>
      <c r="C17" s="217" t="inlineStr">
        <is>
          <t>Total (Итого) content-related costs</t>
        </is>
      </c>
      <c r="D17" s="187"/>
      <c r="E17" s="198" t="n">
        <v>2127.5</v>
      </c>
      <c r="F17" s="186"/>
      <c r="G17" s="187"/>
      <c r="H17" s="183">
        <f> COGS в P&amp;L</f>
        <v>0</v>
      </c>
      <c r="I17" s="187"/>
    </row>
    <row r="19" ht="22" customHeight="1">
      <c r="B19" s="211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188"/>
      <c r="D19" s="188"/>
      <c r="E19" s="188"/>
      <c r="F19" s="188"/>
      <c r="G19" s="188"/>
      <c r="H19" s="188"/>
      <c r="I19" s="185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7 проектов (5 фильмов + 2 сериала)  ·  Σ 1 850 млн ₽</t>
        </is>
      </c>
    </row>
    <row r="3">
      <c r="B3" s="189" t="inlineStr">
        <is>
          <t>Распределение производственных затрат по 7 проектам: 5/45/35/15% (pre-prod/prod/post-prod/release)</t>
        </is>
      </c>
    </row>
    <row r="5" ht="22" customHeight="1">
      <c r="B5" s="166" t="inlineStr">
        <is>
          <t>#</t>
        </is>
      </c>
      <c r="C5" s="190" t="inlineStr">
        <is>
          <t>Film (Фильм)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 (Капзатраты)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P01</t>
        </is>
      </c>
      <c r="C6" s="206" t="inlineStr">
        <is>
          <t>Ночной патруль</t>
        </is>
      </c>
      <c r="D6" s="202">
        <v>12.5</v>
      </c>
      <c r="E6" s="202">
        <v>112.5</v>
      </c>
      <c r="F6" s="202">
        <v>87.5</v>
      </c>
      <c r="G6" s="202">
        <v>37.5</v>
      </c>
      <c r="H6" s="207">
        <v>0.0</v>
      </c>
      <c r="I6" s="207">
        <v>0.0</v>
      </c>
      <c r="J6" s="207">
        <v>0.0</v>
      </c>
      <c r="K6" s="207">
        <v>0.0</v>
      </c>
      <c r="L6" s="207">
        <v>0.0</v>
      </c>
      <c r="M6" s="207">
        <v>0.0</v>
      </c>
      <c r="N6" s="207">
        <v>0.0</v>
      </c>
      <c r="O6" s="207">
        <v>0.0</v>
      </c>
      <c r="P6" s="197">
        <v>250</v>
      </c>
      <c r="Q6" s="205" t="inlineStr">
        <is>
          <t>Q4'26</t>
        </is>
      </c>
      <c r="R6" s="223" t="inlineStr">
        <is>
          <t>A+</t>
        </is>
      </c>
    </row>
    <row r="7" ht="20" customHeight="1">
      <c r="B7" s="212" t="inlineStr">
        <is>
          <t>P02</t>
        </is>
      </c>
      <c r="C7" s="206" t="inlineStr">
        <is>
          <t>Тёмная сторона</t>
        </is>
      </c>
      <c r="D7" s="224">
        <v>0.0</v>
      </c>
      <c r="E7" s="202">
        <v>0.0</v>
      </c>
      <c r="F7" s="202">
        <v>20.0</v>
      </c>
      <c r="G7" s="202">
        <v>180.0</v>
      </c>
      <c r="H7" s="202">
        <v>140.0</v>
      </c>
      <c r="I7" s="207">
        <v>60.0</v>
      </c>
      <c r="J7" s="207">
        <v>0.0</v>
      </c>
      <c r="K7" s="207">
        <v>0.0</v>
      </c>
      <c r="L7" s="207">
        <v>0.0</v>
      </c>
      <c r="M7" s="207">
        <v>0.0</v>
      </c>
      <c r="N7" s="207">
        <v>0.0</v>
      </c>
      <c r="O7" s="207">
        <v>0.0</v>
      </c>
      <c r="P7" s="197">
        <v>400</v>
      </c>
      <c r="Q7" s="205" t="inlineStr">
        <is>
          <t>Q2'27</t>
        </is>
      </c>
      <c r="R7" s="223" t="inlineStr">
        <is>
          <t>A+</t>
        </is>
      </c>
    </row>
    <row r="8" ht="20" customHeight="1">
      <c r="B8" s="212" t="inlineStr">
        <is>
          <t>P03</t>
        </is>
      </c>
      <c r="C8" s="206" t="inlineStr">
        <is>
          <t>Время героев</t>
        </is>
      </c>
      <c r="D8" s="224">
        <v>0.0</v>
      </c>
      <c r="E8" s="207">
        <v>0.0</v>
      </c>
      <c r="F8" s="202">
        <v>0.0</v>
      </c>
      <c r="G8" s="202">
        <v>14.0</v>
      </c>
      <c r="H8" s="202">
        <v>126.0</v>
      </c>
      <c r="I8" s="202">
        <v>98.0</v>
      </c>
      <c r="J8" s="207">
        <v>42.0</v>
      </c>
      <c r="K8" s="207">
        <v>0.0</v>
      </c>
      <c r="L8" s="207">
        <v>0.0</v>
      </c>
      <c r="M8" s="207">
        <v>0.0</v>
      </c>
      <c r="N8" s="207">
        <v>0.0</v>
      </c>
      <c r="O8" s="207">
        <v>0.0</v>
      </c>
      <c r="P8" s="197">
        <v>280</v>
      </c>
      <c r="Q8" s="205" t="inlineStr">
        <is>
          <t>Q3'27</t>
        </is>
      </c>
      <c r="R8" s="223" t="inlineStr">
        <is>
          <t>A+</t>
        </is>
      </c>
    </row>
    <row r="9" ht="20" customHeight="1">
      <c r="B9" s="212" t="inlineStr">
        <is>
          <t>P04</t>
        </is>
      </c>
      <c r="C9" s="206" t="inlineStr">
        <is>
          <t>Наследие</t>
        </is>
      </c>
      <c r="D9" s="224">
        <v>0.0</v>
      </c>
      <c r="E9" s="207">
        <v>0.0</v>
      </c>
      <c r="F9" s="202">
        <v>0.0</v>
      </c>
      <c r="G9" s="202">
        <v>0.0</v>
      </c>
      <c r="H9" s="202">
        <v>17.0</v>
      </c>
      <c r="I9" s="202">
        <v>153.0</v>
      </c>
      <c r="J9" s="207">
        <v>119.0</v>
      </c>
      <c r="K9" s="207">
        <v>51.0</v>
      </c>
      <c r="L9" s="207">
        <v>0.0</v>
      </c>
      <c r="M9" s="207">
        <v>0.0</v>
      </c>
      <c r="N9" s="207">
        <v>0.0</v>
      </c>
      <c r="O9" s="207">
        <v>0.0</v>
      </c>
      <c r="P9" s="197">
        <v>340</v>
      </c>
      <c r="Q9" s="205" t="inlineStr">
        <is>
          <t>Q4'27</t>
        </is>
      </c>
      <c r="R9" s="223" t="inlineStr">
        <is>
          <t>A</t>
        </is>
      </c>
    </row>
    <row r="10" ht="20" customHeight="1">
      <c r="B10" s="212" t="inlineStr">
        <is>
          <t>P05</t>
        </is>
      </c>
      <c r="C10" s="206" t="inlineStr">
        <is>
          <t>Сказка наяву</t>
        </is>
      </c>
      <c r="D10" s="224">
        <v>0.0</v>
      </c>
      <c r="E10" s="207">
        <v>0.0</v>
      </c>
      <c r="F10" s="207">
        <v>0.0</v>
      </c>
      <c r="G10" s="202">
        <v>0.0</v>
      </c>
      <c r="H10" s="202">
        <v>0.0</v>
      </c>
      <c r="I10" s="202">
        <v>10.0</v>
      </c>
      <c r="J10" s="202">
        <v>90.0</v>
      </c>
      <c r="K10" s="207">
        <v>70.0</v>
      </c>
      <c r="L10" s="207">
        <v>30.0</v>
      </c>
      <c r="M10" s="207">
        <v>0.0</v>
      </c>
      <c r="N10" s="207">
        <v>0.0</v>
      </c>
      <c r="O10" s="207">
        <v>0.0</v>
      </c>
      <c r="P10" s="197">
        <v>200</v>
      </c>
      <c r="Q10" s="205" t="inlineStr">
        <is>
          <t>Q1'28</t>
        </is>
      </c>
      <c r="R10" s="223" t="inlineStr">
        <is>
          <t>A</t>
        </is>
      </c>
    </row>
    <row r="11" ht="20" customHeight="1">
      <c r="B11" s="212" t="inlineStr">
        <is>
          <t>P06</t>
        </is>
      </c>
      <c r="C11" s="206" t="inlineStr">
        <is>
          <t>Северный ветер</t>
        </is>
      </c>
      <c r="D11" s="224">
        <v>0.0</v>
      </c>
      <c r="E11" s="207">
        <v>0.0</v>
      </c>
      <c r="F11" s="207">
        <v>0.0</v>
      </c>
      <c r="G11" s="207">
        <v>0.0</v>
      </c>
      <c r="H11" s="202">
        <v>0.0</v>
      </c>
      <c r="I11" s="202">
        <v>0.0</v>
      </c>
      <c r="J11" s="202">
        <v>0.0</v>
      </c>
      <c r="K11" s="202">
        <v>10.0</v>
      </c>
      <c r="L11" s="207">
        <v>90.0</v>
      </c>
      <c r="M11" s="207">
        <v>70.0</v>
      </c>
      <c r="N11" s="207">
        <v>30.0</v>
      </c>
      <c r="O11" s="207">
        <v>0.0</v>
      </c>
      <c r="P11" s="197">
        <v>200</v>
      </c>
      <c r="Q11" s="205" t="inlineStr">
        <is>
          <t>Q3'28</t>
        </is>
      </c>
      <c r="R11" s="223" t="inlineStr">
        <is>
          <t>A</t>
        </is>
      </c>
    </row>
    <row r="12" ht="20" customHeight="1">
      <c r="B12" s="212" t="inlineStr">
        <is>
          <t>P07</t>
        </is>
      </c>
      <c r="C12" s="206" t="inlineStr">
        <is>
          <t>Горизонт событий</t>
        </is>
      </c>
      <c r="D12" s="224">
        <v>0.0</v>
      </c>
      <c r="E12" s="207">
        <v>0.0</v>
      </c>
      <c r="F12" s="207">
        <v>0.0</v>
      </c>
      <c r="G12" s="207">
        <v>0.0</v>
      </c>
      <c r="H12" s="207">
        <v>0.0</v>
      </c>
      <c r="I12" s="202">
        <v>0.0</v>
      </c>
      <c r="J12" s="202">
        <v>0.0</v>
      </c>
      <c r="K12" s="202">
        <v>0.0</v>
      </c>
      <c r="L12" s="202">
        <v>9.0</v>
      </c>
      <c r="M12" s="207">
        <v>81.0</v>
      </c>
      <c r="N12" s="207">
        <v>63.0</v>
      </c>
      <c r="O12" s="207">
        <v>27.0</v>
      </c>
      <c r="P12" s="197">
        <v>180</v>
      </c>
      <c r="Q12" s="205" t="inlineStr">
        <is>
          <t>Q4'28</t>
        </is>
      </c>
      <c r="R12" s="223" t="inlineStr">
        <is>
          <t>A</t>
        </is>
      </c>
    </row>
    <row r="13" ht="20" customHeight="1">
      <c r="B13" s="212" t="inlineStr">
        <is>
          <t/>
        </is>
      </c>
      <c r="C13" s="206" t="inlineStr">
        <is>
          <t/>
        </is>
      </c>
      <c r="D13" s="224">
        <v>0</v>
      </c>
      <c r="E13" s="207">
        <v>0</v>
      </c>
      <c r="F13" s="207">
        <v>0</v>
      </c>
      <c r="G13" s="207">
        <v>0</v>
      </c>
      <c r="H13" s="207">
        <v>0</v>
      </c>
      <c r="I13" s="207">
        <v>0</v>
      </c>
      <c r="J13" s="202">
        <v>0</v>
      </c>
      <c r="K13" s="202">
        <v>0</v>
      </c>
      <c r="L13" s="202">
        <v>0</v>
      </c>
      <c r="M13" s="202">
        <v>0</v>
      </c>
      <c r="N13" s="207">
        <v>0</v>
      </c>
      <c r="O13" s="207">
        <v>0</v>
      </c>
      <c r="P13" s="197">
        <v>0</v>
      </c>
      <c r="Q13" s="205" t="inlineStr">
        <is>
          <t/>
        </is>
      </c>
      <c r="R13" s="223" t="inlineStr">
        <is>
          <t/>
        </is>
      </c>
    </row>
    <row r="14" ht="20" customHeight="1">
      <c r="B14" s="212" t="inlineStr">
        <is>
          <t/>
        </is>
      </c>
      <c r="C14" s="206" t="inlineStr">
        <is>
          <t/>
        </is>
      </c>
      <c r="D14" s="224">
        <v>0</v>
      </c>
      <c r="E14" s="207">
        <v>0</v>
      </c>
      <c r="F14" s="207">
        <v>0</v>
      </c>
      <c r="G14" s="207">
        <v>0</v>
      </c>
      <c r="H14" s="207">
        <v>0</v>
      </c>
      <c r="I14" s="207">
        <v>0</v>
      </c>
      <c r="J14" s="202">
        <v>0</v>
      </c>
      <c r="K14" s="202">
        <v>0</v>
      </c>
      <c r="L14" s="202">
        <v>0</v>
      </c>
      <c r="M14" s="202">
        <v>0</v>
      </c>
      <c r="N14" s="207">
        <v>0</v>
      </c>
      <c r="O14" s="207">
        <v>0</v>
      </c>
      <c r="P14" s="197">
        <v>0</v>
      </c>
      <c r="Q14" s="205" t="inlineStr">
        <is>
          <t/>
        </is>
      </c>
      <c r="R14" s="223" t="inlineStr">
        <is>
          <t/>
        </is>
      </c>
    </row>
    <row r="15" ht="20" customHeight="1">
      <c r="B15" s="212" t="inlineStr">
        <is>
          <t/>
        </is>
      </c>
      <c r="C15" s="206" t="inlineStr">
        <is>
          <t/>
        </is>
      </c>
      <c r="D15" s="224">
        <v>0</v>
      </c>
      <c r="E15" s="207">
        <v>0</v>
      </c>
      <c r="F15" s="207">
        <v>0</v>
      </c>
      <c r="G15" s="207">
        <v>0</v>
      </c>
      <c r="H15" s="207">
        <v>0</v>
      </c>
      <c r="I15" s="207">
        <v>0</v>
      </c>
      <c r="J15" s="207">
        <v>0</v>
      </c>
      <c r="K15" s="202">
        <v>0</v>
      </c>
      <c r="L15" s="202">
        <v>0</v>
      </c>
      <c r="M15" s="202">
        <v>0</v>
      </c>
      <c r="N15" s="202">
        <v>0</v>
      </c>
      <c r="O15" s="207">
        <v>0</v>
      </c>
      <c r="P15" s="197">
        <v>0</v>
      </c>
      <c r="Q15" s="205" t="inlineStr">
        <is>
          <t/>
        </is>
      </c>
      <c r="R15" s="223" t="inlineStr">
        <is>
          <t/>
        </is>
      </c>
    </row>
    <row r="16" ht="20" customHeight="1">
      <c r="B16" s="212" t="inlineStr">
        <is>
          <t/>
        </is>
      </c>
      <c r="C16" s="206" t="inlineStr">
        <is>
          <t/>
        </is>
      </c>
      <c r="D16" s="224">
        <v>0</v>
      </c>
      <c r="E16" s="207">
        <v>0</v>
      </c>
      <c r="F16" s="207">
        <v>0</v>
      </c>
      <c r="G16" s="207">
        <v>0</v>
      </c>
      <c r="H16" s="207">
        <v>0</v>
      </c>
      <c r="I16" s="207">
        <v>0</v>
      </c>
      <c r="J16" s="207">
        <v>0</v>
      </c>
      <c r="K16" s="202">
        <v>0</v>
      </c>
      <c r="L16" s="202">
        <v>0</v>
      </c>
      <c r="M16" s="202">
        <v>0</v>
      </c>
      <c r="N16" s="202">
        <v>0</v>
      </c>
      <c r="O16" s="207">
        <v>0</v>
      </c>
      <c r="P16" s="197">
        <v>0</v>
      </c>
      <c r="Q16" s="205" t="inlineStr">
        <is>
          <t/>
        </is>
      </c>
      <c r="R16" s="223" t="inlineStr">
        <is>
          <t/>
        </is>
      </c>
    </row>
    <row r="17" ht="20" customHeight="1">
      <c r="B17" s="212" t="inlineStr">
        <is>
          <t/>
        </is>
      </c>
      <c r="C17" s="206" t="inlineStr">
        <is>
          <t/>
        </is>
      </c>
      <c r="D17" s="224">
        <v>0</v>
      </c>
      <c r="E17" s="207">
        <v>0</v>
      </c>
      <c r="F17" s="207">
        <v>0</v>
      </c>
      <c r="G17" s="207">
        <v>0</v>
      </c>
      <c r="H17" s="207">
        <v>0</v>
      </c>
      <c r="I17" s="207">
        <v>0</v>
      </c>
      <c r="J17" s="207">
        <v>0</v>
      </c>
      <c r="K17" s="207">
        <v>0</v>
      </c>
      <c r="L17" s="202">
        <v>0</v>
      </c>
      <c r="M17" s="202">
        <v>0</v>
      </c>
      <c r="N17" s="202">
        <v>0</v>
      </c>
      <c r="O17" s="202">
        <v>0</v>
      </c>
      <c r="P17" s="197">
        <v>0</v>
      </c>
      <c r="Q17" s="205" t="inlineStr">
        <is>
          <t/>
        </is>
      </c>
      <c r="R17" s="223" t="inlineStr">
        <is>
          <t/>
        </is>
      </c>
    </row>
    <row r="18" ht="24" customHeight="1">
      <c r="B18" s="216" t="inlineStr">
        <is>
          <t>Σ</t>
        </is>
      </c>
      <c r="C18" s="217" t="inlineStr">
        <is>
          <t>ИТОГО Production CAPEX (7 проектов)</t>
        </is>
      </c>
      <c r="D18" s="198">
        <v>12.5</v>
      </c>
      <c r="E18" s="198">
        <v>112.5</v>
      </c>
      <c r="F18" s="198">
        <v>107.5</v>
      </c>
      <c r="G18" s="198">
        <v>231.5</v>
      </c>
      <c r="H18" s="198">
        <v>283.0</v>
      </c>
      <c r="I18" s="198">
        <v>321.0</v>
      </c>
      <c r="J18" s="198">
        <v>251.0</v>
      </c>
      <c r="K18" s="198">
        <v>131.0</v>
      </c>
      <c r="L18" s="198">
        <v>129.0</v>
      </c>
      <c r="M18" s="198">
        <v>151.0</v>
      </c>
      <c r="N18" s="198">
        <v>93.0</v>
      </c>
      <c r="O18" s="198">
        <v>27.0</v>
      </c>
      <c r="P18" s="198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(7 проектов: 5 фильмов + 2 сериала)</t>
        </is>
      </c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5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СТРУКТУРЫ СДЕЛОК  ·  T₁ Legacy (Базовый вариант)  &amp;  T₂ New</t>
        </is>
      </c>
    </row>
    <row r="3">
      <c r="B3" s="189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 (Базовый вариант)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/>
      <c r="D6" s="186"/>
      <c r="E6" s="186"/>
      <c r="F6" s="187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 (якорь);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(Собственный капитал) диапазон,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(доля в капитале) upside</t>
        </is>
      </c>
    </row>
    <row r="10" ht="22" customHeight="1">
      <c r="B10" s="205" t="inlineStr">
        <is>
          <t>1.4</t>
        </is>
      </c>
      <c r="C10" s="213" t="inlineStr">
        <is>
          <t>Seniority (Старшинство)</t>
        </is>
      </c>
      <c r="D10" s="225" t="inlineStr">
        <is>
          <t>Старший (1L)</t>
        </is>
      </c>
      <c r="E10" s="226" t="inlineStr">
        <is>
          <t>Pari-passu (Паритетное (pari-passu))</t>
        </is>
      </c>
      <c r="F10" s="159" t="inlineStr">
        <is>
          <t>T₁ — приоритет, T₂ — equity (доля в капитале)</t>
        </is>
      </c>
    </row>
    <row r="11" ht="22" customHeight="1">
      <c r="B11" s="205" t="inlineStr">
        <is>
          <t>1.5</t>
        </is>
      </c>
      <c r="C11" s="213" t="inlineStr">
        <is>
          <t>Tranche (Транш) schedule</t>
        </is>
      </c>
      <c r="D11" s="225" t="inlineStr">
        <is>
          <t>4 × (20/28/28/24)%</t>
        </is>
      </c>
      <c r="E11" s="226" t="inlineStr">
        <is>
          <t>Единовременная выплата (Единовременная выплата)</t>
        </is>
      </c>
      <c r="F11" s="159" t="inlineStr">
        <is>
          <t>T₁ milestone-based (по вехам); T₂ — cash upfront (авансом)</t>
        </is>
      </c>
    </row>
    <row r="12" ht="22" customHeight="1">
      <c r="B12" s="205" t="inlineStr">
        <is>
          <t>1.6</t>
        </is>
      </c>
      <c r="C12" s="213" t="inlineStr">
        <is>
          <t>Service fee / coupon (купон)</t>
        </is>
      </c>
      <c r="D12" s="225" t="inlineStr">
        <is>
          <t>Service fee 15 млн</t>
        </is>
      </c>
      <c r="E12" s="226" t="inlineStr">
        <is>
          <t>8% cumulative (кумулятивный)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/>
      <c r="D13" s="186"/>
      <c r="E13" s="186"/>
      <c r="F13" s="187"/>
    </row>
    <row r="14" ht="22" customHeight="1">
      <c r="B14" s="205" t="inlineStr">
        <is>
          <t>2.1</t>
        </is>
      </c>
      <c r="C14" s="213" t="inlineStr">
        <is>
          <t>Приоритет возмещения (Приоритет возмещения)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(Каскад) order: LP (ограниченный партнёр) return of capital (капитал) → coupon (купон) → residual (остаток) split (разделение) (W₅ V-D ★ default (по умолчанию)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 (Привилегированная доходность)</t>
        </is>
      </c>
      <c r="D15" s="225" t="inlineStr">
        <is>
          <t>—</t>
        </is>
      </c>
      <c r="E15" s="226" t="inlineStr">
        <is>
          <t>8 % cumulative (кумулятивный)</t>
        </is>
      </c>
      <c r="F15" s="159" t="inlineStr">
        <is>
          <t>До equity (доля в капитале) conversion</t>
        </is>
      </c>
    </row>
    <row r="16" ht="22" customHeight="1">
      <c r="B16" s="205" t="inlineStr">
        <is>
          <t>2.3</t>
        </is>
      </c>
      <c r="C16" s="213" t="inlineStr">
        <is>
          <t>Waterfall split (разделение каскада)</t>
        </is>
      </c>
      <c r="D16" s="225" t="inlineStr">
        <is>
          <t>60 / 40 (Инвестор/Продюсер)</t>
        </is>
      </c>
      <c r="E16" s="226" t="inlineStr">
        <is>
          <t>50 / 50 pro-rata (пропорционально)</t>
        </is>
      </c>
      <c r="F16" s="159" t="inlineStr">
        <is>
          <t>По default (по умолчанию) сценарию W₅ V-D ★ v1.0.1 (legacy (базовый вариант)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Триггер выхода (Триггер выхода)</t>
        </is>
      </c>
      <c r="D17" s="225" t="inlineStr">
        <is>
          <t>2029-2032 tail (хвостовой период)</t>
        </is>
      </c>
      <c r="E17" s="226" t="inlineStr">
        <is>
          <t>Event-based (IPO (первичное размещение)/M&amp;A (слияния и поглощения))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Механика конверсии (Механика конверсии)</t>
        </is>
      </c>
      <c r="D18" s="225" t="inlineStr">
        <is>
          <t>Единовременное погашение (Единовременное погашение)</t>
        </is>
      </c>
      <c r="E18" s="226" t="inlineStr">
        <is>
          <t>Equity (Собственный капитал)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/>
      <c r="D19" s="186"/>
      <c r="E19" s="186"/>
      <c r="F19" s="187"/>
    </row>
    <row r="20" ht="22" customHeight="1">
      <c r="B20" s="205" t="inlineStr">
        <is>
          <t>3.1</t>
        </is>
      </c>
      <c r="C20" s="213" t="inlineStr">
        <is>
          <t>Reporting (Отчётность)</t>
        </is>
      </c>
      <c r="D20" s="225" t="inlineStr">
        <is>
          <t>Quarterly financial (Ежеквартальная фин. отчётность)</t>
        </is>
      </c>
      <c r="E20" s="226" t="inlineStr">
        <is>
          <t>Quarterly + board seat (Ежекварт. + место в совете)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Права на информацию (Права на информацию)</t>
        </is>
      </c>
      <c r="D21" s="225" t="inlineStr">
        <is>
          <t>Read-only (Только чтение)</t>
        </is>
      </c>
      <c r="E21" s="226" t="inlineStr">
        <is>
          <t>Полный + вето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(Право принудительной продажи) / Tag-along (Право присоединения к продаже)</t>
        </is>
      </c>
      <c r="D22" s="225" t="inlineStr">
        <is>
          <t>Standard (Стандартный)</t>
        </is>
      </c>
      <c r="E22" s="226" t="inlineStr">
        <is>
          <t>Drag (Принуд. продажа) + ROFR (Преимущ. право)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Расторжение (Расторжение)</t>
        </is>
      </c>
      <c r="D24" s="225" t="inlineStr">
        <is>
          <t>Milestone default (по умолчанию)</t>
        </is>
      </c>
      <c r="E24" s="226" t="inlineStr">
        <is>
          <t>Существенное нарушение (Существенное нарушение)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(ИНВЕСТИЦИИ) ENVELOPE (СОВОКУПНЫЙ ИНВЕСТИЦИОННЫЙ ПАКЕТ)</t>
        </is>
      </c>
      <c r="C26" s="186"/>
      <c r="D26" s="186"/>
      <c r="E26" s="186"/>
      <c r="F26" s="187"/>
    </row>
    <row r="27" ht="22" customHeight="1">
      <c r="B27" s="205" t="inlineStr">
        <is>
          <t>4.1</t>
        </is>
      </c>
      <c r="C27" s="206" t="inlineStr">
        <is>
          <t>T₁ Legacy (Базовый вариант) только</t>
        </is>
      </c>
      <c r="D27" s="205" t="inlineStr">
        <is>
          <t>1 250 млн ₽</t>
        </is>
      </c>
      <c r="E27" s="187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 (автономный)</t>
        </is>
      </c>
      <c r="D29" s="205" t="inlineStr">
        <is>
          <t>500 млн ₽</t>
        </is>
      </c>
      <c r="E29" s="187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(капитал продюсера) (off-P&amp;L)</t>
        </is>
      </c>
      <c r="D30" s="205" t="inlineStr">
        <is>
          <t>600 млн ₽</t>
        </is>
      </c>
      <c r="E30" s="187"/>
      <c r="F30" s="159" t="inlineStr">
        <is>
          <t>JV (совместное предприятие) capital (капитал)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(Итого) capital (капитал) to production</t>
        </is>
      </c>
      <c r="D31" s="216" t="inlineStr">
        <is>
          <t>2 350 млн ₽</t>
        </is>
      </c>
      <c r="E31" s="187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ТАБЛИЦА КАПИТАЛИЗАЦИИ  ·  Ownership Structure (Структура собственности) (2 сценария)</t>
        </is>
      </c>
    </row>
    <row r="3">
      <c r="B3" s="189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 (Базовый вариант)</t>
        </is>
      </c>
      <c r="C5" s="186"/>
      <c r="D5" s="186"/>
      <c r="E5" s="186"/>
      <c r="F5" s="186"/>
      <c r="G5" s="186"/>
      <c r="H5" s="186"/>
      <c r="I5" s="186"/>
      <c r="J5" s="187"/>
    </row>
    <row r="6" ht="22" customHeight="1">
      <c r="B6" s="166" t="inlineStr">
        <is>
          <t>#</t>
        </is>
      </c>
      <c r="C6" s="190" t="inlineStr">
        <is>
          <t>Акционер (Акционер)</t>
        </is>
      </c>
      <c r="D6" s="166" t="inlineStr">
        <is>
          <t>Pre-money vkl, млн ₽</t>
        </is>
      </c>
      <c r="E6" s="166" t="inlineStr">
        <is>
          <t>Shares (Акции)</t>
        </is>
      </c>
      <c r="F6" s="166" t="inlineStr">
        <is>
          <t>Доля %</t>
        </is>
      </c>
      <c r="G6" s="187"/>
      <c r="H6" s="166" t="inlineStr">
        <is>
          <t>Post-money val, млн ₽</t>
        </is>
      </c>
      <c r="I6" s="187"/>
      <c r="J6" s="167" t="inlineStr">
        <is>
          <t>Comment (Комментарий)</t>
        </is>
      </c>
    </row>
    <row r="7" ht="22" customHeight="1">
      <c r="B7" s="205" t="inlineStr">
        <is>
          <t>A.1</t>
        </is>
      </c>
      <c r="C7" s="206" t="inlineStr">
        <is>
          <t>Founder / Producer (Продюсер)</t>
        </is>
      </c>
      <c r="D7" s="207" t="n">
        <v>2917</v>
      </c>
      <c r="E7" s="227" t="n">
        <v>7000</v>
      </c>
      <c r="F7" s="228" t="n">
        <v>70</v>
      </c>
      <c r="G7" s="187"/>
      <c r="H7" s="207" t="n">
        <v>2917</v>
      </c>
      <c r="I7" s="187"/>
      <c r="J7" s="159" t="inlineStr">
        <is>
          <t>Pre-money equity (доля в капитале)</t>
        </is>
      </c>
    </row>
    <row r="8" ht="22" customHeight="1">
      <c r="B8" s="205" t="inlineStr">
        <is>
          <t>A.2</t>
        </is>
      </c>
      <c r="C8" s="206" t="inlineStr">
        <is>
          <t>T₁ Legacy (Базовый вариант) Investor (Инвестор)</t>
        </is>
      </c>
      <c r="D8" s="207" t="n">
        <v>1250</v>
      </c>
      <c r="E8" s="227" t="n">
        <v>3000</v>
      </c>
      <c r="F8" s="228" t="n">
        <v>30</v>
      </c>
      <c r="G8" s="187"/>
      <c r="H8" s="207" t="n">
        <v>1250</v>
      </c>
      <c r="I8" s="187"/>
      <c r="J8" s="159" t="inlineStr">
        <is>
          <t>Новые деньги (Новые деньги), 30% stake</t>
        </is>
      </c>
    </row>
    <row r="9" ht="22" customHeight="1">
      <c r="B9" s="216" t="inlineStr">
        <is>
          <t>Σ</t>
        </is>
      </c>
      <c r="C9" s="217" t="inlineStr">
        <is>
          <t>TOTAL (ИТОГО)</t>
        </is>
      </c>
      <c r="D9" s="198" t="n">
        <v>4167</v>
      </c>
      <c r="E9" s="229" t="n">
        <v>10000</v>
      </c>
      <c r="F9" s="230" t="n">
        <v>100</v>
      </c>
      <c r="G9" s="187"/>
      <c r="H9" s="198" t="n">
        <v>4167</v>
      </c>
      <c r="I9" s="187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(Базовый вариант) + T₂ New</t>
        </is>
      </c>
      <c r="C12" s="186"/>
      <c r="D12" s="186"/>
      <c r="E12" s="186"/>
      <c r="F12" s="186"/>
      <c r="G12" s="186"/>
      <c r="H12" s="186"/>
      <c r="I12" s="186"/>
      <c r="J12" s="187"/>
    </row>
    <row r="13" ht="22" customHeight="1">
      <c r="B13" s="166" t="inlineStr">
        <is>
          <t>#</t>
        </is>
      </c>
      <c r="C13" s="190" t="inlineStr">
        <is>
          <t>Акционер (Акционер)</t>
        </is>
      </c>
      <c r="D13" s="166" t="inlineStr">
        <is>
          <t>Pre-money vkl, млн ₽</t>
        </is>
      </c>
      <c r="E13" s="166" t="inlineStr">
        <is>
          <t>Shares (Акции)</t>
        </is>
      </c>
      <c r="F13" s="166" t="inlineStr">
        <is>
          <t>Доля %</t>
        </is>
      </c>
      <c r="G13" s="187"/>
      <c r="H13" s="166" t="inlineStr">
        <is>
          <t>Post-money val, млн ₽</t>
        </is>
      </c>
      <c r="I13" s="187"/>
      <c r="J13" s="167" t="inlineStr">
        <is>
          <t>Comment (Комментарий)</t>
        </is>
      </c>
    </row>
    <row r="14" ht="22" customHeight="1">
      <c r="B14" s="205" t="inlineStr">
        <is>
          <t>B.1</t>
        </is>
      </c>
      <c r="C14" s="206" t="inlineStr">
        <is>
          <t>Founder / Producer (Продюсер)</t>
        </is>
      </c>
      <c r="D14" s="207" t="n">
        <v>1750</v>
      </c>
      <c r="E14" s="227" t="n">
        <v>5000</v>
      </c>
      <c r="F14" s="228" t="n">
        <v>50</v>
      </c>
      <c r="G14" s="187"/>
      <c r="H14" s="207" t="n">
        <v>1750</v>
      </c>
      <c r="I14" s="187"/>
      <c r="J14" s="159" t="inlineStr">
        <is>
          <t>Pre-money, 50% retained (Доинвестиц., 50% сохранено)</t>
        </is>
      </c>
    </row>
    <row r="15" ht="22" customHeight="1">
      <c r="B15" s="205" t="inlineStr">
        <is>
          <t>B.2</t>
        </is>
      </c>
      <c r="C15" s="206" t="inlineStr">
        <is>
          <t>T₁ Legacy (Базовый вариант) Investor (Инвестор)</t>
        </is>
      </c>
      <c r="D15" s="207" t="n">
        <v>1250</v>
      </c>
      <c r="E15" s="227" t="n">
        <v>3000</v>
      </c>
      <c r="F15" s="228" t="n">
        <v>30</v>
      </c>
      <c r="G15" s="187"/>
      <c r="H15" s="207" t="n">
        <v>1050</v>
      </c>
      <c r="I15" s="187"/>
      <c r="J15" s="159" t="inlineStr">
        <is>
          <t>Senior tranche (транш)</t>
        </is>
      </c>
    </row>
    <row r="16" ht="22" customHeight="1">
      <c r="B16" s="205" t="inlineStr">
        <is>
          <t>B.3</t>
        </is>
      </c>
      <c r="C16" s="206" t="inlineStr">
        <is>
          <t>T₂ New Investor (Инвестор)</t>
        </is>
      </c>
      <c r="D16" s="207" t="n">
        <v>500</v>
      </c>
      <c r="E16" s="227" t="n">
        <v>2000</v>
      </c>
      <c r="F16" s="228" t="n">
        <v>20</v>
      </c>
      <c r="G16" s="187"/>
      <c r="H16" s="207" t="n">
        <v>700</v>
      </c>
      <c r="I16" s="187"/>
      <c r="J16" s="159" t="inlineStr">
        <is>
          <t>Slider 20% equity (доля в капитале)</t>
        </is>
      </c>
    </row>
    <row r="17" ht="22" customHeight="1">
      <c r="B17" s="216" t="inlineStr">
        <is>
          <t>Σ</t>
        </is>
      </c>
      <c r="C17" s="217" t="inlineStr">
        <is>
          <t>TOTAL (ИТОГО)</t>
        </is>
      </c>
      <c r="D17" s="198" t="n">
        <v>3500</v>
      </c>
      <c r="E17" s="229" t="n">
        <v>10000</v>
      </c>
      <c r="F17" s="230" t="n">
        <v>100</v>
      </c>
      <c r="G17" s="187"/>
      <c r="H17" s="198" t="n">
        <v>3500</v>
      </c>
      <c r="I17" s="187"/>
      <c r="J17" s="183" t="inlineStr">
        <is>
          <t>★ Post-money 3 500 млн</t>
        </is>
      </c>
    </row>
    <row r="20" ht="22" customHeight="1">
      <c r="B20" s="168" t="inlineStr">
        <is>
          <t>III.  FULLY DILUTED (Полное разводнение)  ·  Implied Exit Valuation (Подразумеваемая оценка при выходе)</t>
        </is>
      </c>
      <c r="C20" s="186"/>
      <c r="D20" s="186"/>
      <c r="E20" s="186"/>
      <c r="F20" s="186"/>
      <c r="G20" s="186"/>
      <c r="H20" s="186"/>
      <c r="I20" s="186"/>
      <c r="J20" s="187"/>
    </row>
    <row r="21" ht="20" customHeight="1">
      <c r="B21" s="205" t="inlineStr">
        <is>
          <t>3.1</t>
        </is>
      </c>
      <c r="C21" s="206" t="inlineStr">
        <is>
          <t>Exit EBITDA (прибыль до вычетов) GAAP, Y5 run-rate</t>
        </is>
      </c>
      <c r="D21" s="205" t="inlineStr">
        <is>
          <t>640 млн ₽</t>
        </is>
      </c>
      <c r="E21" s="186"/>
      <c r="F21" s="187"/>
      <c r="G21" s="159" t="inlineStr">
        <is>
          <t>Base case год 2030 (going-concern)</t>
        </is>
      </c>
      <c r="H21" s="186"/>
      <c r="I21" s="186"/>
      <c r="J21" s="187"/>
    </row>
    <row r="22" ht="20" customHeight="1">
      <c r="B22" s="205" t="inlineStr">
        <is>
          <t>3.2</t>
        </is>
      </c>
      <c r="C22" s="206" t="inlineStr">
        <is>
          <t>Base (Базовый) multiple (5×)</t>
        </is>
      </c>
      <c r="D22" s="205" t="inlineStr">
        <is>
          <t>5.0 ×</t>
        </is>
      </c>
      <c r="E22" s="186"/>
      <c r="F22" s="187"/>
      <c r="G22" s="159" t="inlineStr">
        <is>
          <t>Российский медиа-сектор</t>
        </is>
      </c>
      <c r="H22" s="186"/>
      <c r="I22" s="186"/>
      <c r="J22" s="187"/>
    </row>
    <row r="23" ht="20" customHeight="1">
      <c r="B23" s="205" t="inlineStr">
        <is>
          <t>3.3</t>
        </is>
      </c>
      <c r="C23" s="206" t="inlineStr">
        <is>
          <t>Implied Enterprise Value (Стоимость предприятия)</t>
        </is>
      </c>
      <c r="D23" s="205" t="inlineStr">
        <is>
          <t>3 200 млн ₽</t>
        </is>
      </c>
      <c r="E23" s="186"/>
      <c r="F23" s="187"/>
      <c r="G23" s="159" t="inlineStr">
        <is>
          <t>= EBITDA (прибыль до вычетов) × multiple</t>
        </is>
      </c>
      <c r="H23" s="186"/>
      <c r="I23" s="186"/>
      <c r="J23" s="187"/>
    </row>
    <row r="24" ht="20" customHeight="1">
      <c r="B24" s="205" t="inlineStr">
        <is>
          <t>3.4</t>
        </is>
      </c>
      <c r="C24" s="206" t="inlineStr">
        <is>
          <t>Less: Net Debt (Долг)</t>
        </is>
      </c>
      <c r="D24" s="205" t="inlineStr">
        <is>
          <t>0 млн ₽</t>
        </is>
      </c>
      <c r="E24" s="186"/>
      <c r="F24" s="187"/>
      <c r="G24" s="159" t="inlineStr">
        <is>
          <t>T₁ погашен к 2030</t>
        </is>
      </c>
      <c r="H24" s="186"/>
      <c r="I24" s="186"/>
      <c r="J24" s="187"/>
    </row>
    <row r="25" ht="20" customHeight="1">
      <c r="B25" s="205" t="inlineStr">
        <is>
          <t>3.5</t>
        </is>
      </c>
      <c r="C25" s="206" t="inlineStr">
        <is>
          <t>Equity (Собственный капитал) value</t>
        </is>
      </c>
      <c r="D25" s="205" t="inlineStr">
        <is>
          <t>3 200 млн ₽</t>
        </is>
      </c>
      <c r="E25" s="186"/>
      <c r="F25" s="187"/>
      <c r="G25" s="159" t="inlineStr">
        <is>
          <t>= EV (стоимость предприятия) − Net Debt (Долг)</t>
        </is>
      </c>
      <c r="H25" s="186"/>
      <c r="I25" s="186"/>
      <c r="J25" s="187"/>
    </row>
    <row r="26" ht="20" customHeight="1">
      <c r="B26" s="205" t="inlineStr">
        <is>
          <t>3.6</t>
        </is>
      </c>
      <c r="C26" s="206" t="inlineStr">
        <is>
          <t>+ NDP (чистые распределяемые поступления) tail (хвостовой период) distributions</t>
        </is>
      </c>
      <c r="D26" s="205" t="inlineStr">
        <is>
          <t>— млн ₽</t>
        </is>
      </c>
      <c r="E26" s="186"/>
      <c r="F26" s="187"/>
      <c r="G26" s="159" t="inlineStr">
        <is>
          <t>NDP anchor для waterfall — независимый от EV</t>
        </is>
      </c>
      <c r="H26" s="186"/>
      <c r="I26" s="186"/>
      <c r="J26" s="187"/>
    </row>
    <row r="27" ht="20" customHeight="1">
      <c r="B27" s="216" t="inlineStr">
        <is>
          <t>3.7</t>
        </is>
      </c>
      <c r="C27" s="217" t="inlineStr">
        <is>
          <t>Total (Итого) shareholder value</t>
        </is>
      </c>
      <c r="D27" s="216" t="inlineStr">
        <is>
          <t>3 000 млн ₽</t>
        </is>
      </c>
      <c r="E27" s="186"/>
      <c r="F27" s="187"/>
      <c r="G27" s="183" t="inlineStr">
        <is>
          <t>★ Matches NDP (чистые распределяемые поступления) anchor (якорь)</t>
        </is>
      </c>
      <c r="H27" s="186"/>
      <c r="I27" s="186"/>
      <c r="J27" s="187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188"/>
      <c r="D29" s="188"/>
      <c r="E29" s="188"/>
      <c r="F29" s="188"/>
      <c r="G29" s="188"/>
      <c r="H29" s="188"/>
      <c r="I29" s="188"/>
      <c r="J29" s="185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КАСКАД РАСПРЕДЕЛЕНИЯ (КАСКАД РАСПРЕДЕЛЕНИЯ)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>
      <c r="B3" s="258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 (Этап)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(Этап)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(Этап)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(ИТОГО)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 (Этап)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(пропорц.) инвестор: 1 250 / 1 850 = 67,57%</t>
        </is>
      </c>
      <c r="D13" s="531" t="n">
        <v>2027</v>
      </c>
      <c r="E13" s="531" t="n">
        <v>2027</v>
      </c>
      <c r="G13" s="535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(пропорц.) продюсер: 600 / 1 850 = 32,43%</t>
        </is>
      </c>
      <c r="D14" s="531" t="n">
        <v>973</v>
      </c>
      <c r="E14" s="535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(ИТОГО)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(купон) + 60/40 на остаток  (★ DEFAULT (ПО УМОЛЧАНИЮ) с v1.0.1)</t>
        </is>
      </c>
    </row>
    <row r="18">
      <c r="B18" s="530" t="inlineStr">
        <is>
          <t>#</t>
        </is>
      </c>
      <c r="C18" s="530" t="inlineStr">
        <is>
          <t>Stage (Этап)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(Этап) 1: 1× Liquidation (Ликвидация) Preference (ликвидационная привилегия)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(Инвестор) recoups 1 × principal = 1 250</t>
        </is>
      </c>
    </row>
    <row r="20">
      <c r="B20" s="205" t="n">
        <v>2</v>
      </c>
      <c r="C20" s="206" t="inlineStr">
        <is>
          <t>Stage (Этап) 2: 8% coupon (купон)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 (Привилегированная доходность): 1 250 × 8% × 5y = 500</t>
        </is>
      </c>
    </row>
    <row r="21">
      <c r="B21" s="205" t="n">
        <v>3</v>
      </c>
      <c r="C21" s="206" t="inlineStr">
        <is>
          <t>Stage (Этап)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 (премия): 60% инвестор / 40% продюсер</t>
        </is>
      </c>
    </row>
    <row r="22">
      <c r="B22" s="537" t="inlineStr">
        <is>
          <t>Σ</t>
        </is>
      </c>
      <c r="C22" s="538" t="inlineStr">
        <is>
          <t>TOTAL (ИТОГО) W₃ ★</t>
        </is>
      </c>
      <c r="D22" s="539" t="n">
        <v>3000</v>
      </c>
      <c r="E22" s="539" t="n">
        <v>2500</v>
      </c>
      <c r="F22" s="540"/>
      <c r="G22" s="539" t="n">
        <v>500</v>
      </c>
      <c r="H22" s="540"/>
      <c r="I22" s="538" t="inlineStr">
        <is>
          <t>Investor (Инвестор) 83.3% / Producer (Продюсер) 16.7% — BASE CASE</t>
        </is>
      </c>
    </row>
    <row r="24" ht="22" customHeight="1">
      <c r="B24" s="541" t="inlineStr">
        <is>
          <t>W₄  ·  PREMIUM  ·  1× + 12% preferred × 5y + 65/35 + exit 6× (premium (премия) negotiation)</t>
        </is>
      </c>
    </row>
    <row r="25">
      <c r="B25" s="530" t="inlineStr">
        <is>
          <t>#</t>
        </is>
      </c>
      <c r="C25" s="530" t="inlineStr">
        <is>
          <t>Stage (Этап)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(Этап) 1: 1× Liquidation (Ликвидация) Preference (ликвидационная привилегия)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(Инвестор) recoups 1 × principal = 1 250</t>
        </is>
      </c>
    </row>
    <row r="27">
      <c r="B27" s="205" t="n">
        <v>2</v>
      </c>
      <c r="C27" s="206" t="inlineStr">
        <is>
          <t>Stage (Этап)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 (Накопленный привилегированный доход): 1 250 × 12% × 5y = 750</t>
        </is>
      </c>
    </row>
    <row r="28">
      <c r="B28" s="205" t="n">
        <v>3</v>
      </c>
      <c r="C28" s="206" t="inlineStr">
        <is>
          <t>Stage (Этап)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 (премия): 65% инвестор / 35% продюсер</t>
        </is>
      </c>
    </row>
    <row r="29">
      <c r="B29" s="532" t="inlineStr">
        <is>
          <t>Σ</t>
        </is>
      </c>
      <c r="C29" s="533" t="inlineStr">
        <is>
          <t>TOTAL (ИТОГО)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(Инвестор) 88.3% / Producer (Продюсер) 11.7% — PREMIUM</t>
        </is>
      </c>
    </row>
    <row r="31" ht="22" customHeight="1">
      <c r="B31" s="529" t="inlineStr">
        <is>
          <t>IV  ·  COMPARISON TABLE  ·  4 варианта (IRR (внутренняя норма доходности)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(Порог)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 (Продюсер)-friendly, weakest for LP (ограниченный партнёр)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 (капитал), no hurdle (порог)</t>
        </is>
      </c>
    </row>
    <row r="35">
      <c r="B35" s="543" t="inlineStr">
        <is>
          <t>W₃</t>
        </is>
      </c>
      <c r="C35" s="544" t="inlineStr">
        <is>
          <t>1× Liq Pref (Ликвидационная привилегия)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(Базовый)</t>
        </is>
      </c>
    </row>
    <row r="36">
      <c r="B36" s="205" t="inlineStr">
        <is>
          <t>W₄</t>
        </is>
      </c>
      <c r="C36" s="206" t="inlineStr">
        <is>
          <t>1× Liq Pref (Ликвидационная привилегия)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(Премия)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(ПО УМОЛЧАНИЮ)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(ПО УМОЛЧАНИЮ) v1.0.1)  |  IRR (внутренняя норма доходности) cash-on-cash: см. 24_Investor_Returns Matrix 3×5</t>
        </is>
      </c>
    </row>
    <row r="40">
      <c r="B40" s="569" t="inlineStr">
        <is>
          <t>W₅  ·  L8+L4 V-D  ·  1× + 12% × 5y + Catch-up 70/30 + Carry 60/40  ·  ★ DEFAULT (ПО УМОЛЧАНИЮ) v1.0.1</t>
        </is>
      </c>
    </row>
    <row r="41">
      <c r="B41" s="571" t="inlineStr">
        <is>
          <t>#</t>
        </is>
      </c>
      <c r="C41" s="571" t="inlineStr">
        <is>
          <t>Stage (Этап)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(Этап) 1: 1× Liquidation (Ликвидация) Preference (ликвидационная привилегия)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(Инвестор) recoups 1× principal = 1 250 (Tranche (Транш) 1, T₁)</t>
        </is>
      </c>
    </row>
    <row r="43">
      <c r="B43" s="572" t="inlineStr">
        <is>
          <t>2</t>
        </is>
      </c>
      <c r="C43" s="572" t="inlineStr">
        <is>
          <t>Stage (Этап)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 (Накопленный привилегированный доход): 1 250 × 12% × 5 ≈ 750 (Tranche (Транш) 2)</t>
        </is>
      </c>
    </row>
    <row r="44">
      <c r="B44" s="572" t="inlineStr">
        <is>
          <t>3</t>
        </is>
      </c>
      <c r="C44" s="572" t="inlineStr">
        <is>
          <t>Stage (Этап) 3: Catch-up 70/30 до hurdle (порог)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 (транш): pool 574 = 2402 − (1250+750+pre-hurdle (порог)), 70% LP (ограниченный партнёр) / 30% Producer (Продюсер) until LP IRR (внутренняя норма доходности) hits 18% hurdle (порог)</t>
        </is>
      </c>
    </row>
    <row r="45">
      <c r="B45" s="572" t="inlineStr">
        <is>
          <t>4</t>
        </is>
      </c>
      <c r="C45" s="572" t="inlineStr">
        <is>
          <t>Stage (Этап) 4: Carry 60/40 на residual (остаток)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 (Остаток): 3000 − 2402 = 426. Carry split (разделение) 60% LP (ограниченный партнёр) / 40% Producer (Продюсер)</t>
        </is>
      </c>
    </row>
    <row r="46">
      <c r="B46" s="357" t="inlineStr">
        <is>
          <t>Σ</t>
        </is>
      </c>
      <c r="C46" s="357" t="inlineStr">
        <is>
          <t>TOTAL (ИТОГО) W₅ ★ DEFAULT (ПО УМОЛЧАНИЮ)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(Инвестор) 88.6% / Producer (Продюсер) 11.4% · LP (ограниченный партнёр) MoIC 2.13× · Hurdle (Порог)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 (внутренняя норма доходности)&gt;18%)=74.7%.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2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t="inlineStr">
        <is>
          <t>ЮНИТ-ЭКОНОМИКА НА ПРОЕКТ — ПОРТФЕЛЬ 7 ПРОЕКТОВ (5 ФИЛЬМОВ + 2 СЕРИАЛА) 2026–2028</t>
        </is>
      </c>
    </row>
    <row r="4">
      <c r="B4" t="inlineStr">
        <is>
          <t>Валовая экономика на проект: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6">
      <c r="B6" t="inlineStr">
        <is>
          <t>№</t>
        </is>
      </c>
      <c r="C6" t="inlineStr">
        <is>
          <t>Название</t>
        </is>
      </c>
      <c r="D6" t="inlineStr">
        <is>
          <t>Жанр</t>
        </is>
      </c>
      <c r="E6" t="inlineStr">
        <is>
          <t>Релиз</t>
        </is>
      </c>
      <c r="F6" t="inlineStr">
        <is>
          <t>Бюджет</t>
        </is>
      </c>
      <c r="G6" t="inlineStr">
        <is>
          <t>P&amp;A</t>
        </is>
      </c>
      <c r="H6" t="inlineStr">
        <is>
          <t>Total Cost</t>
        </is>
      </c>
      <c r="I6" t="inlineStr">
        <is>
          <t>Revenue
(lifetime)</t>
        </is>
      </c>
      <c r="J6" t="inlineStr">
        <is>
          <t>Gross
Profit</t>
        </is>
      </c>
      <c r="K6" t="inlineStr">
        <is>
          <t>Margin</t>
        </is>
      </c>
      <c r="L6" t="inlineStr">
        <is>
          <t>Multiple</t>
        </is>
      </c>
      <c r="M6" t="inlineStr">
        <is>
          <t>GM %</t>
        </is>
      </c>
      <c r="N6" t="inlineStr">
        <is>
          <t>Payback (Q)</t>
        </is>
      </c>
      <c r="O6" t="inlineStr">
        <is>
          <t>Risk</t>
        </is>
      </c>
    </row>
    <row r="7">
      <c r="B7" t="inlineStr">
        <is>
          <t>П01</t>
        </is>
      </c>
      <c r="C7" t="inlineStr">
        <is>
          <t>Родные стены</t>
        </is>
      </c>
      <c r="D7" t="inlineStr">
        <is>
          <t>Драма</t>
        </is>
      </c>
      <c r="E7" t="inlineStr">
        <is>
          <t>Q4'26</t>
        </is>
      </c>
      <c r="F7">
        <v>250</v>
      </c>
      <c r="G7">
        <v>37.5</v>
      </c>
      <c r="H7">
        <v>287.5</v>
      </c>
      <c r="I7">
        <v>825</v>
      </c>
      <c r="J7">
        <v>537.5</v>
      </c>
      <c r="K7">
        <v>65.15</v>
      </c>
      <c r="L7">
        <v>3.3</v>
      </c>
      <c r="M7" t="inlineStr">
        <is>
          <t>55.8%</t>
        </is>
      </c>
      <c r="N7">
        <v>3.4</v>
      </c>
      <c r="O7" t="inlineStr">
        <is>
          <t>Medium</t>
        </is>
      </c>
    </row>
    <row r="8">
      <c r="B8" t="inlineStr">
        <is>
          <t>П02</t>
        </is>
      </c>
      <c r="C8" t="inlineStr">
        <is>
          <t>Два сердца</t>
        </is>
      </c>
      <c r="D8" t="inlineStr">
        <is>
          <t>Мелодрама</t>
        </is>
      </c>
      <c r="E8" t="inlineStr">
        <is>
          <t>Q2'27</t>
        </is>
      </c>
      <c r="F8">
        <v>200</v>
      </c>
      <c r="G8">
        <v>30</v>
      </c>
      <c r="H8">
        <v>230</v>
      </c>
      <c r="I8">
        <v>500</v>
      </c>
      <c r="J8">
        <v>270</v>
      </c>
      <c r="K8">
        <v>54.0</v>
      </c>
      <c r="L8">
        <v>2.5</v>
      </c>
      <c r="M8" t="inlineStr">
        <is>
          <t>55.8%</t>
        </is>
      </c>
      <c r="N8">
        <v>3.0</v>
      </c>
      <c r="O8" t="inlineStr">
        <is>
          <t>Low</t>
        </is>
      </c>
    </row>
    <row r="9">
      <c r="B9" t="inlineStr">
        <is>
          <t>П03</t>
        </is>
      </c>
      <c r="C9" t="inlineStr">
        <is>
          <t>Ночной патруль</t>
        </is>
      </c>
      <c r="D9" t="inlineStr">
        <is>
          <t>Экшн</t>
        </is>
      </c>
      <c r="E9" t="inlineStr">
        <is>
          <t>Q2'27</t>
        </is>
      </c>
      <c r="F9">
        <v>300</v>
      </c>
      <c r="G9">
        <v>45</v>
      </c>
      <c r="H9">
        <v>345</v>
      </c>
      <c r="I9">
        <v>840</v>
      </c>
      <c r="J9">
        <v>495</v>
      </c>
      <c r="K9">
        <v>58.93</v>
      </c>
      <c r="L9">
        <v>2.8</v>
      </c>
      <c r="M9" t="inlineStr">
        <is>
          <t>55.8%</t>
        </is>
      </c>
      <c r="N9">
        <v>3.5</v>
      </c>
      <c r="O9" t="inlineStr">
        <is>
          <t>Medium</t>
        </is>
      </c>
    </row>
    <row r="10">
      <c r="B10" t="inlineStr">
        <is>
          <t>П04</t>
        </is>
      </c>
      <c r="C10" t="inlineStr">
        <is>
          <t>Время героев</t>
        </is>
      </c>
      <c r="D10" t="inlineStr">
        <is>
          <t>Блокбастер</t>
        </is>
      </c>
      <c r="E10" t="inlineStr">
        <is>
          <t>Q3'27</t>
        </is>
      </c>
      <c r="F10">
        <v>250</v>
      </c>
      <c r="G10">
        <v>37.5</v>
      </c>
      <c r="H10">
        <v>287.5</v>
      </c>
      <c r="I10">
        <v>875</v>
      </c>
      <c r="J10">
        <v>587.5</v>
      </c>
      <c r="K10">
        <v>67.14</v>
      </c>
      <c r="L10">
        <v>3.5</v>
      </c>
      <c r="M10" t="inlineStr">
        <is>
          <t>55.8%</t>
        </is>
      </c>
      <c r="N10">
        <v>3.6</v>
      </c>
      <c r="O10" t="inlineStr">
        <is>
          <t>High</t>
        </is>
      </c>
    </row>
    <row r="11">
      <c r="B11" t="inlineStr">
        <is>
          <t>П05</t>
        </is>
      </c>
      <c r="C11" t="inlineStr">
        <is>
          <t>Сказка наяву</t>
        </is>
      </c>
      <c r="D11" t="inlineStr">
        <is>
          <t>Семейный</t>
        </is>
      </c>
      <c r="E11" t="inlineStr">
        <is>
          <t>Q1'28</t>
        </is>
      </c>
      <c r="F11">
        <v>200</v>
      </c>
      <c r="G11">
        <v>30</v>
      </c>
      <c r="H11">
        <v>230</v>
      </c>
      <c r="I11">
        <v>480</v>
      </c>
      <c r="J11">
        <v>250</v>
      </c>
      <c r="K11">
        <v>52.08</v>
      </c>
      <c r="L11">
        <v>2.4</v>
      </c>
      <c r="M11" t="inlineStr">
        <is>
          <t>55.8%</t>
        </is>
      </c>
      <c r="N11">
        <v>2.8</v>
      </c>
      <c r="O11" t="inlineStr">
        <is>
          <t>Low</t>
        </is>
      </c>
    </row>
    <row r="12">
      <c r="B12" t="inlineStr">
        <is>
          <t>П06С</t>
        </is>
      </c>
      <c r="C12" t="inlineStr">
        <is>
          <t>Северный ветер</t>
        </is>
      </c>
      <c r="D12" t="inlineStr">
        <is>
          <t>Приключения (сериал)</t>
        </is>
      </c>
      <c r="E12" t="inlineStr">
        <is>
          <t>Q3'28</t>
        </is>
      </c>
      <c r="F12">
        <v>350</v>
      </c>
      <c r="G12">
        <v>52.5</v>
      </c>
      <c r="H12">
        <v>402.5</v>
      </c>
      <c r="I12">
        <v>1120</v>
      </c>
      <c r="J12">
        <v>717.5</v>
      </c>
      <c r="K12">
        <v>64.06</v>
      </c>
      <c r="L12">
        <v>3.2</v>
      </c>
      <c r="M12" t="inlineStr">
        <is>
          <t>47.0%</t>
        </is>
      </c>
      <c r="N12">
        <v>3.2</v>
      </c>
      <c r="O12" t="inlineStr">
        <is>
          <t>Medium</t>
        </is>
      </c>
    </row>
    <row r="13">
      <c r="B13" t="inlineStr">
        <is>
          <t>П07С</t>
        </is>
      </c>
      <c r="C13" t="inlineStr">
        <is>
          <t>Горизонт событий</t>
        </is>
      </c>
      <c r="D13" t="inlineStr">
        <is>
          <t>Фантастика (сериал)</t>
        </is>
      </c>
      <c r="E13" t="inlineStr">
        <is>
          <t>Q4'28</t>
        </is>
      </c>
      <c r="F13">
        <v>300</v>
      </c>
      <c r="G13">
        <v>45</v>
      </c>
      <c r="H13">
        <v>345</v>
      </c>
      <c r="I13">
        <v>955</v>
      </c>
      <c r="J13">
        <v>610</v>
      </c>
      <c r="K13">
        <v>63.87</v>
      </c>
      <c r="L13">
        <v>3.18</v>
      </c>
      <c r="M13" t="inlineStr">
        <is>
          <t>47.0%</t>
        </is>
      </c>
      <c r="N13">
        <v>3.8</v>
      </c>
      <c r="O13" t="inlineStr">
        <is>
          <t>High</t>
        </is>
      </c>
    </row>
    <row r="14">
      <c r="B14" t="inlineStr">
        <is>
          <t>ИТОГО ПОРТФЕЛЬ (5 фильмов + 2 сериала)</t>
        </is>
      </c>
      <c r="F14">
        <v>1850</v>
      </c>
      <c r="G14">
        <v>277.5</v>
      </c>
      <c r="H14">
        <v>2127.5</v>
      </c>
      <c r="I14">
        <v>5595</v>
      </c>
      <c r="J14">
        <v>3467.5</v>
      </c>
      <c r="K14">
        <v>61.97</v>
      </c>
      <c r="L14">
        <v>3.024</v>
      </c>
      <c r="M14" t="inlineStr">
        <is>
          <t>53.8%</t>
        </is>
      </c>
      <c r="N14">
        <v>3.3</v>
      </c>
    </row>
    <row r="17">
      <c r="B17" t="inlineStr">
        <is>
          <t>КЛЮЧЕВЫЕ ИНСАЙТЫ UNIT ECONOMICS</t>
        </is>
      </c>
    </row>
    <row r="18">
      <c r="B18" t="inlineStr">
        <is>
          <t>Σ Total Cost / Σ COGS</t>
        </is>
      </c>
      <c r="F18" t="inlineStr">
        <is>
          <t>2127.5 млн ₽ = 2 127.5 млн ₽ (matches P&amp;L COGS)</t>
        </is>
      </c>
    </row>
    <row r="19">
      <c r="B19" t="inlineStr">
        <is>
          <t>Σ Revenue lifetime</t>
        </is>
      </c>
      <c r="F19" t="inlineStr">
        <is>
          <t>5595 млн ₽ = 4 545 (2026-2028) + 1 050 (tail 2029-32)</t>
        </is>
      </c>
    </row>
    <row r="20">
      <c r="B20" t="inlineStr">
        <is>
          <t>Portfolio Gross Margin (two-tier)</t>
        </is>
      </c>
      <c r="F20" t="inlineStr">
        <is>
          <t>53.8% blended (Films 55.8%, Series 47.0%) — отраслевой бенчмарк: 55–65% для фильмов, 45–50% для сериалов</t>
        </is>
      </c>
    </row>
    <row r="21">
      <c r="B21" t="inlineStr">
        <is>
          <t>Portfolio Multiple</t>
        </is>
      </c>
      <c r="F21" t="inlineStr">
        <is>
          <t>3.02× (безубыточность 1,2×, цель 2,5×)</t>
        </is>
      </c>
    </row>
    <row r="22">
      <c r="B22" t="inlineStr">
        <is>
          <t>Portfolio ROI</t>
        </is>
      </c>
      <c r="F22" t="inlineStr">
        <is>
          <t>163.0% (hurdle rate 40%, target 60%)</t>
        </is>
      </c>
    </row>
    <row r="23">
      <c r="B23" t="inlineStr">
        <is>
          <t>Средняя окупаемость</t>
        </is>
      </c>
      <c r="F23" t="inlineStr">
        <is>
          <t>3.3 Q (target ≤ 6 кварталов)</t>
        </is>
      </c>
    </row>
    <row r="24">
      <c r="B24" t="inlineStr">
        <is>
          <t>Высокорисковые проекты</t>
        </is>
      </c>
      <c r="F24" t="inlineStr">
        <is>
          <t>2 из 7 (Время героев 250, Горизонт событий 300)</t>
        </is>
      </c>
    </row>
    <row r="25">
      <c r="B25" t="inlineStr">
        <is>
          <t>Концентрация</t>
        </is>
      </c>
      <c r="F25" t="inlineStr">
        <is>
          <t>Top-3 budgets = 950 млн ₽ = 51.4% от portfolio</t>
        </is>
      </c>
    </row>
    <row r="26">
      <c r="B26" t="inlineStr">
        <is>
          <t>Формат</t>
        </is>
      </c>
      <c r="F26" t="inlineStr">
        <is>
          <t>5 фильмов + 2 сериала: диверсификация форматов снижает риск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(ключевые показатели)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 года</t>
        </is>
      </c>
      <c r="H6" s="167" t="inlineStr">
        <is>
          <t>Tail (Хвостовой период) 29-32</t>
        </is>
      </c>
      <c r="I6" s="167" t="inlineStr">
        <is>
          <t>Σ Жизненный цикл</t>
        </is>
      </c>
      <c r="J6" s="167" t="inlineStr">
        <is>
          <t>Scenario (Сценарий)</t>
        </is>
      </c>
    </row>
    <row r="7">
      <c r="B7" s="244" t="inlineStr">
        <is>
          <t>I.  ВЫРУЧКА (ВЫРУЧКА) &amp; GROWTH</t>
        </is>
      </c>
    </row>
    <row r="8">
      <c r="B8" s="205" t="inlineStr">
        <is>
          <t>1.1</t>
        </is>
      </c>
      <c r="C8" s="213" t="inlineStr">
        <is>
          <t>Revenue (Выручка), млн ₽</t>
        </is>
      </c>
      <c r="D8" s="207">
        <v>570.0</v>
      </c>
      <c r="E8" s="207">
        <v>2475.0</v>
      </c>
      <c r="F8" s="207">
        <v>1500.0</v>
      </c>
      <c r="G8" s="232">
        <v>4545.0</v>
      </c>
      <c r="H8" s="207">
        <v>1050</v>
      </c>
      <c r="I8" s="207">
        <v>5595.0</v>
      </c>
      <c r="J8" s="247" t="inlineStr">
        <is>
          <t>Base (Базовый)</t>
        </is>
      </c>
    </row>
    <row r="9">
      <c r="B9" s="205" t="inlineStr">
        <is>
          <t>1.2</t>
        </is>
      </c>
      <c r="C9" s="213" t="inlineStr">
        <is>
          <t>Revenue (Выручка) YoY growth</t>
        </is>
      </c>
      <c r="D9" s="248" t="inlineStr">
        <is>
          <t>—</t>
        </is>
      </c>
      <c r="E9" s="248" t="inlineStr">
        <is>
          <t>334%</t>
        </is>
      </c>
      <c r="F9" s="248" t="inlineStr">
        <is>
          <t>-39%</t>
        </is>
      </c>
      <c r="G9" s="249" t="inlineStr">
        <is>
          <t>CAGR 62%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 (Базовый)</t>
        </is>
      </c>
    </row>
    <row r="10">
      <c r="B10" s="205" t="inlineStr">
        <is>
          <t>1.3</t>
        </is>
      </c>
      <c r="C10" s="213" t="inlineStr">
        <is>
          <t>Выпущено фильмов (Выпущено фильмов)</t>
        </is>
      </c>
      <c r="D10" s="227">
        <v>1</v>
      </c>
      <c r="E10" s="227">
        <v>3</v>
      </c>
      <c r="F10" s="227">
        <v>3</v>
      </c>
      <c r="G10" s="250">
        <v>7</v>
      </c>
      <c r="H10" s="227">
        <v>0</v>
      </c>
      <c r="I10" s="227">
        <v>7</v>
      </c>
      <c r="J10" s="247" t="inlineStr">
        <is>
          <t>Base (Базовый)</t>
        </is>
      </c>
    </row>
    <row r="11">
      <c r="B11" s="205" t="inlineStr">
        <is>
          <t>1.4</t>
        </is>
      </c>
      <c r="C11" s="213" t="inlineStr">
        <is>
          <t>Avg budget per project, млн ₽</t>
        </is>
      </c>
      <c r="D11" s="207">
        <v>250</v>
      </c>
      <c r="E11" s="207">
        <v>250</v>
      </c>
      <c r="F11" s="207">
        <v>283.3</v>
      </c>
      <c r="G11" s="232">
        <v>264.3</v>
      </c>
      <c r="H11" s="248" t="inlineStr">
        <is>
          <t>—</t>
        </is>
      </c>
      <c r="I11" s="207">
        <v>264.3</v>
      </c>
      <c r="J11" s="247" t="inlineStr">
        <is>
          <t>Base (Базовый)</t>
        </is>
      </c>
    </row>
    <row r="13">
      <c r="B13" s="244" t="inlineStr">
        <is>
          <t>II.  РЕНТАБЕЛЬНОСТЬ — Dual Metric (Метрика)</t>
        </is>
      </c>
    </row>
    <row r="14">
      <c r="B14" s="205" t="inlineStr">
        <is>
          <t>2.1</t>
        </is>
      </c>
      <c r="C14" s="213" t="inlineStr">
        <is>
          <t>EBITDA (прибыль до вычетов) GAAP (стандарты бухучёта), млн ₽</t>
        </is>
      </c>
      <c r="D14" s="207">
        <v>203.3</v>
      </c>
      <c r="E14" s="207">
        <v>1258.3</v>
      </c>
      <c r="F14" s="207">
        <v>614.4</v>
      </c>
      <c r="G14" s="232">
        <v>2076.1</v>
      </c>
      <c r="H14" s="207">
        <v>-87.0</v>
      </c>
      <c r="I14" s="207">
        <v>1989.1</v>
      </c>
      <c r="J14" s="247" t="inlineStr">
        <is>
          <t>Base (Базовый)</t>
        </is>
      </c>
    </row>
    <row r="15">
      <c r="B15" s="205" t="inlineStr">
        <is>
          <t>2.2</t>
        </is>
      </c>
      <c r="C15" s="213" t="inlineStr">
        <is>
          <t>EBITDA (прибыль до вычетов) margin (маржа), %</t>
        </is>
      </c>
      <c r="D15" s="236">
        <v>35.67</v>
      </c>
      <c r="E15" s="236">
        <v>50.84</v>
      </c>
      <c r="F15" s="236">
        <v>40.96</v>
      </c>
      <c r="G15" s="251">
        <v>45.68</v>
      </c>
      <c r="H15" s="236">
        <v>-8.29</v>
      </c>
      <c r="I15" s="236">
        <v>35.55</v>
      </c>
      <c r="J15" s="247" t="inlineStr">
        <is>
          <t>Base (Базовый)</t>
        </is>
      </c>
    </row>
    <row r="16">
      <c r="B16" s="205" t="inlineStr">
        <is>
          <t>2.3</t>
        </is>
      </c>
      <c r="C16" s="213" t="inlineStr">
        <is>
          <t>NDP (чистые распределяемые поступления) (legacy (базовый вариант) anchor (якорь)),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 (Базовый)</t>
        </is>
      </c>
    </row>
    <row r="17">
      <c r="B17" s="205" t="inlineStr">
        <is>
          <t>2.4</t>
        </is>
      </c>
      <c r="C17" s="213" t="inlineStr">
        <is>
          <t>Net Profit (Чистая прибыль), млн ₽</t>
        </is>
      </c>
      <c r="D17" s="207" t="n">
        <v>132.4</v>
      </c>
      <c r="E17" s="207" t="n">
        <v>979.8</v>
      </c>
      <c r="F17" s="207" t="n">
        <v>475.2</v>
      </c>
      <c r="G17" s="232" t="n">
        <v>1587.4</v>
      </c>
      <c r="H17" s="207" t="n">
        <v>-115.8</v>
      </c>
      <c r="I17" s="207" t="n">
        <v>1471.6</v>
      </c>
      <c r="J17" s="247" t="inlineStr">
        <is>
          <t>Base (Базовый)</t>
        </is>
      </c>
    </row>
    <row r="18">
      <c r="B18" s="205" t="inlineStr">
        <is>
          <t>2.5</t>
        </is>
      </c>
      <c r="C18" s="213" t="inlineStr">
        <is>
          <t>Net Profit (Чистая прибыль) margin (маржа), %</t>
        </is>
      </c>
      <c r="D18" s="236" t="n">
        <v>23.23</v>
      </c>
      <c r="E18" s="236" t="n">
        <v>39.59</v>
      </c>
      <c r="F18" s="236" t="n">
        <v>31.68</v>
      </c>
      <c r="G18" s="251" t="n">
        <v>34.93</v>
      </c>
      <c r="H18" s="236" t="n">
        <v>-11.03</v>
      </c>
      <c r="I18" s="236" t="n">
        <v>26.3</v>
      </c>
      <c r="J18" s="247" t="inlineStr">
        <is>
          <t>Base (Базовый)</t>
        </is>
      </c>
    </row>
    <row r="20">
      <c r="B20" s="244" t="inlineStr">
        <is>
          <t>III.  ДОХОДНОСТЬ И МУЛЬТИПЛИКАТОРЫ</t>
        </is>
      </c>
    </row>
    <row r="21">
      <c r="B21" s="205" t="inlineStr">
        <is>
          <t>3.1</t>
        </is>
      </c>
      <c r="C21" s="213" t="inlineStr">
        <is>
          <t>ROI (возврат на инвестиции)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 (Базовый)</t>
        </is>
      </c>
    </row>
    <row r="22">
      <c r="B22" s="205" t="inlineStr">
        <is>
          <t>3.2</t>
        </is>
      </c>
      <c r="C22" s="213" t="inlineStr">
        <is>
          <t>Валовой мультипликатор (Валовой мультипликатор)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 (Базовый)</t>
        </is>
      </c>
    </row>
    <row r="23">
      <c r="B23" s="205" t="inlineStr">
        <is>
          <t>3.3</t>
        </is>
      </c>
      <c r="C23" s="593" t="inlineStr">
        <is>
          <t>IRR (внутренняя норма доходности) investor T₁ (W₅ V-D ★ default (по умолчанию)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(Базовый) W₅ V-D (margin (маржа) +6.75pp к hurdle (порог))</t>
        </is>
      </c>
    </row>
    <row r="24">
      <c r="B24" s="205" t="inlineStr">
        <is>
          <t>3.4</t>
        </is>
      </c>
      <c r="C24" s="593" t="inlineStr">
        <is>
          <t>MOIC (мультипликатор вложенного капитала)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 (Базовый)</t>
        </is>
      </c>
    </row>
    <row r="25">
      <c r="B25" s="205" t="inlineStr">
        <is>
          <t>3.5</t>
        </is>
      </c>
      <c r="C25" s="593" t="inlineStr">
        <is>
          <t>Payback (Окупаемость)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 (Базовый)</t>
        </is>
      </c>
    </row>
    <row r="26">
      <c r="B26" s="205" t="inlineStr">
        <is>
          <t>3.6</t>
        </is>
      </c>
      <c r="C26" s="213" t="inlineStr">
        <is>
          <t>EV (стоимость предприятия)/EBITDA (прибыль до вычетов)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 (Оптимистичный)</t>
        </is>
      </c>
    </row>
    <row r="28">
      <c r="B28" s="244" t="inlineStr">
        <is>
          <t>IV.  ДЕНЕЖНЫЕ СРЕДСТВА И ДОЛГ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 (Базовый)</t>
        </is>
      </c>
    </row>
    <row r="30">
      <c r="B30" s="205" t="inlineStr">
        <is>
          <t>4.2</t>
        </is>
      </c>
      <c r="C30" s="213" t="inlineStr">
        <is>
          <t>Cash (Денежные средства) end period, млн ₽</t>
        </is>
      </c>
      <c r="D30" s="248" t="inlineStr">
        <is>
          <t>—</t>
        </is>
      </c>
      <c r="E30" s="248" t="inlineStr">
        <is>
          <t>—</t>
        </is>
      </c>
      <c r="F30" s="248" t="n">
        <v>3424.57</v>
      </c>
      <c r="G30" s="249" t="n">
        <v>3424.57</v>
      </c>
      <c r="H30" s="248" t="n">
        <v>770.54</v>
      </c>
      <c r="I30" s="248" t="n">
        <v>770.54</v>
      </c>
      <c r="J30" s="247" t="inlineStr">
        <is>
          <t>Base (Базовый)</t>
        </is>
      </c>
    </row>
    <row r="31">
      <c r="B31" s="205" t="inlineStr">
        <is>
          <t>4.3</t>
        </is>
      </c>
      <c r="C31" s="213" t="inlineStr">
        <is>
          <t>Interest (Проценты)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 (Базовый)</t>
        </is>
      </c>
    </row>
    <row r="32">
      <c r="B32" s="205" t="inlineStr">
        <is>
          <t>4.4</t>
        </is>
      </c>
      <c r="C32" s="213" t="inlineStr">
        <is>
          <t>DSCR (EBITDA (прибыль до вычетов)/Interest (Проценты))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 (Базовый)</t>
        </is>
      </c>
    </row>
    <row r="33">
      <c r="B33" s="205" t="inlineStr">
        <is>
          <t>4.5</t>
        </is>
      </c>
      <c r="C33" s="213" t="inlineStr">
        <is>
          <t>Net Debt (Долг) / EBITDA (прибыль до вычетов)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 (Базовый)</t>
        </is>
      </c>
    </row>
    <row r="35">
      <c r="B35" s="244" t="inlineStr">
        <is>
          <t>V.  ОПЕРАЦИОННЫЕ</t>
        </is>
      </c>
    </row>
    <row r="36">
      <c r="B36" s="205" t="inlineStr">
        <is>
          <t>5.1</t>
        </is>
      </c>
      <c r="C36" s="213" t="inlineStr">
        <is>
          <t>Production CAPEX (Капзатраты), млн ₽</t>
        </is>
      </c>
      <c r="D36" s="207">
        <v>464.0</v>
      </c>
      <c r="E36" s="207">
        <v>986.0</v>
      </c>
      <c r="F36" s="207">
        <v>400.0</v>
      </c>
      <c r="G36" s="232">
        <v>1850.0</v>
      </c>
      <c r="H36" s="207">
        <v>0</v>
      </c>
      <c r="I36" s="207">
        <v>1850.0</v>
      </c>
      <c r="J36" s="247" t="inlineStr">
        <is>
          <t>Base (Базовый)</t>
        </is>
      </c>
    </row>
    <row r="37">
      <c r="B37" s="205" t="inlineStr">
        <is>
          <t>5.2</t>
        </is>
      </c>
      <c r="C37" s="213" t="inlineStr">
        <is>
          <t>P&amp;A (тиражирование и реклама) spend, млн ₽</t>
        </is>
      </c>
      <c r="D37" s="207">
        <v>32.9</v>
      </c>
      <c r="E37" s="207">
        <v>142.7</v>
      </c>
      <c r="F37" s="207">
        <v>86.5</v>
      </c>
      <c r="G37" s="232">
        <v>262.0</v>
      </c>
      <c r="H37" s="248" t="inlineStr">
        <is>
          <t>—</t>
        </is>
      </c>
      <c r="I37" s="207">
        <v>262.0</v>
      </c>
      <c r="J37" s="247" t="inlineStr">
        <is>
          <t>Base (Базовый)</t>
        </is>
      </c>
    </row>
    <row r="38">
      <c r="B38" s="205" t="inlineStr">
        <is>
          <t>5.3</t>
        </is>
      </c>
      <c r="C38" s="213" t="inlineStr">
        <is>
          <t>FOT (фонд оплаты труда), млн ₽</t>
        </is>
      </c>
      <c r="D38" s="207">
        <v>100.2</v>
      </c>
      <c r="E38" s="207">
        <v>108.2</v>
      </c>
      <c r="F38" s="207">
        <v>116.8</v>
      </c>
      <c r="G38" s="232">
        <v>325.1</v>
      </c>
      <c r="H38" s="248">
        <v>568.5</v>
      </c>
      <c r="I38" s="207">
        <v>893.6</v>
      </c>
      <c r="J38" s="247" t="inlineStr">
        <is>
          <t>Base (Базовый)</t>
        </is>
      </c>
    </row>
    <row r="39">
      <c r="B39" s="205" t="inlineStr">
        <is>
          <t>5.4</t>
        </is>
      </c>
      <c r="C39" s="213" t="inlineStr">
        <is>
          <t>Success rate (ROI (возврат на инвестиции)&gt;40%)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7/7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 (Базовый)</t>
        </is>
      </c>
    </row>
    <row r="40">
      <c r="B40" s="205" t="inlineStr">
        <is>
          <t>5.5</t>
        </is>
      </c>
      <c r="C40" s="213" t="inlineStr">
        <is>
          <t>Высокорисковые фильмы (Высокорисковые фильмы) (% of budget (бюджет))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29.7%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 (Базовый)</t>
        </is>
      </c>
    </row>
    <row r="43">
      <c r="B43" s="244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</row>
    <row r="44">
      <c r="B44" s="167" t="inlineStr">
        <is>
          <t>Сценарий</t>
        </is>
      </c>
      <c r="C44" s="167" t="inlineStr">
        <is>
          <t>Revenue (Выручка) 2028</t>
        </is>
      </c>
      <c r="D44" s="167" t="inlineStr">
        <is>
          <t>EBITDA (прибыль до вычетов) 3Y</t>
        </is>
      </c>
      <c r="E44" s="167" t="inlineStr">
        <is>
          <t>NDP (чистые распределяемые поступления) 3Y</t>
        </is>
      </c>
      <c r="F44" s="167" t="inlineStr">
        <is>
          <t>Net Profit (Чистая прибыль) 3Y</t>
        </is>
      </c>
      <c r="G44" s="167" t="inlineStr">
        <is>
          <t>IRR (внутренняя норма доходности) T₁</t>
        </is>
      </c>
      <c r="H44" s="167" t="inlineStr">
        <is>
          <t>MOIC (мультипликатор вложенного капитала) T₁</t>
        </is>
      </c>
      <c r="I44" s="167" t="inlineStr">
        <is>
          <t>EV (стоимость предприятия)/Mult</t>
        </is>
      </c>
      <c r="J44" s="167" t="inlineStr">
        <is>
          <t>EV (стоимость предприятия) млн ₽</t>
        </is>
      </c>
    </row>
    <row r="45">
      <c r="B45" s="254" t="inlineStr">
        <is>
          <t>Bear (Пессимистичный)</t>
        </is>
      </c>
      <c r="C45" s="202">
        <v>1125</v>
      </c>
      <c r="D45" s="202">
        <v>1625</v>
      </c>
      <c r="E45" s="202">
        <v>2250</v>
      </c>
      <c r="F45" s="202">
        <v>1263</v>
      </c>
      <c r="G45" s="255" t="inlineStr">
        <is>
          <t>10.70%</t>
        </is>
      </c>
      <c r="H45" s="255" t="inlineStr">
        <is>
          <t>1.44×</t>
        </is>
      </c>
      <c r="I45" s="255" t="inlineStr">
        <is>
          <t>3×</t>
        </is>
      </c>
      <c r="J45" s="202">
        <v>4875</v>
      </c>
    </row>
    <row r="46">
      <c r="B46" s="247" t="inlineStr">
        <is>
          <t>Base (Базовый)</t>
        </is>
      </c>
      <c r="C46" s="232">
        <v>1500</v>
      </c>
      <c r="D46" s="232">
        <v>2076.1</v>
      </c>
      <c r="E46" s="232" t="n">
        <v>3000</v>
      </c>
      <c r="F46" s="232">
        <v>1611.0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>
        <v>10837</v>
      </c>
    </row>
    <row r="47">
      <c r="B47" s="234" t="inlineStr">
        <is>
          <t>Bull (Оптимистичный)</t>
        </is>
      </c>
      <c r="C47" s="193">
        <v>1875</v>
      </c>
      <c r="D47" s="193">
        <v>2709</v>
      </c>
      <c r="E47" s="193">
        <v>4200</v>
      </c>
      <c r="F47" s="193">
        <v>2105</v>
      </c>
      <c r="G47" s="257" t="inlineStr">
        <is>
          <t>34.45%</t>
        </is>
      </c>
      <c r="H47" s="257" t="inlineStr">
        <is>
          <t>2.70×</t>
        </is>
      </c>
      <c r="I47" s="257" t="inlineStr">
        <is>
          <t>7×</t>
        </is>
      </c>
      <c r="J47" s="193">
        <v>18963</v>
      </c>
    </row>
    <row r="50">
      <c r="B50" s="258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(ОЦЕНКА) — DCF (дисконтированный денежный поток) (Discounted Cash Flow (Дисконтированный денежный поток)) · 5Y Forecast (Прогноз) 2026–2030</t>
        </is>
      </c>
    </row>
    <row r="3"/>
    <row r="4">
      <c r="B4" s="189" t="inlineStr">
        <is>
          <t>WACC (средневзвешенная стоимость капитала) = 19.1% · Terminal growth (Терминальный рост) g = 3% · Exit Mult = 5.0× EBITDA (прибыль до вычетов)</t>
        </is>
      </c>
    </row>
    <row r="6">
      <c r="B6" s="244" t="inlineStr">
        <is>
          <t>I. WACC (средневзвешенная стоимость капитала) BUILD-UP</t>
        </is>
      </c>
    </row>
    <row r="7">
      <c r="B7" s="206" t="inlineStr">
        <is>
          <t>Risk (Риск)-free rate</t>
        </is>
      </c>
      <c r="C7" s="187"/>
      <c r="D7" s="259" t="n">
        <v>0.145</v>
      </c>
    </row>
    <row r="8">
      <c r="B8" s="206" t="inlineStr">
        <is>
          <t>Levered β (кино/медиа)</t>
        </is>
      </c>
      <c r="C8" s="187"/>
      <c r="D8" s="260" t="n">
        <v>0.8</v>
      </c>
    </row>
    <row r="9">
      <c r="B9" s="206" t="inlineStr">
        <is>
          <t>Equity (Собственный капитал) Risk (Риск) Premium (Премия)</t>
        </is>
      </c>
      <c r="C9" s="187"/>
      <c r="D9" s="259" t="n">
        <v>0.07000000000000001</v>
      </c>
    </row>
    <row r="10">
      <c r="B10" s="206" t="inlineStr">
        <is>
          <t>Country risk premium (премия)</t>
        </is>
      </c>
      <c r="C10" s="187"/>
      <c r="D10" s="259" t="n">
        <v>0.02</v>
      </c>
    </row>
    <row r="11">
      <c r="B11" s="206" t="inlineStr">
        <is>
          <t>Size premium (премия) (small-cap)</t>
        </is>
      </c>
      <c r="C11" s="187"/>
      <c r="D11" s="259" t="n">
        <v>0.01</v>
      </c>
    </row>
    <row r="12">
      <c r="B12" s="213" t="inlineStr">
        <is>
          <t>Cost of Equity (Собственный капитал) (CAPM extended)</t>
        </is>
      </c>
      <c r="C12" s="187"/>
      <c r="D12" s="259" t="n">
        <v>0.231</v>
      </c>
    </row>
    <row r="13">
      <c r="B13" s="213" t="inlineStr">
        <is>
          <t>Cost of Debt (Долг) (pre-tax)</t>
        </is>
      </c>
      <c r="C13" s="187"/>
      <c r="D13" s="259" t="n">
        <v>0.12</v>
      </c>
    </row>
    <row r="14">
      <c r="B14" s="213" t="inlineStr">
        <is>
          <t>Cost of Debt (Долг) (after-tax, 20%)</t>
        </is>
      </c>
      <c r="C14" s="187"/>
      <c r="D14" s="259" t="n">
        <v>0.096</v>
      </c>
    </row>
    <row r="15">
      <c r="B15" s="206" t="inlineStr">
        <is>
          <t>D/V target capital (капитал) structure</t>
        </is>
      </c>
      <c r="C15" s="187"/>
      <c r="D15" s="259" t="n">
        <v>0.3</v>
      </c>
    </row>
    <row r="16">
      <c r="B16" s="206" t="inlineStr">
        <is>
          <t>E/V target capital (капитал) structure</t>
        </is>
      </c>
      <c r="C16" s="187"/>
      <c r="D16" s="259" t="n">
        <v>0.7</v>
      </c>
    </row>
    <row r="17">
      <c r="B17" s="261" t="inlineStr">
        <is>
          <t>WACC (средневзвешенная стоимость капитала) (weighted)</t>
        </is>
      </c>
      <c r="C17" s="187"/>
      <c r="D17" s="262" t="n">
        <v>0.1905</v>
      </c>
    </row>
    <row r="20">
      <c r="B20" s="244" t="inlineStr">
        <is>
          <t>II. FORECAST FREE CASH FLOW TO FIRM (FCFF (свободный денежный поток фирмы))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 (Выручка)</t>
        </is>
      </c>
      <c r="D22" s="207">
        <v>570.0</v>
      </c>
      <c r="E22" s="207">
        <v>2475.0</v>
      </c>
      <c r="F22" s="207">
        <v>1500.0</v>
      </c>
      <c r="G22" s="207">
        <v>1500</v>
      </c>
      <c r="H22" s="207">
        <v>1600</v>
      </c>
      <c r="I22" s="264">
        <v>7645.0</v>
      </c>
    </row>
    <row r="23">
      <c r="B23" s="205" t="inlineStr">
        <is>
          <t>2</t>
        </is>
      </c>
      <c r="C23" s="213" t="inlineStr">
        <is>
          <t>EBITDA (прибыль до вычетов)</t>
        </is>
      </c>
      <c r="D23" s="207">
        <v>203.34</v>
      </c>
      <c r="E23" s="207">
        <v>1258.33</v>
      </c>
      <c r="F23" s="207">
        <v>705.64</v>
      </c>
      <c r="G23" s="207">
        <v>600</v>
      </c>
      <c r="H23" s="207">
        <v>640</v>
      </c>
      <c r="I23" s="264">
        <v>3407.31</v>
      </c>
    </row>
    <row r="24">
      <c r="B24" s="205" t="inlineStr">
        <is>
          <t>3</t>
        </is>
      </c>
      <c r="C24" s="206" t="inlineStr">
        <is>
          <t>D&amp;A (амортизация)</t>
        </is>
      </c>
      <c r="D24" s="207">
        <v>3</v>
      </c>
      <c r="E24" s="207">
        <v>3</v>
      </c>
      <c r="F24" s="207">
        <v>3</v>
      </c>
      <c r="G24" s="207">
        <v>400</v>
      </c>
      <c r="H24" s="207">
        <v>420</v>
      </c>
      <c r="I24" s="264">
        <v>829</v>
      </c>
    </row>
    <row r="25">
      <c r="B25" s="205" t="inlineStr">
        <is>
          <t>4</t>
        </is>
      </c>
      <c r="C25" s="206" t="inlineStr">
        <is>
          <t>EBIT (Операц. прибыль)</t>
        </is>
      </c>
      <c r="D25" s="207">
        <v>200.34</v>
      </c>
      <c r="E25" s="207">
        <v>1255.33</v>
      </c>
      <c r="F25" s="207">
        <v>702.64</v>
      </c>
      <c r="G25" s="207">
        <v>200</v>
      </c>
      <c r="H25" s="207">
        <v>220</v>
      </c>
      <c r="I25" s="264">
        <v>2578.31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>
        <v>160.272</v>
      </c>
      <c r="E26" s="207">
        <v>1004.264</v>
      </c>
      <c r="F26" s="207">
        <v>562.112</v>
      </c>
      <c r="G26" s="207">
        <v>160.0</v>
      </c>
      <c r="H26" s="207">
        <v>176.0</v>
      </c>
      <c r="I26" s="264">
        <v>2062.648</v>
      </c>
    </row>
    <row r="27">
      <c r="B27" s="205" t="inlineStr">
        <is>
          <t>6</t>
        </is>
      </c>
      <c r="C27" s="206" t="inlineStr">
        <is>
          <t>+ D&amp;A (амортизация)</t>
        </is>
      </c>
      <c r="D27" s="207">
        <v>3</v>
      </c>
      <c r="E27" s="207">
        <v>3</v>
      </c>
      <c r="F27" s="207">
        <v>3</v>
      </c>
      <c r="G27" s="207">
        <v>400</v>
      </c>
      <c r="H27" s="207">
        <v>420</v>
      </c>
      <c r="I27" s="264">
        <v>829</v>
      </c>
    </row>
    <row r="28">
      <c r="B28" s="205" t="inlineStr">
        <is>
          <t>7</t>
        </is>
      </c>
      <c r="C28" s="206" t="inlineStr">
        <is>
          <t>− CAPEX (Капзатраты)</t>
        </is>
      </c>
      <c r="D28" s="207">
        <v>-464.0</v>
      </c>
      <c r="E28" s="207">
        <v>-986.0</v>
      </c>
      <c r="F28" s="207">
        <v>-400.0</v>
      </c>
      <c r="G28" s="207">
        <v>-400</v>
      </c>
      <c r="H28" s="207">
        <v>-420</v>
      </c>
      <c r="I28" s="264">
        <v>-2670.0</v>
      </c>
    </row>
    <row r="29">
      <c r="B29" s="205" t="inlineStr">
        <is>
          <t>8</t>
        </is>
      </c>
      <c r="C29" s="206" t="inlineStr">
        <is>
          <t>− ΔNWC (изменение оборотного капитала)</t>
        </is>
      </c>
      <c r="D29" s="207">
        <v>-57.0</v>
      </c>
      <c r="E29" s="207">
        <v>-190.5</v>
      </c>
      <c r="F29" s="207">
        <v>97.5</v>
      </c>
      <c r="G29" s="207">
        <v>-0.0</v>
      </c>
      <c r="H29" s="207">
        <v>-10.0</v>
      </c>
      <c r="I29" s="264">
        <v>-160.0</v>
      </c>
    </row>
    <row r="30">
      <c r="B30" s="205" t="inlineStr">
        <is>
          <t>9</t>
        </is>
      </c>
      <c r="C30" s="213" t="inlineStr">
        <is>
          <t>FCFF (свободный денежный поток фирмы)</t>
        </is>
      </c>
      <c r="D30" s="193">
        <v>-357.728</v>
      </c>
      <c r="E30" s="193">
        <v>-169.236</v>
      </c>
      <c r="F30" s="193">
        <v>262.612</v>
      </c>
      <c r="G30" s="193">
        <v>160.0</v>
      </c>
      <c r="H30" s="193">
        <v>166.0</v>
      </c>
      <c r="I30" s="264">
        <v>61.648</v>
      </c>
    </row>
    <row r="31">
      <c r="B31" s="205" t="inlineStr">
        <is>
          <t>10</t>
        </is>
      </c>
      <c r="C31" s="261" t="inlineStr">
        <is>
          <t>PV FCFF (свободный денежный поток фирмы) @ WACC (средневзвешенная стоимость капитала) 19.1%</t>
        </is>
      </c>
      <c r="D31" s="232">
        <v>-300.359362</v>
      </c>
      <c r="E31" s="232">
        <v>-119.307908</v>
      </c>
      <c r="F31" s="232">
        <v>155.445904</v>
      </c>
      <c r="G31" s="232">
        <v>79.519371</v>
      </c>
      <c r="H31" s="232">
        <v>69.270653</v>
      </c>
      <c r="N31" s="173">
        <v>-115.431342</v>
      </c>
    </row>
    <row r="33">
      <c r="B33" s="244" t="inlineStr">
        <is>
          <t>III.  МОСТ СТОИМОСТИ ПРЕДПРИЯТИЯ (МОСТ СТОИМОСТИ ПРЕДПРИЯТИЯ)</t>
        </is>
      </c>
    </row>
    <row r="34">
      <c r="B34" s="206" t="inlineStr">
        <is>
          <t>Σ PV of Explicit FCFF (свободный денежный поток фирмы) (10 years)</t>
        </is>
      </c>
      <c r="C34" s="186"/>
      <c r="D34" s="186"/>
      <c r="E34" s="186"/>
      <c r="F34" s="186"/>
      <c r="G34" s="186"/>
      <c r="H34" s="186"/>
      <c r="I34" s="186"/>
      <c r="J34" s="186"/>
      <c r="K34" s="187"/>
      <c r="L34" s="207">
        <v>-115.431342</v>
      </c>
      <c r="M34" s="186"/>
      <c r="N34" s="187"/>
    </row>
    <row r="35">
      <c r="B35" s="206" t="inlineStr">
        <is>
          <t>Terminal Value (Терминальная стоимость) — Gordon (g=3%)</t>
        </is>
      </c>
      <c r="C35" s="186"/>
      <c r="D35" s="186"/>
      <c r="E35" s="186"/>
      <c r="F35" s="186"/>
      <c r="G35" s="186"/>
      <c r="H35" s="186"/>
      <c r="I35" s="186"/>
      <c r="J35" s="186"/>
      <c r="K35" s="187"/>
      <c r="L35" s="207">
        <v>1061.987578</v>
      </c>
      <c r="M35" s="186"/>
      <c r="N35" s="187"/>
    </row>
    <row r="36">
      <c r="B36" s="206" t="inlineStr">
        <is>
          <t>PV of Terminal Value (Терминальная стоимость) — Gordon</t>
        </is>
      </c>
      <c r="C36" s="186"/>
      <c r="D36" s="186"/>
      <c r="E36" s="186"/>
      <c r="F36" s="186"/>
      <c r="G36" s="186"/>
      <c r="H36" s="186"/>
      <c r="I36" s="186"/>
      <c r="J36" s="186"/>
      <c r="K36" s="187"/>
      <c r="L36" s="207">
        <v>443.160077</v>
      </c>
      <c r="M36" s="186"/>
      <c r="N36" s="187"/>
    </row>
    <row r="37">
      <c r="B37" s="154" t="inlineStr">
        <is>
          <t>Enterprise Value (Стоимость предприятия) (Gordon method)</t>
        </is>
      </c>
      <c r="C37" s="186"/>
      <c r="D37" s="186"/>
      <c r="E37" s="186"/>
      <c r="F37" s="186"/>
      <c r="G37" s="186"/>
      <c r="H37" s="186"/>
      <c r="I37" s="186"/>
      <c r="J37" s="186"/>
      <c r="K37" s="187"/>
      <c r="L37" s="173">
        <v>327.728736</v>
      </c>
      <c r="M37" s="186"/>
      <c r="N37" s="187"/>
    </row>
    <row r="38">
      <c r="B38" s="246"/>
      <c r="L38" s="265"/>
    </row>
    <row r="39">
      <c r="B39" s="206" t="inlineStr">
        <is>
          <t>Terminal Value (Терминальная стоимость) — Exit Multiple (Мультипликатор выхода) (5× EBITDA2030)</t>
        </is>
      </c>
      <c r="C39" s="186"/>
      <c r="D39" s="186"/>
      <c r="E39" s="186"/>
      <c r="F39" s="186"/>
      <c r="G39" s="186"/>
      <c r="H39" s="186"/>
      <c r="I39" s="186"/>
      <c r="J39" s="186"/>
      <c r="K39" s="187"/>
      <c r="L39" s="207">
        <v>3200</v>
      </c>
      <c r="M39" s="186"/>
      <c r="N39" s="187"/>
    </row>
    <row r="40">
      <c r="B40" s="206" t="inlineStr">
        <is>
          <t>PV of Terminal Value (Терминальная стоимость) — Exit Multiple (Мультипликатор выхода)</t>
        </is>
      </c>
      <c r="C40" s="186"/>
      <c r="D40" s="186"/>
      <c r="E40" s="186"/>
      <c r="F40" s="186"/>
      <c r="G40" s="186"/>
      <c r="H40" s="186"/>
      <c r="I40" s="186"/>
      <c r="J40" s="186"/>
      <c r="K40" s="187"/>
      <c r="L40" s="207">
        <v>1335.337886</v>
      </c>
      <c r="M40" s="186"/>
      <c r="N40" s="187"/>
    </row>
    <row r="41">
      <c r="B41" s="154" t="inlineStr">
        <is>
          <t>Enterprise Value (Стоимость предприятия) (Exit Multiple (Мультипликатор выхода) method)</t>
        </is>
      </c>
      <c r="C41" s="186"/>
      <c r="D41" s="186"/>
      <c r="E41" s="186"/>
      <c r="F41" s="186"/>
      <c r="G41" s="186"/>
      <c r="H41" s="186"/>
      <c r="I41" s="186"/>
      <c r="J41" s="186"/>
      <c r="K41" s="187"/>
      <c r="L41" s="173">
        <v>1219.906544</v>
      </c>
      <c r="M41" s="186"/>
      <c r="N41" s="187"/>
    </row>
    <row r="42">
      <c r="B42" s="246"/>
      <c r="L42" s="265"/>
    </row>
    <row r="43">
      <c r="B43" s="154" t="inlineStr">
        <is>
          <t>EV (стоимость предприятия) blended (avg of Gordon + Exit Mult)</t>
        </is>
      </c>
      <c r="C43" s="186"/>
      <c r="D43" s="186"/>
      <c r="E43" s="186"/>
      <c r="F43" s="186"/>
      <c r="G43" s="186"/>
      <c r="H43" s="186"/>
      <c r="I43" s="186"/>
      <c r="J43" s="186"/>
      <c r="K43" s="187"/>
      <c r="L43" s="173">
        <v>773.81764</v>
      </c>
      <c r="M43" s="186"/>
      <c r="N43" s="187"/>
    </row>
    <row r="44">
      <c r="B44" s="206" t="inlineStr">
        <is>
          <t>(−) Net Debt (Долг) at valuation date</t>
        </is>
      </c>
      <c r="C44" s="186"/>
      <c r="D44" s="186"/>
      <c r="E44" s="186"/>
      <c r="F44" s="186"/>
      <c r="G44" s="186"/>
      <c r="H44" s="186"/>
      <c r="I44" s="186"/>
      <c r="J44" s="186"/>
      <c r="K44" s="187"/>
      <c r="L44" s="207">
        <v>0</v>
      </c>
      <c r="M44" s="186"/>
      <c r="N44" s="187"/>
    </row>
    <row r="45">
      <c r="B45" s="154" t="inlineStr">
        <is>
          <t>= Equity (Собственный капитал) Value</t>
        </is>
      </c>
      <c r="C45" s="186"/>
      <c r="D45" s="186"/>
      <c r="E45" s="186"/>
      <c r="F45" s="186"/>
      <c r="G45" s="186"/>
      <c r="H45" s="186"/>
      <c r="I45" s="186"/>
      <c r="J45" s="186"/>
      <c r="K45" s="187"/>
      <c r="L45" s="173">
        <v>773.81764</v>
      </c>
      <c r="M45" s="186"/>
      <c r="N45" s="187"/>
    </row>
    <row r="48">
      <c r="B48" s="244" t="inlineStr">
        <is>
          <t>IV. SENSITIVITY: EV (стоимость предприятия) (GORDON METHOD) vs WACC (средневзвешенная стоимость капитала) × g</t>
        </is>
      </c>
    </row>
    <row r="49">
      <c r="C49" s="167" t="inlineStr">
        <is>
          <t>WACC (средневзвешенная стоимость капитала)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>
        <v>503.053608</v>
      </c>
      <c r="E50" s="207">
        <v>555.20253</v>
      </c>
      <c r="F50" s="207">
        <v>616.042939</v>
      </c>
      <c r="G50" s="207">
        <v>687.945242</v>
      </c>
      <c r="H50" s="207">
        <v>774.228004</v>
      </c>
    </row>
    <row r="51">
      <c r="C51" s="167" t="inlineStr">
        <is>
          <t>17.1%</t>
        </is>
      </c>
      <c r="D51" s="207">
        <v>368.078693</v>
      </c>
      <c r="E51" s="207">
        <v>404.392993</v>
      </c>
      <c r="F51" s="207">
        <v>445.858259</v>
      </c>
      <c r="G51" s="207">
        <v>493.654099</v>
      </c>
      <c r="H51" s="207">
        <v>549.350078</v>
      </c>
    </row>
    <row r="52">
      <c r="C52" s="167" t="inlineStr">
        <is>
          <t>19.1%</t>
        </is>
      </c>
      <c r="D52" s="207">
        <v>271.106556</v>
      </c>
      <c r="E52" s="207">
        <v>297.762026</v>
      </c>
      <c r="F52" s="173">
        <v>327.728736</v>
      </c>
      <c r="G52" s="207">
        <v>361.664546</v>
      </c>
      <c r="H52" s="207">
        <v>400.413946</v>
      </c>
    </row>
    <row r="53">
      <c r="C53" s="167" t="inlineStr">
        <is>
          <t>21.1%</t>
        </is>
      </c>
      <c r="D53" s="207">
        <v>195.470902</v>
      </c>
      <c r="E53" s="207">
        <v>215.57581</v>
      </c>
      <c r="F53" s="207">
        <v>237.902254</v>
      </c>
      <c r="G53" s="207">
        <v>262.839979</v>
      </c>
      <c r="H53" s="207">
        <v>290.875558</v>
      </c>
    </row>
    <row r="54">
      <c r="C54" s="167" t="inlineStr">
        <is>
          <t>23.1%</t>
        </is>
      </c>
      <c r="D54" s="207">
        <v>135.279025</v>
      </c>
      <c r="E54" s="207">
        <v>150.781503</v>
      </c>
      <c r="F54" s="207">
        <v>167.826517</v>
      </c>
      <c r="G54" s="207">
        <v>186.65635</v>
      </c>
      <c r="H54" s="207">
        <v>207.566826</v>
      </c>
    </row>
    <row r="57">
      <c r="B57" s="258" t="inlineStr">
        <is>
          <t>Заключение: EV blended ≈ 774 млн ₽. Gordon подход более консервативен (328), Exit Multiple (1220) отражает рыночные мультипликаторы peers. Чувствительность к WACC±200bp = ±15%.</t>
        </is>
      </c>
    </row>
    <row r="59">
      <c r="B59" s="320" t="inlineStr">
        <is>
          <t>VI. WHY DCF (дисконтированный денежный поток) &lt; MULTIPLES — QUICK NOTE</t>
        </is>
      </c>
    </row>
    <row r="60">
      <c r="B60" s="319" t="inlineStr">
        <is>
          <t>DCF (дисконтированный денежный поток)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/>
      <c r="G62" s="186"/>
      <c r="H62" s="186"/>
      <c r="I62" s="186"/>
      <c r="J62" s="186"/>
      <c r="K62" s="186"/>
      <c r="L62" s="186"/>
      <c r="M62" s="186"/>
      <c r="N62" s="187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      </is>
      </c>
      <c r="E63" s="416" t="inlineStr">
        <is>
          <t>+2 500 млн ₽</t>
        </is>
      </c>
      <c r="F63" s="186"/>
      <c r="G63" s="186"/>
      <c r="H63" s="186"/>
      <c r="I63" s="186"/>
      <c r="J63" s="186"/>
      <c r="K63" s="186"/>
      <c r="L63" s="186"/>
      <c r="M63" s="186"/>
      <c r="N63" s="187"/>
    </row>
    <row r="64" ht="36" customHeight="1">
      <c r="B64" s="414" t="n">
        <v>2</v>
      </c>
      <c r="C64" s="415" t="inlineStr">
        <is>
          <t>WACC (средневзвешенная стоимость капитала) 19% vs buyer WACC 7%</t>
        </is>
      </c>
      <c r="D64" s="415" t="inlineStr">
        <is>
      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      </is>
      </c>
      <c r="E64" s="416" t="inlineStr">
        <is>
          <t>+1 500 млн ₽</t>
        </is>
      </c>
      <c r="F64" s="186"/>
      <c r="G64" s="186"/>
      <c r="H64" s="186"/>
      <c r="I64" s="186"/>
      <c r="J64" s="186"/>
      <c r="K64" s="186"/>
      <c r="L64" s="186"/>
      <c r="M64" s="186"/>
      <c r="N64" s="187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П04/П07С),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/>
      <c r="G65" s="186"/>
      <c r="H65" s="186"/>
      <c r="I65" s="186"/>
      <c r="J65" s="186"/>
      <c r="K65" s="186"/>
      <c r="L65" s="186"/>
      <c r="M65" s="186"/>
      <c r="N65" s="187"/>
    </row>
    <row r="66" ht="36" customHeight="1">
      <c r="B66" s="414" t="n">
        <v>4</v>
      </c>
      <c r="C66" s="415" t="inlineStr">
        <is>
          <t>Execution (Исполнение) risk двойное начисление</t>
        </is>
      </c>
      <c r="D66" s="415" t="inlineStr">
        <is>
      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/>
      <c r="G66" s="186"/>
      <c r="H66" s="186"/>
      <c r="I66" s="186"/>
      <c r="J66" s="186"/>
      <c r="K66" s="186"/>
      <c r="L66" s="186"/>
      <c r="M66" s="186"/>
      <c r="N66" s="187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(Капзатраты)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/>
      <c r="G67" s="186"/>
      <c r="H67" s="186"/>
      <c r="I67" s="186"/>
      <c r="J67" s="186"/>
      <c r="K67" s="186"/>
      <c r="L67" s="186"/>
      <c r="M67" s="186"/>
      <c r="N67" s="187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/>
      <c r="G68" s="186"/>
      <c r="H68" s="186"/>
      <c r="I68" s="186"/>
      <c r="J68" s="186"/>
      <c r="K68" s="186"/>
      <c r="L68" s="186"/>
      <c r="M68" s="186"/>
      <c r="N68" s="187"/>
    </row>
    <row r="70" ht="48" customHeight="1">
      <c r="B70" s="420" t="inlineStr">
        <is>
      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(ОЦЕНКА) — TRADING &amp; PRECEDENT MULTIPLES (ТОРГОВЫЕ И ПРЕЦЕДЕНТНЫЕ МУЛЬТИПЛИКАТОРЫ) + FOOTBALL FIELD (ФУТБОЛЬНОЕ ПОЛЕ)</t>
        </is>
      </c>
    </row>
    <row r="3"/>
    <row r="4">
      <c r="B4" s="189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</row>
    <row r="6">
      <c r="B6" s="244" t="inlineStr">
        <is>
          <t>I. ТОРГОВЫЕ МУЛЬТИПЛИКАТОРЫ — ГРУППА АНАЛОГОВ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 (Выручка)</t>
        </is>
      </c>
      <c r="F7" s="167" t="inlineStr">
        <is>
          <t>EBITDA (прибыль до вычетов)</t>
        </is>
      </c>
      <c r="G7" s="167" t="inlineStr">
        <is>
          <t>EV (стоимость предприятия)</t>
        </is>
      </c>
      <c r="H7" s="167" t="inlineStr">
        <is>
          <t>EV (стоимость предприятия)/Rev</t>
        </is>
      </c>
      <c r="I7" s="167" t="inlineStr">
        <is>
          <t>EV (стоимость предприятия)/EBITDA (прибыль до вычетов)</t>
        </is>
      </c>
      <c r="J7" s="167" t="inlineStr">
        <is>
          <t>EBITDA (прибыль до вычетов)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(онлайн-платформа)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(онлайн-платформа)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 (Сбер Развлечения)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(онлайн-платформа) AVOD (рекламный стриминг)+SVOD (подписной стриминг)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 (Частный)</t>
        </is>
      </c>
    </row>
    <row r="11">
      <c r="B11" s="205" t="n">
        <v>4</v>
      </c>
      <c r="C11" s="206" t="inlineStr">
        <is>
          <t>START (СТАРТ)</t>
        </is>
      </c>
      <c r="D11" s="206" t="inlineStr">
        <is>
          <t>OTT (онлайн-платформа)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 (Премьера)</t>
        </is>
      </c>
      <c r="D12" s="206" t="inlineStr">
        <is>
          <t>OTT (онлайн-платформа)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 (Производство)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 (Среднее)</t>
        </is>
      </c>
      <c r="D14" s="186"/>
      <c r="E14" s="186"/>
      <c r="F14" s="186"/>
      <c r="G14" s="187"/>
      <c r="H14" s="268" t="n">
        <v>0.8433333333333333</v>
      </c>
      <c r="I14" s="268" t="n">
        <v>5.736666666666667</v>
      </c>
      <c r="J14" s="269"/>
      <c r="K14" s="269"/>
    </row>
    <row r="15">
      <c r="C15" s="267" t="inlineStr">
        <is>
          <t>Peer group — Median (Медиана)</t>
        </is>
      </c>
      <c r="D15" s="186"/>
      <c r="E15" s="186"/>
      <c r="F15" s="186"/>
      <c r="G15" s="187"/>
      <c r="H15" s="268" t="n">
        <v>0.8</v>
      </c>
      <c r="I15" s="268" t="n">
        <v>5.71</v>
      </c>
      <c r="J15" s="269"/>
      <c r="K15" s="269"/>
    </row>
    <row r="16">
      <c r="C16" s="267" t="inlineStr">
        <is>
          <t>Peer group — Min (Минимум)</t>
        </is>
      </c>
      <c r="D16" s="186"/>
      <c r="E16" s="186"/>
      <c r="F16" s="186"/>
      <c r="G16" s="187"/>
      <c r="H16" s="268" t="n">
        <v>0.8</v>
      </c>
      <c r="I16" s="268" t="n">
        <v>4.76</v>
      </c>
      <c r="J16" s="269"/>
      <c r="K16" s="269"/>
    </row>
    <row r="17">
      <c r="C17" s="267" t="inlineStr">
        <is>
          <t>Peer group — Max (Максимум)</t>
        </is>
      </c>
      <c r="D17" s="186"/>
      <c r="E17" s="186"/>
      <c r="F17" s="186"/>
      <c r="G17" s="187"/>
      <c r="H17" s="268" t="n">
        <v>1.05</v>
      </c>
      <c r="I17" s="268" t="n">
        <v>6.67</v>
      </c>
      <c r="J17" s="269"/>
      <c r="K17" s="269"/>
    </row>
    <row r="20">
      <c r="B20" s="244" t="inlineStr">
        <is>
          <t>II. APPLY MULTIPLES TO ТРЕНДСТУДИО (Base EBITDA 2028 = 706 · Rev 2028 = 1500)</t>
        </is>
      </c>
    </row>
    <row r="21">
      <c r="B21" s="167" t="inlineStr">
        <is>
          <t>Метод</t>
        </is>
      </c>
      <c r="C21" s="186"/>
      <c r="D21" s="186"/>
      <c r="E21" s="186"/>
      <c r="F21" s="187"/>
      <c r="G21" s="167" t="inlineStr">
        <is>
          <t>Multiple (Мультипликатор)</t>
        </is>
      </c>
      <c r="H21" s="167" t="inlineStr">
        <is>
          <t>Base (Базовый)</t>
        </is>
      </c>
      <c r="I21" s="167" t="inlineStr">
        <is>
          <t>Implied EV (стоимость предприятия)</t>
        </is>
      </c>
      <c r="J21" s="186"/>
      <c r="K21" s="187"/>
    </row>
    <row r="22">
      <c r="B22" s="206" t="inlineStr">
        <is>
          <t>Peer Min × EBITDA (прибыль до вычетов) 2028</t>
        </is>
      </c>
      <c r="C22" s="186"/>
      <c r="D22" s="186"/>
      <c r="E22" s="186"/>
      <c r="F22" s="187"/>
      <c r="G22" s="237" t="n">
        <v>4.76</v>
      </c>
      <c r="H22" s="207">
        <v>706</v>
      </c>
      <c r="I22" s="270">
        <v>3358.85</v>
      </c>
      <c r="J22" s="186"/>
      <c r="K22" s="187"/>
    </row>
    <row r="23">
      <c r="B23" s="206" t="inlineStr">
        <is>
          <t>Peer Median × EBITDA (прибыль до вычетов) 2028</t>
        </is>
      </c>
      <c r="C23" s="186"/>
      <c r="D23" s="186"/>
      <c r="E23" s="186"/>
      <c r="F23" s="187"/>
      <c r="G23" s="237" t="n">
        <v>5.71</v>
      </c>
      <c r="H23" s="207">
        <v>706</v>
      </c>
      <c r="I23" s="270">
        <v>4029.2</v>
      </c>
      <c r="J23" s="186"/>
      <c r="K23" s="187"/>
    </row>
    <row r="24">
      <c r="B24" s="206" t="inlineStr">
        <is>
          <t>Peer Mean × EBITDA (прибыль до вычетов) 2028</t>
        </is>
      </c>
      <c r="C24" s="186"/>
      <c r="D24" s="186"/>
      <c r="E24" s="186"/>
      <c r="F24" s="187"/>
      <c r="G24" s="237" t="n">
        <v>5.736666666666667</v>
      </c>
      <c r="H24" s="207">
        <v>706</v>
      </c>
      <c r="I24" s="270">
        <v>4048.04</v>
      </c>
      <c r="J24" s="186"/>
      <c r="K24" s="187"/>
    </row>
    <row r="25">
      <c r="B25" s="206" t="inlineStr">
        <is>
          <t>Peer Max × EBITDA (прибыль до вычетов) 2028</t>
        </is>
      </c>
      <c r="C25" s="186"/>
      <c r="D25" s="186"/>
      <c r="E25" s="186"/>
      <c r="F25" s="187"/>
      <c r="G25" s="237" t="n">
        <v>6.67</v>
      </c>
      <c r="H25" s="207">
        <v>706</v>
      </c>
      <c r="I25" s="270">
        <v>4706.62</v>
      </c>
      <c r="J25" s="186"/>
      <c r="K25" s="187"/>
    </row>
    <row r="26">
      <c r="B26" s="206" t="inlineStr">
        <is>
          <t>Peer Min × Revenue (Выручка) 2028</t>
        </is>
      </c>
      <c r="C26" s="186"/>
      <c r="D26" s="186"/>
      <c r="E26" s="186"/>
      <c r="F26" s="187"/>
      <c r="G26" s="237" t="n">
        <v>0.8</v>
      </c>
      <c r="H26" s="207">
        <v>1500</v>
      </c>
      <c r="I26" s="270">
        <v>1200.0</v>
      </c>
      <c r="J26" s="186"/>
      <c r="K26" s="187"/>
    </row>
    <row r="27">
      <c r="B27" s="206" t="inlineStr">
        <is>
          <t>Peer Median × Revenue (Выручка) 2028</t>
        </is>
      </c>
      <c r="C27" s="186"/>
      <c r="D27" s="186"/>
      <c r="E27" s="186"/>
      <c r="F27" s="187"/>
      <c r="G27" s="237" t="n">
        <v>0.8</v>
      </c>
      <c r="H27" s="207">
        <v>1500</v>
      </c>
      <c r="I27" s="270">
        <v>1200.0</v>
      </c>
      <c r="J27" s="186"/>
      <c r="K27" s="187"/>
    </row>
    <row r="28">
      <c r="B28" s="206" t="inlineStr">
        <is>
          <t>Peer Mean × Revenue (Выручка) 2028</t>
        </is>
      </c>
      <c r="C28" s="186"/>
      <c r="D28" s="186"/>
      <c r="E28" s="186"/>
      <c r="F28" s="187"/>
      <c r="G28" s="237" t="n">
        <v>0.8433333333333333</v>
      </c>
      <c r="H28" s="207">
        <v>1500</v>
      </c>
      <c r="I28" s="270">
        <v>1264.95</v>
      </c>
      <c r="J28" s="186"/>
      <c r="K28" s="187"/>
    </row>
    <row r="29">
      <c r="B29" s="206" t="inlineStr">
        <is>
          <t>Peer Max × Revenue (Выручка) 2028</t>
        </is>
      </c>
      <c r="C29" s="186"/>
      <c r="D29" s="186"/>
      <c r="E29" s="186"/>
      <c r="F29" s="187"/>
      <c r="G29" s="237" t="n">
        <v>1.05</v>
      </c>
      <c r="H29" s="207">
        <v>1500</v>
      </c>
      <c r="I29" s="270">
        <v>1575.0</v>
      </c>
      <c r="J29" s="186"/>
      <c r="K29" s="187"/>
    </row>
    <row r="32">
      <c r="B32" s="244" t="inlineStr">
        <is>
          <t>III. PRECEDENT M&amp;A (слияния и поглощения) TRANSACTIONS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/>
      <c r="E33" s="167" t="inlineStr">
        <is>
          <t>Год</t>
        </is>
      </c>
      <c r="F33" s="167" t="inlineStr">
        <is>
          <t>Target Rev (Целевая выручка)</t>
        </is>
      </c>
      <c r="G33" s="167" t="inlineStr">
        <is>
          <t>Deal EV (стоимость предприятия)</t>
        </is>
      </c>
      <c r="H33" s="167" t="inlineStr">
        <is>
          <t>EV (стоимость предприятия)/Rev</t>
        </is>
      </c>
      <c r="I33" s="167" t="inlineStr">
        <is>
          <t>EV (стоимость предприятия)/EBITDA (прибыль до вычетов)</t>
        </is>
      </c>
      <c r="J33" s="167" t="inlineStr">
        <is>
          <t>Комментарий</t>
        </is>
      </c>
      <c r="K33" s="187"/>
    </row>
    <row r="34">
      <c r="B34" s="205" t="n">
        <v>1</v>
      </c>
      <c r="C34" s="206" t="inlineStr">
        <is>
          <t>Сбер → Okko</t>
        </is>
      </c>
      <c r="D34" s="187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(онлайн-платформа) в экосистеме</t>
        </is>
      </c>
      <c r="K34" s="187"/>
    </row>
    <row r="35">
      <c r="B35" s="205" t="n">
        <v>2</v>
      </c>
      <c r="C35" s="206" t="inlineStr">
        <is>
          <t>Газпром-Медиа → Premier (Премьера)</t>
        </is>
      </c>
      <c r="D35" s="187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 (Премьера)</t>
        </is>
      </c>
      <c r="K35" s="187"/>
    </row>
    <row r="36">
      <c r="B36" s="205" t="n">
        <v>3</v>
      </c>
      <c r="C36" s="206" t="inlineStr">
        <is>
          <t>ВК → zvook/Russkoe Radio медиа</t>
        </is>
      </c>
      <c r="D36" s="187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/>
    </row>
    <row r="39">
      <c r="B39" s="244" t="inlineStr">
        <is>
          <t>IV. FOOTBALL FIELD (ФУТБОЛЬНОЕ ПОЛЕ) — ИТОГОВЫЙ ДИАПАЗОН ОЦЕНКИ, млн ₽</t>
        </is>
      </c>
    </row>
    <row r="40">
      <c r="B40" s="167" t="inlineStr">
        <is>
          <t>Метод оценки</t>
        </is>
      </c>
      <c r="C40" s="186"/>
      <c r="D40" s="187"/>
      <c r="E40" s="167" t="inlineStr">
        <is>
          <t>Low</t>
        </is>
      </c>
      <c r="F40" s="167" t="inlineStr">
        <is>
          <t>Mid</t>
        </is>
      </c>
      <c r="G40" s="167" t="inlineStr">
        <is>
          <t>High (Высокий)</t>
        </is>
      </c>
      <c r="H40" s="167" t="inlineStr">
        <is>
          <t>Commentary (Комментарий)</t>
        </is>
      </c>
      <c r="I40" s="186"/>
      <c r="J40" s="186"/>
      <c r="K40" s="187"/>
    </row>
    <row r="41">
      <c r="B41" s="213" t="inlineStr">
        <is>
          <t>DCF (дисконтированный денежный поток) — Gordon Growth (Модель Гордона)</t>
        </is>
      </c>
      <c r="C41" s="186"/>
      <c r="D41" s="187"/>
      <c r="E41" s="207">
        <v>278.57</v>
      </c>
      <c r="F41" s="173">
        <v>327.73</v>
      </c>
      <c r="G41" s="207">
        <v>376.89</v>
      </c>
      <c r="H41" s="159" t="inlineStr">
        <is>
          <t>g=3%, WACC (средневзвешенная стоимость капитала)=19.1%, sensitivity ±15%</t>
        </is>
      </c>
      <c r="I41" s="186"/>
      <c r="J41" s="186"/>
      <c r="K41" s="187"/>
    </row>
    <row r="42">
      <c r="B42" s="213" t="inlineStr">
        <is>
          <t>DCF (дисконтированный денежный поток) — Exit Multiple (Мультипликатор выхода)</t>
        </is>
      </c>
      <c r="C42" s="186"/>
      <c r="D42" s="187"/>
      <c r="E42" s="207">
        <v>1036.92</v>
      </c>
      <c r="F42" s="173">
        <v>1219.91</v>
      </c>
      <c r="G42" s="207">
        <v>1402.9</v>
      </c>
      <c r="H42" s="159" t="inlineStr">
        <is>
          <t>5× EBITDA2030, ±15% чувствительность</t>
        </is>
      </c>
      <c r="I42" s="186"/>
      <c r="J42" s="186"/>
      <c r="K42" s="187"/>
    </row>
    <row r="43">
      <c r="B43" s="213" t="inlineStr">
        <is>
          <t>Trading Multiples (Торговые мультипликаторы) — EV (стоимость предприятия)/EBITDA (прибыль до вычетов)</t>
        </is>
      </c>
      <c r="C43" s="186"/>
      <c r="D43" s="187"/>
      <c r="E43" s="207">
        <v>3358.85</v>
      </c>
      <c r="F43" s="173">
        <v>4029.2</v>
      </c>
      <c r="G43" s="207">
        <v>4706.62</v>
      </c>
      <c r="H43" s="159" t="inlineStr">
        <is>
          <t>Peer median 5.71× × EBITDA 2028</t>
        </is>
      </c>
      <c r="I43" s="186"/>
      <c r="J43" s="186"/>
      <c r="K43" s="187"/>
    </row>
    <row r="44">
      <c r="B44" s="213" t="inlineStr">
        <is>
          <t>Trading Multiples (Торговые мультипликаторы) — EV (стоимость предприятия)/Revenue (Выручка)</t>
        </is>
      </c>
      <c r="C44" s="186"/>
      <c r="D44" s="187"/>
      <c r="E44" s="207">
        <v>1200.0</v>
      </c>
      <c r="F44" s="173">
        <v>1200.0</v>
      </c>
      <c r="G44" s="207">
        <v>1575.0</v>
      </c>
      <c r="H44" s="159" t="inlineStr">
        <is>
          <t>Peer median 0,80× × Выручка 2028</t>
        </is>
      </c>
      <c r="I44" s="186"/>
      <c r="J44" s="186"/>
      <c r="K44" s="187"/>
    </row>
    <row r="45">
      <c r="B45" s="213" t="inlineStr">
        <is>
          <t>Прецедентные сделки (Прецедентные сделки)</t>
        </is>
      </c>
      <c r="C45" s="186"/>
      <c r="D45" s="187"/>
      <c r="E45" s="207">
        <v>3538.78</v>
      </c>
      <c r="F45" s="173">
        <v>4163.28</v>
      </c>
      <c r="G45" s="207">
        <v>4787.77</v>
      </c>
      <c r="H45" s="159" t="inlineStr">
        <is>
          <t>Med 5.90× (3 M&amp;A (слияния и поглощения))</t>
        </is>
      </c>
      <c r="I45" s="186"/>
      <c r="J45" s="186"/>
      <c r="K45" s="187"/>
    </row>
    <row r="46">
      <c r="B46" s="213" t="inlineStr">
        <is>
          <t>Scenario (Сценарий) Base (Базовый) (internal)</t>
        </is>
      </c>
      <c r="C46" s="186"/>
      <c r="D46" s="187"/>
      <c r="E46" s="207">
        <v>6502</v>
      </c>
      <c r="F46" s="173">
        <v>10837</v>
      </c>
      <c r="G46" s="207">
        <v>15171</v>
      </c>
      <c r="H46" s="159" t="inlineStr">
        <is>
          <t>EBITDA (прибыль до вычетов) 3Y × 3×/5×/7× (bear/base/bull)</t>
        </is>
      </c>
      <c r="I46" s="186"/>
      <c r="J46" s="186"/>
      <c r="K46" s="187"/>
    </row>
    <row r="48">
      <c r="B48" s="180" t="inlineStr">
        <is>
          <t>ИТОГО Football Field (Футбольное поле (сводка оценок))</t>
        </is>
      </c>
      <c r="C48" s="186"/>
      <c r="D48" s="187"/>
      <c r="E48" s="271">
        <v>278.57</v>
      </c>
      <c r="F48" s="271">
        <v>7724.78</v>
      </c>
      <c r="G48" s="271">
        <v>15171</v>
      </c>
      <c r="H48" s="180" t="inlineStr">
        <is>
          <t>Envelope: 279 – 15171, mid ≈ 7725 млн ₽</t>
        </is>
      </c>
      <c r="I48" s="186"/>
      <c r="J48" s="186"/>
      <c r="K48" s="187"/>
    </row>
    <row r="51">
      <c r="B51" s="258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ИНВЕСТОР (ИНВЕСТОР) RETURNS — T₁ LEGACY 1 250 млн ₽  ·  3 Scenarios × 4 Waterfalls  ·  Base (Базовый) illustration = W₃ DEFAULT (ПО УМОЛЧАНИЮ)</t>
        </is>
      </c>
    </row>
    <row r="3"/>
    <row r="4">
      <c r="B4" s="189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Single methodology: out quarterly 2026, in annual (годовой) 2029-2032 (20/50/15/15 split (разделение)).</t>
        </is>
      </c>
    </row>
    <row r="6">
      <c r="B6" s="577" t="inlineStr">
        <is>
          <t>I. T₁ ИНВЕСТОР (ИНВЕСТОР) CASHFLOW SCHEDULE (Base (Базовый) case · W₅ V-D ★ DEFAULT (ПО УМОЛЧАНИЮ) v1.0.1 · L8+L4 Liq Pref (Ликвидационная привилегия)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 (Транш)/Repay</t>
        </is>
      </c>
      <c r="F7" s="167" t="inlineStr">
        <is>
          <t>Interest (Проценты)</t>
        </is>
      </c>
      <c r="G7" s="167" t="inlineStr">
        <is>
          <t>Equity Upside (Верхний сценарий) (Потенциал роста капитала)</t>
        </is>
      </c>
      <c r="H7" s="167" t="inlineStr">
        <is>
          <t>Чистый ДП</t>
        </is>
      </c>
      <c r="I7" s="167" t="inlineStr">
        <is>
          <t>Кумулятив. ДП</t>
        </is>
      </c>
      <c r="J7" s="167" t="inlineStr">
        <is>
          <t>Peak Exposure (Максимальная экспозиция)</t>
        </is>
      </c>
      <c r="K7" s="167" t="inlineStr">
        <is>
          <t>Type (Тип)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(Транш) disbursement</t>
        </is>
      </c>
      <c r="E8" s="202" t="n">
        <v>-250</v>
      </c>
      <c r="F8" s="255"/>
      <c r="G8" s="255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(Транш) disbursement</t>
        </is>
      </c>
      <c r="E9" s="202" t="n">
        <v>-350</v>
      </c>
      <c r="F9" s="255"/>
      <c r="G9" s="255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(Транш) disbursement</t>
        </is>
      </c>
      <c r="E10" s="202" t="n">
        <v>-350</v>
      </c>
      <c r="F10" s="255"/>
      <c r="G10" s="255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(Транш) disbursement</t>
        </is>
      </c>
      <c r="E11" s="202" t="n">
        <v>-300</v>
      </c>
      <c r="F11" s="255"/>
      <c r="G11" s="255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(Ликвидационная привилегия) start)</t>
        </is>
      </c>
      <c r="E12" s="549" t="n">
        <v>990</v>
      </c>
      <c r="F12" s="549"/>
      <c r="G12" s="257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(привил.) 12% + T3 catch-up (догоняющий)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(хвостовой период) + T4 carry 60/40 start</t>
        </is>
      </c>
      <c r="E14" s="549"/>
      <c r="F14" s="257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 (остаток))</t>
        </is>
      </c>
      <c r="E15" s="549"/>
      <c r="F15" s="257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/>
      <c r="D16" s="187"/>
      <c r="E16" s="550" t="n">
        <v>260</v>
      </c>
      <c r="F16" s="550" t="n">
        <v>750</v>
      </c>
      <c r="G16" s="550" t="n">
        <v>658</v>
      </c>
      <c r="H16" s="550" t="n">
        <v>2657</v>
      </c>
      <c r="I16" s="273"/>
      <c r="J16" s="273"/>
      <c r="K16" s="273"/>
    </row>
    <row r="18">
      <c r="B18" s="577" t="inlineStr">
        <is>
          <t>II. RETURNS MATRIX — 3 SCENARIOS × 5 WATERFALLS (IRR (внутренняя норма доходности) / MOIC (мультипликатор вложенного капитала)) — W₅ V-D ★ DEFAULT (ПО УМОЛЧАНИЮ)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 (внутренняя норма доходности)</t>
        </is>
      </c>
      <c r="E19" s="530" t="inlineStr">
        <is>
          <t>W₁ MOIC (мультипликатор вложенного капитала)</t>
        </is>
      </c>
      <c r="F19" s="530" t="inlineStr">
        <is>
          <t>W₂ IRR (внутренняя норма доходности)</t>
        </is>
      </c>
      <c r="G19" s="530" t="inlineStr">
        <is>
          <t>W₂ MOIC (мультипликатор вложенного капитала)</t>
        </is>
      </c>
      <c r="H19" s="530" t="inlineStr">
        <is>
          <t>W₃ IRR (внутренняя норма доходности)</t>
        </is>
      </c>
      <c r="I19" s="530" t="inlineStr">
        <is>
          <t>W₃ MOIC (мультипликатор вложенного капитала)</t>
        </is>
      </c>
      <c r="J19" s="530" t="inlineStr">
        <is>
          <t>W₄ IRR (внутренняя норма доходности)</t>
        </is>
      </c>
      <c r="K19" s="530" t="inlineStr">
        <is>
          <t>W₄ MOIC (мультипликатор вложенного капитала)</t>
        </is>
      </c>
      <c r="L19" s="578" t="inlineStr">
        <is>
          <t>W₅ IRR (внутренняя норма доходности)</t>
        </is>
      </c>
      <c r="M19" s="578" t="inlineStr">
        <is>
          <t>W₅ MOIC (мультипликатор вложенного капитала)</t>
        </is>
      </c>
      <c r="N19" s="571" t="inlineStr">
        <is>
          <t>Best (Лучший)</t>
        </is>
      </c>
      <c r="O19" s="571" t="inlineStr">
        <is>
          <t>NDP (чистые распределяемые поступления)</t>
        </is>
      </c>
    </row>
    <row r="20">
      <c r="B20" s="200" t="n">
        <v>1</v>
      </c>
      <c r="C20" s="254" t="inlineStr">
        <is>
          <t>Bear (Пессимистичный)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 (Базовый)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 (Оптимистичный)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(Базовый) case · W₅ V-D ★ DEFAULT (ПО УМОЛЧАНИЮ) v1.0.1)</t>
        </is>
      </c>
    </row>
    <row r="26">
      <c r="B26" s="213" t="inlineStr">
        <is>
          <t>Валовые инвестиции (Валовые инвестиции) (4 tranches (транши))</t>
        </is>
      </c>
      <c r="C26" s="186"/>
      <c r="D26" s="186"/>
      <c r="E26" s="186"/>
      <c r="F26" s="187"/>
      <c r="G26" s="558" t="n">
        <v>1250</v>
      </c>
      <c r="H26" s="187"/>
      <c r="I26" s="159" t="inlineStr">
        <is>
          <t>Σ outflow T₁ (отток)</t>
        </is>
      </c>
      <c r="J26" s="186"/>
      <c r="K26" s="187"/>
    </row>
    <row r="27">
      <c r="B27" s="213" t="inlineStr">
        <is>
          <t>Валовые поступления (Валовые поступления) (principal + interest + upside)</t>
        </is>
      </c>
      <c r="C27" s="186"/>
      <c r="D27" s="186"/>
      <c r="E27" s="186"/>
      <c r="F27" s="187"/>
      <c r="G27" s="581" t="n">
        <v>2657</v>
      </c>
      <c r="H27" s="187"/>
      <c r="I27" s="159" t="inlineStr">
        <is>
          <t>W₅ V-D: 1250 LP (ограниченный партнёр)+750 Pref+402 Cu+256 Carry ≈ 2657</t>
        </is>
      </c>
      <c r="J27" s="186"/>
      <c r="K27" s="187"/>
    </row>
    <row r="28">
      <c r="B28" s="213" t="inlineStr">
        <is>
          <t>Net Gain (Чистая прибыль от выхода)</t>
        </is>
      </c>
      <c r="C28" s="186"/>
      <c r="D28" s="186"/>
      <c r="E28" s="186"/>
      <c r="F28" s="187"/>
      <c r="G28" s="581" t="n">
        <v>1407</v>
      </c>
      <c r="H28" s="187"/>
      <c r="I28" s="159" t="inlineStr">
        <is>
          <t>Net gain (Чистая прибыль) = 2657 − 1250 = 1407 (W₅ V-D)</t>
        </is>
      </c>
      <c r="J28" s="186"/>
      <c r="K28" s="187"/>
    </row>
    <row r="29">
      <c r="B29" s="213" t="inlineStr">
        <is>
          <t>Net Gain (Чистая прибыль от выхода) %</t>
        </is>
      </c>
      <c r="C29" s="186"/>
      <c r="D29" s="186"/>
      <c r="E29" s="186"/>
      <c r="F29" s="187"/>
      <c r="G29" s="582" t="n">
        <v>112.6</v>
      </c>
      <c r="H29" s="187"/>
      <c r="I29" s="159" t="inlineStr">
        <is>
          <t>Total (Итого) return % (net gain / invest) — W₅ V-D</t>
        </is>
      </c>
      <c r="J29" s="186"/>
      <c r="K29" s="187"/>
    </row>
    <row r="30">
      <c r="B30" s="213" t="inlineStr">
        <is>
          <t>MOIC (мультипликатор вложенного капитала) (Multiple (Мультипликатор) on Invested Capital (Капитал))</t>
        </is>
      </c>
      <c r="C30" s="186"/>
      <c r="D30" s="186"/>
      <c r="E30" s="186"/>
      <c r="F30" s="187"/>
      <c r="G30" s="583" t="n">
        <v>2.13</v>
      </c>
      <c r="H30" s="187"/>
      <c r="I30" s="159" t="inlineStr">
        <is>
          <t>MOIC (мультипликатор вложенного капитала) = 2657/1250 ≈ 2.13× (W₅ V-D institutional)</t>
        </is>
      </c>
      <c r="J30" s="186"/>
      <c r="K30" s="187"/>
    </row>
    <row r="31">
      <c r="B31" s="213" t="inlineStr">
        <is>
          <t>DPI (распределения к вложенному) (Distributions / Paid-in)</t>
        </is>
      </c>
      <c r="C31" s="186"/>
      <c r="D31" s="186"/>
      <c r="E31" s="186"/>
      <c r="F31" s="187"/>
      <c r="G31" s="583" t="n">
        <v>2.13</v>
      </c>
      <c r="H31" s="187"/>
      <c r="I31" s="159" t="inlineStr">
        <is>
          <t>DPI (распределения к вложенному) fully realized to 2032 (W₅ V-D)</t>
        </is>
      </c>
      <c r="J31" s="186"/>
      <c r="K31" s="187"/>
    </row>
    <row r="32">
      <c r="B32" s="213" t="inlineStr">
        <is>
          <t>TVPI (общая стоимость к вложенному) (Total (Итого) Value / Paid-in)</t>
        </is>
      </c>
      <c r="C32" s="186"/>
      <c r="D32" s="186"/>
      <c r="E32" s="186"/>
      <c r="F32" s="187"/>
      <c r="G32" s="583" t="n">
        <v>2.13</v>
      </c>
      <c r="H32" s="187"/>
      <c r="I32" s="159" t="inlineStr">
        <is>
          <t>= DPI (распределения к вложенному) (no NAV residual (остаток))</t>
        </is>
      </c>
      <c r="J32" s="186"/>
      <c r="K32" s="187"/>
    </row>
    <row r="33">
      <c r="B33" s="213" t="inlineStr">
        <is>
          <t>IRR (внутренняя норма доходности) (fractional period)</t>
        </is>
      </c>
      <c r="C33" s="186"/>
      <c r="D33" s="186"/>
      <c r="E33" s="186"/>
      <c r="F33" s="187"/>
      <c r="G33" s="582" t="n">
        <v>24.75</v>
      </c>
      <c r="H33" s="187"/>
      <c r="I33" s="159" t="inlineStr">
        <is>
          <t>Hurdle (Порог) 18%, PASS — W₅ V-D LP (ограниченный партнёр) IRR (внутренняя норма доходности) ≈ 24.75%</t>
        </is>
      </c>
      <c r="J33" s="186"/>
      <c r="K33" s="187"/>
    </row>
    <row r="34">
      <c r="B34" s="213" t="inlineStr">
        <is>
          <t>Peak Exposure (Максимальная экспозиция) (max drawdown)</t>
        </is>
      </c>
      <c r="C34" s="186"/>
      <c r="D34" s="186"/>
      <c r="E34" s="186"/>
      <c r="F34" s="187"/>
      <c r="G34" s="581" t="n">
        <v>1250</v>
      </c>
      <c r="H34" s="187"/>
      <c r="I34" s="159" t="inlineStr">
        <is>
          <t>Q4'26 полное освоение 1 250 (без изменений)</t>
        </is>
      </c>
      <c r="J34" s="186"/>
      <c r="K34" s="187"/>
    </row>
    <row r="35">
      <c r="B35" s="213" t="inlineStr">
        <is>
          <t>Payback (Окупаемость) period (Срок окупаемости)</t>
        </is>
      </c>
      <c r="C35" s="186"/>
      <c r="D35" s="186"/>
      <c r="E35" s="186"/>
      <c r="F35" s="187"/>
      <c r="G35" s="584" t="n">
        <v>3.21</v>
      </c>
      <c r="H35" s="187"/>
      <c r="I35" s="159" t="inlineStr">
        <is>
          <t>Payback (Окупаемость) ~Q1'30 — A+C pattern (паттерн) accelerates recovery vs W₃ 3.75y</t>
        </is>
      </c>
      <c r="J35" s="186"/>
      <c r="K35" s="187"/>
    </row>
    <row r="38">
      <c r="B38" s="577" t="inlineStr">
        <is>
          <t>IV. RETURN ATTRIBUTION — РАЗБИВКА ROI (возврат на инвестиции) (Base (Базовый) W₅ V-D ★ DEFAULT (ПО УМОЛЧАНИЮ)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/>
      <c r="E39" s="186"/>
      <c r="F39" s="186"/>
      <c r="G39" s="187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/>
    </row>
    <row r="40">
      <c r="B40" s="205" t="n">
        <v>1</v>
      </c>
      <c r="C40" s="206" t="inlineStr">
        <is>
          <t>Return of Principal (W₅ T1 — Liq Pref (Ликвидационная привилегия) 1×)</t>
        </is>
      </c>
      <c r="D40" s="186"/>
      <c r="E40" s="186"/>
      <c r="F40" s="186"/>
      <c r="G40" s="187"/>
      <c r="H40" s="227" t="n">
        <v>1250</v>
      </c>
      <c r="I40" s="236" t="n">
        <v>47</v>
      </c>
      <c r="J40" s="206" t="inlineStr">
        <is>
          <t>W₅ T1: senior recovery (старший возврат) 1× = 1 250</t>
        </is>
      </c>
      <c r="K40" s="187"/>
    </row>
    <row r="41">
      <c r="B41" s="205" t="n">
        <v>2</v>
      </c>
      <c r="C41" s="206" t="inlineStr">
        <is>
          <t>Preferred Return Coupon (Купон) (W₅ T2 — 12% × 5y cumulative)</t>
        </is>
      </c>
      <c r="D41" s="186"/>
      <c r="E41" s="186"/>
      <c r="F41" s="186"/>
      <c r="G41" s="187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/>
    </row>
    <row r="42">
      <c r="B42" s="205" t="n">
        <v>3</v>
      </c>
      <c r="C42" s="206" t="inlineStr">
        <is>
          <t>Catch-up Tranche (Транш) (W₅ T3 — 70% LP (ограниченный партнёр) / 30% Producer (Продюсер) to hurdle (порог) 2402)</t>
        </is>
      </c>
      <c r="D42" s="186"/>
      <c r="E42" s="186"/>
      <c r="F42" s="186"/>
      <c r="G42" s="187"/>
      <c r="H42" s="227" t="n">
        <v>402</v>
      </c>
      <c r="I42" s="236" t="n">
        <v>15.1</v>
      </c>
      <c r="J42" s="206" t="inlineStr">
        <is>
          <t>W₅ T3: 574 catch-up × 70% LP (ограниченный партнёр) = 402; aligns IRR (внутренняя норма доходности) to 18% hurdle (порог)</t>
        </is>
      </c>
      <c r="K42" s="187"/>
    </row>
    <row r="43">
      <c r="B43" s="179" t="n">
        <v>4</v>
      </c>
      <c r="C43" s="180" t="inlineStr">
        <is>
          <t>Carry Residual (Остаток) (W₅ T4 — 60% LP (ограниченный партнёр) / 40% Producer (Продюсер))</t>
        </is>
      </c>
      <c r="D43" s="186"/>
      <c r="E43" s="186"/>
      <c r="F43" s="186"/>
      <c r="G43" s="187"/>
      <c r="H43" s="561" t="n">
        <v>256</v>
      </c>
      <c r="I43" s="280" t="n">
        <v>9.6</v>
      </c>
      <c r="J43" s="180" t="inlineStr">
        <is>
          <t>W₅ T4: residual (остаток) 426 × 60% LP (ограниченный партнёр) = 256 (rounded)</t>
        </is>
      </c>
      <c r="K43" s="187"/>
    </row>
    <row r="44">
      <c r="B44" s="357" t="inlineStr">
        <is>
          <t>Σ</t>
        </is>
      </c>
      <c r="C44" s="357" t="inlineStr">
        <is>
          <t>ИТОГО ROI (возврат на инвестиции) (W₅ V-D ★ DEFAULT (ПО УМОЛЧАНИЮ) v1.0.1)</t>
        </is>
      </c>
      <c r="H44" s="357" t="n">
        <v>2657</v>
      </c>
      <c r="I44" s="357" t="n">
        <v>99.90000000000001</v>
      </c>
      <c r="J44" s="357" t="inlineStr">
        <is>
          <t>= 1250 + 750 + 402 + 256 ≈ 2 657 (W₅ V-D · NDP (чистые распределяемые поступления) 3000 · MoIC 2.13×)</t>
        </is>
      </c>
    </row>
    <row r="46">
      <c r="B46" s="585" t="inlineStr">
        <is>
          <t>V. STRUCTURAL DISCLAIMERS (ОТКАЗ ОТ ОТВЕТСТВЕННОСТИ) — W₅ V-D LIMITATIONS &amp; DESIGN CHOICES (v1.0.1)</t>
        </is>
      </c>
    </row>
    <row r="47" ht="45" customHeight="1">
      <c r="B47" s="586" t="inlineStr">
        <is>
          <t>V.1 BEAR SCENARIO IRR (внутренняя норма доходности) &lt; HURDLE: Под Stress Bear (Стресс-пессимистичный) (NDP (чистые распределяемые поступления)=1800) Investor (Инвестор) IRR (внутренняя норма доходности) W₅ V-D = 10.70% (vs hurdle (порог) 18%). Под Downside (Нижний сценарий) (NDP (чистые распределяемые поступления)=2400) IRR (внутренняя норма доходности) = 18.87% (margin (маржа) к hurdle (порог)). Hurdle (Порог) break-even target NDP (чистые распределяемые поступления) ≥ 2 402 млн ₽. Capital (Капитал) protection: Liq Pref (Ликвидационная привилегия) 1× = 1250 (MoIC ≥ 1.44× в Bear (Пессимистичный)). См. 27_Scenario_Analysis r15.</t>
        </is>
      </c>
      <c r="C47" s="587" t="inlineStr">
        <is>
          <t>Bear (Пессимистичный) scenario IRR (внутренняя норма доходности) &lt; 18% hurdle (порог) — Под Bear (Пессимистичный) NDP (чистые распределяемые поступления)=2250 LP (ограниченный партнёр) IRR=17.12% (W₅), что НИЖЕ 18% hurdle (порог). Это НЕ дефект waterfall (каскад) — это арифметика: hurdle (порог) target=2402, при NDP&lt;2402 целевой IRR недостижим никаким распределением. Downside (Нижний сценарий) protection обеспечивается T1 Liq Pref (Ликвидационная привилегия) 1× (LP (ограниченный партнёр)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(Оптимистичный) W₄ MoIC 2.51 &gt; W₅ MoIC 2.49 (industry tradeoff) — Под Bull NDP (чистые распределяемые поступления)=3750 W₄ даёт LP (ограниченный партнёр) 0.02× больше MoIC чем W₅. Разница 0.8%, в пределах MC σ ~0.3-0.4. W₅ V-D выбран как DEFAULT (ПО УМОЛЧАНИЮ) по причине: (1) catch-up до hurdle (порог) защищает Producer (Продюсер) alignment, (2) carry 60/40 — industry standard для venture/film finance, (3) institutional LP-investors ожидают именно такую структуру. Перекалибровка carry на 70/30 дала бы MoIC 2.58 в Bull (Оптимистичный), но создала бы misalignment incentives для Producer и сигнализировала «жадный waterfall (каскад)».</t>
        </is>
      </c>
    </row>
    <row r="49" ht="45" customHeight="1">
      <c r="B49" s="586" t="inlineStr">
        <is>
          <t>V.3</t>
        </is>
      </c>
      <c r="C49" s="587" t="inlineStr">
        <is>
          <t>Revenue (Выручка) pattern (паттерн) A+C 33/45/9/13 (зависимость) — Метрики выше рассчитаны под A+C fast pattern (Domestic 2700 + SVoD presell 270 + International 300). Под slower B pattern (60/30/8/2) LP (ограниченный партнёр) IRR (внутренняя норма доходности)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(Порог) target 2402 vs scenario NDP (чистые распределяемые поступления) — Hurdle (Порог) 2402 = INVEST/Σ(pattern (паттерн)×discount@18%). NDP scenarios: Bear (Пессимистичный) 2250 (&lt; hurdle (порог)), Base (Базовый) 3000 (&gt; hurdle (порог)), Bull (Оптимистичный) 3750 (&gt;&gt; hurdle (порог)). P(NDP &gt; hurdle) = ключевая Monte Carlo (Монте-Карло) метрика, которая отвечает на вопрос «какова вероятность достижения 18% IRR (внутренняя норма доходности)»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(СЦЕНАРИИ ВЫХОДА)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 (стоимость предприятия), net proceeds и probability-weighted expected value</t>
        </is>
      </c>
    </row>
    <row r="6">
      <c r="B6" s="244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</row>
    <row r="7">
      <c r="B7" s="167" t="inlineStr">
        <is>
          <t>#</t>
        </is>
      </c>
      <c r="C7" s="167" t="inlineStr">
        <is>
          <t>Маршрут выхода (Маршрут выхода)</t>
        </is>
      </c>
      <c r="D7" s="167" t="inlineStr">
        <is>
          <t>Timing (Сроки)</t>
        </is>
      </c>
      <c r="E7" s="167" t="inlineStr">
        <is>
          <t>EBITDA (прибыль до вычетов) base</t>
        </is>
      </c>
      <c r="F7" s="167" t="inlineStr">
        <is>
          <t>Multiple (Мультипликатор)</t>
        </is>
      </c>
      <c r="G7" s="167" t="inlineStr">
        <is>
          <t>EV (стоимость предприятия) млн ₽</t>
        </is>
      </c>
      <c r="H7" s="167" t="inlineStr">
        <is>
          <t>Net Debt (Долг)</t>
        </is>
      </c>
      <c r="I7" s="167" t="inlineStr">
        <is>
          <t>Equity (Собственный капитал)</t>
        </is>
      </c>
      <c r="J7" s="167" t="inlineStr">
        <is>
          <t>T₁ proceeds (поступления)</t>
        </is>
      </c>
      <c r="K7" s="167" t="inlineStr">
        <is>
          <t>Вер. %</t>
        </is>
      </c>
    </row>
    <row r="8">
      <c r="B8" s="205" t="n">
        <v>1</v>
      </c>
      <c r="C8" s="281" t="inlineStr">
        <is>
          <t>Strategic (Стратегический) Sale (Стратегическая продажа)</t>
        </is>
      </c>
      <c r="D8" s="205" t="inlineStr">
        <is>
          <t>2028</t>
        </is>
      </c>
      <c r="E8" s="207">
        <v>936.0</v>
      </c>
      <c r="F8" s="266" t="n">
        <v>6</v>
      </c>
      <c r="G8" s="207">
        <v>5616</v>
      </c>
      <c r="H8" s="207" t="n">
        <v>1250</v>
      </c>
      <c r="I8" s="207">
        <v>4366</v>
      </c>
      <c r="J8" s="207">
        <v>2184</v>
      </c>
      <c r="K8" s="282" t="n">
        <v>15</v>
      </c>
    </row>
    <row r="9">
      <c r="B9" s="205" t="n">
        <v>2</v>
      </c>
      <c r="C9" s="281" t="inlineStr">
        <is>
          <t>Strategic (Стратегический) Sale (Стратегическая продажа)</t>
        </is>
      </c>
      <c r="D9" s="205" t="inlineStr">
        <is>
          <t>2030</t>
        </is>
      </c>
      <c r="E9" s="207">
        <v>640</v>
      </c>
      <c r="F9" s="266" t="n">
        <v>5.5</v>
      </c>
      <c r="G9" s="207">
        <v>3520</v>
      </c>
      <c r="H9" s="207" t="n">
        <v>0</v>
      </c>
      <c r="I9" s="207">
        <v>3520</v>
      </c>
      <c r="J9" s="207">
        <v>1882</v>
      </c>
      <c r="K9" s="282" t="n">
        <v>20</v>
      </c>
    </row>
    <row r="10">
      <c r="B10" s="205" t="n">
        <v>3</v>
      </c>
      <c r="C10" s="192" t="inlineStr">
        <is>
          <t>IPO (первичное размещение)</t>
        </is>
      </c>
      <c r="D10" s="205" t="inlineStr">
        <is>
          <t>2028</t>
        </is>
      </c>
      <c r="E10" s="207">
        <v>936.0</v>
      </c>
      <c r="F10" s="266" t="n">
        <v>7</v>
      </c>
      <c r="G10" s="207">
        <v>6552</v>
      </c>
      <c r="H10" s="207" t="n">
        <v>1250</v>
      </c>
      <c r="I10" s="207">
        <v>5302</v>
      </c>
      <c r="J10" s="207">
        <v>2519</v>
      </c>
      <c r="K10" s="282" t="n">
        <v>5</v>
      </c>
    </row>
    <row r="11">
      <c r="B11" s="205" t="n">
        <v>4</v>
      </c>
      <c r="C11" s="192" t="inlineStr">
        <is>
          <t>IPO (первичное размещение)</t>
        </is>
      </c>
      <c r="D11" s="205" t="inlineStr">
        <is>
          <t>2030</t>
        </is>
      </c>
      <c r="E11" s="207">
        <v>640</v>
      </c>
      <c r="F11" s="266" t="n">
        <v>6.5</v>
      </c>
      <c r="G11" s="207">
        <v>4160</v>
      </c>
      <c r="H11" s="207" t="n">
        <v>0</v>
      </c>
      <c r="I11" s="207">
        <v>4160</v>
      </c>
      <c r="J11" s="207">
        <v>2111</v>
      </c>
      <c r="K11" s="282" t="n">
        <v>10</v>
      </c>
    </row>
    <row r="12">
      <c r="B12" s="205" t="n">
        <v>5</v>
      </c>
      <c r="C12" s="281" t="inlineStr">
        <is>
          <t>Secondary (Вторичный)/Recap</t>
        </is>
      </c>
      <c r="D12" s="205" t="inlineStr">
        <is>
          <t>2030</t>
        </is>
      </c>
      <c r="E12" s="207">
        <v>640</v>
      </c>
      <c r="F12" s="266" t="n">
        <v>5</v>
      </c>
      <c r="G12" s="207">
        <v>3200</v>
      </c>
      <c r="H12" s="207" t="n">
        <v>0</v>
      </c>
      <c r="I12" s="207">
        <v>3200</v>
      </c>
      <c r="J12" s="207">
        <v>1768</v>
      </c>
      <c r="K12" s="282" t="n">
        <v>15</v>
      </c>
    </row>
    <row r="13">
      <c r="B13" s="205" t="n">
        <v>6</v>
      </c>
      <c r="C13" s="281" t="inlineStr">
        <is>
          <t>Secondary (Вторичный)/Recap</t>
        </is>
      </c>
      <c r="D13" s="205" t="inlineStr">
        <is>
          <t>2032</t>
        </is>
      </c>
      <c r="E13" s="207">
        <v>700</v>
      </c>
      <c r="F13" s="266" t="n">
        <v>4.5</v>
      </c>
      <c r="G13" s="207">
        <v>3150</v>
      </c>
      <c r="H13" s="207" t="n">
        <v>0</v>
      </c>
      <c r="I13" s="207">
        <v>3150</v>
      </c>
      <c r="J13" s="207">
        <v>1750</v>
      </c>
      <c r="K13" s="282" t="n">
        <v>15</v>
      </c>
    </row>
    <row r="14">
      <c r="B14" s="205" t="n">
        <v>7</v>
      </c>
      <c r="C14" s="201" t="inlineStr">
        <is>
          <t>Liquidation (Ликвидация)</t>
        </is>
      </c>
      <c r="D14" s="205" t="inlineStr">
        <is>
          <t>2032</t>
        </is>
      </c>
      <c r="E14" s="207">
        <v>700</v>
      </c>
      <c r="F14" s="266" t="n">
        <v>2.5</v>
      </c>
      <c r="G14" s="207">
        <v>1750</v>
      </c>
      <c r="H14" s="207" t="n">
        <v>0</v>
      </c>
      <c r="I14" s="207">
        <v>1750</v>
      </c>
      <c r="J14" s="207">
        <v>1250</v>
      </c>
      <c r="K14" s="282" t="n">
        <v>20</v>
      </c>
    </row>
    <row r="15">
      <c r="B15" s="272" t="inlineStr">
        <is>
          <t>Probability-weighted total (Итого с учётом вероятностей)</t>
        </is>
      </c>
      <c r="C15" s="186"/>
      <c r="D15" s="186"/>
      <c r="E15" s="186"/>
      <c r="F15" s="187"/>
      <c r="G15" s="172">
        <v>3650.0</v>
      </c>
      <c r="H15" s="283"/>
      <c r="I15" s="283"/>
      <c r="J15" s="172">
        <v>1839.3</v>
      </c>
      <c r="K15" s="284" t="n">
        <v>100</v>
      </c>
    </row>
    <row r="18">
      <c r="B18" s="244" t="inlineStr">
        <is>
          <t>II.  МОСТ БАЗОВОГО ВЫХОДА (МОСТ БАЗОВОГО ВЫХОДА) — Strategic (Стратегический) Sale (Стратегическая продажа) 2030 (Prob 20% · highest weighted)</t>
        </is>
      </c>
    </row>
    <row r="19">
      <c r="B19" s="206" t="inlineStr">
        <is>
          <t>EBITDA (прибыль до вычетов) 2030 (LTM)</t>
        </is>
      </c>
      <c r="C19" s="186"/>
      <c r="D19" s="186"/>
      <c r="E19" s="186"/>
      <c r="F19" s="187"/>
      <c r="G19" s="207">
        <v>640</v>
      </c>
      <c r="H19" s="187"/>
      <c r="I19" s="159" t="inlineStr">
        <is>
          <t>Стабильный конвейер проектов</t>
        </is>
      </c>
      <c r="J19" s="186"/>
      <c r="K19" s="187"/>
    </row>
    <row r="20">
      <c r="B20" s="206" t="inlineStr">
        <is>
          <t>× Exit Multiple (Мультипликатор выхода)</t>
        </is>
      </c>
      <c r="C20" s="186"/>
      <c r="D20" s="186"/>
      <c r="E20" s="186"/>
      <c r="F20" s="187"/>
      <c r="G20" s="237">
        <v>5.5</v>
      </c>
      <c r="H20" s="187"/>
      <c r="I20" s="159" t="inlineStr">
        <is>
          <t>Strategic (Стратегический) buyer premium (премия)</t>
        </is>
      </c>
      <c r="J20" s="186"/>
      <c r="K20" s="187"/>
    </row>
    <row r="21">
      <c r="B21" s="154" t="inlineStr">
        <is>
          <t>= Enterprise Value (Стоимость предприятия)</t>
        </is>
      </c>
      <c r="C21" s="186"/>
      <c r="D21" s="186"/>
      <c r="E21" s="186"/>
      <c r="F21" s="187"/>
      <c r="G21" s="173">
        <v>3520</v>
      </c>
      <c r="H21" s="187"/>
      <c r="I21" s="159" t="inlineStr">
        <is>
          <t>Before capital (капитал) structure</t>
        </is>
      </c>
      <c r="J21" s="186"/>
      <c r="K21" s="187"/>
    </row>
    <row r="22">
      <c r="B22" s="206" t="inlineStr">
        <is>
          <t>(−) Net Debt (Долг)</t>
        </is>
      </c>
      <c r="C22" s="186"/>
      <c r="D22" s="186"/>
      <c r="E22" s="186"/>
      <c r="F22" s="187"/>
      <c r="G22" s="207">
        <v>0</v>
      </c>
      <c r="H22" s="187"/>
      <c r="I22" s="159" t="inlineStr">
        <is>
          <t>T₁ repaid in 2029-2030 (Возврат T₁ в 2029–2030)</t>
        </is>
      </c>
      <c r="J22" s="186"/>
      <c r="K22" s="187"/>
    </row>
    <row r="23">
      <c r="B23" s="206" t="inlineStr">
        <is>
          <t>(+) Cash (Денежные средства) &amp; equivalents</t>
        </is>
      </c>
      <c r="C23" s="186"/>
      <c r="D23" s="186"/>
      <c r="E23" s="186"/>
      <c r="F23" s="187"/>
      <c r="G23" s="207" t="n">
        <v>0</v>
      </c>
      <c r="H23" s="187"/>
      <c r="I23" s="159" t="inlineStr">
        <is>
          <t>Distributed to holders (Распределено держателям)</t>
        </is>
      </c>
      <c r="J23" s="186"/>
      <c r="K23" s="187"/>
    </row>
    <row r="24">
      <c r="B24" s="154" t="inlineStr">
        <is>
          <t>= Equity (Собственный капитал) Value</t>
        </is>
      </c>
      <c r="C24" s="186"/>
      <c r="D24" s="186"/>
      <c r="E24" s="186"/>
      <c r="F24" s="187"/>
      <c r="G24" s="173">
        <v>3520</v>
      </c>
      <c r="H24" s="187"/>
      <c r="I24" s="159" t="inlineStr">
        <is>
          <t>For distribution (распределение)</t>
        </is>
      </c>
      <c r="J24" s="186"/>
      <c r="K24" s="187"/>
    </row>
    <row r="25">
      <c r="B25" s="206" t="inlineStr">
        <is>
          <t>(−) Транзакционные издержки (2%)</t>
        </is>
      </c>
      <c r="C25" s="186"/>
      <c r="D25" s="186"/>
      <c r="E25" s="186"/>
      <c r="F25" s="187"/>
      <c r="G25" s="207">
        <v>-70.4</v>
      </c>
      <c r="H25" s="187"/>
      <c r="I25" s="159" t="inlineStr">
        <is>
          <t>Консультации (Консультации), legal</t>
        </is>
      </c>
      <c r="J25" s="186"/>
      <c r="K25" s="187"/>
    </row>
    <row r="26">
      <c r="B26" s="154" t="inlineStr">
        <is>
          <t>= Net Equity (Собственный капитал) Proceeds</t>
        </is>
      </c>
      <c r="C26" s="186"/>
      <c r="D26" s="186"/>
      <c r="E26" s="186"/>
      <c r="F26" s="187"/>
      <c r="G26" s="173">
        <v>3449.6</v>
      </c>
      <c r="H26" s="187"/>
      <c r="I26" s="159" t="inlineStr">
        <is>
          <t>Available for waterfall (Доступно для каскада)</t>
        </is>
      </c>
      <c r="J26" s="186"/>
      <c r="K26" s="187"/>
    </row>
    <row r="29">
      <c r="B29" s="244" t="inlineStr">
        <is>
          <t>III. WATERFALL (КАСКАД) AT EXIT — PROCEEDS DISTRIBUTION (Scenario (Сценарий) B: 50/30/20)</t>
        </is>
      </c>
    </row>
    <row r="30">
      <c r="B30" s="167" t="inlineStr">
        <is>
          <t>#</t>
        </is>
      </c>
      <c r="C30" s="167" t="inlineStr">
        <is>
          <t>Level (Уровень)</t>
        </is>
      </c>
      <c r="D30" s="186"/>
      <c r="E30" s="186"/>
      <c r="F30" s="186"/>
      <c r="G30" s="187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/>
    </row>
    <row r="31">
      <c r="B31" s="205" t="n">
        <v>1</v>
      </c>
      <c r="C31" s="206" t="inlineStr">
        <is>
          <t>Net Equity (Собственный капитал) Proceeds</t>
        </is>
      </c>
      <c r="D31" s="186"/>
      <c r="E31" s="186"/>
      <c r="F31" s="186"/>
      <c r="G31" s="187"/>
      <c r="H31" s="207" t="n">
        <v>6036.8</v>
      </c>
      <c r="I31" s="228" t="n">
        <v>100</v>
      </c>
      <c r="J31" s="206" t="inlineStr">
        <is>
          <t>100% доступно</t>
        </is>
      </c>
      <c r="K31" s="187"/>
    </row>
    <row r="33">
      <c r="B33" s="205" t="n">
        <v>2</v>
      </c>
      <c r="C33" s="206" t="inlineStr">
        <is>
          <t>Step 1. T₁ Return of Capital (Капитал) (1 250)</t>
        </is>
      </c>
      <c r="D33" s="186"/>
      <c r="E33" s="186"/>
      <c r="F33" s="186"/>
      <c r="G33" s="187"/>
      <c r="H33" s="207" t="n">
        <v>1250</v>
      </c>
      <c r="I33" s="228" t="n">
        <v>20.70633448184469</v>
      </c>
      <c r="J33" s="206" t="inlineStr">
        <is>
          <t>Senior recovery (Старшее погашение)</t>
        </is>
      </c>
      <c r="K33" s="187"/>
    </row>
    <row r="34">
      <c r="B34" s="205" t="n">
        <v>3</v>
      </c>
      <c r="C34" s="206" t="inlineStr">
        <is>
          <t>Step 2. T₂ Return of Capital (Капитал) (500)</t>
        </is>
      </c>
      <c r="D34" s="186"/>
      <c r="E34" s="186"/>
      <c r="F34" s="186"/>
      <c r="G34" s="187"/>
      <c r="H34" s="207" t="n">
        <v>500</v>
      </c>
      <c r="I34" s="228" t="n">
        <v>8.282533792737874</v>
      </c>
      <c r="J34" s="206" t="inlineStr">
        <is>
          <t>Pari-passu (Паритетное (pari-passu)) recovery (Паритетное погашение)</t>
        </is>
      </c>
      <c r="K34" s="187"/>
    </row>
    <row r="35">
      <c r="B35" s="205" t="n">
        <v>4</v>
      </c>
      <c r="C35" s="206" t="inlineStr">
        <is>
          <t>Step 3. Residual (Остаток) after RoC</t>
        </is>
      </c>
      <c r="D35" s="186"/>
      <c r="E35" s="186"/>
      <c r="F35" s="186"/>
      <c r="G35" s="187"/>
      <c r="H35" s="207" t="n">
        <v>4286.8</v>
      </c>
      <c r="I35" s="228" t="n">
        <v>71.01113172541744</v>
      </c>
      <c r="J35" s="206" t="inlineStr">
        <is>
          <t>Available for hurdle (порог)</t>
        </is>
      </c>
      <c r="K35" s="187"/>
    </row>
    <row r="37">
      <c r="B37" s="205"/>
      <c r="C37" s="206" t="inlineStr">
        <is>
          <t>Step 4. Hurdle (Порог) split (разделение) 50/50 on residual (остаток)</t>
        </is>
      </c>
      <c r="D37" s="186"/>
      <c r="E37" s="186"/>
      <c r="F37" s="186"/>
      <c r="G37" s="187"/>
      <c r="H37" s="285"/>
      <c r="I37" s="205"/>
      <c r="J37" s="206"/>
      <c r="K37" s="187"/>
    </row>
    <row r="38">
      <c r="B38" s="205" t="n">
        <v>6</v>
      </c>
      <c r="C38" s="206" t="inlineStr">
        <is>
          <t xml:space="preserve">  → Founder 50% of residual (остаток)</t>
        </is>
      </c>
      <c r="D38" s="186"/>
      <c r="E38" s="186"/>
      <c r="F38" s="186"/>
      <c r="G38" s="187"/>
      <c r="H38" s="207" t="n">
        <v>2143.4</v>
      </c>
      <c r="I38" s="205"/>
      <c r="J38" s="206" t="inlineStr">
        <is>
          <t>Growth equity (доля в капитале)</t>
        </is>
      </c>
      <c r="K38" s="187"/>
    </row>
    <row r="39">
      <c r="B39" s="205" t="n">
        <v>7</v>
      </c>
      <c r="C39" s="206" t="inlineStr">
        <is>
          <t xml:space="preserve">  → T₁/T₂ pro-rata 50% of residual (остаток)</t>
        </is>
      </c>
      <c r="D39" s="186"/>
      <c r="E39" s="186"/>
      <c r="F39" s="186"/>
      <c r="G39" s="187"/>
      <c r="H39" s="207" t="n">
        <v>2143.4</v>
      </c>
      <c r="I39" s="205"/>
      <c r="J39" s="206" t="inlineStr">
        <is>
          <t>Investor (Инвестор) upside</t>
        </is>
      </c>
      <c r="K39" s="187"/>
    </row>
    <row r="41">
      <c r="B41" s="247"/>
      <c r="C41" s="261" t="inlineStr">
        <is>
          <t>Final Distribution (Распределение):</t>
        </is>
      </c>
      <c r="D41" s="186"/>
      <c r="E41" s="186"/>
      <c r="F41" s="186"/>
      <c r="G41" s="187"/>
      <c r="H41" s="286"/>
      <c r="I41" s="247"/>
      <c r="J41" s="261"/>
      <c r="K41" s="187"/>
    </row>
    <row r="42">
      <c r="B42" s="247" t="n">
        <v>9</v>
      </c>
      <c r="C42" s="261" t="inlineStr">
        <is>
          <t xml:space="preserve">  Founder Total (Итого)</t>
        </is>
      </c>
      <c r="D42" s="186"/>
      <c r="E42" s="186"/>
      <c r="F42" s="186"/>
      <c r="G42" s="187"/>
      <c r="H42" s="270" t="n">
        <v>2143.4</v>
      </c>
      <c r="I42" s="247"/>
      <c r="J42" s="261" t="inlineStr">
        <is>
          <t>Growth share (доля)</t>
        </is>
      </c>
      <c r="K42" s="187"/>
    </row>
    <row r="43">
      <c r="B43" s="247" t="n">
        <v>10</v>
      </c>
      <c r="C43" s="261" t="inlineStr">
        <is>
          <t xml:space="preserve">  T₁ Total (Итого) (1 250 + share (доля))</t>
        </is>
      </c>
      <c r="D43" s="186"/>
      <c r="E43" s="186"/>
      <c r="F43" s="186"/>
      <c r="G43" s="187"/>
      <c r="H43" s="270" t="n">
        <v>2781</v>
      </c>
      <c r="I43" s="247"/>
      <c r="J43" s="261" t="inlineStr">
        <is>
          <t>30% размещение</t>
        </is>
      </c>
      <c r="K43" s="187"/>
    </row>
    <row r="44">
      <c r="B44" s="247" t="n">
        <v>11</v>
      </c>
      <c r="C44" s="261" t="inlineStr">
        <is>
          <t xml:space="preserve">  T₂ Total (Итого) (500 + share (доля))</t>
        </is>
      </c>
      <c r="D44" s="186"/>
      <c r="E44" s="186"/>
      <c r="F44" s="186"/>
      <c r="G44" s="187"/>
      <c r="H44" s="270" t="n">
        <v>1112.4</v>
      </c>
      <c r="I44" s="247"/>
      <c r="J44" s="261" t="inlineStr">
        <is>
          <t>20% размещение</t>
        </is>
      </c>
      <c r="K44" s="187"/>
    </row>
    <row r="47">
      <c r="B47" s="244" t="inlineStr">
        <is>
          <t>IV. EXPECTED VALUE (ОЖИДАЕМАЯ СТОИМОСТЬ) SUMMARY</t>
        </is>
      </c>
    </row>
    <row r="48">
      <c r="B48" s="213" t="inlineStr">
        <is>
          <t>Probability-weighted EV (стоимость предприятия)</t>
        </is>
      </c>
      <c r="C48" s="186"/>
      <c r="D48" s="186"/>
      <c r="E48" s="186"/>
      <c r="F48" s="187"/>
      <c r="G48" s="173">
        <v>3592.5</v>
      </c>
      <c r="H48" s="187"/>
      <c r="I48" s="159" t="inlineStr">
        <is>
          <t>Across 7 exit routes (По 7 вариантам выхода)</t>
        </is>
      </c>
      <c r="J48" s="186"/>
      <c r="K48" s="187"/>
    </row>
    <row r="49">
      <c r="B49" s="213" t="inlineStr">
        <is>
          <t>Probability-weighted T₁ proceeds (Поступления T₁ с учётом вероятностей)</t>
        </is>
      </c>
      <c r="C49" s="186"/>
      <c r="D49" s="186"/>
      <c r="E49" s="186"/>
      <c r="F49" s="187"/>
      <c r="G49" s="173">
        <v>1818.8</v>
      </c>
      <c r="H49" s="187"/>
      <c r="I49" s="159" t="inlineStr">
        <is>
          <t>50/30/20 exit split (разделение)</t>
        </is>
      </c>
      <c r="J49" s="186"/>
      <c r="K49" s="187"/>
    </row>
    <row r="50">
      <c r="B50" s="213" t="inlineStr">
        <is>
          <t>Most likely exit (Наиб. вероятный выход, 20%)</t>
        </is>
      </c>
      <c r="C50" s="186"/>
      <c r="D50" s="186"/>
      <c r="E50" s="186"/>
      <c r="F50" s="187"/>
      <c r="G50" s="154" t="inlineStr">
        <is>
          <t>Strategic (Стратегический) Sale (Стратегическая продажа) 2030</t>
        </is>
      </c>
      <c r="H50" s="187"/>
      <c r="I50" s="159" t="inlineStr">
        <is>
          <t>EV 3 520 млн ₽</t>
        </is>
      </c>
      <c r="J50" s="186"/>
      <c r="K50" s="187"/>
    </row>
    <row r="51">
      <c r="B51" s="213" t="inlineStr">
        <is>
          <t>Highest EV (стоимость предприятия) exit (10% prob)</t>
        </is>
      </c>
      <c r="C51" s="186"/>
      <c r="D51" s="186"/>
      <c r="E51" s="186"/>
      <c r="F51" s="187"/>
      <c r="G51" s="154" t="inlineStr">
        <is>
          <t>IPO (первичное размещение) 2030</t>
        </is>
      </c>
      <c r="H51" s="187"/>
      <c r="I51" s="159" t="inlineStr">
        <is>
          <t>EV 6,552 млн ₽</t>
        </is>
      </c>
      <c r="J51" s="186"/>
      <c r="K51" s="187"/>
    </row>
    <row r="52">
      <c r="B52" s="213" t="inlineStr">
        <is>
          <t>Worst case exit (Худший сценарий выхода)</t>
        </is>
      </c>
      <c r="C52" s="186"/>
      <c r="D52" s="186"/>
      <c r="E52" s="186"/>
      <c r="F52" s="187"/>
      <c r="G52" s="154" t="inlineStr">
        <is>
          <t>Liquidation (Ликвидация) 2032</t>
        </is>
      </c>
      <c r="H52" s="187"/>
      <c r="I52" s="159" t="inlineStr">
        <is>
          <t>EV 1 750 млн ₽</t>
        </is>
      </c>
      <c r="J52" s="186"/>
      <c r="K52" s="187"/>
    </row>
    <row r="53">
      <c r="B53" s="213" t="inlineStr">
        <is>
          <t>Expected T₁ MOIC (мультипликатор вложенного капитала) (prob-weighted через 50/30/20)</t>
        </is>
      </c>
      <c r="C53" s="186"/>
      <c r="D53" s="186"/>
      <c r="E53" s="186"/>
      <c r="F53" s="187"/>
      <c r="G53" s="278">
        <v>1.455</v>
      </c>
      <c r="H53" s="187"/>
      <c r="I53" s="159" t="inlineStr">
        <is>
          <t>≠ matrix из 24 (там W₅ V-D ★ default (по умолчанию) Base (Базовый) MOIC (мультипликатор вложенного капитала) = 2.13× (legacy (базовый вариант) W₃ = 2.00×)). Методы разные.</t>
        </is>
      </c>
      <c r="J53" s="186"/>
      <c r="K53" s="187"/>
    </row>
    <row r="55" ht="42" customHeight="1">
      <c r="B55" s="562" t="inlineStr">
        <is>
          <t>МЕТОДОЛОГИЧЕСКОЕ ПРИМЕЧАНИЕ: 2028 exit использует blended EBITDA (FY2027 пик + FY2028 норм.) = 936.0 млн ₽ (two-tier GM). Лист 32 — dual-year implied EV 3,597–6,806 (midpoint 5,202). NDP 3 000 сохранён.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АНАЛИЗ ЧУВСТВИТЕЛЬНОСТИ — TORNADO (±20% по 8 драйверам) · EBITDA (прибыль до вычетов) 3Y и IRR (внутренняя норма доходности) T₁ W₅ V-D ★ default (по умолчанию) v1.0.1 · A+C pattern (паттерн) 33/45/9/13</t>
        </is>
      </c>
    </row>
    <row r="3"/>
    <row r="4">
      <c r="B4" s="189" t="inlineStr">
        <is>
          <t>Ранжирование ключевых драйверов по влиянию на EBITDA 3Y (база 2167 млн ₽) и IRR T₁ под W₅ V-D + A+C pattern.</t>
        </is>
      </c>
    </row>
    <row r="6">
      <c r="B6" s="244" t="inlineStr">
        <is>
          <t>I.  БАЗОВЫЕ ПАРАМЕТРЫ (БАЗОВЫЕ ПАРАМЕТРЫ)</t>
        </is>
      </c>
    </row>
    <row r="7">
      <c r="B7" s="205" t="n">
        <v>1</v>
      </c>
      <c r="C7" s="213" t="inlineStr">
        <is>
          <t>Revenue (Выручка) 3Y (2026-2028)</t>
        </is>
      </c>
      <c r="D7" s="186"/>
      <c r="E7" s="186"/>
      <c r="F7" s="186"/>
      <c r="G7" s="187"/>
      <c r="H7" s="173">
        <v>4545</v>
      </c>
      <c r="I7" s="187"/>
      <c r="J7" s="159" t="inlineStr">
        <is>
          <t>млн ₽</t>
        </is>
      </c>
      <c r="K7" s="187"/>
    </row>
    <row r="8">
      <c r="B8" s="205" t="n">
        <v>2</v>
      </c>
      <c r="C8" s="213" t="inlineStr">
        <is>
          <t>EBITDA (прибыль до вычетов) margin (маржа)</t>
        </is>
      </c>
      <c r="D8" s="186"/>
      <c r="E8" s="186"/>
      <c r="F8" s="186"/>
      <c r="G8" s="187"/>
      <c r="H8" s="176">
        <v>47.69</v>
      </c>
      <c r="I8" s="187"/>
      <c r="J8" s="159" t="inlineStr">
        <is>
          <t>%</t>
        </is>
      </c>
      <c r="K8" s="187"/>
    </row>
    <row r="9">
      <c r="B9" s="205" t="n">
        <v>3</v>
      </c>
      <c r="C9" s="213" t="inlineStr">
        <is>
          <t>Production CAPEX (Капзатраты)</t>
        </is>
      </c>
      <c r="D9" s="186"/>
      <c r="E9" s="186"/>
      <c r="F9" s="186"/>
      <c r="G9" s="187"/>
      <c r="H9" s="173" t="n">
        <v>1850</v>
      </c>
      <c r="I9" s="187"/>
      <c r="J9" s="159" t="inlineStr">
        <is>
          <t>млн ₽</t>
        </is>
      </c>
      <c r="K9" s="187"/>
    </row>
    <row r="10">
      <c r="B10" s="205" t="n">
        <v>4</v>
      </c>
      <c r="C10" s="213" t="inlineStr">
        <is>
          <t>P&amp;A ratio (Коэффициент P&amp;A) to budget (бюджет)</t>
        </is>
      </c>
      <c r="D10" s="186"/>
      <c r="E10" s="186"/>
      <c r="F10" s="186"/>
      <c r="G10" s="187"/>
      <c r="H10" s="176" t="n">
        <v>15</v>
      </c>
      <c r="I10" s="187"/>
      <c r="J10" s="159" t="inlineStr">
        <is>
          <t>% of budget (бюджет)</t>
        </is>
      </c>
      <c r="K10" s="187"/>
    </row>
    <row r="11">
      <c r="B11" s="205" t="n">
        <v>5</v>
      </c>
      <c r="C11" s="213" t="inlineStr">
        <is>
          <t>OpEx 3Y (FOT (фонд оплаты труда) + other)</t>
        </is>
      </c>
      <c r="D11" s="186"/>
      <c r="E11" s="186"/>
      <c r="F11" s="186"/>
      <c r="G11" s="187"/>
      <c r="H11" s="173" t="n">
        <v>265.5</v>
      </c>
      <c r="I11" s="187"/>
      <c r="J11" s="159" t="inlineStr">
        <is>
          <t>млн ₽</t>
        </is>
      </c>
      <c r="K11" s="187"/>
    </row>
    <row r="12">
      <c r="B12" s="205" t="n">
        <v>6</v>
      </c>
      <c r="C12" s="213" t="inlineStr">
        <is>
          <t>Interest (Проценты) expense</t>
        </is>
      </c>
      <c r="D12" s="186"/>
      <c r="E12" s="186"/>
      <c r="F12" s="186"/>
      <c r="G12" s="187"/>
      <c r="H12" s="173" t="n">
        <v>15</v>
      </c>
      <c r="I12" s="187"/>
      <c r="J12" s="159" t="inlineStr">
        <is>
          <t>млн ₽</t>
        </is>
      </c>
      <c r="K12" s="187"/>
    </row>
    <row r="13">
      <c r="B13" s="205" t="n">
        <v>7</v>
      </c>
      <c r="C13" s="213" t="inlineStr">
        <is>
          <t>Exit Multiple (Мультипликатор выхода)</t>
        </is>
      </c>
      <c r="D13" s="186"/>
      <c r="E13" s="186"/>
      <c r="F13" s="186"/>
      <c r="G13" s="187"/>
      <c r="H13" s="278" t="n">
        <v>5</v>
      </c>
      <c r="I13" s="187"/>
      <c r="J13" s="159" t="inlineStr">
        <is>
          <t>× EBITDA (прибыль до вычетов)</t>
        </is>
      </c>
      <c r="K13" s="187"/>
    </row>
    <row r="14">
      <c r="B14" s="205" t="n">
        <v>8</v>
      </c>
      <c r="C14" s="213" t="inlineStr">
        <is>
          <t>Attendance (Посещаемость) (relative, 100%)</t>
        </is>
      </c>
      <c r="D14" s="186"/>
      <c r="E14" s="186"/>
      <c r="F14" s="186"/>
      <c r="G14" s="187"/>
      <c r="H14" s="176">
        <v>100</v>
      </c>
      <c r="I14" s="187"/>
      <c r="J14" s="159" t="inlineStr">
        <is>
          <t>базовая посещаемость</t>
        </is>
      </c>
      <c r="K14" s="187"/>
    </row>
    <row r="17">
      <c r="B17" s="244" t="inlineStr">
        <is>
          <t>II. TORNADO — IMPACT ON EBITDA (прибыль до вычетов) 3Y (base 2 152 млн ₽)</t>
        </is>
      </c>
    </row>
    <row r="18">
      <c r="B18" s="167" t="inlineStr">
        <is>
          <t>#</t>
        </is>
      </c>
      <c r="C18" s="167" t="inlineStr">
        <is>
          <t>Driver (Драйвер)</t>
        </is>
      </c>
      <c r="D18" s="167" t="inlineStr">
        <is>
          <t>−20%</t>
        </is>
      </c>
      <c r="E18" s="167" t="inlineStr">
        <is>
          <t>Base (Базовый)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Макс.</t>
        </is>
      </c>
      <c r="I18" s="167" t="inlineStr">
        <is>
          <t>Range (Диапазон)</t>
        </is>
      </c>
      <c r="J18" s="167" t="inlineStr">
        <is>
          <t>Elasticity (Эластичность)</t>
        </is>
      </c>
      <c r="K18" s="167" t="inlineStr">
        <is>
          <t>Rank (Ранг)</t>
        </is>
      </c>
    </row>
    <row r="19">
      <c r="B19" s="205" t="n">
        <v>1</v>
      </c>
      <c r="C19" s="287" t="inlineStr">
        <is>
          <t>Revenue (Выручка)</t>
        </is>
      </c>
      <c r="D19" s="207">
        <v>1733.6</v>
      </c>
      <c r="E19" s="207">
        <v>2167</v>
      </c>
      <c r="F19" s="207">
        <v>2600.4</v>
      </c>
      <c r="G19" s="288">
        <v>-433.4</v>
      </c>
      <c r="H19" s="289">
        <v>433.4</v>
      </c>
      <c r="I19" s="207">
        <v>866.8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(прибыль до вычетов) margin (маржа)</t>
        </is>
      </c>
      <c r="D20" s="207">
        <v>1733.6</v>
      </c>
      <c r="E20" s="207">
        <v>2167</v>
      </c>
      <c r="F20" s="207">
        <v>2600.4</v>
      </c>
      <c r="G20" s="288">
        <v>-433.4</v>
      </c>
      <c r="H20" s="289">
        <v>433.4</v>
      </c>
      <c r="I20" s="207">
        <v>866.8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 (Капзатраты)</t>
        </is>
      </c>
      <c r="D21" s="207">
        <v>2373.5</v>
      </c>
      <c r="E21" s="207">
        <v>2167</v>
      </c>
      <c r="F21" s="207">
        <v>1960.5</v>
      </c>
      <c r="G21" s="289">
        <v>206.5</v>
      </c>
      <c r="H21" s="288">
        <v>-206.5</v>
      </c>
      <c r="I21" s="207">
        <v>413.0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 (Коэффициент P&amp;A)</t>
        </is>
      </c>
      <c r="D22" s="207">
        <v>2222.5</v>
      </c>
      <c r="E22" s="207">
        <v>2167</v>
      </c>
      <c r="F22" s="207">
        <v>2111.5</v>
      </c>
      <c r="G22" s="289">
        <v>55.5</v>
      </c>
      <c r="H22" s="288">
        <v>-55.5</v>
      </c>
      <c r="I22" s="207">
        <v>111.0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>
        <v>2220.1</v>
      </c>
      <c r="E23" s="207">
        <v>2167</v>
      </c>
      <c r="F23" s="207">
        <v>2113.9</v>
      </c>
      <c r="G23" s="289">
        <v>53.1</v>
      </c>
      <c r="H23" s="288">
        <v>-53.1</v>
      </c>
      <c r="I23" s="207">
        <v>106.2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 (Проценты)</t>
        </is>
      </c>
      <c r="D24" s="207">
        <v>2167</v>
      </c>
      <c r="E24" s="207">
        <v>2167</v>
      </c>
      <c r="F24" s="207">
        <v>2167</v>
      </c>
      <c r="G24" s="289">
        <v>0</v>
      </c>
      <c r="H24" s="288">
        <v>0</v>
      </c>
      <c r="I24" s="207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 (Мультипликатор выхода)</t>
        </is>
      </c>
      <c r="D25" s="207">
        <v>2167</v>
      </c>
      <c r="E25" s="207">
        <v>2167</v>
      </c>
      <c r="F25" s="207">
        <v>2167</v>
      </c>
      <c r="G25" s="289">
        <v>0</v>
      </c>
      <c r="H25" s="288">
        <v>0</v>
      </c>
      <c r="I25" s="207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 (Посещаемость)</t>
        </is>
      </c>
      <c r="D26" s="207">
        <v>1733.6</v>
      </c>
      <c r="E26" s="207">
        <v>2167</v>
      </c>
      <c r="F26" s="207">
        <v>2600.4</v>
      </c>
      <c r="G26" s="288">
        <v>-433.4</v>
      </c>
      <c r="H26" s="289">
        <v>433.4</v>
      </c>
      <c r="I26" s="207">
        <v>866.8</v>
      </c>
      <c r="J26" s="236" t="n">
        <v>20</v>
      </c>
      <c r="K26" s="290" t="n">
        <v>2</v>
      </c>
    </row>
    <row r="29">
      <c r="B29" s="244" t="inlineStr">
        <is>
          <t>III. TORNADO — IMPACT ON IRR (внутренняя норма доходности) T₁ W₅ V-D ★ (база 24.75%)</t>
        </is>
      </c>
    </row>
    <row r="30">
      <c r="B30" s="167" t="inlineStr">
        <is>
          <t>#</t>
        </is>
      </c>
      <c r="C30" s="167" t="inlineStr">
        <is>
          <t>Driver (Драйвер)</t>
        </is>
      </c>
      <c r="D30" s="167" t="inlineStr">
        <is>
          <t>−20%</t>
        </is>
      </c>
      <c r="E30" s="167" t="inlineStr">
        <is>
          <t>Base (Базовый)</t>
        </is>
      </c>
      <c r="F30" s="167" t="inlineStr">
        <is>
          <t>+20%</t>
        </is>
      </c>
      <c r="G30" s="167" t="inlineStr">
        <is>
          <t>Δ Мин. п.п.</t>
        </is>
      </c>
      <c r="H30" s="167" t="inlineStr">
        <is>
          <t>Δ Макс. п.п.</t>
        </is>
      </c>
      <c r="I30" s="167" t="inlineStr">
        <is>
          <t>Range pp (Диапазон п.п.)</t>
        </is>
      </c>
      <c r="J30" s="167" t="inlineStr">
        <is>
          <t>Elasticity (Эластичность)</t>
        </is>
      </c>
      <c r="K30" s="167" t="inlineStr">
        <is>
          <t>Rank (Ранг)</t>
        </is>
      </c>
    </row>
    <row r="31">
      <c r="B31" s="205" t="n">
        <v>1</v>
      </c>
      <c r="C31" s="287" t="inlineStr">
        <is>
          <t>Revenue (Выручка)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(прибыль до вычетов) margin (маржа)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 (Капзатраты)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 (Коэффициент P&amp;A)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 (Проценты)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 (Мультипликатор выхода)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 (Посещаемость)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 (прибыль до вычетов): Revenue (Выручка), Attendance (Посещаемость) и EBITDA (прибыль до вычетов) margin (маржа).</t>
        </is>
      </c>
    </row>
    <row r="43">
      <c r="B43" s="246" t="inlineStr">
        <is>
          <t>• Production CAPEX (Капзатраты) — 4th critical driver EBITDA (прибыль до вычетов) (range ±240 млн ₽ при ±20%).</t>
        </is>
      </c>
    </row>
    <row r="44">
      <c r="B44" s="246" t="inlineStr">
        <is>
          <t>• IRR (внутренняя норма доходности) T₁ W₅ V-D имеет ВЫСОКУЮ чувствительность к Revenue (Выручка)/Attendance (Посещаемость) (range ~10.9pp), значительно выше чем под W₃ (~8.3pp). Причина: catch-up 70/30 «впитывает» upside в LP (ограниченный партнёр),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 (порог): при NDP (чистые распределяемые поступления)&lt;2402 IRR (внутренняя норма доходности) &lt; 18% (см. 27_Scenario_Analysis Bear (Пессимистичный)=10.70%). Liq Pref (Ликвидационная привилегия) 1× защищает капитал, но не IRR (внутренняя норма доходности). Hedge: scenario diversification, milestone-based tranches (транши).</t>
        </is>
      </c>
    </row>
    <row r="46">
      <c r="B46" s="246" t="inlineStr">
        <is>
          <t>• Рекомендация: фокус на Box Office (Кассовые сборы) revenue (attendance × ticket price), маркетинг premium (премия)-фильмов, контроль CAPEX (Капзатраты) overrun. Exit Multiple (Мультипликатор выхода) под W₅ V-D НЕ влияет на LP (ограниченный партнёр) IRR (внутренняя норма доходности) (NDP (чистые распределяемые поступления)-based waterfall (каскад)).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СЦЕНАРНЫЙ АНАЛИЗ — 5 СЦЕНАРИЕВ (Stress (Стресс) / Downside (Нижний сценарий) / Base (Базовый) / Upside (Верхний сценарий) / Bull (Оптимистичный)) · W₅ V-D ★ default (по умолчанию) v1.0.1 · A+C pattern (паттерн)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(Выручка) multiplier 0.60× / 0.80× / 1.00× / 1.20× / 1.40×</t>
        </is>
      </c>
    </row>
    <row r="6">
      <c r="B6" s="244" t="inlineStr">
        <is>
          <t>I. МАТРИЦА МЕТРИК СЦЕНАРИЕВ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 (Стресс-пессимистичный)</t>
        </is>
      </c>
      <c r="E7" s="167" t="inlineStr">
        <is>
          <t>Downside (Нижний сценарий)</t>
        </is>
      </c>
      <c r="F7" s="167" t="inlineStr">
        <is>
          <t>Base Case (Базовый сценарий)</t>
        </is>
      </c>
      <c r="G7" s="167" t="inlineStr">
        <is>
          <t>Upside (Верхний сценарий)</t>
        </is>
      </c>
      <c r="H7" s="167" t="inlineStr">
        <is>
          <t>Bull Case (Оптимистичный)</t>
        </is>
      </c>
      <c r="I7" s="167" t="inlineStr">
        <is>
          <t>Range (Диапазон)</t>
        </is>
      </c>
    </row>
    <row r="8">
      <c r="B8" s="205" t="n">
        <v>1</v>
      </c>
      <c r="C8" s="213" t="inlineStr">
        <is>
          <t>Revenue (Выручка) 3Y</t>
        </is>
      </c>
      <c r="D8" s="292">
        <v>2727</v>
      </c>
      <c r="E8" s="202">
        <v>3636</v>
      </c>
      <c r="F8" s="270">
        <v>4545</v>
      </c>
      <c r="G8" s="293">
        <v>5454</v>
      </c>
      <c r="H8" s="193">
        <v>6363</v>
      </c>
      <c r="I8" s="207">
        <v>3636</v>
      </c>
    </row>
    <row r="9">
      <c r="B9" s="205" t="n">
        <v>2</v>
      </c>
      <c r="C9" s="213" t="inlineStr">
        <is>
          <t>EBITDA (прибыль до вычетов) 3Y (GAAP (стандарты бухучёта))</t>
        </is>
      </c>
      <c r="D9" s="292">
        <v>1300.4</v>
      </c>
      <c r="E9" s="202">
        <v>1733.8</v>
      </c>
      <c r="F9" s="270">
        <v>2167.3</v>
      </c>
      <c r="G9" s="293">
        <v>2600.8</v>
      </c>
      <c r="H9" s="193">
        <v>3034.2</v>
      </c>
      <c r="I9" s="207">
        <v>1733.8</v>
      </c>
    </row>
    <row r="10">
      <c r="B10" s="205" t="n">
        <v>3</v>
      </c>
      <c r="C10" s="213" t="inlineStr">
        <is>
          <t>EBITDA (прибыль до вычетов) margin (маржа)</t>
        </is>
      </c>
      <c r="D10" s="294">
        <v>47.69</v>
      </c>
      <c r="E10" s="295">
        <v>47.69</v>
      </c>
      <c r="F10" s="275">
        <v>47.69</v>
      </c>
      <c r="G10" s="296">
        <v>47.69</v>
      </c>
      <c r="H10" s="297">
        <v>47.69</v>
      </c>
      <c r="I10" s="236">
        <v>0</v>
      </c>
    </row>
    <row r="11">
      <c r="B11" s="205" t="n">
        <v>4</v>
      </c>
      <c r="C11" s="213" t="inlineStr">
        <is>
          <t>Net Profit (Чистая прибыль) 3Y</t>
        </is>
      </c>
      <c r="D11" s="292">
        <v>1010.4</v>
      </c>
      <c r="E11" s="202">
        <v>1347.2</v>
      </c>
      <c r="F11" s="270">
        <v>1684.0</v>
      </c>
      <c r="G11" s="293">
        <v>2020.8</v>
      </c>
      <c r="H11" s="193">
        <v>2357.7</v>
      </c>
      <c r="I11" s="207">
        <v>1347.2</v>
      </c>
    </row>
    <row r="12">
      <c r="B12" s="205" t="n">
        <v>5</v>
      </c>
      <c r="C12" s="213" t="inlineStr">
        <is>
          <t>NDP (чистые распределяемые поступления) (legacy (базовый вариант))</t>
        </is>
      </c>
      <c r="D12" s="292">
        <v>1800</v>
      </c>
      <c r="E12" s="202">
        <v>2400</v>
      </c>
      <c r="F12" s="270">
        <v>3000</v>
      </c>
      <c r="G12" s="293">
        <v>3600</v>
      </c>
      <c r="H12" s="193">
        <v>4200</v>
      </c>
      <c r="I12" s="207">
        <v>2400</v>
      </c>
    </row>
    <row r="13">
      <c r="B13" s="205" t="n">
        <v>6</v>
      </c>
      <c r="C13" s="213" t="inlineStr">
        <is>
          <t>CAPEX (Капзатраты) Production</t>
        </is>
      </c>
      <c r="D13" s="292">
        <v>1665.0</v>
      </c>
      <c r="E13" s="202">
        <v>1757.5</v>
      </c>
      <c r="F13" s="270">
        <v>1850.0</v>
      </c>
      <c r="G13" s="293">
        <v>1942.5</v>
      </c>
      <c r="H13" s="193">
        <v>2035.0</v>
      </c>
      <c r="I13" s="207">
        <v>370.0</v>
      </c>
    </row>
    <row r="14">
      <c r="B14" s="205" t="n">
        <v>7</v>
      </c>
      <c r="C14" s="213" t="inlineStr">
        <is>
          <t>Выпущено фильмов (Выпущено фильмов)</t>
        </is>
      </c>
      <c r="D14" s="298">
        <v>5</v>
      </c>
      <c r="E14" s="299">
        <v>6</v>
      </c>
      <c r="F14" s="300">
        <v>7</v>
      </c>
      <c r="G14" s="301">
        <v>7</v>
      </c>
      <c r="H14" s="302">
        <v>8</v>
      </c>
      <c r="I14" s="303">
        <v>3</v>
      </c>
    </row>
    <row r="15">
      <c r="B15" s="205" t="n">
        <v>8</v>
      </c>
      <c r="C15" s="213" t="inlineStr">
        <is>
          <t>IRR (внутренняя норма доходности) T₁ (W₅ V-D ★ default (по умолчанию))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(мультипликатор вложенного капитала)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(стоимость предприятия) 2028 (5× EBITDA (прибыль до вычетов))</t>
        </is>
      </c>
      <c r="D17" s="292">
        <v>6502</v>
      </c>
      <c r="E17" s="202">
        <v>8669</v>
      </c>
      <c r="F17" s="270">
        <v>10837</v>
      </c>
      <c r="G17" s="293">
        <v>13004</v>
      </c>
      <c r="H17" s="193">
        <v>15171</v>
      </c>
      <c r="I17" s="207">
        <v>8669</v>
      </c>
    </row>
    <row r="18">
      <c r="B18" s="205" t="n">
        <v>11</v>
      </c>
      <c r="C18" s="213" t="inlineStr">
        <is>
          <t>T₁ LP (ограниченный партнёр) distribution (распределение) W₅ V-D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(внутренняя норма доходности)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 (Вероятность)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(ОПИСАНИЯ СЦЕНАРИЕВ) &amp; TRIGGERS</t>
        </is>
      </c>
    </row>
    <row r="24" ht="48" customHeight="1">
      <c r="B24" s="314" t="inlineStr">
        <is>
          <t>Stress Bear (Стресс-пессимистичный) (5% prob)</t>
        </is>
      </c>
      <c r="C24" s="187"/>
      <c r="D24" s="206" t="inlineStr">
        <is>
          <t>Катастрофический сценарий: 2 провала из топ-проектов (П04 Время героев, П07С Горизонт событий), падение box office РФ на 25%, санкционный shock. Revenue −40%, EBITDA 1 300, IRR −5%.</t>
        </is>
      </c>
      <c r="E24" s="186"/>
      <c r="F24" s="186"/>
      <c r="G24" s="186"/>
      <c r="H24" s="186"/>
      <c r="I24" s="187"/>
    </row>
    <row r="25" ht="48" customHeight="1">
      <c r="B25" s="274" t="inlineStr">
        <is>
          <t>Downside (Нижний сценарий) (15% prob)</t>
        </is>
      </c>
      <c r="C25" s="187"/>
      <c r="D25" s="206" t="inlineStr">
        <is>
          <t>Один провал блокбастера (~250 млн), конкурентное давление от OTT, −20% посещаемости. Revenue 3 636, EBITDA 1 734, IRR 5%. Ниже hurdle, но рефинансирование возможно.</t>
        </is>
      </c>
      <c r="E25" s="186"/>
      <c r="F25" s="186"/>
      <c r="G25" s="186"/>
      <c r="H25" s="186"/>
      <c r="I25" s="187"/>
    </row>
    <row r="26" ht="48" customHeight="1">
      <c r="B26" s="261" t="inlineStr">
        <is>
          <t>Base Case (Базовый сценарий) (50% prob)</t>
        </is>
      </c>
      <c r="C26" s="187"/>
      <c r="D26" s="206" t="inlineStr">
        <is>
          <t>Модельные допущения: 7 проектов (5 фильмов + 2 сериала) выпущены по плану, средняя посещаемость 2026-2028 растёт на 10% CAGR. Revenue 4 545, EBITDA 2 167, IRR 7,7%, NDP 3 000 — якорь.</t>
        </is>
      </c>
      <c r="E26" s="186"/>
      <c r="F26" s="186"/>
      <c r="G26" s="186"/>
      <c r="H26" s="186"/>
      <c r="I26" s="187"/>
    </row>
    <row r="27" ht="48" customHeight="1">
      <c r="B27" s="315" t="inlineStr">
        <is>
          <t>Upside (Верхний сценарий) (20% prob)</t>
        </is>
      </c>
      <c r="C27" s="187"/>
      <c r="D27" s="206" t="inlineStr">
        <is>
          <t>Два блокбастера (П04 + П07С) превзошли ожидания на 40%, рост госсубсидий через Фонд кино, серийный формат создаёт recurring revenue. Revenue 5 454, EBITDA 2 601, IRR 9,8%. Открывает path к IPO 2028.</t>
        </is>
      </c>
      <c r="E27" s="186"/>
      <c r="F27" s="186"/>
      <c r="G27" s="186"/>
      <c r="H27" s="186"/>
      <c r="I27" s="187"/>
    </row>
    <row r="28" ht="48" customHeight="1">
      <c r="B28" s="277" t="inlineStr">
        <is>
          <t>Bull Case (Оптимистичный) (10% prob)</t>
        </is>
      </c>
      <c r="C28" s="187"/>
      <c r="D28" s="206" t="inlineStr">
        <is>
          <t>Хит 2026-2027 (П04 Время героев) +100%, международные продажи, SVOD-сделка c крупным OTT, сериалы становятся якорями подписки. Revenue 6 363, EBITDA 3 034, IRR 12,2%. Strategic exit 7× EBITDA = 21 240 млн ₽.</t>
        </is>
      </c>
      <c r="E28" s="186"/>
      <c r="F28" s="186"/>
      <c r="G28" s="186"/>
      <c r="H28" s="186"/>
      <c r="I28" s="187"/>
    </row>
    <row r="31">
      <c r="B31" s="244" t="inlineStr">
        <is>
          <t>III. PROBABILITY-WEIGHTED (ВЗВЕШЕННЫЙ ПО ВЕРОЯТНОСТИ) EXPECTED VALUE (ОЖИДАЕМАЯ СТОИМОСТЬ)</t>
        </is>
      </c>
    </row>
    <row r="32">
      <c r="B32" s="213" t="inlineStr">
        <is>
          <t>Expected Revenue (Выручка) 3Y</t>
        </is>
      </c>
      <c r="C32" s="186"/>
      <c r="D32" s="186"/>
      <c r="E32" s="186"/>
      <c r="F32" s="187"/>
      <c r="G32" s="173">
        <v>4681.35</v>
      </c>
      <c r="H32" s="187"/>
      <c r="I32" s="159" t="inlineStr">
        <is>
          <t>млн ₽</t>
        </is>
      </c>
    </row>
    <row r="33">
      <c r="B33" s="213" t="inlineStr">
        <is>
          <t>Expected EBITDA (прибыль до вычетов) 3Y</t>
        </is>
      </c>
      <c r="C33" s="186"/>
      <c r="D33" s="186"/>
      <c r="E33" s="186"/>
      <c r="F33" s="187"/>
      <c r="G33" s="173">
        <v>2232.33</v>
      </c>
      <c r="H33" s="187"/>
      <c r="I33" s="159" t="inlineStr">
        <is>
          <t>млн ₽</t>
        </is>
      </c>
    </row>
    <row r="34">
      <c r="B34" s="213" t="inlineStr">
        <is>
          <t>Expected Net Profit (Чистая прибыль) 3Y</t>
        </is>
      </c>
      <c r="C34" s="186"/>
      <c r="D34" s="186"/>
      <c r="E34" s="186"/>
      <c r="F34" s="187"/>
      <c r="G34" s="173">
        <v>1734.56</v>
      </c>
      <c r="H34" s="187"/>
      <c r="I34" s="159" t="inlineStr">
        <is>
          <t>млн ₽</t>
        </is>
      </c>
    </row>
    <row r="35">
      <c r="B35" s="213" t="inlineStr">
        <is>
          <t>Expected NDP (чистые распределяемые поступления)</t>
        </is>
      </c>
      <c r="C35" s="186"/>
      <c r="D35" s="186"/>
      <c r="E35" s="186"/>
      <c r="F35" s="187"/>
      <c r="G35" s="173">
        <v>3090.0</v>
      </c>
      <c r="H35" s="187"/>
      <c r="I35" s="159" t="inlineStr">
        <is>
          <t>млн ₽</t>
        </is>
      </c>
    </row>
    <row r="36">
      <c r="B36" s="213" t="inlineStr">
        <is>
          <t>Expected EV (стоимость предприятия) (5× exit)</t>
        </is>
      </c>
      <c r="C36" s="186"/>
      <c r="D36" s="186"/>
      <c r="E36" s="186"/>
      <c r="F36" s="187"/>
      <c r="G36" s="173">
        <v>11161.65</v>
      </c>
      <c r="H36" s="187"/>
      <c r="I36" s="159" t="inlineStr">
        <is>
          <t>млн ₽</t>
        </is>
      </c>
    </row>
    <row r="37">
      <c r="B37" s="213" t="inlineStr">
        <is>
          <t>Expected IRR (внутренняя норма доходности) T₁ W₅ V-D</t>
        </is>
      </c>
      <c r="C37" s="186"/>
      <c r="D37" s="186"/>
      <c r="E37" s="186"/>
      <c r="F37" s="187"/>
      <c r="G37" s="176" t="n">
        <v>25.14</v>
      </c>
      <c r="H37" s="187"/>
      <c r="I37" s="159" t="inlineStr">
        <is>
          <t>%</t>
        </is>
      </c>
    </row>
    <row r="39" ht="50" customHeight="1">
      <c r="B39" s="591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СИМУЛЯЦИЯ МОНТЕ-КАРЛО (СИМУЛЯЦИЯ) — 5 000 ИТЕРАЦИЙ · 5 СТОХАСТИЧЕСКИХ ПЕРЕМЕННЫХ · W₅ V-D ★ DEFAULT (ПО УМОЛЧАНИЮ) v1.0.1 · A+C PATTERN 33/45/9/13</t>
        </is>
      </c>
    </row>
    <row r="3"/>
    <row r="4">
      <c r="B4" s="189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W₅ V-D + sensitivity grid</t>
        </is>
      </c>
    </row>
    <row r="6">
      <c r="B6" s="244" t="inlineStr">
        <is>
          <t>I.  СТОХАСТИЧЕСКИЕ ПЕРЕМЕННЫЕ (СТОХАСТИЧЕСКИЕ ПЕРЕМЕННЫЕ) (PDFs)</t>
        </is>
      </c>
    </row>
    <row r="7">
      <c r="B7" s="167" t="inlineStr">
        <is>
          <t>#</t>
        </is>
      </c>
      <c r="C7" s="167" t="inlineStr">
        <is>
          <t>Variable (Переменная)</t>
        </is>
      </c>
      <c r="D7" s="167" t="inlineStr">
        <is>
          <t>Distribution (Распределение)</t>
        </is>
      </c>
      <c r="E7" s="167" t="inlineStr">
        <is>
          <t>Param (Параметр) 1</t>
        </is>
      </c>
      <c r="F7" s="167" t="inlineStr">
        <is>
          <t>Param (Параметр) 2</t>
        </is>
      </c>
      <c r="G7" s="167" t="inlineStr">
        <is>
          <t>Param (Параметр) 3</t>
        </is>
      </c>
      <c r="H7" s="167" t="inlineStr">
        <is>
          <t>Description (Описание)</t>
        </is>
      </c>
      <c r="I7" s="187"/>
    </row>
    <row r="8">
      <c r="B8" s="205" t="n">
        <v>1</v>
      </c>
      <c r="C8" s="206" t="inlineStr">
        <is>
          <t>Revenue (Выручка) multiplier</t>
        </is>
      </c>
      <c r="D8" s="206" t="inlineStr">
        <is>
          <t>Triangular (Треугольное)</t>
        </is>
      </c>
      <c r="E8" s="285" t="n">
        <v>0.6</v>
      </c>
      <c r="F8" s="285" t="n">
        <v>1</v>
      </c>
      <c r="G8" s="285" t="n">
        <v>1.4</v>
      </c>
      <c r="H8" s="206" t="inlineStr">
        <is>
          <t>мин/мода/макс</t>
        </is>
      </c>
      <c r="I8" s="187"/>
    </row>
    <row r="9">
      <c r="B9" s="205" t="n">
        <v>2</v>
      </c>
      <c r="C9" s="206" t="inlineStr">
        <is>
          <t>EBITDA (прибыль до вычетов) margin (маржа) shock</t>
        </is>
      </c>
      <c r="D9" s="206" t="inlineStr">
        <is>
          <t>Normal (Нормальное)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/>
    </row>
    <row r="10">
      <c r="B10" s="205" t="n">
        <v>3</v>
      </c>
      <c r="C10" s="206" t="inlineStr">
        <is>
          <t>CAPEX (Капзатраты) overrun</t>
        </is>
      </c>
      <c r="D10" s="206" t="inlineStr">
        <is>
          <t>LogNormal (Логнормальное)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/>
    </row>
    <row r="11">
      <c r="B11" s="205" t="n">
        <v>4</v>
      </c>
      <c r="C11" s="206" t="inlineStr">
        <is>
          <t>Exit multiple (Мультипликатор выхода)</t>
        </is>
      </c>
      <c r="D11" s="206" t="inlineStr">
        <is>
          <t>Triangular (Треугольное)</t>
        </is>
      </c>
      <c r="E11" s="285" t="n">
        <v>3</v>
      </c>
      <c r="F11" s="285" t="n">
        <v>5</v>
      </c>
      <c r="G11" s="285" t="n">
        <v>7</v>
      </c>
      <c r="H11" s="206" t="inlineStr">
        <is>
          <t>мин/мода/макс</t>
        </is>
      </c>
      <c r="I11" s="187"/>
    </row>
    <row r="12">
      <c r="B12" s="205" t="n">
        <v>5</v>
      </c>
      <c r="C12" s="206" t="inlineStr">
        <is>
          <t>Film hit rate (Доля успешных фильмов)</t>
        </is>
      </c>
      <c r="D12" s="206" t="inlineStr">
        <is>
          <t>Binomial (Биномиальное)</t>
        </is>
      </c>
      <c r="E12" s="285">
        <v>0.7</v>
      </c>
      <c r="F12" s="285" t="n">
        <v>0.2</v>
      </c>
      <c r="G12" s="285" t="n">
        <v>0</v>
      </c>
      <c r="H12" s="206" t="inlineStr">
        <is>
          <t>p=0,70, 7 проектов</t>
        </is>
      </c>
      <c r="I12" s="187"/>
    </row>
    <row r="15">
      <c r="B15" s="244" t="inlineStr">
        <is>
          <t>II.  ИТОГИ РАСПРЕДЕЛЕНИЯ (ИТОГИ РАСПРЕДЕЛЕНИЯ) — 5 000 simulations</t>
        </is>
      </c>
    </row>
    <row r="16">
      <c r="B16" s="167" t="inlineStr">
        <is>
          <t>Metric (Метрика)</t>
        </is>
      </c>
      <c r="C16" s="187"/>
      <c r="D16" s="167" t="inlineStr">
        <is>
          <t>Mean (Среднее)</t>
        </is>
      </c>
      <c r="E16" s="167" t="inlineStr">
        <is>
          <t>StDev (Ст.откл.)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 (чистые распределяемые поступления)</t>
        </is>
      </c>
      <c r="C17" s="187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 (прибыль до вычетов)</t>
        </is>
      </c>
      <c r="C18" s="187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(внутренняя норма доходности) (W₅ V-D)</t>
        </is>
      </c>
      <c r="C19" s="187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(мультипликатор вложенного капитала) (W₅ V-D)</t>
        </is>
      </c>
      <c r="C20" s="187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 (стоимость предприятия)</t>
        </is>
      </c>
      <c r="C21" s="187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 МЕТРИКИ ВЕРОЯТНОСТИ И РИСКОВ</t>
        </is>
      </c>
    </row>
    <row r="25">
      <c r="B25" s="213" t="inlineStr">
        <is>
          <t>P(IRR (внутренняя норма доходности) &gt; 18% hurdle (порог))</t>
        </is>
      </c>
      <c r="C25" s="186"/>
      <c r="D25" s="186"/>
      <c r="E25" s="186"/>
      <c r="F25" s="187"/>
      <c r="G25" s="176" t="n">
        <v>32.7</v>
      </c>
      <c r="H25" s="186"/>
      <c r="I25" s="187"/>
    </row>
    <row r="26">
      <c r="B26" s="213" t="inlineStr">
        <is>
          <t>P(IRR (внутренняя норма доходности) &gt; 12% target)</t>
        </is>
      </c>
      <c r="C26" s="186"/>
      <c r="D26" s="186"/>
      <c r="E26" s="186"/>
      <c r="F26" s="187"/>
      <c r="G26" s="176" t="n">
        <v>63.2</v>
      </c>
      <c r="H26" s="186"/>
      <c r="I26" s="187"/>
    </row>
    <row r="27">
      <c r="B27" s="213" t="inlineStr">
        <is>
          <t>P(IRR (внутренняя норма доходности) &gt; 8% floor)</t>
        </is>
      </c>
      <c r="C27" s="186"/>
      <c r="D27" s="186"/>
      <c r="E27" s="186"/>
      <c r="F27" s="187"/>
      <c r="G27" s="176" t="n">
        <v>77.59999999999999</v>
      </c>
      <c r="H27" s="186"/>
      <c r="I27" s="187"/>
    </row>
    <row r="28">
      <c r="B28" s="213" t="inlineStr">
        <is>
          <t>P(Loss — IRR (внутренняя норма доходности) &lt; 0)</t>
        </is>
      </c>
      <c r="C28" s="186"/>
      <c r="D28" s="186"/>
      <c r="E28" s="186"/>
      <c r="F28" s="187"/>
      <c r="G28" s="176" t="n">
        <v>5.5</v>
      </c>
      <c r="H28" s="186"/>
      <c r="I28" s="187"/>
    </row>
    <row r="29">
      <c r="B29" s="213" t="inlineStr">
        <is>
          <t>P(MOIC (мультипликатор вложенного капитала) &gt; 2.0×)</t>
        </is>
      </c>
      <c r="C29" s="186"/>
      <c r="D29" s="186"/>
      <c r="E29" s="186"/>
      <c r="F29" s="187"/>
      <c r="G29" s="176" t="n">
        <v>13.6</v>
      </c>
      <c r="H29" s="186"/>
      <c r="I29" s="187"/>
    </row>
    <row r="30">
      <c r="B30" s="213" t="inlineStr">
        <is>
          <t>VaR 95% (NDP (чистые распределяемые поступления) shortfall vs base)</t>
        </is>
      </c>
      <c r="C30" s="186"/>
      <c r="D30" s="186"/>
      <c r="E30" s="186"/>
      <c r="F30" s="187"/>
      <c r="G30" s="173" t="n">
        <v>1770.7</v>
      </c>
      <c r="H30" s="186"/>
      <c r="I30" s="187"/>
    </row>
    <row r="31">
      <c r="B31" s="213" t="inlineStr">
        <is>
          <t>CVaR (условный VaR) 95% (expected shortfall)</t>
        </is>
      </c>
      <c r="C31" s="186"/>
      <c r="D31" s="186"/>
      <c r="E31" s="186"/>
      <c r="F31" s="187"/>
      <c r="G31" s="173" t="n">
        <v>1930.1</v>
      </c>
      <c r="H31" s="186"/>
      <c r="I31" s="187"/>
    </row>
    <row r="32">
      <c r="B32" s="213" t="inlineStr">
        <is>
          <t>Expected NDP (чистые распределяемые поступления)</t>
        </is>
      </c>
      <c r="C32" s="186"/>
      <c r="D32" s="186"/>
      <c r="E32" s="186"/>
      <c r="F32" s="187"/>
      <c r="G32" s="173" t="n">
        <v>2104</v>
      </c>
      <c r="H32" s="186"/>
      <c r="I32" s="187"/>
    </row>
    <row r="33">
      <c r="B33" s="213" t="inlineStr">
        <is>
          <t>Expected MOIC (мультипликатор вложенного капитала) T₁</t>
        </is>
      </c>
      <c r="C33" s="186"/>
      <c r="D33" s="186"/>
      <c r="E33" s="186"/>
      <c r="F33" s="187"/>
      <c r="G33" s="278" t="n">
        <v>1.609</v>
      </c>
      <c r="H33" s="186"/>
      <c r="I33" s="187"/>
    </row>
    <row r="34">
      <c r="B34" s="213" t="inlineStr">
        <is>
          <t>Median EV (стоимость предприятия) (P50)</t>
        </is>
      </c>
      <c r="C34" s="186"/>
      <c r="D34" s="186"/>
      <c r="E34" s="186"/>
      <c r="F34" s="187"/>
      <c r="G34" s="173" t="n">
        <v>7327</v>
      </c>
      <c r="H34" s="186"/>
      <c r="I34" s="187"/>
    </row>
    <row r="37">
      <c r="B37" s="244" t="inlineStr">
        <is>
          <t>IV. NDP (чистые распределяемые поступления) DISTRIBUTION HISTOGRAM (5 000 sims, 10 bins)</t>
        </is>
      </c>
    </row>
    <row r="38">
      <c r="B38" s="167" t="inlineStr">
        <is>
          <t>#</t>
        </is>
      </c>
      <c r="C38" s="167" t="inlineStr">
        <is>
          <t>Range (Диапазон)</t>
        </is>
      </c>
      <c r="D38" s="187"/>
      <c r="E38" s="167" t="inlineStr">
        <is>
          <t>Count (Количество)</t>
        </is>
      </c>
      <c r="F38" s="167" t="inlineStr">
        <is>
          <t>%</t>
        </is>
      </c>
      <c r="G38" s="167" t="inlineStr">
        <is>
          <t>Bar</t>
        </is>
      </c>
      <c r="H38" s="186"/>
      <c r="I38" s="187"/>
    </row>
    <row r="39">
      <c r="B39" s="205" t="n">
        <v>1</v>
      </c>
      <c r="C39" s="206" t="inlineStr">
        <is>
          <t>527 − 955</t>
        </is>
      </c>
      <c r="D39" s="187"/>
      <c r="E39" s="205" t="n">
        <v>45</v>
      </c>
      <c r="F39" s="236" t="n">
        <v>0.9</v>
      </c>
      <c r="G39" s="206" t="inlineStr">
        <is>
          <t>█</t>
        </is>
      </c>
      <c r="H39" s="186"/>
      <c r="I39" s="187"/>
    </row>
    <row r="40">
      <c r="B40" s="205" t="n">
        <v>2</v>
      </c>
      <c r="C40" s="206" t="inlineStr">
        <is>
          <t>955 − 1383</t>
        </is>
      </c>
      <c r="D40" s="187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/>
      <c r="I40" s="187"/>
    </row>
    <row r="41">
      <c r="B41" s="205" t="n">
        <v>3</v>
      </c>
      <c r="C41" s="206" t="inlineStr">
        <is>
          <t>1383 − 1811</t>
        </is>
      </c>
      <c r="D41" s="187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/>
      <c r="I41" s="187"/>
    </row>
    <row r="42">
      <c r="B42" s="205" t="n">
        <v>4</v>
      </c>
      <c r="C42" s="206" t="inlineStr">
        <is>
          <t>1811 − 2239</t>
        </is>
      </c>
      <c r="D42" s="187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/>
      <c r="I42" s="187"/>
    </row>
    <row r="43">
      <c r="B43" s="226" t="n">
        <v>5</v>
      </c>
      <c r="C43" s="281" t="inlineStr">
        <is>
          <t>2239 − 2667</t>
        </is>
      </c>
      <c r="D43" s="187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/>
      <c r="I43" s="187"/>
    </row>
    <row r="44">
      <c r="B44" s="205" t="n">
        <v>6</v>
      </c>
      <c r="C44" s="206" t="inlineStr">
        <is>
          <t>2667 − 3095</t>
        </is>
      </c>
      <c r="D44" s="187"/>
      <c r="E44" s="205" t="n">
        <v>522</v>
      </c>
      <c r="F44" s="236" t="n">
        <v>10.4</v>
      </c>
      <c r="G44" s="206" t="inlineStr">
        <is>
          <t>██████████</t>
        </is>
      </c>
      <c r="H44" s="186"/>
      <c r="I44" s="187"/>
    </row>
    <row r="45">
      <c r="B45" s="205" t="n">
        <v>7</v>
      </c>
      <c r="C45" s="206" t="inlineStr">
        <is>
          <t>3095 − 3523</t>
        </is>
      </c>
      <c r="D45" s="187"/>
      <c r="E45" s="205" t="n">
        <v>200</v>
      </c>
      <c r="F45" s="236" t="n">
        <v>4</v>
      </c>
      <c r="G45" s="206" t="inlineStr">
        <is>
          <t>████</t>
        </is>
      </c>
      <c r="H45" s="186"/>
      <c r="I45" s="187"/>
    </row>
    <row r="46">
      <c r="B46" s="205" t="n">
        <v>8</v>
      </c>
      <c r="C46" s="206" t="inlineStr">
        <is>
          <t>3523 − 3952</t>
        </is>
      </c>
      <c r="D46" s="187"/>
      <c r="E46" s="205" t="n">
        <v>58</v>
      </c>
      <c r="F46" s="236" t="n">
        <v>1.2</v>
      </c>
      <c r="G46" s="206" t="inlineStr">
        <is>
          <t>█</t>
        </is>
      </c>
      <c r="H46" s="186"/>
      <c r="I46" s="187"/>
    </row>
    <row r="47">
      <c r="B47" s="205" t="n">
        <v>9</v>
      </c>
      <c r="C47" s="206" t="inlineStr">
        <is>
          <t>3952 − 4380</t>
        </is>
      </c>
      <c r="D47" s="187"/>
      <c r="E47" s="205" t="n">
        <v>11</v>
      </c>
      <c r="F47" s="236" t="n">
        <v>0.2</v>
      </c>
      <c r="G47" s="206" t="inlineStr">
        <is>
          <t>█</t>
        </is>
      </c>
      <c r="H47" s="186"/>
      <c r="I47" s="187"/>
    </row>
    <row r="48">
      <c r="B48" s="205" t="n">
        <v>10</v>
      </c>
      <c r="C48" s="206" t="inlineStr">
        <is>
          <t>4380 − 4808</t>
        </is>
      </c>
      <c r="D48" s="187"/>
      <c r="E48" s="205" t="n">
        <v>5</v>
      </c>
      <c r="F48" s="236" t="n">
        <v>0.1</v>
      </c>
      <c r="G48" s="206" t="inlineStr">
        <is>
          <t>█</t>
        </is>
      </c>
      <c r="H48" s="186"/>
      <c r="I48" s="187"/>
    </row>
    <row r="51">
      <c r="B51" s="577" t="inlineStr">
        <is>
          <t>V. СЕТКА ЧУВСТВИТЕЛЬНОСТИ — ВАРИАЦИИ A+C (W₅ V-D фикс.)</t>
        </is>
      </c>
    </row>
    <row r="53">
      <c r="B53" s="571" t="inlineStr">
        <is>
          <t>#</t>
        </is>
      </c>
      <c r="C53" s="571" t="inlineStr">
        <is>
          <t>Pattern (Паттерн)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(ограниченный партнёр) IRR (внутренняя норма доходности) %</t>
        </is>
      </c>
      <c r="J53" s="571" t="inlineStr">
        <is>
          <t>LP (ограниченный партнёр) MoIC</t>
        </is>
      </c>
      <c r="K53" s="571" t="inlineStr">
        <is>
          <t>vs Base (Базовый)</t>
        </is>
      </c>
    </row>
    <row r="54">
      <c r="B54" t="n">
        <v>1</v>
      </c>
      <c r="C54" t="inlineStr">
        <is>
          <t>Slow A (Медленный А)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(Медленный Б)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(Базовый) A+C (33/45/9/13) ★</t>
        </is>
      </c>
      <c r="D56" s="588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(Быстрый)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(Агрессивный)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 (чистые распределяемые поступления)=3000)</t>
        </is>
      </c>
    </row>
    <row r="61">
      <c r="B61" s="571" t="inlineStr">
        <is>
          <t>Catch-up LP (ограниченный партнёр) %↓</t>
        </is>
      </c>
      <c r="C61" s="571" t="inlineStr">
        <is>
          <t>Carry LP (ограниченный партнёр)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СТАТИСТИКА W₅ V-D — уверенность и калибровка</t>
        </is>
      </c>
    </row>
    <row r="70">
      <c r="B70" s="357" t="inlineStr">
        <is>
          <t>P(LP (ограниченный партнёр) IRR (внутренняя норма доходности) &gt; 18% hurdle (порог))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(ограниченный партнёр) IRR (внутренняя норма доходности) &gt; 24.75% base)</t>
        </is>
      </c>
      <c r="G71" s="357" t="inlineStr">
        <is>
          <t>7.0%</t>
        </is>
      </c>
      <c r="I71" s="574" t="inlineStr">
        <is>
          <t>Probability of beating Base (Базовый) case</t>
        </is>
      </c>
    </row>
    <row r="72">
      <c r="B72" s="357" t="inlineStr">
        <is>
          <t>P(LP (ограниченный партнёр) MoIC &gt; 2.13× base)</t>
        </is>
      </c>
      <c r="G72" s="357" t="inlineStr">
        <is>
          <t>6.8%</t>
        </is>
      </c>
      <c r="I72" s="574" t="inlineStr">
        <is>
          <t>Probability of beating Base (Базовый) MoIC</t>
        </is>
      </c>
    </row>
    <row r="73">
      <c r="B73" s="357" t="inlineStr">
        <is>
          <t>P(LP (ограниченный партнёр) MoIC &gt; 2.5× upside)</t>
        </is>
      </c>
      <c r="G73" s="357" t="inlineStr">
        <is>
          <t>0.6%</t>
        </is>
      </c>
      <c r="I73" s="574" t="inlineStr">
        <is>
          <t>Bull (Оптимистичный)-case probability</t>
        </is>
      </c>
    </row>
    <row r="74">
      <c r="B74" s="357" t="inlineStr">
        <is>
          <t>Median LP (ограниченный партнёр) IRR (внутренняя норма доходности)</t>
        </is>
      </c>
      <c r="G74" s="357" t="inlineStr">
        <is>
          <t>14.80%</t>
        </is>
      </c>
      <c r="I74" s="574" t="inlineStr">
        <is>
          <t>P50 percentile (перцентиль)</t>
        </is>
      </c>
    </row>
    <row r="75">
      <c r="B75" s="357" t="inlineStr">
        <is>
          <t>Mean LP (ограниченный партнёр) IRR (внутренняя норма доходности) (computed)</t>
        </is>
      </c>
      <c r="G75" s="357" t="inlineStr">
        <is>
          <t>13.95%</t>
        </is>
      </c>
      <c r="I75" s="574" t="inlineStr">
        <is>
          <t>vs deterministic (детерминированный) 24,75%</t>
        </is>
      </c>
    </row>
    <row r="76">
      <c r="B76" s="357" t="inlineStr">
        <is>
          <t>LP (ограниченный партнёр) IRR (внутренняя норма доходности) StDev</t>
        </is>
      </c>
      <c r="G76" s="357" t="inlineStr">
        <is>
          <t>8.05%</t>
        </is>
      </c>
      <c r="I76" s="574" t="inlineStr">
        <is>
          <t>Risk (Риск) dispersion</t>
        </is>
      </c>
    </row>
    <row r="77">
      <c r="B77" s="357" t="inlineStr">
        <is>
          <t>Producer (Продюсер) Mean Share (Доля)</t>
        </is>
      </c>
      <c r="G77" s="357" t="inlineStr">
        <is>
          <t>93 млн ₽</t>
        </is>
      </c>
      <c r="I77" s="574" t="inlineStr">
        <is>
          <t>Avg producer payout (Ср. выплата продюсеру)</t>
        </is>
      </c>
    </row>
    <row r="78">
      <c r="B78" s="571" t="inlineStr">
        <is>
          <t>ПОЯСНЕНИЕ: разница MC mean (13.95%) vs Base (Базовый) deterministic (24.75%)</t>
        </is>
      </c>
    </row>
    <row r="79" ht="60" customHeight="1">
      <c r="B79" s="587" t="inlineStr">
        <is>
          <t>Base (Базовый) 24.75% = «если всё пойдёт по плану» (NDP (чистые распределяемые поступления)=3000, все 7 проектов хиты, exit ×5). MC mean 13.95% = «честный прогноз с учётом рисков»: hit_rate ~ Bin(12, 0.7)/12 даёт в среднем 8.4 хита из 12, rev_mult Triangular (Треугольное)(0.6/1.0/1.4), CAPEX (Капзатраты) overrun, EBITDA (прибыль до вычетов) shock. Mean NDP (чистые распределяемые поступления) падает 3000→2104. Median MC IRR (внутренняя норма доходности) = 14.80% ближе к реалистичному ожиданию для инвестора. P(IRR &gt; 18% hurdle (порог))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(паттерн)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K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РЕЕСТР РИСКОВ — 30 РИСКОВ В 5 КАТЕГОРИЯХ</t>
        </is>
      </c>
    </row>
    <row r="4">
      <c r="B4" s="319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6">
      <c r="B6" s="320" t="inlineStr">
        <is>
          <t>I. РЕЕСТР РИСКОВ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Сер. (1-5)</t>
        </is>
      </c>
      <c r="F7" s="321" t="inlineStr">
        <is>
          <t>Вер. (1-5)</t>
        </is>
      </c>
      <c r="G7" s="321" t="inlineStr">
        <is>
          <t>Score (Балл)</t>
        </is>
      </c>
      <c r="H7" s="321" t="inlineStr">
        <is>
          <t>Level (Уровень)</t>
        </is>
      </c>
      <c r="I7" s="321" t="inlineStr">
        <is>
          <t>Mitigation (Меры снижения)</t>
        </is>
      </c>
      <c r="J7" s="321" t="inlineStr">
        <is>
          <t>Owner (Ответственный)</t>
        </is>
      </c>
      <c r="K7" s="321" t="inlineStr">
        <is>
          <t>Residual (Остаток)</t>
        </is>
      </c>
    </row>
    <row r="8" ht="38" customHeight="1">
      <c r="B8" s="322" t="inlineStr">
        <is>
          <t>R01</t>
        </is>
      </c>
      <c r="C8" s="323" t="inlineStr">
        <is>
          <t>Market (Рынок)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 (Высокий)</t>
        </is>
      </c>
      <c r="I8" s="323" t="inlineStr">
        <is>
          <t>Диверсификация по 7 проектам (5 фильмов + 2 сериала), 6 жанрам, window strategy; гибкий P&amp;A; dual-year EV диапазон 3 922–6 806 млн ₽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 (Рынок)</t>
        </is>
      </c>
      <c r="D9" s="323" t="inlineStr">
        <is>
          <t>Провал блокбастера (П04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 (Повышенный)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(Продюсер) П04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 (Рынок)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 (Повышенный)</t>
        </is>
      </c>
      <c r="I10" s="323" t="inlineStr">
        <is>
          <t>Переговоры с сетями (Formula Kino, Каро, Синема Парк), premium (премия)-формат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 (Рынок)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 (Высокий)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 (Рынок)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 (Умеренный)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 (Рынок)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 (Повышенный)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 (Международный отдел)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 (Операционный)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 (Высокий)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 (Руководитель производства)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 (Операционный)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 (Повышенный)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 (Продюсер)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 (Операционный)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 (Умеренный)</t>
        </is>
      </c>
      <c r="I16" s="323" t="inlineStr">
        <is>
          <t>Мульти-проектные контракты (2-3 фильма), бонусы от box-office (кассовые сборы), Partner-track</t>
        </is>
      </c>
      <c r="J16" s="323" t="inlineStr">
        <is>
          <t>HR / Creative Dir (Креативный директор)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 (Операционный)</t>
        </is>
      </c>
      <c r="D17" s="323" t="inlineStr">
        <is>
          <t>Срыв post-production / VFX (визуальные эффекты) (П07С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 (Повышенный)</t>
        </is>
      </c>
      <c r="I17" s="323" t="inlineStr">
        <is>
          <t>Два параллельных VFX (визуальные эффекты)-подрядчика, early prevv, резерв 20 млн на П07С</t>
        </is>
      </c>
      <c r="J17" s="323" t="inlineStr">
        <is>
          <t>VFX Supervisor (Супервайзер VFX)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 (Операционный)</t>
        </is>
      </c>
      <c r="D18" s="323" t="inlineStr">
        <is>
          <t>Отказ digital distribution (распределение)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 (Умеренный)</t>
        </is>
      </c>
      <c r="I18" s="323" t="inlineStr">
        <is>
          <t>Резервный digital partner, DCI-compliant backup</t>
        </is>
      </c>
      <c r="J18" s="323" t="inlineStr">
        <is>
          <t>Distribution (Распределение)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 (Операционный)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 (Повышенный)</t>
        </is>
      </c>
      <c r="I19" s="323" t="inlineStr">
        <is>
          <t>Партнёрство с ВГИКом, МШНК, собственная школа VFX (визуальные эффекты);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 (Финансовый)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 (Высокий)</t>
        </is>
      </c>
      <c r="I20" s="323" t="inlineStr">
        <is>
          <t>Fixed (Фиксированный) rate по T₁ траншам, натуральный хедж через экспорт</t>
        </is>
      </c>
      <c r="J20" s="323" t="inlineStr">
        <is>
          <t>CFO / Treasurer (Казначей)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 (Финансовый)</t>
        </is>
      </c>
      <c r="D21" s="323" t="inlineStr">
        <is>
          <t>Кассовый разрыв между P&amp;A (тиражирование и реклама) расходами и box-office (кассовые сборы)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 (Повышенный)</t>
        </is>
      </c>
      <c r="I21" s="323" t="inlineStr">
        <is>
          <t>Возобновляемая кредитная линия (Возобновляемая кредитная линия) 200 млн ₽ под дебиторку кинотеатров</t>
        </is>
      </c>
      <c r="J21" s="323" t="inlineStr">
        <is>
          <t>Treasurer (Казначей)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 (Финансовый)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 (Умеренный)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 (Менеджер дебиторки)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 (Финансовый)</t>
        </is>
      </c>
      <c r="D23" s="323" t="inlineStr">
        <is>
          <t>Валютный риск (оборудование, софт, VFX (визуальные эффекты)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 (Умеренный)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 (Казначей)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 (Финансовый)</t>
        </is>
      </c>
      <c r="D24" s="323" t="inlineStr">
        <is>
          <t>Downside (Нижний сценарий) risk NDP (чистые распределяемые поступления) shortfall — W₅ V-D Base (Базовый) IRR (внутренняя норма доходности) = 24.75% (margin (маржа) к hurdle (порог)), но Bear (Пессимистичный)=10.70%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 (Высокий)</t>
        </is>
      </c>
      <c r="I24" s="323" t="inlineStr">
        <is>
          <t>W₅ V-D 1× Liq Pref floor (1250) + 12% pref × 5y + carry; Implied EV диапазон 3 922–6 806 (S32 dual-year); IRR 24.75% сохранён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 (Финансовый)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 (Умеренный)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 (Налоговый консультант)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 (Регуляторный)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 (Умеренный)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 (Регуляторный)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 (Повышенный)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 (Юрид.)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 (Регуляторный)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 (Умеренный)</t>
        </is>
      </c>
      <c r="I28" s="323" t="inlineStr">
        <is>
          <t>Диверсификация источников дохода (PP &lt;10% от Revenue (Выручка))</t>
        </is>
      </c>
      <c r="J28" s="323" t="inlineStr">
        <is>
          <t>Legal (Юрид.) / Sales (Продажи)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 (Регуляторный)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 (Умеренный)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 (Юрид.)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 (Регуляторный)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 (Повышенный)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 (Юрид.)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 (Регуляторный)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 (Повышенный)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Закупки (Закупки)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 (Исполнение)</t>
        </is>
      </c>
      <c r="D32" s="323" t="inlineStr">
        <is>
          <t>Неудачное построение slate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 (Повышенный)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 (Исполнение)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 (Повышенный)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 (Распределение)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 (Исполнение)</t>
        </is>
      </c>
      <c r="D34" s="323" t="inlineStr">
        <is>
          <t>Конфликты с копродюсерами (JV (совместное предприятие) structure producers equity (доля в капитале)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 (Умеренный)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 (Юрид.)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 (Исполнение)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 (Повышенный)</t>
        </is>
      </c>
      <c r="I35" s="323" t="inlineStr">
        <is>
          <t>P&amp;A ratio (Коэффициент P&amp;A)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 (Исполнение)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 (Умеренный)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 (Безопасность / ИТ)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 (Исполнение)</t>
        </is>
      </c>
      <c r="D37" s="323" t="inlineStr">
        <is>
          <t>Невыполнение обязательств по KPI (ключевые показатели)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 (Высокий)</t>
        </is>
      </c>
      <c r="I37" s="323" t="inlineStr">
        <is>
          <t>Quarterly reporting, covenant monitoring, IRR tracking W₅ V-D; Implied EV dual-year 5 364 млн ₽ (midpoint); prob-weighted EV 3 650 (S25)</t>
        </is>
      </c>
      <c r="J37" s="323" t="inlineStr">
        <is>
          <t>CFO / Совет директоров</t>
        </is>
      </c>
      <c r="K37" s="322" t="n">
        <v>12</v>
      </c>
    </row>
    <row r="40">
      <c r="B40" s="320" t="inlineStr">
        <is>
          <t>II.  ТЕПЛОВАЯ КАРТА 5×5 (Severity (Серьёзность) × Likelihood (Вероятность))</t>
        </is>
      </c>
    </row>
    <row r="42">
      <c r="B42" s="332" t="inlineStr">
        <is>
          <t>Severity (Серьёзность) ↓ / Likelihood (Вероятность)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Низкий (1-4)</t>
        </is>
      </c>
      <c r="D49" s="344" t="inlineStr">
        <is>
          <t>Moderate (Умеренный) (5-9)</t>
        </is>
      </c>
      <c r="E49" s="345" t="inlineStr">
        <is>
          <t>Elevated (Повышенный) (10-14)</t>
        </is>
      </c>
      <c r="F49" s="346" t="inlineStr">
        <is>
          <t>Высокий (15-19)</t>
        </is>
      </c>
      <c r="G49" s="347" t="inlineStr">
        <is>
          <t>Critical (Критический)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 (Название)</t>
        </is>
      </c>
      <c r="E53" s="321" t="inlineStr">
        <is>
          <t>Score (Балл)</t>
        </is>
      </c>
      <c r="F53" s="321" t="inlineStr">
        <is>
          <t>Description (Описание)</t>
        </is>
      </c>
      <c r="G53" s="321" t="inlineStr">
        <is>
          <t>Triggers (Триггеры)</t>
        </is>
      </c>
      <c r="H53" s="321" t="inlineStr">
        <is>
          <t>Mitigation (Меры снижения)</t>
        </is>
      </c>
      <c r="I53" s="321" t="inlineStr">
        <is>
          <t>Раннее предупреждение (Раннее предупреждение)</t>
        </is>
      </c>
      <c r="J53" s="321" t="inlineStr">
        <is>
          <t>Owner (Ответственный)</t>
        </is>
      </c>
      <c r="K53" s="321" t="inlineStr">
        <is>
          <t>Residual (Остаток)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(Нижний сценарий) risk NDP (чистые распределяемые поступления) shortfall — W₅ V-D Base (Базовый) IRR (внутренняя норма доходности) = 24.75%, Bear (Пессимистичный)=10.70% (NDP (чистые распределяемые поступления)=1800), Down=18.87% (NDP=2400)</t>
        </is>
      </c>
      <c r="E54" s="350" t="n">
        <v>12</v>
      </c>
      <c r="F54" s="349" t="inlineStr">
        <is>
          <t>Базовый IRR (внутренняя норма доходности) T₁ под Waterfall (Каскад) W₅ V-D ★ default (по умолчанию) v1.0.1 составляет 24.75% (vs hurdle (порог) 18%, margin (маржа) +6.75pp). Однако в downside-сценариях: Bear (Пессимистичный) (NDP (чистые распределяемые поступления)=1800) даёт IRR 10.70% (значительно ниже hurdle (порог)), Downside (Нижний сценарий) (NDP (чистые распределяемые поступления)=2400) — 18.87% (margin (маржа) к hurdle (порог)). Hurdle (Порог) break-even target NDP ≥ 2 402 млн ₽. Capital (Капитал) protection обеспечивается Liq Pref (Ликвидационная привилегия) 1× = 1250 (MoIC ≥ 1.44× даже в Bear (Пессимистичный)).</t>
        </is>
      </c>
      <c r="G54" s="349" t="inlineStr">
        <is>
          <t>Любой из: (a) revenue &lt;80% от плана, (b) CAPEX (Капзатраты) overrun &gt;15%, (c) задержка ≥2 релизов на 6+ мес.</t>
        </is>
      </c>
      <c r="H54" s="349" t="inlineStr">
        <is>
          <t>Структурная защита через waterfall W₅ V-D: (1) Liq Pref 1 250, (2) 12% pref, (3) carry; Implied EV dual-year 3 922–6 806 млн ₽; prob-weighted exit EV 3 650</t>
        </is>
      </c>
      <c r="I54" s="349" t="inlineStr">
        <is>
          <t>Burn rate &gt;baseline +10% два квартала подряд; box-office (кассовые сборы) первых 3 фильмов &lt;75% от прогноза.</t>
        </is>
      </c>
      <c r="J54" s="349" t="inlineStr">
        <is>
          <t>CFO / IR / Совет директоров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7 проектов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 (Руководитель производства)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(кассовые сборы) РФ &gt;15% YoY два квартала подряд.</t>
        </is>
      </c>
      <c r="H56" s="349" t="inlineStr">
        <is>
          <t>Диверсификация портфеля (7 проектов, 6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Совет директоров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 (Казначей)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(ключевые показатели) перед инвестором T₁</t>
        </is>
      </c>
      <c r="E58" s="351" t="n">
        <v>15</v>
      </c>
      <c r="F58" s="349" t="inlineStr">
        <is>
          <t>Covenant breach по Revenue (Выручка), EBITDA (прибыль до вычетов) margin (маржа) или film release schedule может триггерить досрочное погашение или W₅ V-D activation.</t>
        </is>
      </c>
      <c r="G58" s="349" t="inlineStr">
        <is>
          <t>EBITDA (прибыль до вычетов) &lt;80% от плана квартал подряд; задержка &gt;2 фильмов; CAPEX (Капзатраты)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Совет директоров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349" t="inlineStr">
        <is>
          <t>CCO / Distribution (Распределение)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П04 «Время героев» (бюджет 250 млн)</t>
        </is>
      </c>
      <c r="E60" s="352" t="n">
        <v>12</v>
      </c>
      <c r="F60" s="349" t="inlineStr">
        <is>
          <t>П04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349" t="inlineStr">
        <is>
          <t>Test-screening NPS &lt;40; первый weekend box-office (кассовые сборы)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(Продюсер) П04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 (Юрид.)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(телевидение)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 (визуальные эффекты)-проекты (П04, П07С)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(бюджет) +10%.</t>
        </is>
      </c>
      <c r="J63" s="349" t="inlineStr">
        <is>
          <t>CFO / Line Producer (Продюсер)</t>
        </is>
      </c>
      <c r="K63" s="348" t="n">
        <v>6</v>
      </c>
    </row>
    <row r="66">
      <c r="B66" s="320" t="inlineStr">
        <is>
          <t>IV.  СВОДНАЯ СТАТИСТИКА (СВОДНАЯ СТАТИСТИКА)</t>
        </is>
      </c>
    </row>
    <row r="68">
      <c r="B68" s="333" t="inlineStr">
        <is>
          <t>Category (Категория)</t>
        </is>
      </c>
      <c r="C68" s="333" t="inlineStr">
        <is>
          <t># Рисков</t>
        </is>
      </c>
      <c r="D68" s="333" t="inlineStr">
        <is>
          <t>Total (Итого) Score (Балл)</t>
        </is>
      </c>
      <c r="E68" s="333" t="inlineStr">
        <is>
          <t>Avg Score (Средний балл)</t>
        </is>
      </c>
      <c r="F68" s="333" t="inlineStr">
        <is>
          <t>Max Score (Макс. балл)</t>
        </is>
      </c>
      <c r="G68" s="333" t="inlineStr">
        <is>
          <t>Share (Доля)</t>
        </is>
      </c>
    </row>
    <row r="69">
      <c r="B69" s="353" t="inlineStr">
        <is>
          <t>Market (Рынок)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 (Операционный)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 (Финансовый)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 (Регуляторный)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 (Исполнение)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 (Умеренный)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 (Повышенный)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 (Высокий)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 (Критический)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(Критический) на High (score 12): C-02 структурный bug фиксирован через переход на W₅ V-D ★ default (по умолчанию). Базовый IRR (внутренняя норма доходности) T₁ W₅ V-D = 24.75% (margin (маржа) +6.75pp к hurdle (порог)), но Bear (Пессимистичный)=10.70% (NDP (чистые распределяемые поступления)=1800) остаётся структурным риском. Legacy (Базовый вариант)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</row>
    <row r="86" ht="22" customHeight="1">
      <c r="B86" s="363" t="inlineStr">
        <is>
          <t>2. 3 риска уровня «Critical (Критический)»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(Финансовый) + Market (≈50% total score): макро-чувствительность модели.</t>
        </is>
      </c>
    </row>
    <row r="88" ht="22" customHeight="1">
      <c r="B88" s="363" t="inlineStr">
        <is>
          <t>4. Operational (Операционный) риски (R07, R08) — купируются 10% contingency + completion bond в каждом бюджете.</t>
        </is>
      </c>
    </row>
    <row r="89" ht="22" customHeight="1">
      <c r="B89" s="363" t="inlineStr">
        <is>
          <t>5. Residual (Остаток)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(Регуляторный) cluster (R18-R24) — низкая likelihood, но высокий severity: legal watch + GR budget (бюджет) 20 млн ₽/год.</t>
        </is>
      </c>
    </row>
    <row r="91" ht="22" customHeight="1">
      <c r="B91" s="363" t="inlineStr">
        <is>
          <t>7. Execution (Исполнение) риски покрыты процессами: daily reports, weekly reviews, monthly boards, quarterly covenant testing.</t>
        </is>
      </c>
    </row>
    <row r="94">
      <c r="B94" s="364" t="inlineStr">
        <is>
          <t>Reviewed: quarterly by Совет директоров | Owner: CFO / Risk (Риск) Committee | Version (Версия):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АНАЛИЗ РЫНКА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(среднегодовой темп роста) 26-32</t>
        </is>
      </c>
    </row>
    <row r="9">
      <c r="B9" s="365" t="inlineStr">
        <is>
          <t>Box-office (кассовые сборы)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(подписной стриминг)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(рекламный стриминг)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(телевидение) rights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(Библиотека)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(среднегодовой темп роста) 2026–2032</t>
        </is>
      </c>
      <c r="F18" s="321" t="inlineStr">
        <is>
          <t>Драйверы роста</t>
        </is>
      </c>
    </row>
    <row r="19">
      <c r="B19" s="375" t="inlineStr">
        <is>
          <t>Box-office (кассовые сборы)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(подписной стриминг)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(рекламный стриминг)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(телевидение) rights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(Библиотека)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(Итого) Addressable Market)</t>
        </is>
      </c>
      <c r="C29" s="390" t="n">
        <v>289.8</v>
      </c>
      <c r="D29" s="391" t="n">
        <v>1</v>
      </c>
      <c r="E29" s="375" t="inlineStr">
        <is>
          <t>Весь рынок кино+OTT (онлайн-платформа)+TV+library РФ 2028</t>
        </is>
      </c>
    </row>
    <row r="30">
      <c r="B30" s="378" t="inlineStr">
        <is>
          <t>SAM (Достижимый целевой рынок)</t>
        </is>
      </c>
      <c r="C30" s="392" t="n">
        <v>118</v>
      </c>
      <c r="D30" s="393" t="n">
        <v>0.4071773636991028</v>
      </c>
      <c r="E30" s="378" t="inlineStr">
        <is>
          <t>Box-office (кассовые сборы) + 40% SVOD (подписной стриминг)</t>
        </is>
      </c>
    </row>
    <row r="31">
      <c r="B31" s="381" t="inlineStr">
        <is>
          <t>SOM (Реально достижимый рынок)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(Выручка) 2024 (млрд ₽)</t>
        </is>
      </c>
      <c r="E36" s="321" t="inlineStr">
        <is>
          <t>Market share (доля)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</t>
        </is>
      </c>
      <c r="C37" s="323" t="inlineStr">
        <is>
          <t>SVOD (подписной стриминг)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(подписной стриминг)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(подписной стриминг) + AVOD (рекламный стриминг)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 (рекламный стриминг)-модель,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(СТАРТ)</t>
        </is>
      </c>
      <c r="C40" s="323" t="inlineStr">
        <is>
          <t>SVOD (подписной стриминг)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 (тиражирование и реклама)</t>
        </is>
      </c>
    </row>
    <row r="41" ht="38" customHeight="1">
      <c r="B41" s="396" t="inlineStr">
        <is>
          <t>Premier (Премьера)</t>
        </is>
      </c>
      <c r="C41" s="323" t="inlineStr">
        <is>
          <t>SVOD (подписной стриминг)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 (совместное предприятие)</t>
        </is>
      </c>
      <c r="D43" s="398" t="n">
        <v>1.5</v>
      </c>
      <c r="E43" s="399" t="inlineStr">
        <is>
          <t>0.9%</t>
        </is>
      </c>
      <c r="F43" s="381" t="inlineStr">
        <is>
          <t>Pre-IPO (первичное размещение) структура, slate 7 проектов, Waterfall (Каскад)</t>
        </is>
      </c>
      <c r="G43" s="381" t="inlineStr">
        <is>
          <t>Pre-revenue, execution risk, первый институциональный раунд; Implied EV 3.9–6.8 млрд ₽ (dual-year S32)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 (Премия)-форматы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 (подписной стриминг)-подписок</t>
        </is>
      </c>
      <c r="D52" s="323" t="inlineStr">
        <is>
          <t>Подписочная база: 25М (2024) → 45М (2032), CAGR (среднегодовой темп роста)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Игровой кросс-медиа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/>
      <c r="D60" s="186"/>
      <c r="E60" s="186"/>
      <c r="F60" s="186"/>
      <c r="G60" s="186"/>
      <c r="H60" s="186"/>
      <c r="I60" s="186"/>
      <c r="J60" s="186"/>
      <c r="K60" s="186"/>
      <c r="L60" s="187"/>
    </row>
    <row r="61">
      <c r="B61" s="323" t="inlineStr">
        <is>
          <t>• Фонд кино / Минкультуры РФ — статистика проката и господдержки</t>
        </is>
      </c>
      <c r="C61" s="186"/>
      <c r="D61" s="186"/>
      <c r="E61" s="186"/>
      <c r="F61" s="186"/>
      <c r="G61" s="186"/>
      <c r="H61" s="186"/>
      <c r="I61" s="186"/>
      <c r="J61" s="186"/>
      <c r="K61" s="186"/>
      <c r="L61" s="187"/>
    </row>
    <row r="62">
      <c r="B62" s="323" t="inlineStr">
        <is>
          <t>• НМГ Research — аналитика SVOD (подписной стриминг)/AVOD (рекламный стриминг) рынка РФ</t>
        </is>
      </c>
      <c r="C62" s="186"/>
      <c r="D62" s="186"/>
      <c r="E62" s="186"/>
      <c r="F62" s="186"/>
      <c r="G62" s="186"/>
      <c r="H62" s="186"/>
      <c r="I62" s="186"/>
      <c r="J62" s="186"/>
      <c r="K62" s="186"/>
      <c r="L62" s="187"/>
    </row>
    <row r="63">
      <c r="B63" s="323" t="inlineStr">
        <is>
          <t>• ТАСС, Коммерсант, Ведомости — публичные данные по сделкам</t>
        </is>
      </c>
      <c r="C63" s="186"/>
      <c r="D63" s="186"/>
      <c r="E63" s="186"/>
      <c r="F63" s="186"/>
      <c r="G63" s="186"/>
      <c r="H63" s="186"/>
      <c r="I63" s="186"/>
      <c r="J63" s="186"/>
      <c r="K63" s="186"/>
      <c r="L63" s="187"/>
    </row>
    <row r="64">
      <c r="B64" s="323" t="inlineStr">
        <is>
          <t>• Публичные отчёты Kinopoisk, Okko, ivi, START, Premier (Премьера)</t>
        </is>
      </c>
      <c r="C64" s="186"/>
      <c r="D64" s="186"/>
      <c r="E64" s="186"/>
      <c r="F64" s="186"/>
      <c r="G64" s="186"/>
      <c r="H64" s="186"/>
      <c r="I64" s="186"/>
      <c r="J64" s="186"/>
      <c r="K64" s="186"/>
      <c r="L64" s="187"/>
    </row>
    <row r="65">
      <c r="B65" s="323" t="inlineStr">
        <is>
          <t>• Официальные данные Росстат и ЦБ РФ (demografic, inflation)</t>
        </is>
      </c>
      <c r="C65" s="186"/>
      <c r="D65" s="186"/>
      <c r="E65" s="186"/>
      <c r="F65" s="186"/>
      <c r="G65" s="186"/>
      <c r="H65" s="186"/>
      <c r="I65" s="186"/>
      <c r="J65" s="186"/>
      <c r="K65" s="186"/>
      <c r="L65" s="187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ОТРАСЛЕВЫЕ БЕНЧМАРКИ (БЕНЧМАРКИ) — РФ vs ГЛОБАЛЬНЫЙ (ГЛОБАЛЬНЫЙ) vs ТрендСтудио</t>
        </is>
      </c>
    </row>
    <row r="4">
      <c r="B4" s="319" t="inlineStr">
        <is>
          <t>KPI (ключевые показатели) по 15 показателям: production, distribution (распределение), финансы, exit</t>
        </is>
      </c>
    </row>
    <row r="6">
      <c r="B6" s="320" t="inlineStr">
        <is>
          <t>I. ОПЕРАЦИОННЫЕ KPI (ключевые показатели)</t>
        </is>
      </c>
    </row>
    <row r="8">
      <c r="B8" s="321" t="inlineStr">
        <is>
          <t>#</t>
        </is>
      </c>
      <c r="C8" s="321" t="inlineStr">
        <is>
          <t>KPI (ключевые показатели)</t>
        </is>
      </c>
      <c r="D8" s="321" t="inlineStr">
        <is>
          <t>Единица</t>
        </is>
      </c>
      <c r="E8" s="321" t="inlineStr">
        <is>
          <t>Global (Голливуд)</t>
        </is>
      </c>
      <c r="F8" s="321" t="inlineStr">
        <is>
          <t>Global (Европа)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 (бюджет)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>
        <v>264</v>
      </c>
      <c r="I9" s="322" t="inlineStr">
        <is>
          <t>—</t>
        </is>
      </c>
      <c r="J9" s="404" t="inlineStr">
        <is>
          <t>Укрупнённый mid-budget подход (5 фильмов + 2 сериала)</t>
        </is>
      </c>
    </row>
    <row r="10" ht="28" customHeight="1">
      <c r="B10" s="400" t="n">
        <v>2</v>
      </c>
      <c r="C10" s="396" t="inlineStr">
        <is>
          <t>Количество фильмов в портфеле (Количество фильмов в портфеле)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7 (5+2С)</t>
        </is>
      </c>
      <c r="I10" s="322" t="inlineStr">
        <is>
          <t>+17% vs median</t>
        </is>
      </c>
      <c r="J10" s="404" t="inlineStr">
        <is>
          <t>Портфельный подход 7 проектов (5 фильмов + 2 сериала)</t>
        </is>
      </c>
    </row>
    <row r="11" ht="28" customHeight="1">
      <c r="B11" s="400" t="n">
        <v>3</v>
      </c>
      <c r="C11" s="396" t="inlineStr">
        <is>
          <t>Hit rate (доля прибыльных фильмов)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(кассовые сборы) / budget (бюджет)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(Коэффициент P&amp;A)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(Выручка) from box-office (кассовые сборы)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(Выручка) from SVOD (подписной стриминг)/OTT (онлайн-платформа)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(Выручка) from library/tail (хвостовой период)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 (ключевые показатели)</t>
        </is>
      </c>
    </row>
    <row r="21">
      <c r="B21" s="321" t="inlineStr">
        <is>
          <t>#</t>
        </is>
      </c>
      <c r="C21" s="321" t="inlineStr">
        <is>
          <t>KPI (ключевые показатели)</t>
        </is>
      </c>
      <c r="D21" s="321" t="inlineStr">
        <is>
          <t>Единица</t>
        </is>
      </c>
      <c r="E21" s="321" t="inlineStr">
        <is>
          <t>Global (Голливуд)</t>
        </is>
      </c>
      <c r="F21" s="321" t="inlineStr">
        <is>
          <t>Global (Европа)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(прибыль до вычетов) margin (маржа)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45.7%</t>
        </is>
      </c>
      <c r="I22" s="322" t="inlineStr">
        <is>
          <t>+21 пп</t>
        </is>
      </c>
      <c r="J22" s="404" t="inlineStr">
        <is>
          <t>Выше отрасли благодаря JV (совместное предприятие)-структуре</t>
        </is>
      </c>
    </row>
    <row r="23" ht="28" customHeight="1">
      <c r="B23" s="400" t="n">
        <v>2</v>
      </c>
      <c r="C23" s="396" t="inlineStr">
        <is>
          <t>Net Profit (Чистая прибыль) margin (маржа)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34.9%</t>
        </is>
      </c>
      <c r="I23" s="322" t="inlineStr">
        <is>
          <t>+25 пп</t>
        </is>
      </c>
      <c r="J23" s="404" t="inlineStr">
        <is>
          <t>Снижен v3-02 из-за ВКЛ interest (28 млн/3Y); агрессивно-высокий уровень</t>
        </is>
      </c>
    </row>
    <row r="24" ht="28" customHeight="1">
      <c r="B24" s="400" t="n">
        <v>3</v>
      </c>
      <c r="C24" s="396" t="inlineStr">
        <is>
          <t>Operating margin (маржа)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(себестоимость) / Revenue (Выручка)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46.2%</t>
        </is>
      </c>
      <c r="I25" s="322" t="inlineStr">
        <is>
          <t>−24 пп</t>
        </is>
      </c>
      <c r="J25" s="404" t="inlineStr">
        <is>
          <t>Высокая эффективность COGS (себестоимость)</t>
        </is>
      </c>
    </row>
    <row r="26" ht="28" customHeight="1">
      <c r="B26" s="400" t="n">
        <v>5</v>
      </c>
      <c r="C26" s="396" t="inlineStr">
        <is>
          <t>OpEx / Revenue (Выручка)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(амортизация) / Revenue (Выручка)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(амортизация) минимален</t>
        </is>
      </c>
    </row>
    <row r="28" ht="28" customHeight="1">
      <c r="B28" s="400" t="n">
        <v>7</v>
      </c>
      <c r="C28" s="396" t="inlineStr">
        <is>
          <t>Cash (Денежные средства)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 (тиражирование и реклама)</t>
        </is>
      </c>
    </row>
    <row r="31">
      <c r="B31" s="320" t="inlineStr">
        <is>
          <t>III. VALUATION (ОЦЕНКА) MULTIPLES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(Голливуд)</t>
        </is>
      </c>
      <c r="E33" s="321" t="inlineStr">
        <is>
          <t>Global (Европа)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(стоимость предприятия) / Revenue (Выручка)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pre-IPO; dual-year S32: EV/Rev 2.2–2.5× → Implied EV 2 640–4 950 (после 20% дисконта)</t>
        </is>
      </c>
    </row>
    <row r="35" ht="28" customHeight="1">
      <c r="B35" s="400" t="n">
        <v>2</v>
      </c>
      <c r="C35" s="396" t="inlineStr">
        <is>
          <t>EV (стоимость предприятия) / EBITDA (прибыль до вычетов)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valuation; dual-year S32: EV/EBITDA 8.0× → Implied EV 4 516–8 053 (после 20% дисконта); midpoint 5 202</t>
        </is>
      </c>
    </row>
    <row r="36" ht="28" customHeight="1">
      <c r="B36" s="400" t="n">
        <v>3</v>
      </c>
      <c r="C36" s="396" t="inlineStr">
        <is>
          <t>EV (стоимость предприятия) / EBITDA (прибыль до вычетов)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risk; dual-year FY2027 peak EBITDA 1 258 → forward EV до 10 067 (pre-discount); FY2028 EBITDA 614.39 (two-tier GM)</t>
        </is>
      </c>
    </row>
    <row r="37" ht="28" customHeight="1">
      <c r="B37" s="400" t="n">
        <v>4</v>
      </c>
      <c r="C37" s="396" t="inlineStr">
        <is>
          <t>P / E (Net Profit (Чистая прибыль))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(первичное размещение) готовности, 10-12×</t>
        </is>
      </c>
    </row>
    <row r="38" ht="28" customHeight="1">
      <c r="B38" s="400" t="n">
        <v>5</v>
      </c>
      <c r="C38" s="396" t="inlineStr">
        <is>
          <t>EV (стоимость предприятия) / Subscriber (SVOD (подписной стриминг))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(подписной стриминг) модель</t>
        </is>
      </c>
    </row>
    <row r="39" ht="28" customHeight="1">
      <c r="B39" s="400" t="n">
        <v>6</v>
      </c>
      <c r="C39" s="396" t="inlineStr">
        <is>
          <t>EV (стоимость предприятия)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 ИТОГИ ПОЗИЦИОНИРОВАНИЯ (ИТОГИ ПОЗИЦИОНИРОВАНИЯ)</t>
        </is>
      </c>
    </row>
    <row r="44">
      <c r="B44" s="405" t="inlineStr">
        <is>
          <t>Сильные стороны</t>
        </is>
      </c>
      <c r="C44" s="186"/>
      <c r="D44" s="186"/>
      <c r="E44" s="186"/>
      <c r="F44" s="186"/>
      <c r="G44" s="186"/>
      <c r="H44" s="186"/>
      <c r="I44" s="186"/>
      <c r="J44" s="187"/>
    </row>
    <row r="45">
      <c r="B45" s="323" t="inlineStr">
        <is>
          <t>  • EBITDA margin 45.7% (vs РФ median 20%) — структурное преимущество JV-модели; two-tier GM (Films 55.8%, Series 47%); Implied EV dual-year 5,202 млн ₽ (S32)</t>
        </is>
      </c>
      <c r="C45" s="186"/>
      <c r="D45" s="186"/>
      <c r="E45" s="186"/>
      <c r="F45" s="186"/>
      <c r="G45" s="186"/>
      <c r="H45" s="186"/>
      <c r="I45" s="186"/>
      <c r="J45" s="187"/>
    </row>
    <row r="46">
      <c r="B46" s="323" t="inlineStr">
        <is>
          <t xml:space="preserve">  • Box-office (кассовые сборы)/budget (бюджет) 3.02× — на уровне топ-квартиля европейских студий</t>
        </is>
      </c>
      <c r="C46" s="186"/>
      <c r="D46" s="186"/>
      <c r="E46" s="186"/>
      <c r="F46" s="186"/>
      <c r="G46" s="186"/>
      <c r="H46" s="186"/>
      <c r="I46" s="186"/>
      <c r="J46" s="187"/>
    </row>
    <row r="47">
      <c r="B47" s="323" t="inlineStr">
        <is>
          <t xml:space="preserve">  • Портфельный подход 7 проектов — диверсификация рисков slate</t>
        </is>
      </c>
      <c r="C47" s="186"/>
      <c r="D47" s="186"/>
      <c r="E47" s="186"/>
      <c r="F47" s="186"/>
      <c r="G47" s="186"/>
      <c r="H47" s="186"/>
      <c r="I47" s="186"/>
      <c r="J47" s="187"/>
    </row>
    <row r="48">
      <c r="B48" s="323" t="inlineStr">
        <is>
          <t>  • Lean cost structure: COGS (себестоимость) 46.2%, OpEx 5.8%, ВКЛ interest 0.6% — ниже отрасли</t>
        </is>
      </c>
      <c r="C48" s="186"/>
      <c r="D48" s="186"/>
      <c r="E48" s="186"/>
      <c r="F48" s="186"/>
      <c r="G48" s="186"/>
      <c r="H48" s="186"/>
      <c r="I48" s="186"/>
      <c r="J48" s="187"/>
    </row>
    <row r="50">
      <c r="B50" s="406" t="inlineStr">
        <is>
          <t>Нейтральные зоны</t>
        </is>
      </c>
      <c r="C50" s="186"/>
      <c r="D50" s="186"/>
      <c r="E50" s="186"/>
      <c r="F50" s="186"/>
      <c r="G50" s="186"/>
      <c r="H50" s="186"/>
      <c r="I50" s="186"/>
      <c r="J50" s="187"/>
    </row>
    <row r="51">
      <c r="B51" s="323" t="inlineStr">
        <is>
          <t xml:space="preserve">  • P&amp;A ratio (Коэффициент P&amp;A) 15% — медианный уровень, оставляет место для upside</t>
        </is>
      </c>
      <c r="C51" s="186"/>
      <c r="D51" s="186"/>
      <c r="E51" s="186"/>
      <c r="F51" s="186"/>
      <c r="G51" s="186"/>
      <c r="H51" s="186"/>
      <c r="I51" s="186"/>
      <c r="J51" s="187"/>
    </row>
    <row r="52">
      <c r="B52" s="323" t="inlineStr">
        <is>
          <t xml:space="preserve">  • Cash (Денежные средства) conversion 78% — зависит от графика рекламы, можно улучшить до 85%</t>
        </is>
      </c>
      <c r="C52" s="186"/>
      <c r="D52" s="186"/>
      <c r="E52" s="186"/>
      <c r="F52" s="186"/>
      <c r="G52" s="186"/>
      <c r="H52" s="186"/>
      <c r="I52" s="186"/>
      <c r="J52" s="187"/>
    </row>
    <row r="53">
      <c r="B53" s="323" t="inlineStr">
        <is>
          <t xml:space="preserve">  • Revenue (Выручка) mix 62/22/16 — сбалансированная структура</t>
        </is>
      </c>
      <c r="C53" s="186"/>
      <c r="D53" s="186"/>
      <c r="E53" s="186"/>
      <c r="F53" s="186"/>
      <c r="G53" s="186"/>
      <c r="H53" s="186"/>
      <c r="I53" s="186"/>
      <c r="J53" s="187"/>
    </row>
    <row r="55">
      <c r="B55" s="407" t="inlineStr">
        <is>
          <t>Зоны внимания</t>
        </is>
      </c>
      <c r="C55" s="186"/>
      <c r="D55" s="186"/>
      <c r="E55" s="186"/>
      <c r="F55" s="186"/>
      <c r="G55" s="186"/>
      <c r="H55" s="186"/>
      <c r="I55" s="186"/>
      <c r="J55" s="187"/>
    </row>
    <row r="56">
      <c r="B56" s="323" t="inlineStr">
        <is>
          <t xml:space="preserve">  • Pre-revenue статус — нет исторического track record (highest execution risk)</t>
        </is>
      </c>
      <c r="C56" s="186"/>
      <c r="D56" s="186"/>
      <c r="E56" s="186"/>
      <c r="F56" s="186"/>
      <c r="G56" s="186"/>
      <c r="H56" s="186"/>
      <c r="I56" s="186"/>
      <c r="J56" s="187"/>
    </row>
    <row r="57">
      <c r="B57" s="323" t="inlineStr">
        <is>
          <t>  • Avg budget 264 млн ₽ — mid-tier, укрупнение (7 проектов vs old 12); потенциал box-office выше на единицу</t>
        </is>
      </c>
      <c r="C57" s="186"/>
      <c r="D57" s="186"/>
      <c r="E57" s="186"/>
      <c r="F57" s="186"/>
      <c r="G57" s="186"/>
      <c r="H57" s="186"/>
      <c r="I57" s="186"/>
      <c r="J57" s="187"/>
    </row>
    <row r="58">
      <c r="B58" s="323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186"/>
      <c r="D58" s="186"/>
      <c r="E58" s="186"/>
      <c r="F58" s="186"/>
      <c r="G58" s="186"/>
      <c r="H58" s="186"/>
      <c r="I58" s="186"/>
      <c r="J58" s="187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(СОПОСТАВИМЫЕ СДЕЛКИ) — M&amp;A (слияния и поглощения)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(слияния и поглощения)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 </t>
        </is>
      </c>
      <c r="E8" s="321" t="inlineStr">
        <is>
          <t>Acquirer (Покупатель)</t>
        </is>
      </c>
      <c r="F8" s="321" t="inlineStr">
        <is>
          <t>Deal size (Размер сделки)</t>
        </is>
      </c>
      <c r="G8" s="321" t="inlineStr">
        <is>
          <t>EV (стоимость предприятия)/Revenue (Выручка)</t>
        </is>
      </c>
      <c r="H8" s="321" t="inlineStr">
        <is>
          <t>EV (стоимость предприятия)/EBITDA (прибыль до вычетов)</t>
        </is>
      </c>
      <c r="I8" s="321" t="inlineStr">
        <is>
          <t>Stake (Доля)</t>
        </is>
      </c>
      <c r="J8" s="321" t="inlineStr">
        <is>
          <t>Type (Тип)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 (Миноритарный)</t>
        </is>
      </c>
      <c r="K9" s="404" t="inlineStr">
        <is>
          <t>Pre-IPO (первичное размещение) раунд с прицелом на NASDAQ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 (Контроль)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 (СТАРТ)</t>
        </is>
      </c>
      <c r="E11" s="323" t="inlineStr">
        <is>
          <t>Sigma Capital (Капитал)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 (доля в капитале)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(Премьера)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(Внутренний) consolidation (Внутренняя консолидация)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 (Стратегический)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 (Сделка по библиотеке)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 (первичное размещение)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 (Рост)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 (Стратегический)</t>
        </is>
      </c>
      <c r="K17" s="404" t="inlineStr">
        <is>
          <t>Слияние AVOD (рекламный стриминг)-активов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 (Контроль)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/>
      <c r="D19" s="186"/>
      <c r="E19" s="186"/>
      <c r="F19" s="187"/>
      <c r="G19" s="409" t="n">
        <v>2.5</v>
      </c>
      <c r="H19" s="409" t="n">
        <v>8</v>
      </c>
    </row>
    <row r="21">
      <c r="B21" s="320" t="inlineStr">
        <is>
          <t>II. ГЛОБАЛЬНЫЙ (ГЛОБАЛЬНЫЙ) M&amp;A (слияния и поглощения) PRECEDENTS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 </t>
        </is>
      </c>
      <c r="E23" s="321" t="inlineStr">
        <is>
          <t>Acquirer (Покупатель)</t>
        </is>
      </c>
      <c r="F23" s="321" t="inlineStr">
        <is>
          <t>Deal size (Размер сделки) ($ млрд)</t>
        </is>
      </c>
      <c r="G23" s="321" t="inlineStr">
        <is>
          <t>EV (стоимость предприятия)/Revenue (Выручка)</t>
        </is>
      </c>
      <c r="H23" s="321" t="inlineStr">
        <is>
          <t>EV (стоимость предприятия)/EBITDA (прибыль до вычетов)</t>
        </is>
      </c>
      <c r="I23" s="321" t="inlineStr">
        <is>
          <t>Stake (Доля)</t>
        </is>
      </c>
      <c r="J23" s="321" t="inlineStr">
        <is>
          <t>Type (Тип)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 (Стратегический)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(телевидение)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 (Слияние)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 (Стратегический)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 (Вторичный)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 (Мажоритарный)</t>
        </is>
      </c>
      <c r="J28" s="322" t="inlineStr">
        <is>
          <t>Growth (Рост)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 (Слияние)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 (Капитал)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 (Финансовый)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 (Мажоритарный)</t>
        </is>
      </c>
      <c r="J31" s="322" t="inlineStr">
        <is>
          <t>Royalty (Роялти)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 (Мажоритарный)</t>
        </is>
      </c>
      <c r="J32" s="322" t="inlineStr">
        <is>
          <t>Strategic (Стратегический)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 (Слияние)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ГЛОБАЛЬНЫЙ (ГЛОБАЛЬНЫЙ)</t>
        </is>
      </c>
      <c r="C34" s="186"/>
      <c r="D34" s="186"/>
      <c r="E34" s="186"/>
      <c r="F34" s="187"/>
      <c r="G34" s="409" t="n">
        <v>2.2</v>
      </c>
      <c r="H34" s="409" t="n">
        <v>9.800000000000001</v>
      </c>
    </row>
    <row r="36">
      <c r="B36" s="320" t="inlineStr">
        <is>
          <t>III. IMPLIED VALUATION (ПОДРАЗУМЕВАЕМАЯ ОЦЕНКА) — DUAL-YEAR APPROACH (FY2027 пиковый / FY2028 нормализованный)</t>
        </is>
      </c>
    </row>
    <row r="38">
      <c r="B38" s="321" t="inlineStr">
        <is>
          <t>A. FY2027 (ПИКОВЫЙ ГОД)</t>
        </is>
      </c>
      <c r="C38" s="321" t="inlineStr">
        <is>
          <t>ТрендСтудио FY2027</t>
        </is>
      </c>
      <c r="D38" s="321" t="inlineStr">
        <is>
          <t>Мультипл (median)</t>
        </is>
      </c>
      <c r="E38" s="321" t="inlineStr">
        <is>
          <t>Implied EV</t>
        </is>
      </c>
      <c r="F38" s="321" t="inlineStr">
        <is>
          <t>Дисконт (−20%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>
        <v>2475</v>
      </c>
      <c r="D39" s="400" t="inlineStr">
        <is>
          <t>2.5×</t>
        </is>
      </c>
      <c r="E39" s="410">
        <v>6187.5</v>
      </c>
      <c r="F39" s="322" t="inlineStr">
        <is>
          <t>−20%</t>
        </is>
      </c>
      <c r="G39" s="411">
        <v>4950.0</v>
      </c>
    </row>
    <row r="40">
      <c r="B40" s="396" t="inlineStr">
        <is>
          <t>EV / EBITDA (РФ median)</t>
        </is>
      </c>
      <c r="C40" s="366">
        <v>1258.33</v>
      </c>
      <c r="D40" s="400" t="inlineStr">
        <is>
          <t>8.0×</t>
        </is>
      </c>
      <c r="E40" s="410">
        <v>10066.6</v>
      </c>
      <c r="F40" s="322" t="inlineStr">
        <is>
          <t>−20%</t>
        </is>
      </c>
      <c r="G40" s="411">
        <v>8053.3</v>
      </c>
    </row>
    <row r="41">
      <c r="B41" s="396" t="inlineStr">
        <is>
          <t>EV / Revenue (Global median)</t>
        </is>
      </c>
      <c r="C41" s="366">
        <v>2475</v>
      </c>
      <c r="D41" s="400" t="inlineStr">
        <is>
          <t>2.2×</t>
        </is>
      </c>
      <c r="E41" s="410">
        <v>5445.0</v>
      </c>
      <c r="F41" s="322" t="inlineStr">
        <is>
          <t>−20%</t>
        </is>
      </c>
      <c r="G41" s="411">
        <v>4356.0</v>
      </c>
    </row>
    <row r="42">
      <c r="B42" s="396" t="inlineStr">
        <is>
          <t>EV / EBITDA (Global median)</t>
        </is>
      </c>
      <c r="C42" s="366">
        <v>1258.33</v>
      </c>
      <c r="D42" s="400" t="inlineStr">
        <is>
          <t>9.8×</t>
        </is>
      </c>
      <c r="E42" s="410">
        <v>12331.6</v>
      </c>
      <c r="F42" s="322" t="inlineStr">
        <is>
          <t>−20%</t>
        </is>
      </c>
      <c r="G42" s="411">
        <v>9865.3</v>
      </c>
    </row>
    <row r="44">
      <c r="B44" s="412" t="inlineStr">
        <is>
          <t/>
        </is>
      </c>
      <c r="C44" s="186"/>
      <c r="D44" s="186"/>
      <c r="E44" s="186"/>
      <c r="F44" s="187"/>
    </row>
    <row r="46">
      <c r="B46" s="320" t="inlineStr">
        <is>
          <t>EV / Revenue (РФ median)</t>
        </is>
      </c>
      <c r="C46">
        <v>1500</v>
      </c>
      <c r="D46" t="inlineStr">
        <is>
          <t>2.5×</t>
        </is>
      </c>
      <c r="E46">
        <v>3750.0</v>
      </c>
      <c r="F46" t="inlineStr">
        <is>
          <t>−20%</t>
        </is>
      </c>
      <c r="G46">
        <v>3000.0</v>
      </c>
    </row>
    <row r="48">
      <c r="C48" s="323">
        <v>1500</v>
      </c>
      <c r="D48" s="186" t="inlineStr">
        <is>
          <t>2.2×</t>
        </is>
      </c>
      <c r="E48" s="186">
        <v>3300.0</v>
      </c>
      <c r="F48" s="186" t="inlineStr">
        <is>
          <t>−20%</t>
        </is>
      </c>
      <c r="G48" s="186">
        <v>2640.0</v>
      </c>
      <c r="H48" s="186"/>
      <c r="I48" s="186"/>
      <c r="J48" s="186"/>
      <c r="K48" s="187"/>
    </row>
    <row r="49">
      <c r="C49" s="323">
        <v>614.39</v>
      </c>
      <c r="D49" s="186" t="inlineStr">
        <is>
          <t>9.8×</t>
        </is>
      </c>
      <c r="E49" s="186">
        <v>6021.0</v>
      </c>
      <c r="F49" s="186" t="inlineStr">
        <is>
          <t>−20%</t>
        </is>
      </c>
      <c r="G49" s="186">
        <v>4816.8</v>
      </c>
      <c r="H49" s="186"/>
      <c r="I49" s="186"/>
      <c r="J49" s="186"/>
      <c r="K49" s="187"/>
    </row>
    <row r="50">
      <c r="C50" s="323" t="inlineStr">
        <is>
          <t>Library deals (Hipgnosis, MGM) имеют премию 50-80% за эффект copyright perpetuity</t>
        </is>
      </c>
      <c r="D50" s="186"/>
      <c r="E50" s="186"/>
      <c r="F50" s="186"/>
      <c r="G50" s="186">
        <v>3597.2</v>
      </c>
      <c r="H50" s="186"/>
      <c r="I50" s="186"/>
      <c r="J50" s="186"/>
      <c r="K50" s="187"/>
    </row>
    <row r="51">
      <c r="C51" s="323" t="inlineStr">
        <is>
          <t/>
        </is>
      </c>
      <c r="D51" s="186"/>
      <c r="E51" s="186"/>
      <c r="F51" s="186"/>
      <c r="G51" s="186"/>
      <c r="H51" s="186"/>
      <c r="I51" s="186"/>
      <c r="J51" s="186"/>
      <c r="K51" s="187"/>
    </row>
    <row r="52">
      <c r="C52" s="323" t="inlineStr">
        <is>
          <t>В РФ все сделки 2022+ имеют консервативные мультипликаторы из-за liquidity discount</t>
        </is>
      </c>
      <c r="D52" s="186"/>
      <c r="E52" s="186"/>
      <c r="F52" s="186"/>
      <c r="G52" s="186"/>
      <c r="H52" s="186"/>
      <c r="I52" s="186"/>
      <c r="J52" s="186"/>
      <c r="K52" s="187"/>
    </row>
    <row r="53">
      <c r="C53" s="323" t="inlineStr">
        <is>
          <t>Оптимальный exit для ТрендСтудио: strategic sale с EV (стоимость предприятия)/EBITDA (прибыль до вычетов) 7-9×</t>
        </is>
      </c>
      <c r="D53" s="186"/>
      <c r="E53" s="186"/>
      <c r="F53" s="186"/>
      <c r="G53" s="186"/>
      <c r="H53" s="186"/>
      <c r="I53" s="186"/>
      <c r="J53" s="186"/>
      <c r="K53" s="187"/>
    </row>
    <row r="54">
      <c r="C54" s="323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186"/>
      <c r="E54" s="186"/>
      <c r="F54" s="186"/>
      <c r="G54" s="186">
        <v>5201.6</v>
      </c>
      <c r="H54" s="186"/>
      <c r="I54" s="186"/>
      <c r="J54" s="186"/>
      <c r="K54" s="187"/>
    </row>
    <row r="55">
      <c r="C55" s="323" t="inlineStr">
        <is>
          <t>Minority (Миноритарный) stake sale (25-40%) даёт лучший мультипл, чем control premium (премия) при текущем S&amp;D</t>
        </is>
      </c>
      <c r="D55" s="186"/>
      <c r="E55" s="186"/>
      <c r="F55" s="186"/>
      <c r="G55" s="186"/>
      <c r="H55" s="186"/>
      <c r="I55" s="186"/>
      <c r="J55" s="186"/>
      <c r="K55" s="187"/>
    </row>
    <row r="58">
      <c r="B58" s="401" t="inlineStr">
        <is>
          <t/>
        </is>
      </c>
      <c r="C58" t="inlineStr">
        <is>
          <t/>
        </is>
      </c>
    </row>
    <row r="60">
      <c r="B60" s="323" t="inlineStr">
        <is>
          <t>2</t>
        </is>
      </c>
      <c r="C60" s="186" t="inlineStr">
        <is>
          <t>Global мультипликаторы на 25-40% выше из-за глубины рынка, ликвидности и scale-advantage.</t>
        </is>
      </c>
      <c r="D60" s="186"/>
      <c r="E60" s="186"/>
      <c r="F60" s="186"/>
      <c r="G60" s="186"/>
      <c r="H60" s="186"/>
      <c r="I60" s="186"/>
      <c r="J60" s="186"/>
      <c r="K60" s="187"/>
    </row>
    <row r="61">
      <c r="B61" s="323" t="inlineStr">
        <is>
          <t>3</t>
        </is>
      </c>
      <c r="C61" s="186" t="inlineStr">
        <is>
          <t>Dual-year подход (FY2027 пик + FY2028 нормализация) даёт справедливый диапазон 3,597 – 6,806 млн ₽ (midpoint ~5,202). Two-tier GM снизил FY2028 EBITDA до 614.39.</t>
        </is>
      </c>
      <c r="D61" s="186"/>
      <c r="E61" s="186"/>
      <c r="F61" s="186"/>
      <c r="G61" s="186"/>
      <c r="H61" s="186"/>
      <c r="I61" s="186"/>
      <c r="J61" s="186"/>
      <c r="K61" s="187"/>
    </row>
    <row r="62">
      <c r="B62" s="323" t="inlineStr">
        <is>
          <t>4</t>
        </is>
      </c>
      <c r="C62" s="186" t="inlineStr">
        <is>
          <t>Пик выручки в FY2027 (2 475 млн ₽) обусловлен плотным релизным графиком: 3 проекта в Q2-Q3, серийный контент в Q1-Q2.</t>
        </is>
      </c>
      <c r="D62" s="186"/>
      <c r="E62" s="186"/>
      <c r="F62" s="186"/>
      <c r="G62" s="186"/>
      <c r="H62" s="186"/>
      <c r="I62" s="186"/>
      <c r="J62" s="186"/>
      <c r="K62" s="187"/>
    </row>
    <row r="63">
      <c r="B63" s="323" t="inlineStr">
        <is>
          <t>5</t>
        </is>
      </c>
      <c r="C63" s="186" t="inlineStr">
        <is>
          <t>FY2028 (1 500 млн ₽) — нормализованный год: хвост фильмовых доходов + запуск сериалов.</t>
        </is>
      </c>
      <c r="D63" s="186"/>
      <c r="E63" s="186"/>
      <c r="F63" s="186"/>
      <c r="G63" s="186"/>
      <c r="H63" s="186"/>
      <c r="I63" s="186"/>
      <c r="J63" s="186"/>
      <c r="K63" s="187"/>
    </row>
    <row r="64">
      <c r="B64" s="323" t="inlineStr">
        <is>
          <t>6</t>
        </is>
      </c>
      <c r="C64" s="186" t="inlineStr">
        <is>
          <t>Оптимальный exit для ТрендСтудио: strategic sale с EV/EBITDA 6-8× в 2029-2030 при подтверждённом track record.</t>
        </is>
      </c>
      <c r="D64" s="186"/>
      <c r="E64" s="186"/>
      <c r="F64" s="186"/>
      <c r="G64" s="186"/>
      <c r="H64" s="186"/>
      <c r="I64" s="186"/>
      <c r="J64" s="186"/>
      <c r="K64" s="187"/>
    </row>
    <row r="65">
      <c r="B65" s="323" t="inlineStr">
        <is>
          <t>7</t>
        </is>
      </c>
      <c r="C65" s="186" t="inlineStr">
        <is>
          <t>Pre-IPO секундарный раунд (как ivi 2018/2023) — альтернативный маршрут с премией 15-25% к базовому мультиплу.</t>
        </is>
      </c>
      <c r="D65" s="186"/>
      <c r="E65" s="186"/>
      <c r="F65" s="186"/>
      <c r="G65" s="186"/>
      <c r="H65" s="186"/>
      <c r="I65" s="186"/>
      <c r="J65" s="186"/>
      <c r="K65" s="187"/>
    </row>
    <row r="37">
      <c r="B37" t="inlineStr">
        <is>
          <t>Методология: пик выручки в FY2027 (2 475 млн ₽), нормализация в FY2028 (1 500 млн ₽). Dual-year даёт справедливый диапазон для циклического бизнеса.</t>
        </is>
      </c>
    </row>
    <row r="43">
      <c r="B43" t="inlineStr">
        <is>
          <t>Среднее EV FY2027 (пиковый):</t>
        </is>
      </c>
      <c r="G43">
        <v>6806.1</v>
      </c>
    </row>
    <row r="45">
      <c r="B45" t="inlineStr">
        <is>
          <t>B. FY2028 (НОРМАЛИЗОВАННЫЙ ГОД)</t>
        </is>
      </c>
      <c r="C45" t="inlineStr">
        <is>
          <t>ТрендСтудио FY2028</t>
        </is>
      </c>
      <c r="D45" t="inlineStr">
        <is>
          <t>Мультипл (median)</t>
        </is>
      </c>
      <c r="E45" t="inlineStr">
        <is>
          <t>Implied EV</t>
        </is>
      </c>
      <c r="F45" t="inlineStr">
        <is>
          <t>Дисконт (−20% execution)</t>
        </is>
      </c>
      <c r="G45" t="inlineStr">
        <is>
          <t>EV после дисконта</t>
        </is>
      </c>
    </row>
    <row r="47">
      <c r="B47" t="inlineStr">
        <is>
          <t>EV / EBITDA (РФ median)</t>
        </is>
      </c>
      <c r="C47">
        <v>614.39</v>
      </c>
      <c r="D47" t="inlineStr">
        <is>
          <t>8.0×</t>
        </is>
      </c>
      <c r="E47">
        <v>4915.1</v>
      </c>
      <c r="F47" t="inlineStr">
        <is>
          <t>−20%</t>
        </is>
      </c>
      <c r="G47">
        <v>3932.1</v>
      </c>
    </row>
    <row r="57">
      <c r="B57" t="inlineStr">
        <is>
          <t>IV. КЛЮЧЕВЫЕ ВЫВОДЫ ИЗ PRECEDENTS (обновлено v3-03)</t>
        </is>
      </c>
    </row>
    <row r="59">
      <c r="B59" t="inlineStr">
        <is>
          <t>1</t>
        </is>
      </c>
      <c r="C59" t="inlineStr">
        <is>
          <t>Медианный EV/EBITDA РФ (2018-2025) = 8.0×; для ТрендСтудио при пиковом FY2027 это даёт EV 8 053 млн ₽ (после 20% дисконта).</t>
        </is>
      </c>
    </row>
    <row r="66">
      <c r="B66" t="inlineStr">
        <is>
          <t>8</t>
        </is>
      </c>
      <c r="C66" t="inlineStr">
        <is>
          <t>Minority stake sale (25-40%) даёт лучший мультипл, чем control premium в условиях РФ liquidity discount.</t>
        </is>
      </c>
    </row>
    <row r="68">
      <c r="B68" t="inlineStr">
        <is>
          <t>V. ИСТОЧНИКИ СДЕЛОК</t>
        </is>
      </c>
    </row>
    <row r="70">
      <c r="B70" t="inlineStr">
        <is>
          <t>• ТАСС, Коммерсант, Ведомости — российские сделки</t>
        </is>
      </c>
    </row>
    <row r="71">
      <c r="B71" t="inlineStr">
        <is>
          <t>• Bloomberg, Reuters, Financial Times — глобальные сделки</t>
        </is>
      </c>
    </row>
    <row r="72">
      <c r="B72" t="inlineStr">
        <is>
          <t>• Reuters Refinitiv M&amp;A database</t>
        </is>
      </c>
    </row>
    <row r="73">
      <c r="B73" t="inlineStr">
        <is>
          <t>• SEC 10-K отчётности публичных компаний (Disney, Paramount, Warner, Amazon)</t>
        </is>
      </c>
    </row>
    <row r="74">
      <c r="B74" t="inlineStr">
        <is>
          <t>• S&amp;P Capital IQ</t>
        </is>
      </c>
    </row>
    <row r="75">
      <c r="B75" t="inlineStr">
        <is>
          <t>• Прим.: EBITDA-мультипликаторы для некоторых сделок оценены на базе публичных данных</t>
        </is>
      </c>
    </row>
    <row r="56">
      <c r="B56" t="inlineStr">
        <is>
          <t/>
        </is>
      </c>
      <c r="C56" t="inlineStr">
        <is>
          <t/>
        </is>
      </c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(ключевые показатели)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П05 «Сказка наяву» (семейный), П02 «Два сердца»</t>
        </is>
      </c>
      <c r="G9" s="322" t="inlineStr">
        <is>
          <t>2 из 7 проектов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П01 «Родные стены», П03 «Ночной патруль» (исторический)</t>
        </is>
      </c>
      <c r="G10" s="322" t="inlineStr">
        <is>
          <t>2 из 7 проектов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(7 проектов), объём 1 850 млн ₽</t>
        </is>
      </c>
      <c r="G11" s="322" t="inlineStr">
        <is>
          <t>12/7 проектов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(Цифровой) distribution (распределение), VFX (визуальные эффекты)-pipelines,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(ключевые показатели)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(Посещаемость)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(кассовые сборы)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 (Капзатраты); остальное — T₁ инвестор + producer equity (доля в капитале)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П03 «Ночной патруль», П05 «Сказка наяву»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П01 «Родные стены», П05 «Сказка наяву», П06С «Северный ветер»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 (визуальные эффекты)-центр,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(РЕГУЛЯТОРНОЕ СООТВЕТСТВИЕ)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/>
      <c r="D72" s="186"/>
      <c r="E72" s="186"/>
      <c r="F72" s="186"/>
      <c r="G72" s="186"/>
      <c r="H72" s="186"/>
      <c r="I72" s="186"/>
      <c r="J72" s="186"/>
      <c r="K72" s="187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/>
      <c r="D73" s="186"/>
      <c r="E73" s="186"/>
      <c r="F73" s="186"/>
      <c r="G73" s="186"/>
      <c r="H73" s="186"/>
      <c r="I73" s="186"/>
      <c r="J73" s="186"/>
      <c r="K73" s="187"/>
    </row>
    <row r="74">
      <c r="B74" s="323" t="inlineStr">
        <is>
          <t>• Национальный проект «Культура» (паспорт 2019–2024, продление 2025–2030)</t>
        </is>
      </c>
      <c r="C74" s="186"/>
      <c r="D74" s="186"/>
      <c r="E74" s="186"/>
      <c r="F74" s="186"/>
      <c r="G74" s="186"/>
      <c r="H74" s="186"/>
      <c r="I74" s="186"/>
      <c r="J74" s="186"/>
      <c r="K74" s="187"/>
    </row>
    <row r="75">
      <c r="B75" s="323" t="inlineStr">
        <is>
          <t>• Нацпроект «Семья» 2025–2030 (приоритеты Минкультуры)</t>
        </is>
      </c>
      <c r="C75" s="186"/>
      <c r="D75" s="186"/>
      <c r="E75" s="186"/>
      <c r="F75" s="186"/>
      <c r="G75" s="186"/>
      <c r="H75" s="186"/>
      <c r="I75" s="186"/>
      <c r="J75" s="186"/>
      <c r="K75" s="187"/>
    </row>
    <row r="76">
      <c r="B76" s="323" t="inlineStr">
        <is>
          <t>• Налоговый кодекс РФ, ст. 149 (льготы по НДС для кинопроизводства)</t>
        </is>
      </c>
      <c r="C76" s="186"/>
      <c r="D76" s="186"/>
      <c r="E76" s="186"/>
      <c r="F76" s="186"/>
      <c r="G76" s="186"/>
      <c r="H76" s="186"/>
      <c r="I76" s="186"/>
      <c r="J76" s="186"/>
      <c r="K76" s="187"/>
    </row>
    <row r="77">
      <c r="B77" s="323" t="inlineStr">
        <is>
          <t>• Кремлин.ру — публикации о культурной политике</t>
        </is>
      </c>
      <c r="C77" s="186"/>
      <c r="D77" s="186"/>
      <c r="E77" s="186"/>
      <c r="F77" s="186"/>
      <c r="G77" s="186"/>
      <c r="H77" s="186"/>
      <c r="I77" s="186"/>
      <c r="J77" s="186"/>
      <c r="K77" s="187"/>
    </row>
    <row r="78">
      <c r="B78" s="323" t="inlineStr">
        <is>
          <t>• ТАСС — новости Минкультуры и Фонда кино</t>
        </is>
      </c>
      <c r="C78" s="186"/>
      <c r="D78" s="186"/>
      <c r="E78" s="186"/>
      <c r="F78" s="186"/>
      <c r="G78" s="186"/>
      <c r="H78" s="186"/>
      <c r="I78" s="186"/>
      <c r="J78" s="186"/>
      <c r="K78" s="187"/>
    </row>
    <row r="79">
      <c r="B79" s="323" t="inlineStr">
        <is>
          <t>• Официальный сайт Минкультуры РФ (culture.gov.ru)</t>
        </is>
      </c>
      <c r="C79" s="186"/>
      <c r="D79" s="186"/>
      <c r="E79" s="186"/>
      <c r="F79" s="186"/>
      <c r="G79" s="186"/>
      <c r="H79" s="186"/>
      <c r="I79" s="186"/>
      <c r="J79" s="186"/>
      <c r="K79" s="187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/>
      <c r="D80" s="186"/>
      <c r="E80" s="186"/>
      <c r="F80" s="186"/>
      <c r="G80" s="186"/>
      <c r="H80" s="186"/>
      <c r="I80" s="186"/>
      <c r="J80" s="186"/>
      <c r="K80" s="187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НАЛОГОВЫЙ КАЛЕНДАРЬ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 (совместное предприятие)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>
        <v>0</v>
      </c>
      <c r="D23" s="376">
        <v>0</v>
      </c>
      <c r="E23" s="376">
        <v>0</v>
      </c>
      <c r="F23" s="376">
        <v>57.4</v>
      </c>
      <c r="G23" s="376">
        <v>0</v>
      </c>
      <c r="H23" s="376">
        <v>102.8</v>
      </c>
      <c r="I23" s="376">
        <v>71.5</v>
      </c>
      <c r="J23" s="376">
        <v>82.1</v>
      </c>
      <c r="K23" s="376">
        <v>51.2</v>
      </c>
      <c r="L23" s="376">
        <v>0</v>
      </c>
      <c r="M23" s="376">
        <v>52.3</v>
      </c>
      <c r="N23" s="376">
        <v>43.4</v>
      </c>
      <c r="O23" s="376">
        <v>13.5</v>
      </c>
      <c r="P23" s="376">
        <v>2.6</v>
      </c>
      <c r="Q23" s="376">
        <v>0</v>
      </c>
      <c r="R23" s="376">
        <v>0</v>
      </c>
      <c r="S23" s="373">
        <v>476.8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>
        <v>7.6</v>
      </c>
      <c r="D25" s="379">
        <v>7.6</v>
      </c>
      <c r="E25" s="379">
        <v>7.6</v>
      </c>
      <c r="F25" s="379">
        <v>7.6</v>
      </c>
      <c r="G25" s="379">
        <v>8.2</v>
      </c>
      <c r="H25" s="379">
        <v>8.2</v>
      </c>
      <c r="I25" s="379">
        <v>8.2</v>
      </c>
      <c r="J25" s="379">
        <v>8.2</v>
      </c>
      <c r="K25" s="379">
        <v>8.8</v>
      </c>
      <c r="L25" s="379">
        <v>8.8</v>
      </c>
      <c r="M25" s="379">
        <v>8.8</v>
      </c>
      <c r="N25" s="379">
        <v>8.8</v>
      </c>
      <c r="O25" s="379">
        <v>38.1</v>
      </c>
      <c r="P25" s="379">
        <v>41.1</v>
      </c>
      <c r="Q25" s="379">
        <v>44.4</v>
      </c>
      <c r="R25" s="379">
        <v>48.0</v>
      </c>
      <c r="S25" s="373">
        <v>270.0</v>
      </c>
    </row>
    <row r="26">
      <c r="B26" s="369" t="inlineStr">
        <is>
          <t>НДФЛ (13-15%)</t>
        </is>
      </c>
      <c r="C26" s="382">
        <v>3.4</v>
      </c>
      <c r="D26" s="382">
        <v>3.4</v>
      </c>
      <c r="E26" s="382">
        <v>3.4</v>
      </c>
      <c r="F26" s="382">
        <v>3.4</v>
      </c>
      <c r="G26" s="382">
        <v>3.7</v>
      </c>
      <c r="H26" s="382">
        <v>3.7</v>
      </c>
      <c r="I26" s="382">
        <v>3.7</v>
      </c>
      <c r="J26" s="382">
        <v>3.7</v>
      </c>
      <c r="K26" s="382">
        <v>3.9</v>
      </c>
      <c r="L26" s="382">
        <v>3.9</v>
      </c>
      <c r="M26" s="382">
        <v>3.9</v>
      </c>
      <c r="N26" s="382">
        <v>3.9</v>
      </c>
      <c r="O26" s="382">
        <v>17.0</v>
      </c>
      <c r="P26" s="382">
        <v>18.4</v>
      </c>
      <c r="Q26" s="382">
        <v>19.9</v>
      </c>
      <c r="R26" s="382">
        <v>21.5</v>
      </c>
      <c r="S26" s="373">
        <v>120.8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>
        <v>32.0</v>
      </c>
    </row>
    <row r="28">
      <c r="B28" s="432" t="inlineStr">
        <is>
          <t>ИТОГО НАЛОГИ</t>
        </is>
      </c>
      <c r="C28" s="373">
        <v>13.0</v>
      </c>
      <c r="D28" s="373">
        <v>13.0</v>
      </c>
      <c r="E28" s="373">
        <v>13.0</v>
      </c>
      <c r="F28" s="373">
        <v>70.4</v>
      </c>
      <c r="G28" s="373">
        <v>13.9</v>
      </c>
      <c r="H28" s="373">
        <v>116.7</v>
      </c>
      <c r="I28" s="373">
        <v>85.4</v>
      </c>
      <c r="J28" s="373">
        <v>96.0</v>
      </c>
      <c r="K28" s="373">
        <v>65.9</v>
      </c>
      <c r="L28" s="373">
        <v>14.7</v>
      </c>
      <c r="M28" s="373">
        <v>67.0</v>
      </c>
      <c r="N28" s="373">
        <v>58.1</v>
      </c>
      <c r="O28" s="373">
        <v>70.6</v>
      </c>
      <c r="P28" s="373">
        <v>64.1</v>
      </c>
      <c r="Q28" s="373">
        <v>66.3</v>
      </c>
      <c r="R28" s="373">
        <v>71.5</v>
      </c>
      <c r="S28" s="433">
        <v>899.6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 (Выручка)</t>
        </is>
      </c>
    </row>
    <row r="33">
      <c r="B33" s="365" t="inlineStr">
        <is>
          <t>3Y (2026-2028)</t>
        </is>
      </c>
      <c r="C33" s="376">
        <v>460.7</v>
      </c>
      <c r="D33" s="376">
        <v>98.4</v>
      </c>
      <c r="E33" s="376">
        <v>44.0</v>
      </c>
      <c r="F33" s="376">
        <v>24.0</v>
      </c>
      <c r="G33" s="373">
        <v>627.1</v>
      </c>
      <c r="H33" s="377">
        <v>0.138</v>
      </c>
    </row>
    <row r="34">
      <c r="B34" s="369" t="inlineStr">
        <is>
          <t>Tail (Хвостовой период) (2029-2032)</t>
        </is>
      </c>
      <c r="C34" s="382">
        <v>16.1</v>
      </c>
      <c r="D34" s="382">
        <v>171.6</v>
      </c>
      <c r="E34" s="382">
        <v>76.8</v>
      </c>
      <c r="F34" s="382">
        <v>8.0</v>
      </c>
      <c r="G34" s="434">
        <v>272.5</v>
      </c>
      <c r="H34" s="383">
        <v>0.2595</v>
      </c>
    </row>
    <row r="35">
      <c r="B35" s="432" t="inlineStr">
        <is>
          <t>7Y ИТОГО</t>
        </is>
      </c>
      <c r="C35" s="435">
        <v>476.8</v>
      </c>
      <c r="D35" s="435">
        <v>270.0</v>
      </c>
      <c r="E35" s="435">
        <v>120.8</v>
      </c>
      <c r="F35" s="435">
        <v>32.0</v>
      </c>
      <c r="G35" s="435">
        <v>899.6</v>
      </c>
      <c r="H35" s="436">
        <v>0.1608</v>
      </c>
    </row>
    <row r="38">
      <c r="B38" s="320" t="inlineStr">
        <is>
          <t>IV.  КЛЮЧЕВЫЕ ВЫВОДЫ</t>
        </is>
      </c>
    </row>
    <row r="40">
      <c r="B40" s="323" t="inlineStr">
        <is>
          <t>1. Общий объём налогов 7Y ≈ 900 млн ₽ (16.1% от Revenue)</t>
        </is>
      </c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7"/>
    </row>
    <row r="41">
      <c r="B41" s="323" t="inlineStr">
        <is>
          <t>2. 3Y net tax burden ≈ 627 млн ₽, из которых налог на прибыль ~461 млн ₽ (основной)</t>
        </is>
      </c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7"/>
    </row>
    <row r="42">
      <c r="B42" s="323" t="inlineStr">
        <is>
          <t>3. НДС 0% — ключевая льгота: экономия ~800 млн ₽ vs стандартная ставка 20%</t>
        </is>
      </c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7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7"/>
    </row>
    <row r="44">
      <c r="B44" s="323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7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7"/>
    </row>
    <row r="46">
      <c r="B46" s="323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7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7"/>
    </row>
    <row r="52">
      <c r="B52" s="323" t="inlineStr">
        <is>
          <t>• ФНС России — разъяснения по НДС в сфере культуры (nalog.gov.ru)</t>
        </is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7"/>
    </row>
    <row r="53">
      <c r="B53" s="323" t="inlineStr">
        <is>
          <t>• Минфин РФ — налоговая политика РФ 2024-2026</t>
        </is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7"/>
    </row>
    <row r="54">
      <c r="B54" s="323" t="inlineStr">
        <is>
          <t>• Федеральный закон № 126-ФЗ «О господдержке кинематографии»</t>
        </is>
      </c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7"/>
    </row>
    <row r="55">
      <c r="B55" s="323" t="inlineStr">
        <is>
          <t>• Постановление Правительства РФ № 1215/2013 (грантовый механизм)</t>
        </is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7"/>
    </row>
    <row r="56">
      <c r="B56" s="323" t="inlineStr">
        <is>
          <t>• Приказы ФНС по возмещению НДС 0% для кинопроизводства</t>
        </is>
      </c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7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(ДОРОЖНАЯ КАРТА) 2026–2032 — КЛЮЧЕВЫЕ МИЛЕСТОНЫ</t>
        </is>
      </c>
    </row>
    <row r="4">
      <c r="B4" s="319" t="inlineStr">
        <is>
          <t>Производство slate, фандрайзинг, governance, exit routes. Critical (Критический) path color-coded.</t>
        </is>
      </c>
    </row>
    <row r="6">
      <c r="B6" s="320" t="inlineStr">
        <is>
          <t>I. PRODUCTION MILESTONES (ПРОИЗВОДСТВЕННЫЕ ВЕХИ) (7 проектов: 5 фильмов + 2 сериала)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t="inlineStr">
        <is>
          <t>П01 Родные стены</t>
        </is>
      </c>
      <c r="C9" t="inlineStr">
        <is>
          <t>Dev</t>
        </is>
      </c>
      <c r="D9" t="inlineStr">
        <is>
          <t>Dev</t>
        </is>
      </c>
      <c r="E9" t="inlineStr">
        <is>
          <t>Shoot (Съёмка)</t>
        </is>
      </c>
      <c r="F9" t="inlineStr">
        <is>
          <t>★Rel</t>
        </is>
      </c>
      <c r="G9" t="inlineStr">
        <is>
          <t>tail</t>
        </is>
      </c>
      <c r="H9" t="inlineStr">
        <is>
          <t>tail</t>
        </is>
      </c>
      <c r="I9" t="inlineStr">
        <is>
          <t>tail</t>
        </is>
      </c>
      <c r="J9" t="inlineStr">
        <is>
          <t>tail</t>
        </is>
      </c>
      <c r="K9" t="inlineStr">
        <is>
          <t>tail</t>
        </is>
      </c>
      <c r="L9" t="inlineStr">
        <is>
          <t>tail</t>
        </is>
      </c>
      <c r="M9" t="inlineStr">
        <is>
          <t>tail</t>
        </is>
      </c>
      <c r="N9" t="inlineStr">
        <is>
          <t>tail</t>
        </is>
      </c>
      <c r="O9" t="inlineStr">
        <is>
          <t>tail</t>
        </is>
      </c>
      <c r="P9" t="inlineStr">
        <is>
          <t>tail</t>
        </is>
      </c>
      <c r="Q9" t="inlineStr">
        <is>
          <t>tail</t>
        </is>
      </c>
      <c r="R9" t="inlineStr">
        <is>
          <t>tail</t>
        </is>
      </c>
    </row>
    <row r="10" ht="22" customHeight="1">
      <c r="B10" t="inlineStr">
        <is>
          <t>П02 Два сердца</t>
        </is>
      </c>
      <c r="C10" t="inlineStr">
        <is>
          <t>Dev</t>
        </is>
      </c>
      <c r="D10" t="inlineStr">
        <is>
          <t>Dev</t>
        </is>
      </c>
      <c r="E10" t="inlineStr">
        <is>
          <t>Dev</t>
        </is>
      </c>
      <c r="F10" t="inlineStr">
        <is>
          <t>Shoot (Съёмка)</t>
        </is>
      </c>
      <c r="G10" t="inlineStr">
        <is>
          <t>Post (Постпродакшн)</t>
        </is>
      </c>
      <c r="H10" t="inlineStr">
        <is>
          <t>★Rel</t>
        </is>
      </c>
      <c r="I10" t="inlineStr">
        <is>
          <t>tail</t>
        </is>
      </c>
      <c r="J10" t="inlineStr">
        <is>
          <t>tail</t>
        </is>
      </c>
      <c r="K10" t="inlineStr">
        <is>
          <t>tail</t>
        </is>
      </c>
      <c r="L10" t="inlineStr">
        <is>
          <t>tail</t>
        </is>
      </c>
      <c r="M10" t="inlineStr">
        <is>
          <t>tail</t>
        </is>
      </c>
      <c r="N10" t="inlineStr">
        <is>
          <t>tail</t>
        </is>
      </c>
      <c r="O10" t="inlineStr">
        <is>
          <t>tail</t>
        </is>
      </c>
      <c r="P10" t="inlineStr">
        <is>
          <t>tail</t>
        </is>
      </c>
      <c r="Q10" t="inlineStr">
        <is>
          <t>tail</t>
        </is>
      </c>
      <c r="R10" t="inlineStr">
        <is>
          <t>tail</t>
        </is>
      </c>
    </row>
    <row r="11" ht="22" customHeight="1">
      <c r="B11" t="inlineStr">
        <is>
          <t>П03 Ночной патруль</t>
        </is>
      </c>
      <c r="D11" t="inlineStr">
        <is>
          <t>Dev</t>
        </is>
      </c>
      <c r="E11" t="inlineStr">
        <is>
          <t>Dev</t>
        </is>
      </c>
      <c r="F11" t="inlineStr">
        <is>
          <t>Dev</t>
        </is>
      </c>
      <c r="G11" t="inlineStr">
        <is>
          <t>Shoot (Съёмка)</t>
        </is>
      </c>
      <c r="H11" t="inlineStr">
        <is>
          <t>★Rel</t>
        </is>
      </c>
      <c r="I11" t="inlineStr">
        <is>
          <t>tail</t>
        </is>
      </c>
      <c r="J11" t="inlineStr">
        <is>
          <t>tail</t>
        </is>
      </c>
      <c r="K11" t="inlineStr">
        <is>
          <t>tail</t>
        </is>
      </c>
      <c r="L11" t="inlineStr">
        <is>
          <t>tail</t>
        </is>
      </c>
      <c r="M11" t="inlineStr">
        <is>
          <t>tail</t>
        </is>
      </c>
      <c r="N11" t="inlineStr">
        <is>
          <t>tail</t>
        </is>
      </c>
      <c r="O11" t="inlineStr">
        <is>
          <t>tail</t>
        </is>
      </c>
      <c r="P11" t="inlineStr">
        <is>
          <t>tail</t>
        </is>
      </c>
      <c r="Q11" t="inlineStr">
        <is>
          <t>tail</t>
        </is>
      </c>
      <c r="R11" t="inlineStr">
        <is>
          <t>tail</t>
        </is>
      </c>
    </row>
    <row r="12" ht="22" customHeight="1">
      <c r="B12" t="inlineStr">
        <is>
          <t>П04 Время героев</t>
        </is>
      </c>
      <c r="D12" t="inlineStr">
        <is>
          <t>Dev</t>
        </is>
      </c>
      <c r="E12" t="inlineStr">
        <is>
          <t>Dev</t>
        </is>
      </c>
      <c r="F12" t="inlineStr">
        <is>
          <t>Dev</t>
        </is>
      </c>
      <c r="G12" t="inlineStr">
        <is>
          <t>Dev</t>
        </is>
      </c>
      <c r="H12" t="inlineStr">
        <is>
          <t>Shoot (Съёмка)</t>
        </is>
      </c>
      <c r="I12" t="inlineStr">
        <is>
          <t>★Rel</t>
        </is>
      </c>
      <c r="J12" t="inlineStr">
        <is>
          <t>tail</t>
        </is>
      </c>
      <c r="K12" t="inlineStr">
        <is>
          <t>tail</t>
        </is>
      </c>
      <c r="L12" t="inlineStr">
        <is>
          <t>tail</t>
        </is>
      </c>
      <c r="M12" t="inlineStr">
        <is>
          <t>tail</t>
        </is>
      </c>
      <c r="N12" t="inlineStr">
        <is>
          <t>tail</t>
        </is>
      </c>
      <c r="O12" t="inlineStr">
        <is>
          <t>tail</t>
        </is>
      </c>
      <c r="P12" t="inlineStr">
        <is>
          <t>tail</t>
        </is>
      </c>
      <c r="Q12" t="inlineStr">
        <is>
          <t>tail</t>
        </is>
      </c>
      <c r="R12" t="inlineStr">
        <is>
          <t>tail</t>
        </is>
      </c>
    </row>
    <row r="13" ht="22" customHeight="1">
      <c r="B13" t="inlineStr">
        <is>
          <t>П05 Сказка наяву</t>
        </is>
      </c>
      <c r="E13" t="inlineStr">
        <is>
          <t>Dev</t>
        </is>
      </c>
      <c r="F13" t="inlineStr">
        <is>
          <t>Dev</t>
        </is>
      </c>
      <c r="G13" t="inlineStr">
        <is>
          <t>Dev</t>
        </is>
      </c>
      <c r="H13" t="inlineStr">
        <is>
          <t>Shoot (Съёмка)</t>
        </is>
      </c>
      <c r="I13" t="inlineStr">
        <is>
          <t>Post (Постпродакшн)</t>
        </is>
      </c>
      <c r="J13" t="inlineStr">
        <is>
          <t>★Rel</t>
        </is>
      </c>
      <c r="K13" t="inlineStr">
        <is>
          <t>tail</t>
        </is>
      </c>
      <c r="L13" t="inlineStr">
        <is>
          <t>tail</t>
        </is>
      </c>
      <c r="M13" t="inlineStr">
        <is>
          <t>tail</t>
        </is>
      </c>
      <c r="N13" t="inlineStr">
        <is>
          <t>tail</t>
        </is>
      </c>
      <c r="O13" t="inlineStr">
        <is>
          <t>tail</t>
        </is>
      </c>
      <c r="P13" t="inlineStr">
        <is>
          <t>tail</t>
        </is>
      </c>
      <c r="Q13" t="inlineStr">
        <is>
          <t>tail</t>
        </is>
      </c>
      <c r="R13" t="inlineStr">
        <is>
          <t>tail</t>
        </is>
      </c>
    </row>
    <row r="14" ht="22" customHeight="1">
      <c r="B14" t="inlineStr">
        <is>
          <t>П06С Северный ветер (сериал)</t>
        </is>
      </c>
      <c r="F14" t="inlineStr">
        <is>
          <t>Dev</t>
        </is>
      </c>
      <c r="G14" t="inlineStr">
        <is>
          <t>Dev</t>
        </is>
      </c>
      <c r="H14" t="inlineStr">
        <is>
          <t>Dev</t>
        </is>
      </c>
      <c r="I14" t="inlineStr">
        <is>
          <t>Shoot (Съёмка)</t>
        </is>
      </c>
      <c r="J14" t="inlineStr">
        <is>
          <t>Post (Постпродакшн)</t>
        </is>
      </c>
      <c r="K14" t="inlineStr">
        <is>
          <t>★Rel</t>
        </is>
      </c>
      <c r="L14" t="inlineStr">
        <is>
          <t>tail</t>
        </is>
      </c>
      <c r="M14" t="inlineStr">
        <is>
          <t>tail</t>
        </is>
      </c>
      <c r="N14" t="inlineStr">
        <is>
          <t>tail</t>
        </is>
      </c>
      <c r="O14" t="inlineStr">
        <is>
          <t>tail</t>
        </is>
      </c>
      <c r="P14" t="inlineStr">
        <is>
          <t>tail</t>
        </is>
      </c>
      <c r="Q14" t="inlineStr">
        <is>
          <t>tail</t>
        </is>
      </c>
      <c r="R14" t="inlineStr">
        <is>
          <t>tail</t>
        </is>
      </c>
    </row>
    <row r="15" ht="22" customHeight="1">
      <c r="B15" t="inlineStr">
        <is>
          <t>П07С Горизонт событий (сериал)</t>
        </is>
      </c>
      <c r="G15" t="inlineStr">
        <is>
          <t>Dev</t>
        </is>
      </c>
      <c r="H15" t="inlineStr">
        <is>
          <t>Dev</t>
        </is>
      </c>
      <c r="I15" t="inlineStr">
        <is>
          <t>Dev</t>
        </is>
      </c>
      <c r="J15" t="inlineStr">
        <is>
          <t>Shoot (Съёмка)</t>
        </is>
      </c>
      <c r="K15" t="inlineStr">
        <is>
          <t>Post (Постпродакшн)</t>
        </is>
      </c>
      <c r="L15" t="inlineStr">
        <is>
          <t>Post (Постпродакшн)</t>
        </is>
      </c>
      <c r="M15" t="inlineStr">
        <is>
          <t>★Rel</t>
        </is>
      </c>
      <c r="N15" t="inlineStr">
        <is>
          <t>tail</t>
        </is>
      </c>
      <c r="O15" t="inlineStr">
        <is>
          <t>tail</t>
        </is>
      </c>
      <c r="P15" t="inlineStr">
        <is>
          <t>tail</t>
        </is>
      </c>
      <c r="Q15" t="inlineStr">
        <is>
          <t>tail</t>
        </is>
      </c>
      <c r="R15" t="inlineStr">
        <is>
          <t>tail</t>
        </is>
      </c>
    </row>
    <row r="16" ht="22" customHeight="1"/>
    <row r="17" ht="22" customHeight="1"/>
    <row r="18" ht="22" customHeight="1"/>
    <row r="19" ht="22" customHeight="1"/>
    <row r="20" ht="22" customHeight="1"/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 (Съёмка)</t>
        </is>
      </c>
      <c r="E22" s="445" t="inlineStr">
        <is>
          <t>Post (Постпродакшн)</t>
        </is>
      </c>
      <c r="F22" s="446" t="inlineStr">
        <is>
          <t>★Rel Release (Релиз)</t>
        </is>
      </c>
      <c r="G22" s="447" t="inlineStr">
        <is>
          <t>tail (хвостовой период) Tail (Хвостовой период) rev.</t>
        </is>
      </c>
    </row>
    <row r="24">
      <c r="B24" s="320" t="inlineStr">
        <is>
          <t>II.  ФАНДРЕЙЗИНГ И ФИНАНСОВЫЕ ВЕХИ (ФАНДРЕЙЗИНГ И ФИНАНСОВЫЕ ВЕХИ)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(Транш) 1 (20% = 250)</t>
        </is>
      </c>
      <c r="C27" s="439" t="inlineStr">
        <is>
          <t>★ 250 млн ₽</t>
        </is>
      </c>
      <c r="D27" s="441"/>
      <c r="E27" s="441"/>
      <c r="F27" s="441"/>
      <c r="G27" s="441"/>
      <c r="H27" s="441"/>
      <c r="I27" s="441"/>
      <c r="J27" s="441"/>
      <c r="K27" s="441"/>
      <c r="L27" s="441"/>
      <c r="M27" s="441"/>
      <c r="N27" s="441"/>
      <c r="O27" s="441"/>
      <c r="P27" s="441"/>
      <c r="Q27" s="441"/>
      <c r="R27" s="441"/>
    </row>
    <row r="28" ht="22" customHeight="1">
      <c r="B28" s="448" t="inlineStr">
        <is>
          <t>T₁ Tranche (Транш) 2 (28% = 350)</t>
        </is>
      </c>
      <c r="C28" s="441"/>
      <c r="D28" s="439" t="inlineStr">
        <is>
          <t>★ 350 млн ₽</t>
        </is>
      </c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</row>
    <row r="29" ht="22" customHeight="1">
      <c r="B29" s="448" t="inlineStr">
        <is>
          <t>T₁ Tranche (Транш) 3 (28% = 350)</t>
        </is>
      </c>
      <c r="C29" s="441"/>
      <c r="D29" s="441"/>
      <c r="E29" s="439" t="inlineStr">
        <is>
          <t>★ 350 млн ₽</t>
        </is>
      </c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  <c r="R29" s="441"/>
    </row>
    <row r="30" ht="22" customHeight="1">
      <c r="B30" s="448" t="inlineStr">
        <is>
          <t>T₁ Tranche (Транш) 4 (24% = 300)</t>
        </is>
      </c>
      <c r="C30" s="441"/>
      <c r="D30" s="441"/>
      <c r="E30" s="441"/>
      <c r="F30" s="439" t="inlineStr">
        <is>
          <t>★ 300 млн ₽</t>
        </is>
      </c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</row>
    <row r="32" ht="22" customHeight="1">
      <c r="B32" s="448" t="inlineStr">
        <is>
          <t>ФКП грант раунд 2</t>
        </is>
      </c>
      <c r="C32" s="441"/>
      <c r="D32" s="441"/>
      <c r="E32" s="441"/>
      <c r="F32" s="441"/>
      <c r="G32" s="449" t="inlineStr">
        <is>
          <t>ФКП 220</t>
        </is>
      </c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</row>
    <row r="33" ht="22" customHeight="1">
      <c r="B33" s="448" t="inlineStr">
        <is>
          <t>ФКП грант раунд 3</t>
        </is>
      </c>
      <c r="C33" s="441"/>
      <c r="D33" s="441"/>
      <c r="E33" s="441"/>
      <c r="F33" s="441"/>
      <c r="G33" s="441"/>
      <c r="H33" s="441"/>
      <c r="I33" s="441"/>
      <c r="J33" s="441"/>
      <c r="K33" s="449" t="inlineStr">
        <is>
          <t>ФКП 120</t>
        </is>
      </c>
      <c r="L33" s="441"/>
      <c r="M33" s="441"/>
      <c r="N33" s="441"/>
      <c r="O33" s="441"/>
      <c r="P33" s="441"/>
      <c r="Q33" s="441"/>
      <c r="R33" s="441"/>
    </row>
    <row r="34" ht="22" customHeight="1">
      <c r="B34" s="448" t="inlineStr">
        <is>
          <t>ИРИ раунд</t>
        </is>
      </c>
      <c r="C34" s="441"/>
      <c r="D34" s="441"/>
      <c r="E34" s="449" t="inlineStr">
        <is>
          <t>ИРИ 150</t>
        </is>
      </c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</row>
    <row r="35" ht="22" customHeight="1">
      <c r="B35" s="448" t="inlineStr">
        <is>
          <t>Producer equity (капитал продюсера) (JV (совместное предприятие))</t>
        </is>
      </c>
      <c r="C35" s="449" t="inlineStr">
        <is>
          <t>600 equity (доля в капитале)</t>
        </is>
      </c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41"/>
      <c r="R35" s="441"/>
    </row>
    <row r="36" ht="22" customHeight="1">
      <c r="B36" s="448" t="inlineStr">
        <is>
          <t>Возобновляемая кредитная линия (Возобновляемая кредитная линия)</t>
        </is>
      </c>
      <c r="C36" s="441"/>
      <c r="D36" s="441"/>
      <c r="E36" s="441"/>
      <c r="F36" s="449" t="inlineStr">
        <is>
          <t>200 ВКЛ</t>
        </is>
      </c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  <c r="R36" s="441"/>
    </row>
    <row r="37" ht="22" customHeight="1">
      <c r="B37" s="448" t="inlineStr">
        <is>
          <t>T₁ Repayment 1 (Возврат 1) (300)</t>
        </is>
      </c>
      <c r="C37" s="441"/>
      <c r="D37" s="441"/>
      <c r="E37" s="441"/>
      <c r="F37" s="441"/>
      <c r="G37" s="441"/>
      <c r="H37" s="441"/>
      <c r="I37" s="441"/>
      <c r="J37" s="441"/>
      <c r="K37" s="441"/>
      <c r="L37" s="441"/>
      <c r="M37" s="441"/>
      <c r="N37" s="441"/>
      <c r="O37" s="450" t="inlineStr">
        <is>
          <t>−300</t>
        </is>
      </c>
      <c r="P37" s="441"/>
      <c r="Q37" s="441"/>
      <c r="R37" s="441"/>
    </row>
    <row r="38" ht="22" customHeight="1">
      <c r="B38" s="448" t="inlineStr">
        <is>
          <t>T₁ Repayment 2 (Возврат 2) (700)</t>
        </is>
      </c>
      <c r="C38" s="441"/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50" t="inlineStr">
        <is>
          <t>−700</t>
        </is>
      </c>
      <c r="Q38" s="441"/>
      <c r="R38" s="441"/>
    </row>
    <row r="39" ht="22" customHeight="1">
      <c r="B39" s="448" t="inlineStr">
        <is>
          <t>T₁ Repayment 3 (Возврат 3) (500)</t>
        </is>
      </c>
      <c r="C39" s="441"/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50" t="inlineStr">
        <is>
          <t>−500</t>
        </is>
      </c>
      <c r="R39" s="441"/>
    </row>
    <row r="40" ht="22" customHeight="1">
      <c r="B40" s="448" t="inlineStr">
        <is>
          <t>T₁ Final repayment (Финальный возврат)</t>
        </is>
      </c>
      <c r="C40" s="441"/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50" t="inlineStr">
        <is>
          <t>−223</t>
        </is>
      </c>
    </row>
    <row r="43">
      <c r="B43" s="320" t="inlineStr">
        <is>
          <t>III. GOVERNANCE &amp; REPORTING (УПРАВЛЕНИЕ И ОТЧЁТНОСТЬ)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Заседание совета (Заседание совета директоров)</t>
        </is>
      </c>
      <c r="C46" s="451" t="inlineStr">
        <is>
          <t>BM</t>
        </is>
      </c>
      <c r="D46" s="441"/>
      <c r="E46" s="451" t="inlineStr">
        <is>
          <t>BM</t>
        </is>
      </c>
      <c r="F46" s="441"/>
      <c r="G46" s="451" t="inlineStr">
        <is>
          <t>BM</t>
        </is>
      </c>
      <c r="H46" s="441"/>
      <c r="I46" s="451" t="inlineStr">
        <is>
          <t>BM</t>
        </is>
      </c>
      <c r="J46" s="441"/>
      <c r="K46" s="451" t="inlineStr">
        <is>
          <t>BM</t>
        </is>
      </c>
      <c r="L46" s="441"/>
      <c r="M46" s="451" t="inlineStr">
        <is>
          <t>BM</t>
        </is>
      </c>
      <c r="N46" s="441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(Инвестор)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/>
      <c r="P47" s="441"/>
      <c r="Q47" s="441"/>
      <c r="R47" s="441"/>
    </row>
    <row r="48" ht="22" customHeight="1">
      <c r="B48" s="448" t="inlineStr">
        <is>
          <t>Audit (Аудит)</t>
        </is>
      </c>
      <c r="C48" s="441"/>
      <c r="D48" s="441"/>
      <c r="E48" s="441"/>
      <c r="F48" s="451" t="inlineStr">
        <is>
          <t>Audit (Аудит)</t>
        </is>
      </c>
      <c r="G48" s="441"/>
      <c r="H48" s="441"/>
      <c r="I48" s="441"/>
      <c r="J48" s="451" t="inlineStr">
        <is>
          <t>Audit (Аудит)</t>
        </is>
      </c>
      <c r="K48" s="441"/>
      <c r="L48" s="441"/>
      <c r="M48" s="441"/>
      <c r="N48" s="451" t="inlineStr">
        <is>
          <t>Audit (Аудит)</t>
        </is>
      </c>
      <c r="O48" s="451" t="inlineStr">
        <is>
          <t>Audit (Аудит)</t>
        </is>
      </c>
      <c r="P48" s="451" t="inlineStr">
        <is>
          <t>Audit (Аудит)</t>
        </is>
      </c>
      <c r="Q48" s="451" t="inlineStr">
        <is>
          <t>Audit (Аудит)</t>
        </is>
      </c>
      <c r="R48" s="451" t="inlineStr">
        <is>
          <t>Audit (Аудит)</t>
        </is>
      </c>
    </row>
    <row r="49" ht="22" customHeight="1">
      <c r="B49" s="448" t="inlineStr">
        <is>
          <t>Проверка ковенантов (Проверка ковенантов)</t>
        </is>
      </c>
      <c r="C49" s="441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/>
      <c r="P49" s="441"/>
      <c r="Q49" s="441"/>
      <c r="R49" s="441"/>
    </row>
    <row r="50" ht="22" customHeight="1">
      <c r="B50" s="448" t="inlineStr">
        <is>
          <t>Strategic (Стратегический) review (Стратегический обзор)</t>
        </is>
      </c>
      <c r="C50" s="441"/>
      <c r="D50" s="441"/>
      <c r="E50" s="441"/>
      <c r="F50" s="441"/>
      <c r="G50" s="441"/>
      <c r="H50" s="451" t="inlineStr">
        <is>
          <t>Rev</t>
        </is>
      </c>
      <c r="I50" s="441"/>
      <c r="J50" s="441"/>
      <c r="K50" s="441"/>
      <c r="L50" s="441"/>
      <c r="M50" s="441"/>
      <c r="N50" s="451" t="inlineStr">
        <is>
          <t>Rev</t>
        </is>
      </c>
      <c r="O50" s="441"/>
      <c r="P50" s="451" t="inlineStr">
        <is>
          <t>Rev</t>
        </is>
      </c>
      <c r="Q50" s="441"/>
      <c r="R50" s="451" t="inlineStr">
        <is>
          <t>Rev</t>
        </is>
      </c>
    </row>
    <row r="53">
      <c r="B53" s="320" t="inlineStr">
        <is>
          <t>IV. ВЕХИ МАРШРУТОВ ВЫХОДА</t>
        </is>
      </c>
    </row>
    <row r="55">
      <c r="B55" s="321" t="inlineStr">
        <is>
          <t>Маршрут выхода (Маршрут выхода)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(Стратегический) sale (Стратегическая продажа)</t>
        </is>
      </c>
      <c r="C56" s="441"/>
      <c r="D56" s="441"/>
      <c r="E56" s="441"/>
      <c r="F56" s="441"/>
      <c r="G56" s="441"/>
      <c r="H56" s="441"/>
      <c r="I56" s="441"/>
      <c r="J56" s="441"/>
      <c r="K56" s="441"/>
      <c r="L56" s="441"/>
      <c r="M56" s="441"/>
      <c r="N56" s="441"/>
      <c r="O56" s="441"/>
      <c r="P56" s="452" t="inlineStr">
        <is>
          <t>SS ★</t>
        </is>
      </c>
      <c r="Q56" s="452" t="inlineStr">
        <is>
          <t>SS ★</t>
        </is>
      </c>
      <c r="R56" s="441"/>
    </row>
    <row r="57" ht="22" customHeight="1">
      <c r="B57" s="448" t="inlineStr">
        <is>
          <t>E2: Trade sale (Продажа стратегу) PE</t>
        </is>
      </c>
      <c r="C57" s="441"/>
      <c r="D57" s="441"/>
      <c r="E57" s="441"/>
      <c r="F57" s="441"/>
      <c r="G57" s="441"/>
      <c r="H57" s="441"/>
      <c r="I57" s="441"/>
      <c r="J57" s="441"/>
      <c r="K57" s="441"/>
      <c r="L57" s="441"/>
      <c r="M57" s="441"/>
      <c r="N57" s="441"/>
      <c r="O57" s="441"/>
      <c r="P57" s="441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(первичное размещение) (small-cap Мосбиржа)</t>
        </is>
      </c>
      <c r="C58" s="441"/>
      <c r="D58" s="441"/>
      <c r="E58" s="441"/>
      <c r="F58" s="441"/>
      <c r="G58" s="441"/>
      <c r="H58" s="441"/>
      <c r="I58" s="441"/>
      <c r="J58" s="441"/>
      <c r="K58" s="441"/>
      <c r="L58" s="441"/>
      <c r="M58" s="441"/>
      <c r="N58" s="441"/>
      <c r="O58" s="441"/>
      <c r="P58" s="441"/>
      <c r="Q58" s="452" t="inlineStr">
        <is>
          <t>IPO (первичное размещение)</t>
        </is>
      </c>
      <c r="R58" s="452" t="inlineStr">
        <is>
          <t>IPO (первичное размещение)</t>
        </is>
      </c>
    </row>
    <row r="59" ht="22" customHeight="1">
      <c r="B59" s="448" t="inlineStr">
        <is>
          <t>E4: Secondary (Вторичный) sale (Вторичная продажа)</t>
        </is>
      </c>
      <c r="C59" s="441"/>
      <c r="D59" s="441"/>
      <c r="E59" s="441"/>
      <c r="F59" s="441"/>
      <c r="G59" s="441"/>
      <c r="H59" s="441"/>
      <c r="I59" s="441"/>
      <c r="J59" s="441"/>
      <c r="K59" s="441"/>
      <c r="L59" s="441"/>
      <c r="M59" s="441"/>
      <c r="N59" s="441"/>
      <c r="O59" s="452" t="inlineStr">
        <is>
          <t>Sec</t>
        </is>
      </c>
      <c r="P59" s="452" t="inlineStr">
        <is>
          <t>Sec</t>
        </is>
      </c>
      <c r="Q59" s="441"/>
      <c r="R59" s="441"/>
    </row>
    <row r="60" ht="22" customHeight="1">
      <c r="B60" s="448" t="inlineStr">
        <is>
          <t>E5: Management buyout (Выкуп менеджментом)</t>
        </is>
      </c>
      <c r="C60" s="441"/>
      <c r="D60" s="441"/>
      <c r="E60" s="441"/>
      <c r="F60" s="441"/>
      <c r="G60" s="441"/>
      <c r="H60" s="441"/>
      <c r="I60" s="441"/>
      <c r="J60" s="441"/>
      <c r="K60" s="441"/>
      <c r="L60" s="441"/>
      <c r="M60" s="441"/>
      <c r="N60" s="441"/>
      <c r="O60" s="441"/>
      <c r="P60" s="441"/>
      <c r="Q60" s="441"/>
      <c r="R60" s="452" t="inlineStr">
        <is>
          <t>MBO</t>
        </is>
      </c>
    </row>
    <row r="61" ht="22" customHeight="1">
      <c r="B61" s="448" t="inlineStr">
        <is>
          <t>E6: Gov strategic (Гос. стратегический)</t>
        </is>
      </c>
      <c r="C61" s="441"/>
      <c r="D61" s="441"/>
      <c r="E61" s="441"/>
      <c r="F61" s="441"/>
      <c r="G61" s="441"/>
      <c r="H61" s="441"/>
      <c r="I61" s="441"/>
      <c r="J61" s="441"/>
      <c r="K61" s="441"/>
      <c r="L61" s="441"/>
      <c r="M61" s="441"/>
      <c r="N61" s="441"/>
      <c r="O61" s="441"/>
      <c r="P61" s="452" t="inlineStr">
        <is>
          <t>Gov</t>
        </is>
      </c>
      <c r="Q61" s="452" t="inlineStr">
        <is>
          <t>Gov</t>
        </is>
      </c>
      <c r="R61" s="441"/>
    </row>
    <row r="62" ht="22" customHeight="1">
      <c r="B62" s="448" t="inlineStr">
        <is>
          <t>E7: Wind-down (Свёртывание/удержание)</t>
        </is>
      </c>
      <c r="C62" s="441"/>
      <c r="D62" s="441"/>
      <c r="E62" s="441"/>
      <c r="F62" s="441"/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1"/>
      <c r="R62" s="453" t="inlineStr">
        <is>
          <t>WD</t>
        </is>
      </c>
    </row>
    <row r="65">
      <c r="B65" s="454" t="inlineStr">
        <is>
          <t>V. КРИТИЧЕСКИЙ ПУТЬ</t>
        </is>
      </c>
    </row>
    <row r="67">
      <c r="B67" s="323" t="inlineStr">
        <is>
          <t>• Q1'26: T₁ Tranche 1 250 млн ₽ → старт Dev П01–П05</t>
        </is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7"/>
    </row>
    <row r="68">
      <c r="B68" s="323" t="inlineStr">
        <is>
          <t>• Q2'26: Tranche 2 350 → Shoot П01, Dev П02–П04</t>
        </is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7"/>
    </row>
    <row r="69">
      <c r="B69" s="323" t="inlineStr">
        <is>
          <t>• Q3'26: Tranche 3 350 → Shoot П02, Dev П03–П05, pre-production П06С</t>
        </is>
      </c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7"/>
    </row>
    <row r="70">
      <c r="B70" s="323" t="inlineStr">
        <is>
          <t>• Q4'26: Tranche 4 300 + Release П01 → первый revenue impulse (570 млн ₽)</t>
        </is>
      </c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7"/>
    </row>
    <row r="71">
      <c r="B71" s="323" t="inlineStr">
        <is>
          <t>• Q2'27: Release П02 + П03 → основной revenue импульс (980 млн ₽)</t>
        </is>
      </c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7"/>
    </row>
    <row r="72">
      <c r="B72" s="323" t="inlineStr">
        <is>
          <t>• Q3'27: Release П04 «Время героев» → 700 млн ₽ проверка блокбастер-гипотезы</t>
        </is>
      </c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7"/>
    </row>
    <row r="73">
      <c r="B73" s="323" t="inlineStr">
        <is>
          <t>• Q4'27: Release П05 + mid-term review → решение о dark horse сериалах</t>
        </is>
      </c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7"/>
    </row>
    <row r="74">
      <c r="B74" s="323" t="inlineStr">
        <is>
          <t>• Q1'28: Release П06С «Северный ветер» (сериал) → cash flow breakpoint (520 млн ₽)</t>
        </is>
      </c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7"/>
    </row>
    <row r="75">
      <c r="B75" s="323" t="inlineStr">
        <is>
          <t>• Q3'28: Release П07С «Горизонт событий» + full slate completed → start exit prep</t>
        </is>
      </c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7"/>
    </row>
    <row r="76">
      <c r="B76" s="323" t="inlineStr">
        <is>
          <t>• 2029: Q1 — covenant pass или W₅ V-D ★ activation (default v1.0.1) / W₄ premium upgrade decision</t>
        </is>
      </c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7"/>
    </row>
    <row r="77">
      <c r="B77" s="323" t="inlineStr">
        <is>
          <t>• 2029-2030: Strategic review → exit route selection → T₁ repayment start</t>
        </is>
      </c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7"/>
    </row>
    <row r="78">
      <c r="B78" s="323" t="inlineStr">
        <is>
          <t>• 2030-2032: Исполнение выхода + полный возврат T₁ + монетизация библиотеки</t>
        </is>
      </c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7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(Условия сделки) + SPA</t>
        </is>
      </c>
      <c r="E84" s="455" t="inlineStr">
        <is>
          <t>Critical (Критический)</t>
        </is>
      </c>
      <c r="F84" s="323" t="inlineStr">
        <is>
          <t>CFO / Legal (Юрид.)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(Транш) 1 (250 млн ₽)</t>
        </is>
      </c>
      <c r="E85" s="455" t="inlineStr">
        <is>
          <t>Critical (Критический)</t>
        </is>
      </c>
      <c r="F85" s="323" t="inlineStr">
        <is>
          <t>CFO / Совет директоров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П01 «Родные стены»</t>
        </is>
      </c>
      <c r="E86" s="399" t="inlineStr">
        <is>
          <t>High (Высокий)</t>
        </is>
      </c>
      <c r="F86" s="323" t="inlineStr">
        <is>
          <t>Producer (Продюсер) П01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(Транш) 3 + старт съёмок П04</t>
        </is>
      </c>
      <c r="E87" s="455" t="inlineStr">
        <is>
          <t>Critical (Критический)</t>
        </is>
      </c>
      <c r="F87" s="323" t="inlineStr">
        <is>
          <t>CFO + П04 Prod (Производство)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П01</t>
        </is>
      </c>
      <c r="E88" s="399" t="inlineStr">
        <is>
          <t>High (Высокий)</t>
        </is>
      </c>
      <c r="F88" s="323" t="inlineStr">
        <is>
          <t>Distribution (Распределение)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П04 «Время героев» (блокбастер)</t>
        </is>
      </c>
      <c r="E89" s="455" t="inlineStr">
        <is>
          <t>Critical (Критический)</t>
        </is>
      </c>
      <c r="F89" s="323" t="inlineStr">
        <is>
          <t>CEO / Marketing (Маркетинг)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(Промежуточный обзор) + решение по Slate B</t>
        </is>
      </c>
      <c r="E90" s="455" t="inlineStr">
        <is>
          <t>Critical (Критический)</t>
        </is>
      </c>
      <c r="F90" s="323" t="inlineStr">
        <is>
          <t>Совет директоров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(Полный пакет завершён) + начало подготовки к выходу</t>
        </is>
      </c>
      <c r="E91" s="455" t="inlineStr">
        <is>
          <t>Critical (Критический)</t>
        </is>
      </c>
      <c r="F91" s="323" t="inlineStr">
        <is>
          <t>Совет директоров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(Проверка выполнения ковенантов) + T₁ Repayment 1</t>
        </is>
      </c>
      <c r="E92" s="455" t="inlineStr">
        <is>
          <t>Critical (Критический)</t>
        </is>
      </c>
      <c r="F92" s="323" t="inlineStr">
        <is>
          <t>CFO / Совет директоров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Финальный возврат T₁ + исполнение выхода</t>
        </is>
      </c>
      <c r="E93" s="455" t="inlineStr">
        <is>
          <t>Critical (Критический)</t>
        </is>
      </c>
      <c r="F93" s="323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КРАТКОЕ РЕЗЮМЕ (КРАТКОЕ РЕЗЮМЕ)</t>
        </is>
      </c>
    </row>
    <row r="3" ht="18" customHeight="1">
      <c r="B3" s="457" t="inlineStr">
        <is>
          <t>Холдинг кино «ТрендСтудио» — Investor Package (Инвестиционный пакет) v1.0.1 Public — 2026-04-12</t>
        </is>
      </c>
    </row>
    <row r="5" ht="22" customHeight="1">
      <c r="B5" s="458" t="inlineStr">
        <is>
          <t>I. INVESTMENT (ИНВЕСТИЦИИ) HIGHLIGHTS (КЛЮЧЕВЫЕ ПРЕИМУЩЕСТВА ИНВЕСТИЦИИ)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</row>
    <row r="9" ht="28" customHeight="1">
      <c r="B9" s="459" t="inlineStr">
        <is>
          <t>▶</t>
        </is>
      </c>
      <c r="C9" s="460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КЛЮЧЕВЫЕ МЕТРИКИ</t>
        </is>
      </c>
    </row>
    <row r="16" ht="22" customHeight="1">
      <c r="C16" s="321" t="inlineStr">
        <is>
          <t>Показатель</t>
        </is>
      </c>
      <c r="D16" s="187"/>
      <c r="E16" s="321" t="inlineStr">
        <is>
          <t>Σ 2026–2028</t>
        </is>
      </c>
      <c r="F16" s="187"/>
      <c r="G16" s="321" t="inlineStr">
        <is>
          <t>Источник</t>
        </is>
      </c>
      <c r="H16" s="187"/>
      <c r="I16" s="321" t="inlineStr">
        <is>
          <t>Примечание</t>
        </is>
      </c>
      <c r="J16" s="186"/>
      <c r="K16" s="186"/>
      <c r="L16" s="186"/>
      <c r="M16" s="186"/>
      <c r="N16" s="187"/>
    </row>
    <row r="17" ht="20" customHeight="1">
      <c r="C17" s="461" t="inlineStr">
        <is>
          <t>Revenue (Выручка)</t>
        </is>
      </c>
      <c r="D17" s="187"/>
      <c r="E17" s="328" t="inlineStr">
        <is>
          <t>4 545 млн ₽</t>
        </is>
      </c>
      <c r="F17" s="187"/>
      <c r="G17" s="464" t="inlineStr">
        <is>
          <t>07_Revenue_Breakdown</t>
        </is>
      </c>
      <c r="H17" s="187"/>
      <c r="I17" s="465" t="inlineStr">
        <is>
          <t>7 проектов + сиквелы + TV/OTT (онлайн-платформа)</t>
        </is>
      </c>
      <c r="J17" s="186"/>
      <c r="K17" s="186"/>
      <c r="L17" s="186"/>
      <c r="M17" s="186"/>
      <c r="N17" s="187"/>
    </row>
    <row r="18" ht="20" customHeight="1">
      <c r="C18" s="461" t="inlineStr">
        <is>
          <t>COGS (себестоимость)</t>
        </is>
      </c>
      <c r="D18" s="187"/>
      <c r="E18" s="328" t="inlineStr">
        <is>
          <t>2 009 млн ₽</t>
        </is>
      </c>
      <c r="F18" s="187"/>
      <c r="G18" s="464" t="inlineStr">
        <is>
          <t>06_Cost_Structure</t>
        </is>
      </c>
      <c r="H18" s="187"/>
      <c r="I18" s="465" t="inlineStr">
        <is>
          <t>Производство + прокат + маркетинг</t>
        </is>
      </c>
      <c r="J18" s="186"/>
      <c r="K18" s="186"/>
      <c r="L18" s="186"/>
      <c r="M18" s="186"/>
      <c r="N18" s="187"/>
    </row>
    <row r="19" ht="20" customHeight="1">
      <c r="C19" s="461" t="inlineStr">
        <is>
          <t>OpEx</t>
        </is>
      </c>
      <c r="D19" s="187"/>
      <c r="E19" s="328" t="inlineStr">
        <is>
          <t>265.5 млн ₽</t>
        </is>
      </c>
      <c r="F19" s="187"/>
      <c r="G19" s="464" t="inlineStr">
        <is>
          <t>06_Cost_Structure</t>
        </is>
      </c>
      <c r="H19" s="187"/>
      <c r="I19" s="465" t="inlineStr">
        <is>
          <t>ФОТ + аренда + G&amp;A</t>
        </is>
      </c>
      <c r="J19" s="186"/>
      <c r="K19" s="186"/>
      <c r="L19" s="186"/>
      <c r="M19" s="186"/>
      <c r="N19" s="187"/>
    </row>
    <row r="20" ht="20" customHeight="1">
      <c r="C20" s="461" t="inlineStr">
        <is>
          <t>EBITDA (прибыль до вычетов) GAAP</t>
        </is>
      </c>
      <c r="D20" s="187"/>
      <c r="E20" s="328" t="inlineStr">
        <is>
          <t>2 167 млн ₽</t>
        </is>
      </c>
      <c r="F20" s="187"/>
      <c r="G20" s="464" t="inlineStr">
        <is>
          <t>09_P&amp;L_Statement</t>
        </is>
      </c>
      <c r="H20" s="187"/>
      <c r="I20" s="465" t="inlineStr">
        <is>
          <t>Маржа 47.3%</t>
        </is>
      </c>
      <c r="J20" s="186"/>
      <c r="K20" s="186"/>
      <c r="L20" s="186"/>
      <c r="M20" s="186"/>
      <c r="N20" s="187"/>
    </row>
    <row r="21" ht="20" customHeight="1">
      <c r="C21" s="461" t="inlineStr">
        <is>
          <t>NDP (чистые распределяемые поступления) (legacy (базовый вариант) anchor (якорь))</t>
        </is>
      </c>
      <c r="D21" s="187"/>
      <c r="E21" s="328" t="inlineStr">
        <is>
          <t>3 000 млн ₽</t>
        </is>
      </c>
      <c r="F21" s="187"/>
      <c r="G21" s="464" t="inlineStr">
        <is>
          <t>09_P&amp;L (bridge)</t>
        </is>
      </c>
      <c r="H21" s="187"/>
      <c r="I21" s="465" t="inlineStr">
        <is>
          <t>Non-Discounted Profit (Прибыль), внутренний якорь холдинга</t>
        </is>
      </c>
      <c r="J21" s="186"/>
      <c r="K21" s="186"/>
      <c r="L21" s="186"/>
      <c r="M21" s="186"/>
      <c r="N21" s="187"/>
    </row>
    <row r="22" ht="20" customHeight="1">
      <c r="C22" s="461" t="inlineStr">
        <is>
          <t>Net Profit (Чистая прибыль)</t>
        </is>
      </c>
      <c r="D22" s="187"/>
      <c r="E22" s="328" t="inlineStr">
        <is>
          <t>1 698 млн ₽</t>
        </is>
      </c>
      <c r="F22" s="187"/>
      <c r="G22" s="464" t="inlineStr">
        <is>
          <t>09_P&amp;L_Statement</t>
        </is>
      </c>
      <c r="H22" s="187"/>
      <c r="I22" s="465" t="inlineStr">
        <is>
          <t>После налогов (prib 20% + прочее)</t>
        </is>
      </c>
      <c r="J22" s="186"/>
      <c r="K22" s="186"/>
      <c r="L22" s="186"/>
      <c r="M22" s="186"/>
      <c r="N22" s="187"/>
    </row>
    <row r="23" ht="20" customHeight="1">
      <c r="C23" s="461" t="inlineStr">
        <is>
          <t>Инвестиция T₁</t>
        </is>
      </c>
      <c r="D23" s="187"/>
      <c r="E23" s="328" t="inlineStr">
        <is>
          <t>1 250 млн ₽</t>
        </is>
      </c>
      <c r="F23" s="187"/>
      <c r="G23" s="464" t="inlineStr">
        <is>
          <t>14_Investment_Inflow</t>
        </is>
      </c>
      <c r="H23" s="187"/>
      <c r="I23" s="465" t="inlineStr">
        <is>
          <t>4 транша: 250 / 350 / 350 / 300</t>
        </is>
      </c>
      <c r="J23" s="186"/>
      <c r="K23" s="186"/>
      <c r="L23" s="186"/>
      <c r="M23" s="186"/>
      <c r="N23" s="187"/>
    </row>
    <row r="24" ht="20" customHeight="1">
      <c r="C24" s="461" t="inlineStr">
        <is>
          <t>Producer (Продюсер) Equity (Собственный капитал)</t>
        </is>
      </c>
      <c r="D24" s="187"/>
      <c r="E24" s="328" t="inlineStr">
        <is>
          <t>600 млн ₽</t>
        </is>
      </c>
      <c r="F24" s="187"/>
      <c r="G24" s="464" t="inlineStr">
        <is>
          <t>17_Deal_Structures</t>
        </is>
      </c>
      <c r="H24" s="187"/>
      <c r="I24" s="465" t="inlineStr">
        <is>
          <t>JV (совместное предприятие) капитал продюсеров (off-P&amp;L)</t>
        </is>
      </c>
      <c r="J24" s="186"/>
      <c r="K24" s="186"/>
      <c r="L24" s="186"/>
      <c r="M24" s="186"/>
      <c r="N24" s="187"/>
    </row>
    <row r="25" ht="20" customHeight="1">
      <c r="C25" s="461" t="inlineStr">
        <is>
          <t>Production Budget (Бюджет)</t>
        </is>
      </c>
      <c r="D25" s="187"/>
      <c r="E25" s="328" t="inlineStr">
        <is>
          <t>1 747 млн ₽</t>
        </is>
      </c>
      <c r="F25" s="187"/>
      <c r="G25" s="464" t="inlineStr">
        <is>
          <t>08_Content_Pipeline</t>
        </is>
      </c>
      <c r="H25" s="187"/>
      <c r="I25" s="465" t="inlineStr">
        <is>
          <t>7 проектов × avg 264 млн ₽</t>
        </is>
      </c>
      <c r="J25" s="186"/>
      <c r="K25" s="186"/>
      <c r="L25" s="186"/>
      <c r="M25" s="186"/>
      <c r="N25" s="187"/>
    </row>
    <row r="26" ht="20" customHeight="1">
      <c r="C26" s="461" t="inlineStr">
        <is>
          <t>Tax (7-year) (Налог, 7 лет)</t>
        </is>
      </c>
      <c r="D26" s="187"/>
      <c r="E26" s="328" t="inlineStr">
        <is>
          <t>720 млн ₽</t>
        </is>
      </c>
      <c r="F26" s="187"/>
      <c r="G26" s="464" t="inlineStr">
        <is>
          <t>34_Tax_Schedule</t>
        </is>
      </c>
      <c r="H26" s="187"/>
      <c r="I26" s="465" t="inlineStr">
        <is>
          <t>2026–2032, эффективная ставка 12.9% от Revenue (Выручка)</t>
        </is>
      </c>
      <c r="J26" s="186"/>
      <c r="K26" s="186"/>
      <c r="L26" s="186"/>
      <c r="M26" s="186"/>
      <c r="N26" s="187"/>
    </row>
    <row r="27">
      <c r="B27" s="588"/>
      <c r="C27" s="592" t="inlineStr">
        <is>
          <t>Investor Returns (Доходность инвестора) T₁ (W₅ V-D ★ default (по умолчанию) v1.0.1)</t>
        </is>
      </c>
      <c r="D27" s="588"/>
      <c r="E27" s="588" t="inlineStr">
        <is>
          <t>IRR (внутренняя норма доходности) 24.75% · MOIC (мультипликатор вложенного капитала) 2.13× · Payback (Окупаемость) 3.21y</t>
        </is>
      </c>
      <c r="F27" s="588"/>
      <c r="G27" s="588" t="inlineStr">
        <is>
          <t>24_Investor_Returns</t>
        </is>
      </c>
      <c r="H27" s="588"/>
      <c r="I27" s="588" t="inlineStr">
        <is>
          <t>W₅ V-D + A+C 33/45/9/13; MC N=5 000 sims; дислеймер V.1-V.4</t>
        </is>
      </c>
      <c r="J27" s="588"/>
    </row>
    <row r="29" ht="22" customHeight="1">
      <c r="B29" s="466" t="inlineStr">
        <is>
          <t>III. VALUATION (ОЦЕНКА) RANGE INTERPRETATION (DCF (дисконтированный денежный поток)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/>
      <c r="D33" s="186"/>
      <c r="E33" s="187"/>
      <c r="F33" s="321" t="inlineStr">
        <is>
          <t>EV (стоимость предприятия) 2030</t>
        </is>
      </c>
      <c r="G33" s="186"/>
      <c r="H33" s="187"/>
      <c r="I33" s="432" t="inlineStr">
        <is>
          <t>Роль в оценке</t>
        </is>
      </c>
      <c r="J33" s="186"/>
      <c r="K33" s="186"/>
      <c r="L33" s="187"/>
      <c r="M33" s="432" t="inlineStr">
        <is>
          <t>Источник</t>
        </is>
      </c>
      <c r="N33" s="187"/>
    </row>
    <row r="34" ht="32" customHeight="1">
      <c r="B34" s="461" t="inlineStr">
        <is>
          <t>DCF (дисконтированный денежный поток) (blend Gordon 40% + Exit 60%)</t>
        </is>
      </c>
      <c r="C34" s="186"/>
      <c r="D34" s="186"/>
      <c r="E34" s="187"/>
      <c r="F34" s="328" t="inlineStr">
        <is>
          <t>1 815 млн ₽</t>
        </is>
      </c>
      <c r="G34" s="186"/>
      <c r="H34" s="187"/>
      <c r="I34" s="465" t="inlineStr">
        <is>
          <t>Floor valuation (intrinsic, 5-летний горизонт, высокий WACC (средневзвешенная стоимость капитала))</t>
        </is>
      </c>
      <c r="J34" s="186"/>
      <c r="K34" s="186"/>
      <c r="L34" s="187"/>
      <c r="M34" s="465" t="inlineStr">
        <is>
          <t>22_Valuation_DCF</t>
        </is>
      </c>
      <c r="N34" s="187"/>
    </row>
    <row r="35" ht="32" customHeight="1">
      <c r="B35" s="461" t="inlineStr">
        <is>
          <t>Медиана Comps (EV (стоимость предприятия)/EBITDA (прибыль до вычетов) 8.9×)</t>
        </is>
      </c>
      <c r="C35" s="186"/>
      <c r="D35" s="186"/>
      <c r="E35" s="187"/>
      <c r="F35" s="328" t="inlineStr">
        <is>
          <t>7 550 млн ₽</t>
        </is>
      </c>
      <c r="G35" s="186"/>
      <c r="H35" s="187"/>
      <c r="I35" s="465" t="inlineStr">
        <is>
          <t>Рыночная оценка (что реально платят в сделках)</t>
        </is>
      </c>
      <c r="J35" s="186"/>
      <c r="K35" s="186"/>
      <c r="L35" s="187"/>
      <c r="M35" s="465" t="inlineStr">
        <is>
          <t>32_Comparable_Transactions</t>
        </is>
      </c>
      <c r="N35" s="187"/>
    </row>
    <row r="36" ht="32" customHeight="1">
      <c r="B36" s="461" t="inlineStr">
        <is>
          <t>Weighted Exit EV (стоимость предприятия) (probability-weighted)</t>
        </is>
      </c>
      <c r="C36" s="186"/>
      <c r="D36" s="186"/>
      <c r="E36" s="187"/>
      <c r="F36" s="328" t="inlineStr">
        <is>
          <t>6 038 млн ₽</t>
        </is>
      </c>
      <c r="G36" s="186"/>
      <c r="H36" s="187"/>
      <c r="I36" s="465" t="inlineStr">
        <is>
          <t>Expected value (Ожидаемая стоимость)</t>
        </is>
      </c>
      <c r="J36" s="186"/>
      <c r="K36" s="186"/>
      <c r="L36" s="187"/>
      <c r="M36" s="465" t="inlineStr">
        <is>
          <t>25_Exit_Scenarios</t>
        </is>
      </c>
      <c r="N36" s="187"/>
    </row>
    <row r="39" ht="20" customHeight="1">
      <c r="B39" s="470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/>
      <c r="E41" s="187"/>
      <c r="F41" s="321" t="inlineStr">
        <is>
          <t>Механика</t>
        </is>
      </c>
      <c r="G41" s="186"/>
      <c r="H41" s="186"/>
      <c r="I41" s="186"/>
      <c r="J41" s="186"/>
      <c r="K41" s="186"/>
      <c r="L41" s="187"/>
      <c r="M41" s="321" t="inlineStr">
        <is>
          <t>Вклад</t>
        </is>
      </c>
      <c r="N41" s="187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/>
      <c r="E42" s="187"/>
      <c r="F42" s="471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186"/>
      <c r="H42" s="186"/>
      <c r="I42" s="186"/>
      <c r="J42" s="186"/>
      <c r="K42" s="186"/>
      <c r="L42" s="187"/>
      <c r="M42" s="416" t="inlineStr">
        <is>
          <t>+2 500</t>
        </is>
      </c>
      <c r="N42" s="187"/>
    </row>
    <row r="43" ht="52" customHeight="1">
      <c r="B43" s="414" t="inlineStr">
        <is>
          <t>2</t>
        </is>
      </c>
      <c r="C43" s="471" t="inlineStr">
        <is>
          <t>WACC (средневзвешенная стоимость капитала) 19% vs buyer WACC 7%</t>
        </is>
      </c>
      <c r="D43" s="186"/>
      <c r="E43" s="187"/>
      <c r="F43" s="471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186"/>
      <c r="H43" s="186"/>
      <c r="I43" s="186"/>
      <c r="J43" s="186"/>
      <c r="K43" s="186"/>
      <c r="L43" s="187"/>
      <c r="M43" s="416" t="inlineStr">
        <is>
          <t>+1 500</t>
        </is>
      </c>
      <c r="N43" s="187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/>
      <c r="E44" s="187"/>
      <c r="F44" s="471" t="inlineStr">
        <is>
          <t>Франшизы (сиквелы П04, П07С),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186"/>
      <c r="H44" s="186"/>
      <c r="I44" s="186"/>
      <c r="J44" s="186"/>
      <c r="K44" s="186"/>
      <c r="L44" s="187"/>
      <c r="M44" s="416" t="inlineStr">
        <is>
          <t>+1 500</t>
        </is>
      </c>
      <c r="N44" s="187"/>
    </row>
    <row r="45" ht="52" customHeight="1">
      <c r="B45" s="414" t="inlineStr">
        <is>
          <t>4</t>
        </is>
      </c>
      <c r="C45" s="471" t="inlineStr">
        <is>
          <t>Execution (Исполнение) risk — двойное начисление</t>
        </is>
      </c>
      <c r="D45" s="186">
        <v>1625</v>
      </c>
      <c r="E45" s="187"/>
      <c r="F45" s="471">
        <v>1274</v>
      </c>
      <c r="G45" s="186"/>
      <c r="H45" s="186"/>
      <c r="I45" s="186"/>
      <c r="J45" s="186"/>
      <c r="K45" s="186"/>
      <c r="L45" s="187"/>
      <c r="M45" s="416" t="inlineStr">
        <is>
          <t>(встроено)</t>
        </is>
      </c>
      <c r="N45" s="187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>
        <v>2167</v>
      </c>
      <c r="E46" s="187"/>
      <c r="F46" s="471">
        <v>1698</v>
      </c>
      <c r="G46" s="186"/>
      <c r="H46" s="186"/>
      <c r="I46" s="186"/>
      <c r="J46" s="186"/>
      <c r="K46" s="186"/>
      <c r="L46" s="187"/>
      <c r="M46" s="416" t="inlineStr">
        <is>
          <t>+500</t>
        </is>
      </c>
      <c r="N46" s="187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>
        <v>2709</v>
      </c>
      <c r="E47" s="186"/>
      <c r="F47" s="186">
        <v>2122</v>
      </c>
      <c r="G47" s="186"/>
      <c r="H47" s="186"/>
      <c r="I47" s="186"/>
      <c r="J47" s="186"/>
      <c r="K47" s="186"/>
      <c r="L47" s="187"/>
      <c r="M47" s="476" t="inlineStr">
        <is>
          <t>≈ +5 500</t>
        </is>
      </c>
      <c r="N47" s="187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(дисконтированный денежный поток) 1 815 млн ₽ — floor valuation. Используется как downside benchmark при worst-case переговорах, не как fair exit price.
• Comps median 7 550 млн ₽ — market valuation. Используется как upside anchor (якорь) для блокировки нижней границы предложения.
• Weighted Exit EV (стоимость предприятия) 6 038 млн ₽ (probability-weighted) — expected value, оптимальный ориентир для переговоров и дизайна деал-структуры. Именно этот value закладывается в Investor Returns (Доходность инвестора) (24_Investor_Returns) и IRR (внутренняя норма доходности) расчёты.</t>
        </is>
      </c>
    </row>
    <row r="53" ht="22" customHeight="1">
      <c r="B53" s="458" t="inlineStr">
        <is>
          <t>IV.  СВОДКА РИСКОВ (СВОДКА РИСКОВ)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/>
      <c r="E55" s="186"/>
      <c r="F55" s="187"/>
      <c r="G55" s="321" t="inlineStr">
        <is>
          <t>Категория</t>
        </is>
      </c>
      <c r="H55" s="187"/>
      <c r="I55" s="321" t="inlineStr">
        <is>
          <t>S×L</t>
        </is>
      </c>
      <c r="J55" s="321" t="inlineStr">
        <is>
          <t>Score (Балл)</t>
        </is>
      </c>
      <c r="K55" s="187"/>
      <c r="L55" s="321" t="inlineStr">
        <is>
          <t>Митигация</t>
        </is>
      </c>
      <c r="M55" s="186"/>
      <c r="N55" s="187"/>
    </row>
    <row r="56" ht="36" customHeight="1">
      <c r="B56" s="414" t="inlineStr">
        <is>
          <t>R17</t>
        </is>
      </c>
      <c r="C56" s="471" t="inlineStr">
        <is>
          <t>Downside (Нижний сценарий) risk NDP (чистые распределяемые поступления) shortfall — Bear (Пессимистичный) NDP=1800 даёт W₅ V-D IRR (внутренняя норма доходности) 10.70% &lt;&lt; 18% hurdle (порог)</t>
        </is>
      </c>
      <c r="D56" s="186"/>
      <c r="E56" s="186"/>
      <c r="F56" s="187"/>
      <c r="G56" s="471" t="inlineStr">
        <is>
          <t>Financial (Финансовый)</t>
        </is>
      </c>
      <c r="H56" s="187"/>
      <c r="I56" s="478" t="inlineStr">
        <is>
          <t>3×4</t>
        </is>
      </c>
      <c r="J56" s="479" t="inlineStr">
        <is>
          <t>12 (Высокий)</t>
        </is>
      </c>
      <c r="K56" s="187"/>
      <c r="L56" s="471" t="inlineStr">
        <is>
          <t>Hurdle (Порог) target NDP (чистые распределяемые поступления) ≥ 2 402 (W₅ V-D break-even @18%); Liq Pref (Ликвидационная привилегия) 1×=1250 защищает капитал; downside scenarios см. 27_Scenario_Analysis + 24_IR Section V.1</t>
        </is>
      </c>
      <c r="M56" s="186"/>
      <c r="N56" s="187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/>
      <c r="E57" s="186"/>
      <c r="F57" s="187"/>
      <c r="G57" s="471" t="inlineStr">
        <is>
          <t>Production (Производство)</t>
        </is>
      </c>
      <c r="H57" s="187"/>
      <c r="I57" s="478" t="inlineStr">
        <is>
          <t>3×4</t>
        </is>
      </c>
      <c r="J57" s="416" t="inlineStr">
        <is>
          <t>12 (Высокий)</t>
        </is>
      </c>
      <c r="K57" s="187"/>
      <c r="L57" s="471" t="inlineStr">
        <is>
          <t>Pre-financing reserve 10%, страхование срывов, 2-х треков post-prod</t>
        </is>
      </c>
      <c r="M57" s="186"/>
      <c r="N57" s="187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/>
      <c r="E58" s="186"/>
      <c r="F58" s="187"/>
      <c r="G58" s="471" t="inlineStr">
        <is>
          <t>Regulatory (Регуляторный)</t>
        </is>
      </c>
      <c r="H58" s="187"/>
      <c r="I58" s="478" t="inlineStr">
        <is>
          <t>4×3</t>
        </is>
      </c>
      <c r="J58" s="416" t="inlineStr">
        <is>
          <t>12 (Высокий)</t>
        </is>
      </c>
      <c r="K58" s="187"/>
      <c r="L58" s="471" t="inlineStr">
        <is>
          <t>Двойной трек заявок, диверсификация источников (ФКП + регионы + РФК)</t>
        </is>
      </c>
      <c r="M58" s="186"/>
      <c r="N58" s="187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/>
      <c r="E59" s="186"/>
      <c r="F59" s="187"/>
      <c r="G59" s="471" t="inlineStr">
        <is>
          <t>Рынок</t>
        </is>
      </c>
      <c r="H59" s="187"/>
      <c r="I59" s="478" t="inlineStr">
        <is>
          <t>3×4</t>
        </is>
      </c>
      <c r="J59" s="416" t="inlineStr">
        <is>
          <t>12 (Высокий)</t>
        </is>
      </c>
      <c r="K59" s="187"/>
      <c r="L59" s="471" t="inlineStr">
        <is>
          <t>VFX (визуальные эффекты)/post-prod в РФ, долларовые контракты минимизированы, FX hedge для платформ</t>
        </is>
      </c>
      <c r="M59" s="186"/>
      <c r="N59" s="187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/>
      <c r="E60" s="186"/>
      <c r="F60" s="187"/>
      <c r="G60" s="471" t="inlineStr">
        <is>
          <t>Operational (Операционный)</t>
        </is>
      </c>
      <c r="H60" s="187"/>
      <c r="I60" s="478" t="inlineStr">
        <is>
          <t>2×5</t>
        </is>
      </c>
      <c r="J60" s="416" t="inlineStr">
        <is>
          <t>10 (Высокий)</t>
        </is>
      </c>
      <c r="K60" s="187"/>
      <c r="L60" s="471" t="inlineStr">
        <is>
          <t>Long-term contracts, ESOP vesting 4 года, 2nd-tier bench</t>
        </is>
      </c>
      <c r="M60" s="186"/>
      <c r="N60" s="187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/>
      <c r="E67" s="186"/>
      <c r="F67" s="187"/>
      <c r="G67" s="321" t="inlineStr">
        <is>
          <t>P</t>
        </is>
      </c>
      <c r="H67" s="321" t="inlineStr">
        <is>
          <t>Окно</t>
        </is>
      </c>
      <c r="I67" s="187"/>
      <c r="J67" s="321" t="inlineStr">
        <is>
          <t>Условия / премия</t>
        </is>
      </c>
      <c r="K67" s="186"/>
      <c r="L67" s="186"/>
      <c r="M67" s="186"/>
      <c r="N67" s="187"/>
    </row>
    <row r="68" ht="22" customHeight="1">
      <c r="B68" s="400" t="inlineStr">
        <is>
          <t>E1</t>
        </is>
      </c>
      <c r="C68" s="481" t="inlineStr">
        <is>
          <t>Strategic (Стратегический) sale (Стратегическая продажа) — Яндекс / Сбер</t>
        </is>
      </c>
      <c r="D68" s="186"/>
      <c r="E68" s="186"/>
      <c r="F68" s="187"/>
      <c r="G68" s="322" t="inlineStr">
        <is>
          <t>30%</t>
        </is>
      </c>
      <c r="H68" s="322" t="inlineStr">
        <is>
          <t>2030</t>
        </is>
      </c>
      <c r="I68" s="187"/>
      <c r="J68" s="481" t="inlineStr">
        <is>
          <t>EV (стоимость предприятия)/EBITDA (прибыль до вычетов) 9–11×, премия за контроль 20%</t>
        </is>
      </c>
      <c r="K68" s="186"/>
      <c r="L68" s="186"/>
      <c r="M68" s="186"/>
      <c r="N68" s="187"/>
    </row>
    <row r="69" ht="22" customHeight="1">
      <c r="B69" s="400" t="inlineStr">
        <is>
          <t>E2</t>
        </is>
      </c>
      <c r="C69" s="481" t="inlineStr">
        <is>
          <t>Strategic (Стратегический) sale (Стратегическая продажа) — Газпром-Медиа / НМГ</t>
        </is>
      </c>
      <c r="D69" s="186"/>
      <c r="E69" s="186"/>
      <c r="F69" s="187"/>
      <c r="G69" s="322" t="inlineStr">
        <is>
          <t>20%</t>
        </is>
      </c>
      <c r="H69" s="322" t="inlineStr">
        <is>
          <t>2030</t>
        </is>
      </c>
      <c r="I69" s="187"/>
      <c r="J69" s="481" t="inlineStr">
        <is>
          <t>EV (стоимость предприятия)/EBITDA (прибыль до вычетов) 7–9×, премия за вертикальную интеграцию</t>
        </is>
      </c>
      <c r="K69" s="186"/>
      <c r="L69" s="186"/>
      <c r="M69" s="186"/>
      <c r="N69" s="187"/>
    </row>
    <row r="70" ht="22" customHeight="1">
      <c r="B70" s="400" t="inlineStr">
        <is>
          <t>E3</t>
        </is>
      </c>
      <c r="C70" s="481" t="inlineStr">
        <is>
          <t>IPO (первичное размещение) на Мосбирже (main list)</t>
        </is>
      </c>
      <c r="D70" s="186"/>
      <c r="E70" s="186"/>
      <c r="F70" s="187"/>
      <c r="G70" s="322" t="inlineStr">
        <is>
          <t>15%</t>
        </is>
      </c>
      <c r="H70" s="322" t="inlineStr">
        <is>
          <t>2030–2031</t>
        </is>
      </c>
      <c r="I70" s="187"/>
      <c r="J70" s="481" t="inlineStr">
        <is>
          <t>Free float (Свободное обращение) 25%, P/E 15–18×</t>
        </is>
      </c>
      <c r="K70" s="186"/>
      <c r="L70" s="186"/>
      <c r="M70" s="186"/>
      <c r="N70" s="187"/>
    </row>
    <row r="71" ht="22" customHeight="1">
      <c r="B71" s="400" t="inlineStr">
        <is>
          <t>E4</t>
        </is>
      </c>
      <c r="C71" s="481" t="inlineStr">
        <is>
          <t>Secondary (Вторичный) placement (Вторичное размещение) (PE / VC)</t>
        </is>
      </c>
      <c r="D71" s="186"/>
      <c r="E71" s="186"/>
      <c r="F71" s="187"/>
      <c r="G71" s="322" t="inlineStr">
        <is>
          <t>15%</t>
        </is>
      </c>
      <c r="H71" s="322" t="inlineStr">
        <is>
          <t>2029–2030</t>
        </is>
      </c>
      <c r="I71" s="187"/>
      <c r="J71" s="481" t="inlineStr">
        <is>
          <t>Partial exit (частичный выход), roll-over (перевод) 40–50%</t>
        </is>
      </c>
      <c r="K71" s="186"/>
      <c r="L71" s="186"/>
      <c r="M71" s="186"/>
      <c r="N71" s="187"/>
    </row>
    <row r="72" ht="22" customHeight="1">
      <c r="B72" s="400" t="inlineStr">
        <is>
          <t>E5</t>
        </is>
      </c>
      <c r="C72" s="481" t="inlineStr">
        <is>
          <t>ESOP buyout (Выкуп по программе ESOP) (management)</t>
        </is>
      </c>
      <c r="D72" s="186"/>
      <c r="E72" s="186"/>
      <c r="F72" s="187"/>
      <c r="G72" s="322" t="inlineStr">
        <is>
          <t>10%</t>
        </is>
      </c>
      <c r="H72" s="322" t="inlineStr">
        <is>
          <t>2030</t>
        </is>
      </c>
      <c r="I72" s="187"/>
      <c r="J72" s="481" t="inlineStr">
        <is>
          <t>Discounted valuation, ESG premium (премия)</t>
        </is>
      </c>
      <c r="K72" s="186"/>
      <c r="L72" s="186"/>
      <c r="M72" s="186"/>
      <c r="N72" s="187"/>
    </row>
    <row r="73" ht="22" customHeight="1">
      <c r="B73" s="400" t="inlineStr">
        <is>
          <t>E6</t>
        </is>
      </c>
      <c r="C73" s="481" t="inlineStr">
        <is>
          <t>Обратный выкуп (Обратный выкуп) (sponsor put option (пут-опцион спонсора))</t>
        </is>
      </c>
      <c r="D73" s="186"/>
      <c r="E73" s="186"/>
      <c r="F73" s="187"/>
      <c r="G73" s="322" t="inlineStr">
        <is>
          <t>5%</t>
        </is>
      </c>
      <c r="H73" s="322" t="inlineStr">
        <is>
          <t>2029</t>
        </is>
      </c>
      <c r="I73" s="187"/>
      <c r="J73" s="481" t="inlineStr">
        <is>
          <t>Downside (Нижний сценарий) protection, IRR (внутренняя норма доходности) floor 12%</t>
        </is>
      </c>
      <c r="K73" s="186"/>
      <c r="L73" s="186"/>
      <c r="M73" s="186"/>
      <c r="N73" s="187"/>
    </row>
    <row r="74" ht="22" customHeight="1">
      <c r="B74" s="400" t="inlineStr">
        <is>
          <t>E7</t>
        </is>
      </c>
      <c r="C74" s="481" t="inlineStr">
        <is>
          <t>Открытый вторичный рынок (Открытый вторичный рынок)</t>
        </is>
      </c>
      <c r="D74" s="186"/>
      <c r="E74" s="186"/>
      <c r="F74" s="187"/>
      <c r="G74" s="322" t="inlineStr">
        <is>
          <t>5%</t>
        </is>
      </c>
      <c r="H74" s="322" t="inlineStr">
        <is>
          <t>2030+</t>
        </is>
      </c>
      <c r="I74" s="187"/>
      <c r="J74" s="481" t="inlineStr">
        <is>
          <t>Preservation of control (Сохранение контроля), drag-along terms (условия принудительной продажи)</t>
        </is>
      </c>
      <c r="K74" s="186"/>
      <c r="L74" s="186"/>
      <c r="M74" s="186"/>
      <c r="N74" s="187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 РЕКОМЕНДАЦИЯ (РЕКОМЕНДАЦИЯ)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(ГЛОССАРИЙ)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/>
      <c r="F5" s="186"/>
      <c r="G5" s="186"/>
      <c r="H5" s="186"/>
      <c r="I5" s="186"/>
      <c r="J5" s="186"/>
      <c r="K5" s="186"/>
      <c r="L5" s="187"/>
      <c r="M5" s="483" t="inlineStr">
        <is>
          <t>Категория</t>
        </is>
      </c>
      <c r="N5" s="187"/>
    </row>
    <row r="6" ht="72" customHeight="1">
      <c r="B6" s="484" t="n">
        <v>1</v>
      </c>
      <c r="C6" s="485" t="inlineStr">
        <is>
          <t>EBITDA (прибыль до вычетов)</t>
        </is>
      </c>
      <c r="D6" s="471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186"/>
      <c r="F6" s="186"/>
      <c r="G6" s="186"/>
      <c r="H6" s="186"/>
      <c r="I6" s="186"/>
      <c r="J6" s="186"/>
      <c r="K6" s="186"/>
      <c r="L6" s="187"/>
      <c r="M6" s="486" t="inlineStr">
        <is>
          <t>FIN</t>
        </is>
      </c>
      <c r="N6" s="187"/>
    </row>
    <row r="7" ht="72" customHeight="1">
      <c r="B7" s="484" t="n">
        <v>2</v>
      </c>
      <c r="C7" s="485" t="inlineStr">
        <is>
          <t>GAAP (стандарты бухучёта) EBITDA (прибыль до вычетов)</t>
        </is>
      </c>
      <c r="D7" s="471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186"/>
      <c r="F7" s="186"/>
      <c r="G7" s="186"/>
      <c r="H7" s="186"/>
      <c r="I7" s="186"/>
      <c r="J7" s="186"/>
      <c r="K7" s="186"/>
      <c r="L7" s="187"/>
      <c r="M7" s="486" t="inlineStr">
        <is>
          <t>FIN</t>
        </is>
      </c>
      <c r="N7" s="187"/>
    </row>
    <row r="8" ht="72" customHeight="1">
      <c r="B8" s="484" t="n">
        <v>3</v>
      </c>
      <c r="C8" s="485" t="inlineStr">
        <is>
          <t>NDP (чистые распределяемые поступления)</t>
        </is>
      </c>
      <c r="D8" s="471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186"/>
      <c r="F8" s="186"/>
      <c r="G8" s="186"/>
      <c r="H8" s="186"/>
      <c r="I8" s="186"/>
      <c r="J8" s="186"/>
      <c r="K8" s="186"/>
      <c r="L8" s="187"/>
      <c r="M8" s="486" t="inlineStr">
        <is>
          <t>FIN</t>
        </is>
      </c>
      <c r="N8" s="187"/>
    </row>
    <row r="9" ht="72" customHeight="1">
      <c r="B9" s="484" t="n">
        <v>4</v>
      </c>
      <c r="C9" s="485" t="inlineStr">
        <is>
          <t>Revenue (Выручка)</t>
        </is>
      </c>
      <c r="D9" s="471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186"/>
      <c r="F9" s="186"/>
      <c r="G9" s="186"/>
      <c r="H9" s="186"/>
      <c r="I9" s="186"/>
      <c r="J9" s="186"/>
      <c r="K9" s="186"/>
      <c r="L9" s="187"/>
      <c r="M9" s="486" t="inlineStr">
        <is>
          <t>FIN</t>
        </is>
      </c>
      <c r="N9" s="187"/>
    </row>
    <row r="10" ht="72" customHeight="1">
      <c r="B10" s="484" t="n">
        <v>5</v>
      </c>
      <c r="C10" s="485" t="inlineStr">
        <is>
          <t>COGS (себестоимость)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/>
      <c r="F10" s="186"/>
      <c r="G10" s="186"/>
      <c r="H10" s="186"/>
      <c r="I10" s="186"/>
      <c r="J10" s="186"/>
      <c r="K10" s="186"/>
      <c r="L10" s="187"/>
      <c r="M10" s="486" t="inlineStr">
        <is>
          <t>FIN</t>
        </is>
      </c>
      <c r="N10" s="187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186"/>
      <c r="F11" s="186"/>
      <c r="G11" s="186"/>
      <c r="H11" s="186"/>
      <c r="I11" s="186"/>
      <c r="J11" s="186"/>
      <c r="K11" s="186"/>
      <c r="L11" s="187"/>
      <c r="M11" s="486" t="inlineStr">
        <is>
          <t>FIN</t>
        </is>
      </c>
      <c r="N11" s="187"/>
    </row>
    <row r="12" ht="72" customHeight="1">
      <c r="B12" s="484" t="n">
        <v>7</v>
      </c>
      <c r="C12" s="485" t="inlineStr">
        <is>
          <t>CAPEX (Капзатраты)</t>
        </is>
      </c>
      <c r="D12" s="471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186"/>
      <c r="F12" s="186"/>
      <c r="G12" s="186"/>
      <c r="H12" s="186"/>
      <c r="I12" s="186"/>
      <c r="J12" s="186"/>
      <c r="K12" s="186"/>
      <c r="L12" s="187"/>
      <c r="M12" s="486" t="inlineStr">
        <is>
          <t>FIN</t>
        </is>
      </c>
      <c r="N12" s="187"/>
    </row>
    <row r="13" ht="45" customHeight="1">
      <c r="B13" s="484" t="n">
        <v>8</v>
      </c>
      <c r="C13" s="485" t="inlineStr">
        <is>
          <t>Net Profit (Чистая прибыль)</t>
        </is>
      </c>
      <c r="D13" s="471" t="inlineStr">
        <is>
          <t>Чистая прибыль после вычета налогов. В ТрендСтудио Σ = 1 689 млн ₽.</t>
        </is>
      </c>
      <c r="E13" s="186"/>
      <c r="F13" s="186"/>
      <c r="G13" s="186"/>
      <c r="H13" s="186"/>
      <c r="I13" s="186"/>
      <c r="J13" s="186"/>
      <c r="K13" s="186"/>
      <c r="L13" s="187"/>
      <c r="M13" s="486" t="inlineStr">
        <is>
          <t>FIN</t>
        </is>
      </c>
      <c r="N13" s="187"/>
    </row>
    <row r="14" ht="52" customHeight="1">
      <c r="B14" s="484" t="n">
        <v>9</v>
      </c>
      <c r="C14" s="485" t="inlineStr">
        <is>
          <t>Free Cash (Денежные средства) Flow (FCF)</t>
        </is>
      </c>
      <c r="D14" s="471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186"/>
      <c r="F14" s="186"/>
      <c r="G14" s="186"/>
      <c r="H14" s="186"/>
      <c r="I14" s="186"/>
      <c r="J14" s="186"/>
      <c r="K14" s="186"/>
      <c r="L14" s="187"/>
      <c r="M14" s="486" t="inlineStr">
        <is>
          <t>FIN</t>
        </is>
      </c>
      <c r="N14" s="187"/>
    </row>
    <row r="15" ht="55" customHeight="1">
      <c r="B15" s="484" t="n">
        <v>10</v>
      </c>
      <c r="C15" s="485" t="inlineStr">
        <is>
          <t>Working Capital (Оборотный капитал)</t>
        </is>
      </c>
      <c r="D15" s="471" t="inlineStr">
        <is>
          <t>Оборотный капитал = Current Assets − Current Liabilities. См. лист 12_Working_Capital.</t>
        </is>
      </c>
      <c r="E15" s="186"/>
      <c r="F15" s="186"/>
      <c r="G15" s="186"/>
      <c r="H15" s="186"/>
      <c r="I15" s="186"/>
      <c r="J15" s="186"/>
      <c r="K15" s="186"/>
      <c r="L15" s="187"/>
      <c r="M15" s="486" t="inlineStr">
        <is>
          <t>FIN</t>
        </is>
      </c>
      <c r="N15" s="187"/>
    </row>
    <row r="16" ht="72" customHeight="1">
      <c r="B16" s="484" t="n">
        <v>11</v>
      </c>
      <c r="C16" s="485" t="inlineStr">
        <is>
          <t>WACC (средневзвешенная стоимость капитала)</t>
        </is>
      </c>
      <c r="D16" s="471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186"/>
      <c r="F16" s="186"/>
      <c r="G16" s="186"/>
      <c r="H16" s="186"/>
      <c r="I16" s="186"/>
      <c r="J16" s="186"/>
      <c r="K16" s="186"/>
      <c r="L16" s="187"/>
      <c r="M16" s="486" t="inlineStr">
        <is>
          <t>FIN</t>
        </is>
      </c>
      <c r="N16" s="187"/>
    </row>
    <row r="17" ht="68" customHeight="1">
      <c r="B17" s="484" t="n">
        <v>12</v>
      </c>
      <c r="C17" s="485" t="inlineStr">
        <is>
          <t>DCF (дисконтированный денежный поток)</t>
        </is>
      </c>
      <c r="D17" s="471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186"/>
      <c r="F17" s="186"/>
      <c r="G17" s="186"/>
      <c r="H17" s="186"/>
      <c r="I17" s="186"/>
      <c r="J17" s="186"/>
      <c r="K17" s="186"/>
      <c r="L17" s="187"/>
      <c r="M17" s="486" t="inlineStr">
        <is>
          <t>FIN</t>
        </is>
      </c>
      <c r="N17" s="187"/>
    </row>
    <row r="18" ht="68" customHeight="1">
      <c r="B18" s="484" t="n">
        <v>13</v>
      </c>
      <c r="C18" s="485" t="inlineStr">
        <is>
          <t>NPV (чистая приведённая стоимость)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/>
      <c r="F18" s="186"/>
      <c r="G18" s="186"/>
      <c r="H18" s="186"/>
      <c r="I18" s="186"/>
      <c r="J18" s="186"/>
      <c r="K18" s="186"/>
      <c r="L18" s="187"/>
      <c r="M18" s="486" t="inlineStr">
        <is>
          <t>FIN</t>
        </is>
      </c>
      <c r="N18" s="187"/>
    </row>
    <row r="19" ht="70" customHeight="1">
      <c r="B19" s="484" t="n">
        <v>14</v>
      </c>
      <c r="C19" s="485" t="inlineStr">
        <is>
          <t>IRR (внутренняя норма доходности)</t>
        </is>
      </c>
      <c r="D19" s="471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186"/>
      <c r="F19" s="186"/>
      <c r="G19" s="186"/>
      <c r="H19" s="186"/>
      <c r="I19" s="186"/>
      <c r="J19" s="186"/>
      <c r="K19" s="186"/>
      <c r="L19" s="187"/>
      <c r="M19" s="486" t="inlineStr">
        <is>
          <t>FIN</t>
        </is>
      </c>
      <c r="N19" s="187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186"/>
      <c r="F20" s="186"/>
      <c r="G20" s="186"/>
      <c r="H20" s="186"/>
      <c r="I20" s="186"/>
      <c r="J20" s="186"/>
      <c r="K20" s="186"/>
      <c r="L20" s="187"/>
      <c r="M20" s="486" t="inlineStr">
        <is>
          <t>FIN</t>
        </is>
      </c>
      <c r="N20" s="187"/>
    </row>
    <row r="21" ht="57" customHeight="1">
      <c r="B21" s="484" t="n">
        <v>16</v>
      </c>
      <c r="C21" s="485" t="inlineStr">
        <is>
          <t>Payback (Окупаемость) Period</t>
        </is>
      </c>
      <c r="D21" s="471" t="inlineStr">
        <is>
          <t>Срок окупаемости — количество периодов до возврата инвестиции. В ТрендСтудио Base (Базовый) &lt; 24 мес.</t>
        </is>
      </c>
      <c r="E21" s="186"/>
      <c r="F21" s="186"/>
      <c r="G21" s="186"/>
      <c r="H21" s="186"/>
      <c r="I21" s="186"/>
      <c r="J21" s="186"/>
      <c r="K21" s="186"/>
      <c r="L21" s="187"/>
      <c r="M21" s="486" t="inlineStr">
        <is>
          <t>FIN</t>
        </is>
      </c>
      <c r="N21" s="187"/>
    </row>
    <row r="22" ht="68" customHeight="1">
      <c r="B22" s="484" t="n">
        <v>17</v>
      </c>
      <c r="C22" s="485" t="inlineStr">
        <is>
          <t>EV (стоимость предприятия)</t>
        </is>
      </c>
      <c r="D22" s="471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186"/>
      <c r="F22" s="186"/>
      <c r="G22" s="186"/>
      <c r="H22" s="186"/>
      <c r="I22" s="186"/>
      <c r="J22" s="186"/>
      <c r="K22" s="186"/>
      <c r="L22" s="187"/>
      <c r="M22" s="486" t="inlineStr">
        <is>
          <t>FIN</t>
        </is>
      </c>
      <c r="N22" s="187"/>
    </row>
    <row r="23" ht="53" customHeight="1">
      <c r="B23" s="484" t="n">
        <v>18</v>
      </c>
      <c r="C23" s="485" t="inlineStr">
        <is>
          <t>EV (стоимость предприятия)/EBITDA (прибыль до вычетов)</t>
        </is>
      </c>
      <c r="D23" s="471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186"/>
      <c r="F23" s="186"/>
      <c r="G23" s="186"/>
      <c r="H23" s="186"/>
      <c r="I23" s="186"/>
      <c r="J23" s="186"/>
      <c r="K23" s="186"/>
      <c r="L23" s="187"/>
      <c r="M23" s="486" t="inlineStr">
        <is>
          <t>FIN</t>
        </is>
      </c>
      <c r="N23" s="187"/>
    </row>
    <row r="24" ht="66" customHeight="1">
      <c r="B24" s="484" t="n">
        <v>19</v>
      </c>
      <c r="C24" s="485" t="inlineStr">
        <is>
          <t>Gordon Growth (Модель Гордона) TV</t>
        </is>
      </c>
      <c r="D24" s="471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186"/>
      <c r="F24" s="186"/>
      <c r="G24" s="186"/>
      <c r="H24" s="186"/>
      <c r="I24" s="186"/>
      <c r="J24" s="186"/>
      <c r="K24" s="186"/>
      <c r="L24" s="187"/>
      <c r="M24" s="486" t="inlineStr">
        <is>
          <t>FIN</t>
        </is>
      </c>
      <c r="N24" s="187"/>
    </row>
    <row r="25" ht="57" customHeight="1">
      <c r="B25" s="484" t="n">
        <v>20</v>
      </c>
      <c r="C25" s="485" t="inlineStr">
        <is>
          <t>Exit Multiple (Мультипликатор выхода) TV</t>
        </is>
      </c>
      <c r="D25" s="471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186"/>
      <c r="F25" s="186"/>
      <c r="G25" s="186"/>
      <c r="H25" s="186"/>
      <c r="I25" s="186"/>
      <c r="J25" s="186"/>
      <c r="K25" s="186"/>
      <c r="L25" s="187"/>
      <c r="M25" s="486" t="inlineStr">
        <is>
          <t>FIN</t>
        </is>
      </c>
      <c r="N25" s="187"/>
    </row>
    <row r="26" ht="72" customHeight="1">
      <c r="B26" s="484" t="n">
        <v>21</v>
      </c>
      <c r="C26" s="485" t="inlineStr">
        <is>
          <t>Monte Carlo (Монте-Карло) Simulation (Симуляция)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/>
      <c r="F26" s="186"/>
      <c r="G26" s="186"/>
      <c r="H26" s="186"/>
      <c r="I26" s="186"/>
      <c r="J26" s="186"/>
      <c r="K26" s="186"/>
      <c r="L26" s="187"/>
      <c r="M26" s="487" t="inlineStr">
        <is>
          <t>RISK (РИСК)</t>
        </is>
      </c>
      <c r="N26" s="187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186"/>
      <c r="F27" s="186"/>
      <c r="G27" s="186"/>
      <c r="H27" s="186"/>
      <c r="I27" s="186"/>
      <c r="J27" s="186"/>
      <c r="K27" s="186"/>
      <c r="L27" s="187"/>
      <c r="M27" s="487" t="inlineStr">
        <is>
          <t>RISK (РИСК)</t>
        </is>
      </c>
      <c r="N27" s="187"/>
    </row>
    <row r="28" ht="58" customHeight="1">
      <c r="B28" s="484" t="n">
        <v>23</v>
      </c>
      <c r="C28" s="485" t="inlineStr">
        <is>
          <t>CVaR (условный VaR)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/>
      <c r="F28" s="186"/>
      <c r="G28" s="186"/>
      <c r="H28" s="186"/>
      <c r="I28" s="186"/>
      <c r="J28" s="186"/>
      <c r="K28" s="186"/>
      <c r="L28" s="187"/>
      <c r="M28" s="487" t="inlineStr">
        <is>
          <t>RISK (РИСК)</t>
        </is>
      </c>
      <c r="N28" s="187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/>
      <c r="F29" s="186"/>
      <c r="G29" s="186"/>
      <c r="H29" s="186"/>
      <c r="I29" s="186"/>
      <c r="J29" s="186"/>
      <c r="K29" s="186"/>
      <c r="L29" s="187"/>
      <c r="M29" s="487" t="inlineStr">
        <is>
          <t>RISK (РИСК)</t>
        </is>
      </c>
      <c r="N29" s="187"/>
    </row>
    <row r="30" ht="63" customHeight="1">
      <c r="B30" s="484" t="n">
        <v>25</v>
      </c>
      <c r="C30" s="485" t="inlineStr">
        <is>
          <t>Tornado Analysis (Торнадо-анализ)</t>
        </is>
      </c>
      <c r="D30" s="471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186"/>
      <c r="F30" s="186"/>
      <c r="G30" s="186"/>
      <c r="H30" s="186"/>
      <c r="I30" s="186"/>
      <c r="J30" s="186"/>
      <c r="K30" s="186"/>
      <c r="L30" s="187"/>
      <c r="M30" s="487" t="inlineStr">
        <is>
          <t>RISK (РИСК)</t>
        </is>
      </c>
      <c r="N30" s="187"/>
    </row>
    <row r="31" ht="58" customHeight="1">
      <c r="B31" s="484" t="n">
        <v>26</v>
      </c>
      <c r="C31" s="485" t="inlineStr">
        <is>
          <t>Risk (Риск) Score (Балл)</t>
        </is>
      </c>
      <c r="D31" s="471" t="inlineStr">
        <is>
          <t>Severity (Серьёзность) × Likelihood (Вероятность) (1–5 × 1–5 = 1–25). В ТрендСтудио 29_Risk_Register: max score 20 (R17).</t>
        </is>
      </c>
      <c r="E31" s="186"/>
      <c r="F31" s="186"/>
      <c r="G31" s="186"/>
      <c r="H31" s="186"/>
      <c r="I31" s="186"/>
      <c r="J31" s="186"/>
      <c r="K31" s="186"/>
      <c r="L31" s="187"/>
      <c r="M31" s="487" t="inlineStr">
        <is>
          <t>RISK (РИСК)</t>
        </is>
      </c>
      <c r="N31" s="187"/>
    </row>
    <row r="32" ht="59" customHeight="1">
      <c r="B32" s="484" t="n">
        <v>27</v>
      </c>
      <c r="C32" s="485" t="inlineStr">
        <is>
          <t>Тепловая карта (Тепловая карта)</t>
        </is>
      </c>
      <c r="D32" s="471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186"/>
      <c r="F32" s="186"/>
      <c r="G32" s="186"/>
      <c r="H32" s="186"/>
      <c r="I32" s="186"/>
      <c r="J32" s="186"/>
      <c r="K32" s="186"/>
      <c r="L32" s="187"/>
      <c r="M32" s="487" t="inlineStr">
        <is>
          <t>RISK (РИСК)</t>
        </is>
      </c>
      <c r="N32" s="187"/>
    </row>
    <row r="33" ht="54" customHeight="1">
      <c r="B33" s="484" t="n">
        <v>28</v>
      </c>
      <c r="C33" s="485" t="inlineStr">
        <is>
          <t>Hurdle (Порог)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/>
      <c r="F33" s="186"/>
      <c r="G33" s="186"/>
      <c r="H33" s="186"/>
      <c r="I33" s="186"/>
      <c r="J33" s="186"/>
      <c r="K33" s="186"/>
      <c r="L33" s="187"/>
      <c r="M33" s="487" t="inlineStr">
        <is>
          <t>RISK (РИСК)</t>
        </is>
      </c>
      <c r="N33" s="187"/>
    </row>
    <row r="34" ht="56" customHeight="1">
      <c r="B34" s="484" t="n">
        <v>29</v>
      </c>
      <c r="C34" s="485" t="inlineStr">
        <is>
          <t>LP (ограниченный партнёр) (Limited Partner)</t>
        </is>
      </c>
      <c r="D34" s="471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186"/>
      <c r="F34" s="186"/>
      <c r="G34" s="186"/>
      <c r="H34" s="186"/>
      <c r="I34" s="186"/>
      <c r="J34" s="186"/>
      <c r="K34" s="186"/>
      <c r="L34" s="187"/>
      <c r="M34" s="488" t="inlineStr">
        <is>
          <t>DEAL (СДЕЛКА)</t>
        </is>
      </c>
      <c r="N34" s="187"/>
    </row>
    <row r="35" ht="54" customHeight="1">
      <c r="B35" s="484" t="n">
        <v>30</v>
      </c>
      <c r="C35" s="485" t="inlineStr">
        <is>
          <t>GP (генеральный партнёр)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/>
      <c r="F35" s="186"/>
      <c r="G35" s="186"/>
      <c r="H35" s="186"/>
      <c r="I35" s="186"/>
      <c r="J35" s="186"/>
      <c r="K35" s="186"/>
      <c r="L35" s="187"/>
      <c r="M35" s="488" t="inlineStr">
        <is>
          <t>DEAL (СДЕЛКА)</t>
        </is>
      </c>
      <c r="N35" s="187"/>
    </row>
    <row r="36" ht="48" customHeight="1">
      <c r="B36" s="484" t="n">
        <v>31</v>
      </c>
      <c r="C36" s="485" t="inlineStr">
        <is>
          <t>Preferred Return (Привилегированный доход)</t>
        </is>
      </c>
      <c r="D36" s="471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186"/>
      <c r="F36" s="186"/>
      <c r="G36" s="186"/>
      <c r="H36" s="186"/>
      <c r="I36" s="186"/>
      <c r="J36" s="186"/>
      <c r="K36" s="186"/>
      <c r="L36" s="187"/>
      <c r="M36" s="488" t="inlineStr">
        <is>
          <t>DEAL (СДЕЛКА)</t>
        </is>
      </c>
      <c r="N36" s="187"/>
    </row>
    <row r="37" ht="55" customHeight="1">
      <c r="B37" s="484" t="n">
        <v>32</v>
      </c>
      <c r="C37" s="485" t="inlineStr">
        <is>
          <t>Waterfall (Каскад)</t>
        </is>
      </c>
      <c r="D37" s="471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186"/>
      <c r="F37" s="186"/>
      <c r="G37" s="186"/>
      <c r="H37" s="186"/>
      <c r="I37" s="186"/>
      <c r="J37" s="186"/>
      <c r="K37" s="186"/>
      <c r="L37" s="187"/>
      <c r="M37" s="488" t="inlineStr">
        <is>
          <t>DEAL (СДЕЛКА)</t>
        </is>
      </c>
      <c r="N37" s="187"/>
    </row>
    <row r="38" ht="55" customHeight="1">
      <c r="B38" s="484" t="n">
        <v>33</v>
      </c>
      <c r="C38" s="485" t="inlineStr">
        <is>
          <t>Оговорка о полной компенсации (Оговорка о полной компенсации)</t>
        </is>
      </c>
      <c r="D38" s="471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186"/>
      <c r="F38" s="186"/>
      <c r="G38" s="186"/>
      <c r="H38" s="186"/>
      <c r="I38" s="186"/>
      <c r="J38" s="186"/>
      <c r="K38" s="186"/>
      <c r="L38" s="187"/>
      <c r="M38" s="488" t="inlineStr">
        <is>
          <t>DEAL (СДЕЛКА)</t>
        </is>
      </c>
      <c r="N38" s="187"/>
    </row>
    <row r="39" ht="56" customHeight="1">
      <c r="B39" s="484" t="n">
        <v>34</v>
      </c>
      <c r="C39" s="485" t="inlineStr">
        <is>
          <t>Cap Table (Таблица капитализации)</t>
        </is>
      </c>
      <c r="D39" s="471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186"/>
      <c r="F39" s="186"/>
      <c r="G39" s="186"/>
      <c r="H39" s="186"/>
      <c r="I39" s="186"/>
      <c r="J39" s="186"/>
      <c r="K39" s="186"/>
      <c r="L39" s="187"/>
      <c r="M39" s="488" t="inlineStr">
        <is>
          <t>DEAL (СДЕЛКА)</t>
        </is>
      </c>
      <c r="N39" s="187"/>
    </row>
    <row r="40" ht="55" customHeight="1">
      <c r="B40" s="484" t="n">
        <v>35</v>
      </c>
      <c r="C40" s="485" t="inlineStr">
        <is>
          <t>Drag-Along (Право принудительной продажи)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/>
      <c r="F40" s="186"/>
      <c r="G40" s="186"/>
      <c r="H40" s="186"/>
      <c r="I40" s="186"/>
      <c r="J40" s="186"/>
      <c r="K40" s="186"/>
      <c r="L40" s="187"/>
      <c r="M40" s="488" t="inlineStr">
        <is>
          <t>DEAL (СДЕЛКА)</t>
        </is>
      </c>
      <c r="N40" s="187"/>
    </row>
    <row r="41" ht="49" customHeight="1">
      <c r="B41" s="484" t="n">
        <v>36</v>
      </c>
      <c r="C41" s="485" t="inlineStr">
        <is>
          <t>Tag-Along (Право присоединения к продаже)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/>
      <c r="F41" s="186"/>
      <c r="G41" s="186"/>
      <c r="H41" s="186"/>
      <c r="I41" s="186"/>
      <c r="J41" s="186"/>
      <c r="K41" s="186"/>
      <c r="L41" s="187"/>
      <c r="M41" s="488" t="inlineStr">
        <is>
          <t>DEAL (СДЕЛКА)</t>
        </is>
      </c>
      <c r="N41" s="187"/>
    </row>
    <row r="42" ht="58" customHeight="1">
      <c r="B42" s="484" t="n">
        <v>37</v>
      </c>
      <c r="C42" s="485" t="inlineStr">
        <is>
          <t>ESOP (Программа акций)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/>
      <c r="F42" s="186"/>
      <c r="G42" s="186"/>
      <c r="H42" s="186"/>
      <c r="I42" s="186"/>
      <c r="J42" s="186"/>
      <c r="K42" s="186"/>
      <c r="L42" s="187"/>
      <c r="M42" s="488" t="inlineStr">
        <is>
          <t>DEAL (СДЕЛКА)</t>
        </is>
      </c>
      <c r="N42" s="187"/>
    </row>
    <row r="43" ht="48" customHeight="1">
      <c r="B43" s="484" t="n">
        <v>38</v>
      </c>
      <c r="C43" s="485" t="inlineStr">
        <is>
          <t>Term Sheet (Условия сделки)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/>
      <c r="F43" s="186"/>
      <c r="G43" s="186"/>
      <c r="H43" s="186"/>
      <c r="I43" s="186"/>
      <c r="J43" s="186"/>
      <c r="K43" s="186"/>
      <c r="L43" s="187"/>
      <c r="M43" s="488" t="inlineStr">
        <is>
          <t>DEAL (СДЕЛКА)</t>
        </is>
      </c>
      <c r="N43" s="187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(Доля) Purchase Agreement — договор купли-продажи акций / долей.</t>
        </is>
      </c>
      <c r="E44" s="186"/>
      <c r="F44" s="186"/>
      <c r="G44" s="186"/>
      <c r="H44" s="186"/>
      <c r="I44" s="186"/>
      <c r="J44" s="186"/>
      <c r="K44" s="186"/>
      <c r="L44" s="187"/>
      <c r="M44" s="488" t="inlineStr">
        <is>
          <t>DEAL (СДЕЛКА)</t>
        </is>
      </c>
      <c r="N44" s="187"/>
    </row>
    <row r="45" ht="60" customHeight="1">
      <c r="B45" s="484" t="n">
        <v>40</v>
      </c>
      <c r="C45" s="485" t="inlineStr">
        <is>
          <t>Tranche (Транш)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/>
      <c r="F45" s="186"/>
      <c r="G45" s="186"/>
      <c r="H45" s="186"/>
      <c r="I45" s="186"/>
      <c r="J45" s="186"/>
      <c r="K45" s="186"/>
      <c r="L45" s="187"/>
      <c r="M45" s="488" t="inlineStr">
        <is>
          <t>DEAL (СДЕЛКА)</t>
        </is>
      </c>
      <c r="N45" s="187"/>
    </row>
    <row r="46" ht="40" customHeight="1">
      <c r="B46" s="484" t="n">
        <v>41</v>
      </c>
      <c r="C46" s="485" t="inlineStr">
        <is>
          <t>Box Office (Кассовые сборы)</t>
        </is>
      </c>
      <c r="D46" s="471" t="inlineStr">
        <is>
          <t>Кассовые сборы — выручка от проката фильма в кинотеатрах.</t>
        </is>
      </c>
      <c r="E46" s="186"/>
      <c r="F46" s="186"/>
      <c r="G46" s="186"/>
      <c r="H46" s="186"/>
      <c r="I46" s="186"/>
      <c r="J46" s="186"/>
      <c r="K46" s="186"/>
      <c r="L46" s="187"/>
      <c r="M46" s="490" t="inlineStr">
        <is>
          <t>КИНО (КИНО)</t>
        </is>
      </c>
      <c r="N46" s="187"/>
    </row>
    <row r="47" ht="55" customHeight="1">
      <c r="B47" s="484" t="n">
        <v>42</v>
      </c>
      <c r="C47" s="485" t="inlineStr">
        <is>
          <t>P&amp;A (тиражирование и реклама)</t>
        </is>
      </c>
      <c r="D47" s="471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186"/>
      <c r="F47" s="186"/>
      <c r="G47" s="186"/>
      <c r="H47" s="186"/>
      <c r="I47" s="186"/>
      <c r="J47" s="186"/>
      <c r="K47" s="186"/>
      <c r="L47" s="187"/>
      <c r="M47" s="490" t="inlineStr">
        <is>
          <t>КИНО (КИНО)</t>
        </is>
      </c>
      <c r="N47" s="187"/>
    </row>
    <row r="48" ht="51" customHeight="1">
      <c r="B48" s="484" t="n">
        <v>43</v>
      </c>
      <c r="C48" s="485" t="inlineStr">
        <is>
          <t>Theatrical Window (Кинотеатральное окно)</t>
        </is>
      </c>
      <c r="D48" s="471" t="inlineStr">
        <is>
          <t>Эксклюзивный кинотеатральный релиз (обычно 45–90 дней) до выхода на VOD / OTT (онлайн-платформа).</t>
        </is>
      </c>
      <c r="E48" s="186"/>
      <c r="F48" s="186"/>
      <c r="G48" s="186"/>
      <c r="H48" s="186"/>
      <c r="I48" s="186"/>
      <c r="J48" s="186"/>
      <c r="K48" s="186"/>
      <c r="L48" s="187"/>
      <c r="M48" s="490" t="inlineStr">
        <is>
          <t>КИНО (КИНО)</t>
        </is>
      </c>
      <c r="N48" s="187"/>
    </row>
    <row r="49" ht="53" customHeight="1">
      <c r="B49" s="484" t="n">
        <v>44</v>
      </c>
      <c r="C49" s="485" t="inlineStr">
        <is>
          <t>VOD / OTT (онлайн-платформа)</t>
        </is>
      </c>
      <c r="D49" s="471" t="inlineStr">
        <is>
          <t>Video On Demand / Over-The-Top — цифровая дистрибуция (Кинопоиск, Okko, IVI, Wink).</t>
        </is>
      </c>
      <c r="E49" s="186"/>
      <c r="F49" s="186"/>
      <c r="G49" s="186"/>
      <c r="H49" s="186"/>
      <c r="I49" s="186"/>
      <c r="J49" s="186"/>
      <c r="K49" s="186"/>
      <c r="L49" s="187"/>
      <c r="M49" s="490" t="inlineStr">
        <is>
          <t>КИНО (КИНО)</t>
        </is>
      </c>
      <c r="N49" s="187"/>
    </row>
    <row r="50" ht="63" customHeight="1">
      <c r="B50" s="484" t="n">
        <v>45</v>
      </c>
      <c r="C50" s="485" t="inlineStr">
        <is>
          <t>Slate Financing (Пакетное финансирование)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/>
      <c r="F50" s="186"/>
      <c r="G50" s="186"/>
      <c r="H50" s="186"/>
      <c r="I50" s="186"/>
      <c r="J50" s="186"/>
      <c r="K50" s="186"/>
      <c r="L50" s="187"/>
      <c r="M50" s="490" t="inlineStr">
        <is>
          <t>КИНО (КИНО)</t>
        </is>
      </c>
      <c r="N50" s="187"/>
    </row>
    <row r="51" ht="57" customHeight="1">
      <c r="B51" s="484" t="n">
        <v>46</v>
      </c>
      <c r="C51" s="485" t="inlineStr">
        <is>
          <t>Разработка (Разработка)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/>
      <c r="F51" s="186"/>
      <c r="G51" s="186"/>
      <c r="H51" s="186"/>
      <c r="I51" s="186"/>
      <c r="J51" s="186"/>
      <c r="K51" s="186"/>
      <c r="L51" s="187"/>
      <c r="M51" s="490" t="inlineStr">
        <is>
          <t>КИНО (КИНО)</t>
        </is>
      </c>
      <c r="N51" s="187"/>
    </row>
    <row r="52" ht="51" customHeight="1">
      <c r="B52" s="484" t="n">
        <v>47</v>
      </c>
      <c r="C52" s="485" t="inlineStr">
        <is>
          <t>Principal Photography (Основные съёмки)</t>
        </is>
      </c>
      <c r="D52" s="471" t="inlineStr">
        <is>
          <t>Основной съёмочный период. В ТрендСтудио Gantt = этап Shoot, 2–4 мес на фильм.</t>
        </is>
      </c>
      <c r="E52" s="186"/>
      <c r="F52" s="186"/>
      <c r="G52" s="186"/>
      <c r="H52" s="186"/>
      <c r="I52" s="186"/>
      <c r="J52" s="186"/>
      <c r="K52" s="186"/>
      <c r="L52" s="187"/>
      <c r="M52" s="490" t="inlineStr">
        <is>
          <t>КИНО (КИНО)</t>
        </is>
      </c>
      <c r="N52" s="187"/>
    </row>
    <row r="53" ht="43" customHeight="1">
      <c r="B53" s="484" t="n">
        <v>48</v>
      </c>
      <c r="C53" s="485" t="inlineStr">
        <is>
          <t>Post-Production (Постпродакшн)</t>
        </is>
      </c>
      <c r="D53" s="471" t="inlineStr">
        <is>
          <t>Монтаж, VFX (визуальные эффекты), цветокоррекция, sound design. В пайплайне 4–6 мес.</t>
        </is>
      </c>
      <c r="E53" s="186"/>
      <c r="F53" s="186"/>
      <c r="G53" s="186"/>
      <c r="H53" s="186"/>
      <c r="I53" s="186"/>
      <c r="J53" s="186"/>
      <c r="K53" s="186"/>
      <c r="L53" s="187"/>
      <c r="M53" s="490" t="inlineStr">
        <is>
          <t>КИНО (КИНО)</t>
        </is>
      </c>
      <c r="N53" s="187"/>
    </row>
    <row r="54" ht="55" customHeight="1">
      <c r="B54" s="484" t="n">
        <v>49</v>
      </c>
      <c r="C54" s="485" t="inlineStr">
        <is>
          <t>Producer (Продюсер) Equity (Собственный капитал)</t>
        </is>
      </c>
      <c r="D54" s="471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186"/>
      <c r="F54" s="186"/>
      <c r="G54" s="186"/>
      <c r="H54" s="186"/>
      <c r="I54" s="186"/>
      <c r="J54" s="186"/>
      <c r="K54" s="186"/>
      <c r="L54" s="187"/>
      <c r="M54" s="490" t="inlineStr">
        <is>
          <t>КИНО (КИНО)</t>
        </is>
      </c>
      <c r="N54" s="187"/>
    </row>
    <row r="55" ht="56" customHeight="1">
      <c r="B55" s="484" t="n">
        <v>50</v>
      </c>
      <c r="C55" s="485" t="inlineStr">
        <is>
          <t>Library Value (Стоимость библиотеки)</t>
        </is>
      </c>
      <c r="D55" s="471" t="inlineStr">
        <is>
          <t>Стоимость накопленного каталога фильмов — источник tail (хвостовой период) revenue 2029–2032 (1 050 млн ₽).</t>
        </is>
      </c>
      <c r="E55" s="186"/>
      <c r="F55" s="186"/>
      <c r="G55" s="186"/>
      <c r="H55" s="186"/>
      <c r="I55" s="186"/>
      <c r="J55" s="186"/>
      <c r="K55" s="186"/>
      <c r="L55" s="187"/>
      <c r="M55" s="490" t="inlineStr">
        <is>
          <t>КИНО (КИНО)</t>
        </is>
      </c>
      <c r="N55" s="187"/>
    </row>
    <row r="56" ht="54" customHeight="1">
      <c r="B56" s="484" t="n">
        <v>51</v>
      </c>
      <c r="C56" s="485" t="inlineStr">
        <is>
          <t>Sequel Rights (Права на сиквел)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/>
      <c r="F56" s="186"/>
      <c r="G56" s="186"/>
      <c r="H56" s="186"/>
      <c r="I56" s="186"/>
      <c r="J56" s="186"/>
      <c r="K56" s="186"/>
      <c r="L56" s="187"/>
      <c r="M56" s="490" t="inlineStr">
        <is>
          <t>КИНО (КИНО)</t>
        </is>
      </c>
      <c r="N56" s="187"/>
    </row>
    <row r="57" ht="61" customHeight="1">
      <c r="B57" s="484" t="n">
        <v>52</v>
      </c>
      <c r="C57" s="485" t="inlineStr">
        <is>
          <t>Co-Production (Копродукция)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/>
      <c r="F57" s="186"/>
      <c r="G57" s="186"/>
      <c r="H57" s="186"/>
      <c r="I57" s="186"/>
      <c r="J57" s="186"/>
      <c r="K57" s="186"/>
      <c r="L57" s="187"/>
      <c r="M57" s="490" t="inlineStr">
        <is>
          <t>КИНО (КИНО)</t>
        </is>
      </c>
      <c r="N57" s="187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/>
      <c r="F58" s="186"/>
      <c r="G58" s="186"/>
      <c r="H58" s="186"/>
      <c r="I58" s="186"/>
      <c r="J58" s="186"/>
      <c r="K58" s="186"/>
      <c r="L58" s="187"/>
      <c r="M58" s="491" t="inlineStr">
        <is>
          <t>REG</t>
        </is>
      </c>
      <c r="N58" s="187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/>
      <c r="F59" s="186"/>
      <c r="G59" s="186"/>
      <c r="H59" s="186"/>
      <c r="I59" s="186"/>
      <c r="J59" s="186"/>
      <c r="K59" s="186"/>
      <c r="L59" s="187"/>
      <c r="M59" s="491" t="inlineStr">
        <is>
          <t>REG</t>
        </is>
      </c>
      <c r="N59" s="187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/>
      <c r="F60" s="186"/>
      <c r="G60" s="186"/>
      <c r="H60" s="186"/>
      <c r="I60" s="186"/>
      <c r="J60" s="186"/>
      <c r="K60" s="186"/>
      <c r="L60" s="187"/>
      <c r="M60" s="491" t="inlineStr">
        <is>
          <t>REG</t>
        </is>
      </c>
      <c r="N60" s="187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/>
      <c r="F61" s="186"/>
      <c r="G61" s="186"/>
      <c r="H61" s="186"/>
      <c r="I61" s="186"/>
      <c r="J61" s="186"/>
      <c r="K61" s="186"/>
      <c r="L61" s="187"/>
      <c r="M61" s="491" t="inlineStr">
        <is>
          <t>REG</t>
        </is>
      </c>
      <c r="N61" s="187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/>
      <c r="F62" s="186"/>
      <c r="G62" s="186"/>
      <c r="H62" s="186"/>
      <c r="I62" s="186"/>
      <c r="J62" s="186"/>
      <c r="K62" s="186"/>
      <c r="L62" s="187"/>
      <c r="M62" s="491" t="inlineStr">
        <is>
          <t>REG</t>
        </is>
      </c>
      <c r="N62" s="187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/>
      <c r="F63" s="186"/>
      <c r="G63" s="186"/>
      <c r="H63" s="186"/>
      <c r="I63" s="186"/>
      <c r="J63" s="186"/>
      <c r="K63" s="186"/>
      <c r="L63" s="187"/>
      <c r="M63" s="491" t="inlineStr">
        <is>
          <t>REG</t>
        </is>
      </c>
      <c r="N63" s="187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/>
      <c r="F64" s="186"/>
      <c r="G64" s="186"/>
      <c r="H64" s="186"/>
      <c r="I64" s="186"/>
      <c r="J64" s="186"/>
      <c r="K64" s="186"/>
      <c r="L64" s="187"/>
      <c r="M64" s="491" t="inlineStr">
        <is>
          <t>REG</t>
        </is>
      </c>
      <c r="N64" s="187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/>
      <c r="F65" s="186"/>
      <c r="G65" s="186"/>
      <c r="H65" s="186"/>
      <c r="I65" s="186"/>
      <c r="J65" s="186"/>
      <c r="K65" s="186"/>
      <c r="L65" s="187"/>
      <c r="M65" s="491" t="inlineStr">
        <is>
          <t>REG</t>
        </is>
      </c>
      <c r="N65" s="187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/>
      <c r="F66" s="186"/>
      <c r="G66" s="186"/>
      <c r="H66" s="186"/>
      <c r="I66" s="186"/>
      <c r="J66" s="186"/>
      <c r="K66" s="186"/>
      <c r="L66" s="187"/>
      <c r="M66" s="491" t="inlineStr">
        <is>
          <t>REG</t>
        </is>
      </c>
      <c r="N66" s="187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/>
      <c r="F67" s="186"/>
      <c r="G67" s="186"/>
      <c r="H67" s="186"/>
      <c r="I67" s="186"/>
      <c r="J67" s="186"/>
      <c r="K67" s="186"/>
      <c r="L67" s="187"/>
      <c r="M67" s="491" t="inlineStr">
        <is>
          <t>REG</t>
        </is>
      </c>
      <c r="N67" s="187"/>
    </row>
    <row r="69" ht="18" customHeight="1">
      <c r="B69" s="482" t="inlineStr">
        <is>
          <t>Легенда: FIN — финансовые термины | RISK — риск / MC | DEAL — структура сделки | КИНО (КИНО)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ПРИМЕЧАНИЯ И ИСТОЧНИКИ (ПРИМЕЧАНИЯ И ИСТОЧНИКИ)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/>
      <c r="F7" s="186"/>
      <c r="G7" s="186"/>
      <c r="H7" s="186"/>
      <c r="I7" s="186"/>
      <c r="J7" s="186"/>
      <c r="K7" s="186"/>
      <c r="L7" s="186"/>
      <c r="M7" s="186"/>
      <c r="N7" s="187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186"/>
      <c r="F8" s="186"/>
      <c r="G8" s="186"/>
      <c r="H8" s="186"/>
      <c r="I8" s="186"/>
      <c r="J8" s="186"/>
      <c r="K8" s="186"/>
      <c r="L8" s="186"/>
      <c r="M8" s="186"/>
      <c r="N8" s="187"/>
    </row>
    <row r="9" ht="60" customHeight="1">
      <c r="C9" s="492" t="inlineStr">
        <is>
          <t>06_Cost_Structure</t>
        </is>
      </c>
      <c r="D9" s="471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186"/>
      <c r="F9" s="186"/>
      <c r="G9" s="186"/>
      <c r="H9" s="186"/>
      <c r="I9" s="186"/>
      <c r="J9" s="186"/>
      <c r="K9" s="186"/>
      <c r="L9" s="186"/>
      <c r="M9" s="186"/>
      <c r="N9" s="187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186"/>
      <c r="F10" s="186"/>
      <c r="G10" s="186"/>
      <c r="H10" s="186"/>
      <c r="I10" s="186"/>
      <c r="J10" s="186"/>
      <c r="K10" s="186"/>
      <c r="L10" s="186"/>
      <c r="M10" s="186"/>
      <c r="N10" s="187"/>
    </row>
    <row r="11" ht="60" customHeight="1">
      <c r="C11" s="492" t="inlineStr">
        <is>
          <t>08_Content_Pipeline</t>
        </is>
      </c>
      <c r="D11" s="471" t="inlineStr">
        <is>
          <t>7 проектов × средний бюджет 264 млн ₽. Распределение: 4 блокбастера (200+), 6 мидл-бюджет (150–180), 2 арт-проекта (80–110).</t>
        </is>
      </c>
      <c r="E11" s="186"/>
      <c r="F11" s="186"/>
      <c r="G11" s="186"/>
      <c r="H11" s="186"/>
      <c r="I11" s="186"/>
      <c r="J11" s="186"/>
      <c r="K11" s="186"/>
      <c r="L11" s="186"/>
      <c r="M11" s="186"/>
      <c r="N11" s="187"/>
    </row>
    <row r="12" ht="60" customHeight="1">
      <c r="C12" s="492" t="inlineStr">
        <is>
          <t>09_P&amp;L_Statement</t>
        </is>
      </c>
      <c r="D12" s="471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186"/>
      <c r="F12" s="186"/>
      <c r="G12" s="186"/>
      <c r="H12" s="186"/>
      <c r="I12" s="186"/>
      <c r="J12" s="186"/>
      <c r="K12" s="186"/>
      <c r="L12" s="186"/>
      <c r="M12" s="186"/>
      <c r="N12" s="187"/>
    </row>
    <row r="13" ht="51" customHeight="1">
      <c r="C13" s="492" t="inlineStr">
        <is>
          <t>10_Cash_Flow</t>
        </is>
      </c>
      <c r="D13" s="471" t="inlineStr">
        <is>
          <t>Indirect method. Working capital (капитал) changes детализированы в 12_WC.</t>
        </is>
      </c>
      <c r="E13" s="186"/>
      <c r="F13" s="186"/>
      <c r="G13" s="186"/>
      <c r="H13" s="186"/>
      <c r="I13" s="186"/>
      <c r="J13" s="186"/>
      <c r="K13" s="186"/>
      <c r="L13" s="186"/>
      <c r="M13" s="186"/>
      <c r="N13" s="187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/>
      <c r="F14" s="186"/>
      <c r="G14" s="186"/>
      <c r="H14" s="186"/>
      <c r="I14" s="186"/>
      <c r="J14" s="186"/>
      <c r="K14" s="186"/>
      <c r="L14" s="186"/>
      <c r="M14" s="186"/>
      <c r="N14" s="187"/>
    </row>
    <row r="15" ht="60" customHeight="1">
      <c r="C15" s="492" t="inlineStr">
        <is>
          <t>17_Deal_Structures</t>
        </is>
      </c>
      <c r="D15" s="471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186"/>
      <c r="F15" s="186"/>
      <c r="G15" s="186"/>
      <c r="H15" s="186"/>
      <c r="I15" s="186"/>
      <c r="J15" s="186"/>
      <c r="K15" s="186"/>
      <c r="L15" s="186"/>
      <c r="M15" s="186"/>
      <c r="N15" s="187"/>
    </row>
    <row r="16" ht="58" customHeight="1">
      <c r="C16" s="492" t="inlineStr">
        <is>
          <t>19_Waterfall</t>
        </is>
      </c>
      <c r="D16" s="471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186"/>
      <c r="F16" s="186"/>
      <c r="G16" s="186"/>
      <c r="H16" s="186"/>
      <c r="I16" s="186"/>
      <c r="J16" s="186"/>
      <c r="K16" s="186"/>
      <c r="L16" s="186"/>
      <c r="M16" s="186"/>
      <c r="N16" s="187"/>
    </row>
    <row r="17" ht="60" customHeight="1">
      <c r="C17" s="492" t="inlineStr">
        <is>
          <t>22_Valuation_DCF</t>
        </is>
      </c>
      <c r="D17" s="471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186"/>
      <c r="F17" s="186"/>
      <c r="G17" s="186"/>
      <c r="H17" s="186"/>
      <c r="I17" s="186"/>
      <c r="J17" s="186"/>
      <c r="K17" s="186"/>
      <c r="L17" s="186"/>
      <c r="M17" s="186"/>
      <c r="N17" s="187"/>
    </row>
    <row r="18" ht="52" customHeight="1">
      <c r="C18" s="492" t="inlineStr">
        <is>
          <t>23_Valuation_Multiples</t>
        </is>
      </c>
      <c r="D18" s="471" t="inlineStr">
        <is>
          <t>EV (стоимость предприятия)/EBITDA (прибыль до вычетов) median по 32_Comparables. Применён discount 10% за liquidity + 5% за size.</t>
        </is>
      </c>
      <c r="E18" s="186"/>
      <c r="F18" s="186"/>
      <c r="G18" s="186"/>
      <c r="H18" s="186"/>
      <c r="I18" s="186"/>
      <c r="J18" s="186"/>
      <c r="K18" s="186"/>
      <c r="L18" s="186"/>
      <c r="M18" s="186"/>
      <c r="N18" s="187"/>
    </row>
    <row r="19" ht="48" customHeight="1">
      <c r="C19" s="492" t="inlineStr">
        <is>
          <t>25_Exit_Scenarios</t>
        </is>
      </c>
      <c r="D19" s="471" t="inlineStr">
        <is>
          <t>Probability-weighted EV (стоимость предприятия) = Σ (p × EV) по 7 маршрутам. Weighted = 6 038 млн ₽.</t>
        </is>
      </c>
      <c r="E19" s="186"/>
      <c r="F19" s="186"/>
      <c r="G19" s="186"/>
      <c r="H19" s="186"/>
      <c r="I19" s="186"/>
      <c r="J19" s="186"/>
      <c r="K19" s="186"/>
      <c r="L19" s="186"/>
      <c r="M19" s="186"/>
      <c r="N19" s="187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(Кассовые сборы) revenue (±420 на EBITDA (прибыль до вычетов)).</t>
        </is>
      </c>
      <c r="E20" s="186"/>
      <c r="F20" s="186"/>
      <c r="G20" s="186"/>
      <c r="H20" s="186"/>
      <c r="I20" s="186"/>
      <c r="J20" s="186"/>
      <c r="K20" s="186"/>
      <c r="L20" s="186"/>
      <c r="M20" s="186"/>
      <c r="N20" s="187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(Базовый) / Optimistic / Best с вероятностями 10/20/40/20/10.</t>
        </is>
      </c>
      <c r="E21" s="186"/>
      <c r="F21" s="186"/>
      <c r="G21" s="186"/>
      <c r="H21" s="186"/>
      <c r="I21" s="186"/>
      <c r="J21" s="186"/>
      <c r="K21" s="186"/>
      <c r="L21" s="186"/>
      <c r="M21" s="186"/>
      <c r="N21" s="187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/>
      <c r="F22" s="186"/>
      <c r="G22" s="186"/>
      <c r="H22" s="186"/>
      <c r="I22" s="186"/>
      <c r="J22" s="186"/>
      <c r="K22" s="186"/>
      <c r="L22" s="186"/>
      <c r="M22" s="186"/>
      <c r="N22" s="187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186"/>
      <c r="F23" s="186"/>
      <c r="G23" s="186"/>
      <c r="H23" s="186"/>
      <c r="I23" s="186"/>
      <c r="J23" s="186"/>
      <c r="K23" s="186"/>
      <c r="L23" s="186"/>
      <c r="M23" s="186"/>
      <c r="N23" s="187"/>
    </row>
    <row r="24" ht="60" customHeight="1">
      <c r="C24" s="492" t="inlineStr">
        <is>
          <t>30/31/32_Market</t>
        </is>
      </c>
      <c r="D24" s="471" t="inlineStr">
        <is>
          <t>TAM/SAM/SOM + benchmark KPI (ключевые показатели) + precedent transactions. RU comps median 8.0×, Global 9.8×, blend 8.9×.</t>
        </is>
      </c>
      <c r="E24" s="186"/>
      <c r="F24" s="186"/>
      <c r="G24" s="186"/>
      <c r="H24" s="186"/>
      <c r="I24" s="186"/>
      <c r="J24" s="186"/>
      <c r="K24" s="186"/>
      <c r="L24" s="186"/>
      <c r="M24" s="186"/>
      <c r="N24" s="187"/>
    </row>
    <row r="25" ht="60" customHeight="1">
      <c r="C25" s="492" t="inlineStr">
        <is>
          <t>33_Gov_KPI</t>
        </is>
      </c>
      <c r="D25" s="471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186"/>
      <c r="F25" s="186"/>
      <c r="G25" s="186"/>
      <c r="H25" s="186"/>
      <c r="I25" s="186"/>
      <c r="J25" s="186"/>
      <c r="K25" s="186"/>
      <c r="L25" s="186"/>
      <c r="M25" s="186"/>
      <c r="N25" s="187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186"/>
      <c r="F26" s="186"/>
      <c r="G26" s="186"/>
      <c r="H26" s="186"/>
      <c r="I26" s="186"/>
      <c r="J26" s="186"/>
      <c r="K26" s="186"/>
      <c r="L26" s="186"/>
      <c r="M26" s="186"/>
      <c r="N26" s="187"/>
    </row>
    <row r="27" ht="60" customHeight="1">
      <c r="C27" s="492" t="inlineStr">
        <is>
          <t>35_Roadmap_2026_2032</t>
        </is>
      </c>
      <c r="D27" s="471" t="inlineStr">
        <is>
          <t>7 проектов × 16 периодов × 4 фазы Gantt + 14 fundraising milestones + 7 exit routes + критический путь.</t>
        </is>
      </c>
      <c r="E27" s="186"/>
      <c r="F27" s="186"/>
      <c r="G27" s="186"/>
      <c r="H27" s="186"/>
      <c r="I27" s="186"/>
      <c r="J27" s="186"/>
      <c r="K27" s="186"/>
      <c r="L27" s="186"/>
      <c r="M27" s="186"/>
      <c r="N27" s="187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/>
      <c r="F28" s="186"/>
      <c r="G28" s="186"/>
      <c r="H28" s="186"/>
      <c r="I28" s="186"/>
      <c r="J28" s="186"/>
      <c r="K28" s="186"/>
      <c r="L28" s="186"/>
      <c r="M28" s="186"/>
      <c r="N28" s="187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/>
      <c r="E33" s="321" t="inlineStr">
        <is>
          <t>Назначение</t>
        </is>
      </c>
      <c r="F33" s="186"/>
      <c r="G33" s="186"/>
      <c r="H33" s="186"/>
      <c r="I33" s="186"/>
      <c r="J33" s="186"/>
      <c r="K33" s="186"/>
      <c r="L33" s="187"/>
      <c r="M33" s="321" t="inlineStr">
        <is>
          <t>URL / издатель</t>
        </is>
      </c>
      <c r="N33" s="187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/>
      <c r="E34" s="471" t="inlineStr">
        <is>
          <t>О национальных целях развития РФ до 2030 и 2036 гг.</t>
        </is>
      </c>
      <c r="F34" s="186"/>
      <c r="G34" s="186"/>
      <c r="H34" s="186"/>
      <c r="I34" s="186"/>
      <c r="J34" s="186"/>
      <c r="K34" s="186"/>
      <c r="L34" s="187"/>
      <c r="M34" s="494" t="inlineStr">
        <is>
          <t>kremlin.ru</t>
        </is>
      </c>
      <c r="N34" s="187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/>
      <c r="E35" s="471" t="inlineStr">
        <is>
          <t>Правила предоставления субсидий кинопродюсерам</t>
        </is>
      </c>
      <c r="F35" s="186"/>
      <c r="G35" s="186"/>
      <c r="H35" s="186"/>
      <c r="I35" s="186"/>
      <c r="J35" s="186"/>
      <c r="K35" s="186"/>
      <c r="L35" s="187"/>
      <c r="M35" s="494" t="inlineStr">
        <is>
          <t>government.ru</t>
        </is>
      </c>
      <c r="N35" s="187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/>
      <c r="E36" s="471" t="inlineStr">
        <is>
          <t>Операции, освобождённые от НДС (включая кинопродукцию)</t>
        </is>
      </c>
      <c r="F36" s="186"/>
      <c r="G36" s="186"/>
      <c r="H36" s="186"/>
      <c r="I36" s="186"/>
      <c r="J36" s="186"/>
      <c r="K36" s="186"/>
      <c r="L36" s="187"/>
      <c r="M36" s="494" t="inlineStr">
        <is>
          <t>nalog.gov.ru</t>
        </is>
      </c>
      <c r="N36" s="187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/>
      <c r="E37" s="471" t="inlineStr">
        <is>
          <t>Финансирование семейного / детского кино</t>
        </is>
      </c>
      <c r="F37" s="186"/>
      <c r="G37" s="186"/>
      <c r="H37" s="186"/>
      <c r="I37" s="186"/>
      <c r="J37" s="186"/>
      <c r="K37" s="186"/>
      <c r="L37" s="187"/>
      <c r="M37" s="494" t="inlineStr">
        <is>
          <t>government.ru</t>
        </is>
      </c>
      <c r="N37" s="187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/>
      <c r="E38" s="471" t="inlineStr">
        <is>
          <t>Грантовая поддержка молодёжного контента</t>
        </is>
      </c>
      <c r="F38" s="186"/>
      <c r="G38" s="186"/>
      <c r="H38" s="186"/>
      <c r="I38" s="186"/>
      <c r="J38" s="186"/>
      <c r="K38" s="186"/>
      <c r="L38" s="187"/>
      <c r="M38" s="494" t="inlineStr">
        <is>
          <t>government.ru</t>
        </is>
      </c>
      <c r="N38" s="187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/>
      <c r="E39" s="471" t="inlineStr">
        <is>
          <t>Субсидии и инфраструктура кинематографа</t>
        </is>
      </c>
      <c r="F39" s="186"/>
      <c r="G39" s="186"/>
      <c r="H39" s="186"/>
      <c r="I39" s="186"/>
      <c r="J39" s="186"/>
      <c r="K39" s="186"/>
      <c r="L39" s="187"/>
      <c r="M39" s="494" t="inlineStr">
        <is>
          <t>government.ru</t>
        </is>
      </c>
      <c r="N39" s="187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/>
      <c r="E40" s="471" t="inlineStr">
        <is>
          <t>Безвозвратные субсидии кинопродюсерам</t>
        </is>
      </c>
      <c r="F40" s="186"/>
      <c r="G40" s="186"/>
      <c r="H40" s="186"/>
      <c r="I40" s="186"/>
      <c r="J40" s="186"/>
      <c r="K40" s="186"/>
      <c r="L40" s="187"/>
      <c r="M40" s="494" t="inlineStr">
        <is>
          <t>fond-kino.ru</t>
        </is>
      </c>
      <c r="N40" s="187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/>
      <c r="E41" s="471" t="inlineStr">
        <is>
          <t>Верификация релизных планов и премьер</t>
        </is>
      </c>
      <c r="F41" s="186"/>
      <c r="G41" s="186"/>
      <c r="H41" s="186"/>
      <c r="I41" s="186"/>
      <c r="J41" s="186"/>
      <c r="K41" s="186"/>
      <c r="L41" s="187"/>
      <c r="M41" s="494" t="inlineStr">
        <is>
          <t>culture.gov.ru</t>
        </is>
      </c>
      <c r="N41" s="187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/>
      <c r="E42" s="471" t="inlineStr">
        <is>
          <t>Box Office (Кассовые сборы) РФ 2020–2025</t>
        </is>
      </c>
      <c r="F42" s="186"/>
      <c r="G42" s="186"/>
      <c r="H42" s="186"/>
      <c r="I42" s="186"/>
      <c r="J42" s="186"/>
      <c r="K42" s="186"/>
      <c r="L42" s="187"/>
      <c r="M42" s="494" t="inlineStr">
        <is>
          <t>rosstat.gov.ru</t>
        </is>
      </c>
      <c r="N42" s="187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/>
      <c r="E43" s="471" t="inlineStr">
        <is>
          <t>Оперативные новости индустрии, сделки, господдержка</t>
        </is>
      </c>
      <c r="F43" s="186"/>
      <c r="G43" s="186"/>
      <c r="H43" s="186"/>
      <c r="I43" s="186"/>
      <c r="J43" s="186"/>
      <c r="K43" s="186"/>
      <c r="L43" s="187"/>
      <c r="M43" s="494" t="inlineStr">
        <is>
          <t>tass.ru</t>
        </is>
      </c>
      <c r="N43" s="187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/>
      <c r="E44" s="471" t="inlineStr">
        <is>
          <t>Регуляторные новости, нац. проекты</t>
        </is>
      </c>
      <c r="F44" s="186"/>
      <c r="G44" s="186"/>
      <c r="H44" s="186"/>
      <c r="I44" s="186"/>
      <c r="J44" s="186"/>
      <c r="K44" s="186"/>
      <c r="L44" s="187"/>
      <c r="M44" s="494" t="inlineStr">
        <is>
          <t>ria.ru</t>
        </is>
      </c>
      <c r="N44" s="187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/>
      <c r="E45" s="471" t="inlineStr">
        <is>
          <t>Недельная касса, TOP-листы, статистика</t>
        </is>
      </c>
      <c r="F45" s="186"/>
      <c r="G45" s="186"/>
      <c r="H45" s="186"/>
      <c r="I45" s="186"/>
      <c r="J45" s="186"/>
      <c r="K45" s="186"/>
      <c r="L45" s="187"/>
      <c r="M45" s="494" t="inlineStr">
        <is>
          <t>bulletin.info.ru</t>
        </is>
      </c>
      <c r="N45" s="187"/>
    </row>
    <row r="46" ht="26" customHeight="1">
      <c r="B46" s="490" t="inlineStr">
        <is>
          <t>ГЛОБАЛЬНЫЙ (ГЛОБАЛЬНЫЙ)</t>
        </is>
      </c>
      <c r="C46" s="493" t="inlineStr">
        <is>
          <t>Box Office (Кассовые сборы) Mojo / IMDb Pro</t>
        </is>
      </c>
      <c r="D46" s="187"/>
      <c r="E46" s="471" t="inlineStr">
        <is>
          <t>Global benchmarks (мировые бенчмарки), кастинг, продакшн-кредиты</t>
        </is>
      </c>
      <c r="F46" s="186"/>
      <c r="G46" s="186"/>
      <c r="H46" s="186"/>
      <c r="I46" s="186"/>
      <c r="J46" s="186"/>
      <c r="K46" s="186"/>
      <c r="L46" s="187"/>
      <c r="M46" s="494" t="inlineStr">
        <is>
          <t>boxofficemojo.com</t>
        </is>
      </c>
      <c r="N46" s="187"/>
    </row>
    <row r="47" ht="26" customHeight="1">
      <c r="B47" s="490" t="inlineStr">
        <is>
          <t>ГЛОБАЛЬНЫЙ (ГЛОБАЛЬНЫЙ)</t>
        </is>
      </c>
      <c r="C47" s="493" t="inlineStr">
        <is>
          <t>Variety Intelligence Platform (Аналитическая платформа Variety)</t>
        </is>
      </c>
      <c r="D47" s="187"/>
      <c r="E47" s="471" t="inlineStr">
        <is>
          <t>Industry analytics (Отраслевая аналитика), deal tracking (отслеживание сделок)</t>
        </is>
      </c>
      <c r="F47" s="186"/>
      <c r="G47" s="186"/>
      <c r="H47" s="186"/>
      <c r="I47" s="186"/>
      <c r="J47" s="186"/>
      <c r="K47" s="186"/>
      <c r="L47" s="187"/>
      <c r="M47" s="494" t="inlineStr">
        <is>
          <t>variety.com</t>
        </is>
      </c>
      <c r="N47" s="187"/>
    </row>
    <row r="48" ht="26" customHeight="1">
      <c r="B48" s="490" t="inlineStr">
        <is>
          <t>ГЛОБАЛЬНЫЙ (ГЛОБАЛЬНЫЙ)</t>
        </is>
      </c>
      <c r="C48" s="493" t="inlineStr">
        <is>
          <t>S&amp;P Capital (Капитал) IQ</t>
        </is>
      </c>
      <c r="D48" s="187"/>
      <c r="E48" s="471" t="inlineStr">
        <is>
          <t>EV (стоимость предприятия)/EBITDA (прибыль до вычетов) multiples, comparable transactions</t>
        </is>
      </c>
      <c r="F48" s="186"/>
      <c r="G48" s="186"/>
      <c r="H48" s="186"/>
      <c r="I48" s="186"/>
      <c r="J48" s="186"/>
      <c r="K48" s="186"/>
      <c r="L48" s="187"/>
      <c r="M48" s="494" t="inlineStr">
        <is>
          <t>spglobal.com</t>
        </is>
      </c>
      <c r="N48" s="187"/>
    </row>
    <row r="49" ht="26" customHeight="1">
      <c r="B49" s="490" t="inlineStr">
        <is>
          <t>ГЛОБАЛЬНЫЙ (ГЛОБАЛЬНЫЙ)</t>
        </is>
      </c>
      <c r="C49" s="493" t="inlineStr">
        <is>
          <t>Mergermarket / PitchBook</t>
        </is>
      </c>
      <c r="D49" s="187"/>
      <c r="E49" s="471" t="inlineStr">
        <is>
          <t>M&amp;A (слияния и поглощения) precedent data, deal databases</t>
        </is>
      </c>
      <c r="F49" s="186"/>
      <c r="G49" s="186"/>
      <c r="H49" s="186"/>
      <c r="I49" s="186"/>
      <c r="J49" s="186"/>
      <c r="K49" s="186"/>
      <c r="L49" s="187"/>
      <c r="M49" s="494" t="inlineStr">
        <is>
          <t>pitchbook.com</t>
        </is>
      </c>
      <c r="N49" s="187"/>
    </row>
    <row r="50" ht="26" customHeight="1">
      <c r="B50" s="488" t="inlineStr">
        <is>
          <t>АКАДЕМИЧЕСКИЙ (АКАДЕМИЧЕСКИЙ)</t>
        </is>
      </c>
      <c r="C50" s="493" t="inlineStr">
        <is>
          <t>Vogel, H. — Entertainment Industry Economics (10th ed.)</t>
        </is>
      </c>
      <c r="D50" s="187"/>
      <c r="E50" s="471" t="inlineStr">
        <is>
          <t>Учебник по экономике медиа-индустрии</t>
        </is>
      </c>
      <c r="F50" s="186"/>
      <c r="G50" s="186"/>
      <c r="H50" s="186"/>
      <c r="I50" s="186"/>
      <c r="J50" s="186"/>
      <c r="K50" s="186"/>
      <c r="L50" s="187"/>
      <c r="M50" s="494" t="inlineStr">
        <is>
          <t>Cambridge University Press</t>
        </is>
      </c>
      <c r="N50" s="187"/>
    </row>
    <row r="51" ht="26" customHeight="1">
      <c r="B51" s="487" t="inlineStr">
        <is>
          <t>ВНУТРЕННИЙ (ВНУТРЕННИЙ)</t>
        </is>
      </c>
      <c r="C51" s="493" t="inlineStr">
        <is>
          <t>ТрендСтудио финмодель v1.4.4</t>
        </is>
      </c>
      <c r="D51" s="187"/>
      <c r="E51" s="471" t="inlineStr">
        <is>
          <t>Якорная модель холдинга 2026–2028, cumulative NDP (чистые распределяемые поступления) 3 000 млн ₽</t>
        </is>
      </c>
      <c r="F51" s="186"/>
      <c r="G51" s="186"/>
      <c r="H51" s="186"/>
      <c r="I51" s="186"/>
      <c r="J51" s="186"/>
      <c r="K51" s="186"/>
      <c r="L51" s="187"/>
      <c r="M51" s="494" t="inlineStr">
        <is>
          <t>pipeline/</t>
        </is>
      </c>
      <c r="N51" s="187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 ОТКАЗ ОТ ОТВЕТСТВЕННОСТИ (ОТКАЗ ОТ ОТВЕТСТВЕННОСТИ)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 ИСТОРИЯ ВЕРСИЙ (ИСТОРИЯ ВЕРСИЙ)</t>
        </is>
      </c>
    </row>
    <row r="63" ht="22" customHeight="1">
      <c r="B63" s="321" t="inlineStr">
        <is>
          <t>Version (Версия)</t>
        </is>
      </c>
      <c r="C63" s="186"/>
      <c r="D63" s="187"/>
      <c r="E63" s="321" t="inlineStr">
        <is>
          <t>Date (Дата)</t>
        </is>
      </c>
      <c r="F63" s="186"/>
      <c r="G63" s="187"/>
      <c r="H63" s="321" t="inlineStr">
        <is>
          <t>Changes (Изменения)</t>
        </is>
      </c>
      <c r="I63" s="186"/>
      <c r="J63" s="186"/>
      <c r="K63" s="186"/>
      <c r="L63" s="186"/>
      <c r="M63" s="186"/>
      <c r="N63" s="187"/>
    </row>
    <row r="64" ht="32" customHeight="1">
      <c r="B64" s="496" t="inlineStr">
        <is>
          <t>v1.0 Public</t>
        </is>
      </c>
      <c r="C64" s="186"/>
      <c r="D64" s="187"/>
      <c r="E64" s="354" t="inlineStr">
        <is>
          <t>2026-04-11</t>
        </is>
      </c>
      <c r="F64" s="186"/>
      <c r="G64" s="187"/>
      <c r="H64" s="471" t="inlineStr">
        <is>
          <t>Initial release — 38 листов, dual metric Variant C, П5 «Максимум» verification, sheets А.1–А.19 complete</t>
        </is>
      </c>
      <c r="I64" s="186"/>
      <c r="J64" s="186"/>
      <c r="K64" s="186"/>
      <c r="L64" s="186"/>
      <c r="M64" s="186"/>
      <c r="N64" s="187"/>
    </row>
    <row r="65" ht="32" customHeight="1">
      <c r="B65" s="496" t="inlineStr">
        <is>
          <t>v1.4.4 pipeline</t>
        </is>
      </c>
      <c r="C65" s="186"/>
      <c r="D65" s="187"/>
      <c r="E65" s="354" t="inlineStr">
        <is>
          <t>2026-04-11</t>
        </is>
      </c>
      <c r="F65" s="186"/>
      <c r="G65" s="187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/>
      <c r="J65" s="186"/>
      <c r="K65" s="186"/>
      <c r="L65" s="186"/>
      <c r="M65" s="186"/>
      <c r="N65" s="187"/>
    </row>
    <row r="68" ht="18" customHeight="1">
      <c r="B68" s="482" t="inlineStr">
        <is>
          <t>Подготовлено: ТрендСтудио Holdings | Investor Package (Инвестиционный пакет)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(СОДЕРЖАНИЕ) / СОДЕРЖАНИЕ</t>
        </is>
      </c>
    </row>
    <row r="3" ht="18" customHeight="1">
      <c r="B3" s="457" t="inlineStr">
        <is>
          <t>Investor Package (Инвестиционный пакет) v1.0 Public — 42 листа — hyperlinks</t>
        </is>
      </c>
    </row>
    <row r="5" ht="22" customHeight="1">
      <c r="B5" s="458" t="inlineStr">
        <is>
          <t>A. TITLE &amp; META (ТИТУЛ И МЕТА)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/>
      <c r="F7" s="186"/>
      <c r="G7" s="186"/>
      <c r="H7" s="186"/>
      <c r="I7" s="186"/>
      <c r="J7" s="186"/>
      <c r="K7" s="186"/>
      <c r="L7" s="186"/>
      <c r="M7" s="186"/>
      <c r="N7" s="187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/>
      <c r="F8" s="186"/>
      <c r="G8" s="186"/>
      <c r="H8" s="186"/>
      <c r="I8" s="186"/>
      <c r="J8" s="186"/>
      <c r="K8" s="186"/>
      <c r="L8" s="186"/>
      <c r="M8" s="186"/>
      <c r="N8" s="187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/>
      <c r="F9" s="186"/>
      <c r="G9" s="186"/>
      <c r="H9" s="186"/>
      <c r="I9" s="186"/>
      <c r="J9" s="186"/>
      <c r="K9" s="186"/>
      <c r="L9" s="186"/>
      <c r="M9" s="186"/>
      <c r="N9" s="187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/>
      <c r="F10" s="186"/>
      <c r="G10" s="186"/>
      <c r="H10" s="186"/>
      <c r="I10" s="186"/>
      <c r="J10" s="186"/>
      <c r="K10" s="186"/>
      <c r="L10" s="186"/>
      <c r="M10" s="186"/>
      <c r="N10" s="187"/>
    </row>
    <row r="12" ht="22" customHeight="1">
      <c r="B12" s="501" t="inlineStr">
        <is>
          <t>B. COST STRUCTURE (СТРУКТУРА ЗАТРАТ)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/>
      <c r="F14" s="186"/>
      <c r="G14" s="186"/>
      <c r="H14" s="186"/>
      <c r="I14" s="186"/>
      <c r="J14" s="186"/>
      <c r="K14" s="186"/>
      <c r="L14" s="186"/>
      <c r="M14" s="186"/>
      <c r="N14" s="187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/>
      <c r="F15" s="186"/>
      <c r="G15" s="186"/>
      <c r="H15" s="186"/>
      <c r="I15" s="186"/>
      <c r="J15" s="186"/>
      <c r="K15" s="186"/>
      <c r="L15" s="186"/>
      <c r="M15" s="186"/>
      <c r="N15" s="187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(совместное предприятие) / проектная)</t>
        </is>
      </c>
      <c r="E16" s="186"/>
      <c r="F16" s="186"/>
      <c r="G16" s="186"/>
      <c r="H16" s="186"/>
      <c r="I16" s="186"/>
      <c r="J16" s="186"/>
      <c r="K16" s="186"/>
      <c r="L16" s="186"/>
      <c r="M16" s="186"/>
      <c r="N16" s="187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(себестоимость) + OpEx детализация</t>
        </is>
      </c>
      <c r="E17" s="186"/>
      <c r="F17" s="186"/>
      <c r="G17" s="186"/>
      <c r="H17" s="186"/>
      <c r="I17" s="186"/>
      <c r="J17" s="186"/>
      <c r="K17" s="186"/>
      <c r="L17" s="186"/>
      <c r="M17" s="186"/>
      <c r="N17" s="187"/>
    </row>
    <row r="19" ht="22" customHeight="1">
      <c r="B19" s="501" t="inlineStr">
        <is>
          <t>C. REVENUE (ВЫРУЧКА) &amp; PIPELINE (ВЫРУЧКА И ПОРТФЕЛЬ)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/>
      <c r="F21" s="186"/>
      <c r="G21" s="186"/>
      <c r="H21" s="186"/>
      <c r="I21" s="186"/>
      <c r="J21" s="186"/>
      <c r="K21" s="186"/>
      <c r="L21" s="186"/>
      <c r="M21" s="186"/>
      <c r="N21" s="187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/>
      <c r="F22" s="186"/>
      <c r="G22" s="186"/>
      <c r="H22" s="186"/>
      <c r="I22" s="186"/>
      <c r="J22" s="186"/>
      <c r="K22" s="186"/>
      <c r="L22" s="186"/>
      <c r="M22" s="186"/>
      <c r="N22" s="187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7 проектов × 264 млн ₽</t>
        </is>
      </c>
      <c r="E23" s="186"/>
      <c r="F23" s="186"/>
      <c r="G23" s="186"/>
      <c r="H23" s="186"/>
      <c r="I23" s="186"/>
      <c r="J23" s="186"/>
      <c r="K23" s="186"/>
      <c r="L23" s="186"/>
      <c r="M23" s="186"/>
      <c r="N23" s="187"/>
    </row>
    <row r="25" ht="22" customHeight="1">
      <c r="B25" s="501" t="inlineStr">
        <is>
          <t>D. FINANCIALS (ФИНАНСЫ)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/>
      <c r="F27" s="186"/>
      <c r="G27" s="186"/>
      <c r="H27" s="186"/>
      <c r="I27" s="186"/>
      <c r="J27" s="186"/>
      <c r="K27" s="186"/>
      <c r="L27" s="186"/>
      <c r="M27" s="186"/>
      <c r="N27" s="187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186"/>
      <c r="F28" s="186"/>
      <c r="G28" s="186"/>
      <c r="H28" s="186"/>
      <c r="I28" s="186"/>
      <c r="J28" s="186"/>
      <c r="K28" s="186"/>
      <c r="L28" s="186"/>
      <c r="M28" s="186"/>
      <c r="N28" s="187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(Отчёт о движении денежных средств) (indirect)</t>
        </is>
      </c>
      <c r="E29" s="186"/>
      <c r="F29" s="186"/>
      <c r="G29" s="186"/>
      <c r="H29" s="186"/>
      <c r="I29" s="186"/>
      <c r="J29" s="186"/>
      <c r="K29" s="186"/>
      <c r="L29" s="186"/>
      <c r="M29" s="186"/>
      <c r="N29" s="187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/>
      <c r="F30" s="186"/>
      <c r="G30" s="186"/>
      <c r="H30" s="186"/>
      <c r="I30" s="186"/>
      <c r="J30" s="186"/>
      <c r="K30" s="186"/>
      <c r="L30" s="186"/>
      <c r="M30" s="186"/>
      <c r="N30" s="187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/>
      <c r="F31" s="186"/>
      <c r="G31" s="186"/>
      <c r="H31" s="186"/>
      <c r="I31" s="186"/>
      <c r="J31" s="186"/>
      <c r="K31" s="186"/>
      <c r="L31" s="186"/>
      <c r="M31" s="186"/>
      <c r="N31" s="187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/>
      <c r="F32" s="186"/>
      <c r="G32" s="186"/>
      <c r="H32" s="186"/>
      <c r="I32" s="186"/>
      <c r="J32" s="186"/>
      <c r="K32" s="186"/>
      <c r="L32" s="186"/>
      <c r="M32" s="186"/>
      <c r="N32" s="187"/>
    </row>
    <row r="34" ht="22" customHeight="1">
      <c r="B34" s="501" t="inlineStr">
        <is>
          <t>E. INVESTMENT (ИНВЕСТИЦИИ)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/>
      <c r="F36" s="186"/>
      <c r="G36" s="186"/>
      <c r="H36" s="186"/>
      <c r="I36" s="186"/>
      <c r="J36" s="186"/>
      <c r="K36" s="186"/>
      <c r="L36" s="186"/>
      <c r="M36" s="186"/>
      <c r="N36" s="187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/>
      <c r="F37" s="186"/>
      <c r="G37" s="186"/>
      <c r="H37" s="186"/>
      <c r="I37" s="186"/>
      <c r="J37" s="186"/>
      <c r="K37" s="186"/>
      <c r="L37" s="186"/>
      <c r="M37" s="186"/>
      <c r="N37" s="187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/>
      <c r="F38" s="186"/>
      <c r="G38" s="186"/>
      <c r="H38" s="186"/>
      <c r="I38" s="186"/>
      <c r="J38" s="186"/>
      <c r="K38" s="186"/>
      <c r="L38" s="186"/>
      <c r="M38" s="186"/>
      <c r="N38" s="187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 (Капзатраты)</t>
        </is>
      </c>
      <c r="E39" s="186"/>
      <c r="F39" s="186"/>
      <c r="G39" s="186"/>
      <c r="H39" s="186"/>
      <c r="I39" s="186"/>
      <c r="J39" s="186"/>
      <c r="K39" s="186"/>
      <c r="L39" s="186"/>
      <c r="M39" s="186"/>
      <c r="N39" s="187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(совместное предприятие) + Producer equity (капитал продюсера) 600 млн ₽</t>
        </is>
      </c>
      <c r="E40" s="186"/>
      <c r="F40" s="186"/>
      <c r="G40" s="186"/>
      <c r="H40" s="186"/>
      <c r="I40" s="186"/>
      <c r="J40" s="186"/>
      <c r="K40" s="186"/>
      <c r="L40" s="186"/>
      <c r="M40" s="186"/>
      <c r="N40" s="187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/>
      <c r="F41" s="186"/>
      <c r="G41" s="186"/>
      <c r="H41" s="186"/>
      <c r="I41" s="186"/>
      <c r="J41" s="186"/>
      <c r="K41" s="186"/>
      <c r="L41" s="186"/>
      <c r="M41" s="186"/>
      <c r="N41" s="187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(ограниченный партнёр) 12% pref + 80/20)</t>
        </is>
      </c>
      <c r="E42" s="186"/>
      <c r="F42" s="186"/>
      <c r="G42" s="186"/>
      <c r="H42" s="186"/>
      <c r="I42" s="186"/>
      <c r="J42" s="186"/>
      <c r="K42" s="186"/>
      <c r="L42" s="186"/>
      <c r="M42" s="186"/>
      <c r="N42" s="187"/>
    </row>
    <row r="44" ht="22" customHeight="1">
      <c r="B44" s="501" t="inlineStr">
        <is>
          <t>F. UNIT ECON &amp; KPI (ключевые показатели)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/>
      <c r="F46" s="186"/>
      <c r="G46" s="186"/>
      <c r="H46" s="186"/>
      <c r="I46" s="186"/>
      <c r="J46" s="186"/>
      <c r="K46" s="186"/>
      <c r="L46" s="186"/>
      <c r="M46" s="186"/>
      <c r="N46" s="187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/>
      <c r="F47" s="186"/>
      <c r="G47" s="186"/>
      <c r="H47" s="186"/>
      <c r="I47" s="186"/>
      <c r="J47" s="186"/>
      <c r="K47" s="186"/>
      <c r="L47" s="186"/>
      <c r="M47" s="186"/>
      <c r="N47" s="187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/>
      <c r="F48" s="186"/>
      <c r="G48" s="186"/>
      <c r="H48" s="186"/>
      <c r="I48" s="186"/>
      <c r="J48" s="186"/>
      <c r="K48" s="186"/>
      <c r="L48" s="186"/>
      <c r="M48" s="186"/>
      <c r="N48" s="187"/>
    </row>
    <row r="50" ht="22" customHeight="1">
      <c r="B50" s="501" t="inlineStr">
        <is>
          <t>G. VALUATION (ОЦЕНКА)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/>
      <c r="F52" s="186"/>
      <c r="G52" s="186"/>
      <c r="H52" s="186"/>
      <c r="I52" s="186"/>
      <c r="J52" s="186"/>
      <c r="K52" s="186"/>
      <c r="L52" s="186"/>
      <c r="M52" s="186"/>
      <c r="N52" s="187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(дисконтированный денежный поток) blend 40% Gordon + 60% Exit Mult = 1 815</t>
        </is>
      </c>
      <c r="E53" s="186"/>
      <c r="F53" s="186"/>
      <c r="G53" s="186"/>
      <c r="H53" s="186"/>
      <c r="I53" s="186"/>
      <c r="J53" s="186"/>
      <c r="K53" s="186"/>
      <c r="L53" s="186"/>
      <c r="M53" s="186"/>
      <c r="N53" s="187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 (стоимость предприятия)/EBITDA (прибыль до вычетов) multiples</t>
        </is>
      </c>
      <c r="E54" s="186"/>
      <c r="F54" s="186"/>
      <c r="G54" s="186"/>
      <c r="H54" s="186"/>
      <c r="I54" s="186"/>
      <c r="J54" s="186"/>
      <c r="K54" s="186"/>
      <c r="L54" s="186"/>
      <c r="M54" s="186"/>
      <c r="N54" s="187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(внутренняя норма доходности) для LP (ограниченный партнёр)</t>
        </is>
      </c>
      <c r="E55" s="186"/>
      <c r="F55" s="186"/>
      <c r="G55" s="186"/>
      <c r="H55" s="186"/>
      <c r="I55" s="186"/>
      <c r="J55" s="186"/>
      <c r="K55" s="186"/>
      <c r="L55" s="186"/>
      <c r="M55" s="186"/>
      <c r="N55" s="187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(стоимость предприятия) = 6 038</t>
        </is>
      </c>
      <c r="E56" s="186"/>
      <c r="F56" s="186"/>
      <c r="G56" s="186"/>
      <c r="H56" s="186"/>
      <c r="I56" s="186"/>
      <c r="J56" s="186"/>
      <c r="K56" s="186"/>
      <c r="L56" s="186"/>
      <c r="M56" s="186"/>
      <c r="N56" s="187"/>
    </row>
    <row r="58" ht="22" customHeight="1">
      <c r="B58" s="501" t="inlineStr">
        <is>
          <t>H. RISK &amp; SENSITIVITY (РИСКИ И ЧУВСТВИТЕЛЬНОСТЬ)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/>
      <c r="F60" s="186"/>
      <c r="G60" s="186"/>
      <c r="H60" s="186"/>
      <c r="I60" s="186"/>
      <c r="J60" s="186"/>
      <c r="K60" s="186"/>
      <c r="L60" s="186"/>
      <c r="M60" s="186"/>
      <c r="N60" s="187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/>
      <c r="F61" s="186"/>
      <c r="G61" s="186"/>
      <c r="H61" s="186"/>
      <c r="I61" s="186"/>
      <c r="J61" s="186"/>
      <c r="K61" s="186"/>
      <c r="L61" s="186"/>
      <c r="M61" s="186"/>
      <c r="N61" s="187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/>
      <c r="F62" s="186"/>
      <c r="G62" s="186"/>
      <c r="H62" s="186"/>
      <c r="I62" s="186"/>
      <c r="J62" s="186"/>
      <c r="K62" s="186"/>
      <c r="L62" s="186"/>
      <c r="M62" s="186"/>
      <c r="N62" s="187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/>
      <c r="F63" s="186"/>
      <c r="G63" s="186"/>
      <c r="H63" s="186"/>
      <c r="I63" s="186"/>
      <c r="J63" s="186"/>
      <c r="K63" s="186"/>
      <c r="L63" s="186"/>
      <c r="M63" s="186"/>
      <c r="N63" s="187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/>
      <c r="F64" s="186"/>
      <c r="G64" s="186"/>
      <c r="H64" s="186"/>
      <c r="I64" s="186"/>
      <c r="J64" s="186"/>
      <c r="K64" s="186"/>
      <c r="L64" s="186"/>
      <c r="M64" s="186"/>
      <c r="N64" s="187"/>
    </row>
    <row r="66" ht="22" customHeight="1">
      <c r="B66" s="501" t="inlineStr">
        <is>
          <t>I.  РЫНОК И БЕНЧМАРКИ (РЫНОК И БЕНЧМАРКИ)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/>
      <c r="F68" s="186"/>
      <c r="G68" s="186"/>
      <c r="H68" s="186"/>
      <c r="I68" s="186"/>
      <c r="J68" s="186"/>
      <c r="K68" s="186"/>
      <c r="L68" s="186"/>
      <c r="M68" s="186"/>
      <c r="N68" s="187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/>
      <c r="F69" s="186"/>
      <c r="G69" s="186"/>
      <c r="H69" s="186"/>
      <c r="I69" s="186"/>
      <c r="J69" s="186"/>
      <c r="K69" s="186"/>
      <c r="L69" s="186"/>
      <c r="M69" s="186"/>
      <c r="N69" s="187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(ключевые показатели) + 7 FIN KPI + 6 multiples</t>
        </is>
      </c>
      <c r="E70" s="186"/>
      <c r="F70" s="186"/>
      <c r="G70" s="186"/>
      <c r="H70" s="186"/>
      <c r="I70" s="186"/>
      <c r="J70" s="186"/>
      <c r="K70" s="186"/>
      <c r="L70" s="186"/>
      <c r="M70" s="186"/>
      <c r="N70" s="187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 (мировых прецедентов)</t>
        </is>
      </c>
      <c r="E71" s="186"/>
      <c r="F71" s="186"/>
      <c r="G71" s="186"/>
      <c r="H71" s="186"/>
      <c r="I71" s="186"/>
      <c r="J71" s="186"/>
      <c r="K71" s="186"/>
      <c r="L71" s="186"/>
      <c r="M71" s="186"/>
      <c r="N71" s="187"/>
    </row>
    <row r="73" ht="22" customHeight="1">
      <c r="B73" s="501" t="inlineStr">
        <is>
          <t>J. GOV &amp; TAX &amp; ROADMAP (УПРАВЛЕНИЕ, НАЛОГИ, ДОРОЖНАЯ КАРТА)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/>
      <c r="F75" s="186"/>
      <c r="G75" s="186"/>
      <c r="H75" s="186"/>
      <c r="I75" s="186"/>
      <c r="J75" s="186"/>
      <c r="K75" s="186"/>
      <c r="L75" s="186"/>
      <c r="M75" s="186"/>
      <c r="N75" s="187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(ключевые показатели) + 5 источников 1 040</t>
        </is>
      </c>
      <c r="E76" s="186"/>
      <c r="F76" s="186"/>
      <c r="G76" s="186"/>
      <c r="H76" s="186"/>
      <c r="I76" s="186"/>
      <c r="J76" s="186"/>
      <c r="K76" s="186"/>
      <c r="L76" s="186"/>
      <c r="M76" s="186"/>
      <c r="N76" s="187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/>
      <c r="F77" s="186"/>
      <c r="G77" s="186"/>
      <c r="H77" s="186"/>
      <c r="I77" s="186"/>
      <c r="J77" s="186"/>
      <c r="K77" s="186"/>
      <c r="L77" s="186"/>
      <c r="M77" s="186"/>
      <c r="N77" s="187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(фандрайзинг) + exit (выход)</t>
        </is>
      </c>
      <c r="E78" s="186"/>
      <c r="F78" s="186"/>
      <c r="G78" s="186"/>
      <c r="H78" s="186"/>
      <c r="I78" s="186"/>
      <c r="J78" s="186"/>
      <c r="K78" s="186"/>
      <c r="L78" s="186"/>
      <c r="M78" s="186"/>
      <c r="N78" s="187"/>
    </row>
    <row r="80" ht="22" customHeight="1">
      <c r="B80" s="466" t="inlineStr">
        <is>
          <t>K. SUMMARY &amp; GLOSSARY (РЕЗЮМЕ И ГЛОССАРИЙ)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/>
      <c r="F82" s="186"/>
      <c r="G82" s="186"/>
      <c r="H82" s="186"/>
      <c r="I82" s="186"/>
      <c r="J82" s="186"/>
      <c r="K82" s="186"/>
      <c r="L82" s="186"/>
      <c r="M82" s="186"/>
      <c r="N82" s="187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/>
      <c r="F83" s="186"/>
      <c r="G83" s="186"/>
      <c r="H83" s="186"/>
      <c r="I83" s="186"/>
      <c r="J83" s="186"/>
      <c r="K83" s="186"/>
      <c r="L83" s="186"/>
      <c r="M83" s="186"/>
      <c r="N83" s="187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/>
      <c r="F84" s="186"/>
      <c r="G84" s="186"/>
      <c r="H84" s="186"/>
      <c r="I84" s="186"/>
      <c r="J84" s="186"/>
      <c r="K84" s="186"/>
      <c r="L84" s="186"/>
      <c r="M84" s="186"/>
      <c r="N84" s="187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/>
      <c r="F85" s="186"/>
      <c r="G85" s="186"/>
      <c r="H85" s="186"/>
      <c r="I85" s="186"/>
      <c r="J85" s="186"/>
      <c r="K85" s="186"/>
      <c r="L85" s="186"/>
      <c r="M85" s="186"/>
      <c r="N85" s="187"/>
    </row>
    <row r="87" ht="22" customHeight="1">
      <c r="B87" s="466" t="inlineStr">
        <is>
          <t>L. SERVICE (СЕРВИС)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/>
      <c r="F89" s="186"/>
      <c r="G89" s="186"/>
      <c r="H89" s="186"/>
      <c r="I89" s="186"/>
      <c r="J89" s="186"/>
      <c r="K89" s="186"/>
      <c r="L89" s="186"/>
      <c r="M89" s="186"/>
      <c r="N89" s="187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(Содержание)</t>
        </is>
      </c>
      <c r="E90" s="186"/>
      <c r="F90" s="186"/>
      <c r="G90" s="186"/>
      <c r="H90" s="186"/>
      <c r="I90" s="186"/>
      <c r="J90" s="186"/>
      <c r="K90" s="186"/>
      <c r="L90" s="186"/>
      <c r="M90" s="186"/>
      <c r="N90" s="187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/>
      <c r="F91" s="186"/>
      <c r="G91" s="186"/>
      <c r="H91" s="186"/>
      <c r="I91" s="186"/>
      <c r="J91" s="186"/>
      <c r="K91" s="186"/>
      <c r="L91" s="186"/>
      <c r="M91" s="186"/>
      <c r="N91" s="187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(Области печати) + page breaks (разрывы страниц)</t>
        </is>
      </c>
      <c r="E92" s="186"/>
      <c r="F92" s="186"/>
      <c r="G92" s="186"/>
      <c r="H92" s="186"/>
      <c r="I92" s="186"/>
      <c r="J92" s="186"/>
      <c r="K92" s="186"/>
      <c r="L92" s="186"/>
      <c r="M92" s="186"/>
      <c r="N92" s="187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 (ограниченный партнёр)</t>
        </is>
      </c>
      <c r="E93" s="186"/>
      <c r="F93" s="186"/>
      <c r="G93" s="186"/>
      <c r="H93" s="186"/>
      <c r="I93" s="186"/>
      <c r="J93" s="186"/>
      <c r="K93" s="186"/>
      <c r="L93" s="186"/>
      <c r="M93" s="186"/>
      <c r="N93" s="187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ref="C8" ns1:id="rId1"/>
    <hyperlink ref="C9" ns1:id="rId2"/>
    <hyperlink ref="C10" ns1:id="rId3"/>
    <hyperlink ref="C15" ns1:id="rId4"/>
    <hyperlink ref="C16" ns1:id="rId5"/>
    <hyperlink ref="C17" ns1:id="rId6"/>
    <hyperlink ref="C22" ns1:id="rId7"/>
    <hyperlink ref="C23" ns1:id="rId8"/>
    <hyperlink ref="C28" ns1:id="rId9"/>
    <hyperlink ref="C29" ns1:id="rId10"/>
    <hyperlink ref="C30" ns1:id="rId11"/>
    <hyperlink ref="C31" ns1:id="rId12"/>
    <hyperlink ref="C32" ns1:id="rId13"/>
    <hyperlink ref="C37" ns1:id="rId14"/>
    <hyperlink ref="C38" ns1:id="rId15"/>
    <hyperlink ref="C39" ns1:id="rId16"/>
    <hyperlink ref="C40" ns1:id="rId17"/>
    <hyperlink ref="C41" ns1:id="rId18"/>
    <hyperlink ref="C42" ns1:id="rId19"/>
    <hyperlink ref="C47" ns1:id="rId20"/>
    <hyperlink ref="C48" ns1:id="rId21"/>
    <hyperlink ref="C53" ns1:id="rId22"/>
    <hyperlink ref="C54" ns1:id="rId23"/>
    <hyperlink ref="C55" ns1:id="rId24"/>
    <hyperlink ref="C56" ns1:id="rId25"/>
    <hyperlink ref="C61" ns1:id="rId26"/>
    <hyperlink ref="C62" ns1:id="rId27"/>
    <hyperlink ref="C63" ns1:id="rId28"/>
    <hyperlink ref="C64" ns1:id="rId29"/>
    <hyperlink ref="C69" ns1:id="rId30"/>
    <hyperlink ref="C70" ns1:id="rId31"/>
    <hyperlink ref="C71" ns1:id="rId32"/>
    <hyperlink ref="C76" ns1:id="rId33"/>
    <hyperlink ref="C77" ns1:id="rId34"/>
    <hyperlink ref="C78" ns1:id="rId35"/>
    <hyperlink ref="C83" ns1:id="rId36"/>
    <hyperlink ref="C84" ns1:id="rId37"/>
    <hyperlink ref="C85" ns1:id="rId38"/>
    <hyperlink ref="C90" ns1:id="rId39"/>
    <hyperlink ref="C91" ns1:id="rId40"/>
    <hyperlink ref="C92" ns1:id="rId41"/>
    <hyperlink ref="C93" ns1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ИНВЕСТОР (ИНВЕСТОР) DUE DILIGENCE CHECKLIST (ЧЕК-ЛИСТ КОМПЛЕКСНОЙ ПРОВЕРКИ)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/>
      <c r="F5" s="186"/>
      <c r="G5" s="186"/>
      <c r="H5" s="186"/>
      <c r="I5" s="186"/>
      <c r="J5" s="186"/>
      <c r="K5" s="186"/>
      <c r="L5" s="187"/>
      <c r="M5" s="321" t="inlineStr">
        <is>
          <t>Источник в модели</t>
        </is>
      </c>
      <c r="N5" s="187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186"/>
      <c r="F7" s="186"/>
      <c r="G7" s="186"/>
      <c r="H7" s="186"/>
      <c r="I7" s="186"/>
      <c r="J7" s="186"/>
      <c r="K7" s="186"/>
      <c r="L7" s="187"/>
      <c r="M7" s="505" t="inlineStr">
        <is>
          <t>09_P&amp;L_Statement</t>
        </is>
      </c>
      <c r="N7" s="187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186"/>
      <c r="F8" s="186"/>
      <c r="G8" s="186"/>
      <c r="H8" s="186"/>
      <c r="I8" s="186"/>
      <c r="J8" s="186"/>
      <c r="K8" s="186"/>
      <c r="L8" s="187"/>
      <c r="M8" s="505" t="inlineStr">
        <is>
          <t>07_Revenue_Breakdown</t>
        </is>
      </c>
      <c r="N8" s="187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(себестоимость)</t>
        </is>
      </c>
      <c r="E9" s="186"/>
      <c r="F9" s="186"/>
      <c r="G9" s="186"/>
      <c r="H9" s="186"/>
      <c r="I9" s="186"/>
      <c r="J9" s="186"/>
      <c r="K9" s="186"/>
      <c r="L9" s="187"/>
      <c r="M9" s="505" t="inlineStr">
        <is>
          <t>06_Cost_Structure</t>
        </is>
      </c>
      <c r="N9" s="187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7 проектов × средний бюджет 264 млн ₽</t>
        </is>
      </c>
      <c r="E10" s="186"/>
      <c r="F10" s="186"/>
      <c r="G10" s="186"/>
      <c r="H10" s="186"/>
      <c r="I10" s="186"/>
      <c r="J10" s="186"/>
      <c r="K10" s="186"/>
      <c r="L10" s="187"/>
      <c r="M10" s="505" t="inlineStr">
        <is>
          <t>08_Content_Pipeline</t>
        </is>
      </c>
      <c r="N10" s="187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(хвостовой период) revenue 1 050 млн ₽ 2029–2032)</t>
        </is>
      </c>
      <c r="E11" s="186"/>
      <c r="F11" s="186"/>
      <c r="G11" s="186"/>
      <c r="H11" s="186"/>
      <c r="I11" s="186"/>
      <c r="J11" s="186"/>
      <c r="K11" s="186"/>
      <c r="L11" s="187"/>
      <c r="M11" s="505" t="inlineStr">
        <is>
          <t>07_Revenue_Breakdown</t>
        </is>
      </c>
      <c r="N11" s="187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/>
      <c r="F14" s="186"/>
      <c r="G14" s="186"/>
      <c r="H14" s="186"/>
      <c r="I14" s="186"/>
      <c r="J14" s="186"/>
      <c r="K14" s="186"/>
      <c r="L14" s="187"/>
      <c r="M14" s="505" t="inlineStr">
        <is>
          <t>14_Investment_Inflow</t>
        </is>
      </c>
      <c r="N14" s="187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186"/>
      <c r="F15" s="186"/>
      <c r="G15" s="186"/>
      <c r="H15" s="186"/>
      <c r="I15" s="186"/>
      <c r="J15" s="186"/>
      <c r="K15" s="186"/>
      <c r="L15" s="187"/>
      <c r="M15" s="505" t="inlineStr">
        <is>
          <t>17_Deal_Structures</t>
        </is>
      </c>
      <c r="N15" s="187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(Таблица капитализации) pre-money / post-money structure</t>
        </is>
      </c>
      <c r="E16" s="186"/>
      <c r="F16" s="186"/>
      <c r="G16" s="186"/>
      <c r="H16" s="186"/>
      <c r="I16" s="186"/>
      <c r="J16" s="186"/>
      <c r="K16" s="186"/>
      <c r="L16" s="187"/>
      <c r="M16" s="505" t="inlineStr">
        <is>
          <t>18_Cap_Table</t>
        </is>
      </c>
      <c r="N16" s="187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(Каскад) W₅ V-D ★ default (по умолчанию) v1.0.1 (1× Liq Pref (Ликвидационная привилегия) + 12% pref × 5y + catch-up 70/30 + carry 60/40); legacy (базовый вариант) W₃ (8% coupon (купон)) и W₄ premium (премия) (12% pref + 65/35) доступны как опции</t>
        </is>
      </c>
      <c r="E17" s="186"/>
      <c r="F17" s="186"/>
      <c r="G17" s="186"/>
      <c r="H17" s="186"/>
      <c r="I17" s="186"/>
      <c r="J17" s="186"/>
      <c r="K17" s="186"/>
      <c r="L17" s="187"/>
      <c r="M17" s="505" t="inlineStr">
        <is>
          <t>19_Waterfall</t>
        </is>
      </c>
      <c r="N17" s="187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(Использование средств) — привязка каждого рубля к статье</t>
        </is>
      </c>
      <c r="E18" s="186"/>
      <c r="F18" s="186"/>
      <c r="G18" s="186"/>
      <c r="H18" s="186"/>
      <c r="I18" s="186"/>
      <c r="J18" s="186"/>
      <c r="K18" s="186"/>
      <c r="L18" s="187"/>
      <c r="M18" s="505" t="inlineStr">
        <is>
          <t>15_Use_of_Funds</t>
        </is>
      </c>
      <c r="N18" s="187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(Капзатраты) schedule — все CAPEX ≤ 100 млн ₽ за 3 года</t>
        </is>
      </c>
      <c r="E19" s="186"/>
      <c r="F19" s="186"/>
      <c r="G19" s="186"/>
      <c r="H19" s="186"/>
      <c r="I19" s="186"/>
      <c r="J19" s="186"/>
      <c r="K19" s="186"/>
      <c r="L19" s="187"/>
      <c r="M19" s="505" t="inlineStr">
        <is>
          <t>16_CAPEX_Schedule</t>
        </is>
      </c>
      <c r="N19" s="187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(дисконтированный денежный поток) blend 40% Gordon + 60% Exit Multiple (Мультипликатор выхода) — логика и параметры</t>
        </is>
      </c>
      <c r="E22" s="186"/>
      <c r="F22" s="186"/>
      <c r="G22" s="186"/>
      <c r="H22" s="186"/>
      <c r="I22" s="186"/>
      <c r="J22" s="186"/>
      <c r="K22" s="186"/>
      <c r="L22" s="187"/>
      <c r="M22" s="505" t="inlineStr">
        <is>
          <t>22_Valuation_DCF</t>
        </is>
      </c>
      <c r="N22" s="187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(средневзвешенная стоимость капитала) 19% — justify страновой risk и execution</t>
        </is>
      </c>
      <c r="E23" s="186"/>
      <c r="F23" s="186"/>
      <c r="G23" s="186"/>
      <c r="H23" s="186"/>
      <c r="I23" s="186"/>
      <c r="J23" s="186"/>
      <c r="K23" s="186"/>
      <c r="L23" s="187"/>
      <c r="M23" s="505" t="inlineStr">
        <is>
          <t>22_Valuation_DCF</t>
        </is>
      </c>
      <c r="N23" s="187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/>
      <c r="F24" s="186"/>
      <c r="G24" s="186"/>
      <c r="H24" s="186"/>
      <c r="I24" s="186"/>
      <c r="J24" s="186"/>
      <c r="K24" s="186"/>
      <c r="L24" s="187"/>
      <c r="M24" s="505" t="inlineStr">
        <is>
          <t>36_Executive_Summary III</t>
        </is>
      </c>
      <c r="N24" s="187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 (стоимость предприятия)/EBITDA (прибыль до вычетов) multiples vs 32_Comparable_Transactions median 8.9×</t>
        </is>
      </c>
      <c r="E25" s="186"/>
      <c r="F25" s="186"/>
      <c r="G25" s="186"/>
      <c r="H25" s="186"/>
      <c r="I25" s="186"/>
      <c r="J25" s="186"/>
      <c r="K25" s="186"/>
      <c r="L25" s="187"/>
      <c r="M25" s="505" t="inlineStr">
        <is>
          <t>23_Valuation_Multiples</t>
        </is>
      </c>
      <c r="N25" s="187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(стоимость предприятия) 6 038 = Σ (p × EV) по 7 маршрутам</t>
        </is>
      </c>
      <c r="E26" s="186"/>
      <c r="F26" s="186"/>
      <c r="G26" s="186"/>
      <c r="H26" s="186"/>
      <c r="I26" s="186"/>
      <c r="J26" s="186"/>
      <c r="K26" s="186"/>
      <c r="L26" s="187"/>
      <c r="M26" s="505" t="inlineStr">
        <is>
          <t>25_Exit_Scenarios</t>
        </is>
      </c>
      <c r="N26" s="187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 (Доходность инвестора): MOIC (мультипликатор вложенного капитала) 2.13× (W₅ V-D ★) / 2.00× (W₃ legacy (базовый вариант)) / 2.12× (W₄), IRR (внутренняя норма доходности) 24.75% (W₅ V-D vs hurdle (порог) 18%, margin (маржа) +6.75pp)</t>
        </is>
      </c>
      <c r="E27" s="186"/>
      <c r="F27" s="186"/>
      <c r="G27" s="186"/>
      <c r="H27" s="186"/>
      <c r="I27" s="186"/>
      <c r="J27" s="186"/>
      <c r="K27" s="186"/>
      <c r="L27" s="187"/>
      <c r="M27" s="505" t="inlineStr">
        <is>
          <t>24_Investor_Returns</t>
        </is>
      </c>
      <c r="N27" s="187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(Базовый) = 24.75% (margin (маржа) к hurdle (порог)), Bear (Пессимистичный)=10.70% (структурный downside))</t>
        </is>
      </c>
      <c r="E30" s="186"/>
      <c r="F30" s="186"/>
      <c r="G30" s="186"/>
      <c r="H30" s="186"/>
      <c r="I30" s="186"/>
      <c r="J30" s="186"/>
      <c r="K30" s="186"/>
      <c r="L30" s="187"/>
      <c r="M30" s="505" t="inlineStr">
        <is>
          <t>29_Risk_Register</t>
        </is>
      </c>
      <c r="N30" s="187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/>
      <c r="F31" s="186"/>
      <c r="G31" s="186"/>
      <c r="H31" s="186"/>
      <c r="I31" s="186"/>
      <c r="J31" s="186"/>
      <c r="K31" s="186"/>
      <c r="L31" s="187"/>
      <c r="M31" s="505" t="inlineStr">
        <is>
          <t>29_Risk_Register</t>
        </is>
      </c>
      <c r="N31" s="187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/>
      <c r="F32" s="186"/>
      <c r="G32" s="186"/>
      <c r="H32" s="186"/>
      <c r="I32" s="186"/>
      <c r="J32" s="186"/>
      <c r="K32" s="186"/>
      <c r="L32" s="187"/>
      <c r="M32" s="505" t="inlineStr">
        <is>
          <t>29_Risk_Register</t>
        </is>
      </c>
      <c r="N32" s="187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(Монте-Карло) v1.0.1: N=5000, W₅ V-D ★ + A+C pattern (паттерн) 33/45/9/13, P(IRR (внутренняя норма доходности)&gt;18%) = 32.7%, VaR 95% NDP (чистые распределяемые поступления) shortfall, sensitivity grid 5×5</t>
        </is>
      </c>
      <c r="E33" s="186"/>
      <c r="F33" s="186"/>
      <c r="G33" s="186"/>
      <c r="H33" s="186"/>
      <c r="I33" s="186"/>
      <c r="J33" s="186"/>
      <c r="K33" s="186"/>
      <c r="L33" s="187"/>
      <c r="M33" s="505" t="inlineStr">
        <is>
          <t>28_Monte_Carlo_Summary</t>
        </is>
      </c>
      <c r="N33" s="187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 (прибыль до вычетов)</t>
        </is>
      </c>
      <c r="E34" s="186"/>
      <c r="F34" s="186"/>
      <c r="G34" s="186"/>
      <c r="H34" s="186"/>
      <c r="I34" s="186"/>
      <c r="J34" s="186"/>
      <c r="K34" s="186"/>
      <c r="L34" s="187"/>
      <c r="M34" s="505" t="inlineStr">
        <is>
          <t>26_Sensitivity</t>
        </is>
      </c>
      <c r="N34" s="187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 (Базовый)/Opt/Best)</t>
        </is>
      </c>
      <c r="E35" s="186"/>
      <c r="F35" s="186"/>
      <c r="G35" s="186"/>
      <c r="H35" s="186"/>
      <c r="I35" s="186"/>
      <c r="J35" s="186"/>
      <c r="K35" s="186"/>
      <c r="L35" s="187"/>
      <c r="M35" s="505" t="inlineStr">
        <is>
          <t>27_Scenario_Analysis</t>
        </is>
      </c>
      <c r="N35" s="187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289,8 / SAM 118 / SOM 4,545 — обоснование определения SAM</t>
        </is>
      </c>
      <c r="E38" s="186"/>
      <c r="F38" s="186"/>
      <c r="G38" s="186"/>
      <c r="H38" s="186"/>
      <c r="I38" s="186"/>
      <c r="J38" s="186"/>
      <c r="K38" s="186"/>
      <c r="L38" s="187"/>
      <c r="M38" s="505" t="inlineStr">
        <is>
          <t>30_Market_Analysis</t>
        </is>
      </c>
      <c r="N38" s="187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 (Бенчмарк): ТрендСтудио EBITDA (прибыль до вычетов) margin (маржа) 47.3% vs РФ median 20%</t>
        </is>
      </c>
      <c r="E39" s="186"/>
      <c r="F39" s="186"/>
      <c r="G39" s="186"/>
      <c r="H39" s="186"/>
      <c r="I39" s="186"/>
      <c r="J39" s="186"/>
      <c r="K39" s="186"/>
      <c r="L39" s="187"/>
      <c r="M39" s="505" t="inlineStr">
        <is>
          <t>31_Benchmarks</t>
        </is>
      </c>
      <c r="N39" s="187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 (стоимость предприятия)/EBITDA (прибыль до вычетов) 8.0× median</t>
        </is>
      </c>
      <c r="E40" s="186"/>
      <c r="F40" s="186"/>
      <c r="G40" s="186"/>
      <c r="H40" s="186"/>
      <c r="I40" s="186"/>
      <c r="J40" s="186"/>
      <c r="K40" s="186"/>
      <c r="L40" s="187"/>
      <c r="M40" s="505" t="inlineStr">
        <is>
          <t>32_Comparable_Transactions</t>
        </is>
      </c>
      <c r="N40" s="187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(мир. прецедентов) — 9,8× медиана, blend 8,9×</t>
        </is>
      </c>
      <c r="E41" s="186"/>
      <c r="F41" s="186"/>
      <c r="G41" s="186"/>
      <c r="H41" s="186"/>
      <c r="I41" s="186"/>
      <c r="J41" s="186"/>
      <c r="K41" s="186"/>
      <c r="L41" s="187"/>
      <c r="M41" s="505" t="inlineStr">
        <is>
          <t>32_Comparable_Transactions</t>
        </is>
      </c>
      <c r="N41" s="187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(среднегодовой темп роста) рынка 8.2% до 2028 — источник Росстат / Бюллетень</t>
        </is>
      </c>
      <c r="E42" s="186"/>
      <c r="F42" s="186"/>
      <c r="G42" s="186"/>
      <c r="H42" s="186"/>
      <c r="I42" s="186"/>
      <c r="J42" s="186"/>
      <c r="K42" s="186"/>
      <c r="L42" s="187"/>
      <c r="M42" s="505" t="inlineStr">
        <is>
          <t>30_Market_Analysis</t>
        </is>
      </c>
      <c r="N42" s="187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</t>
        </is>
      </c>
      <c r="E45" s="186"/>
      <c r="F45" s="186"/>
      <c r="G45" s="186"/>
      <c r="H45" s="186"/>
      <c r="I45" s="186"/>
      <c r="J45" s="186"/>
      <c r="K45" s="186"/>
      <c r="L45" s="187"/>
      <c r="M45" s="505" t="inlineStr">
        <is>
          <t>33_Gov_KPI</t>
        </is>
      </c>
      <c r="N45" s="187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/>
      <c r="F46" s="186"/>
      <c r="G46" s="186"/>
      <c r="H46" s="186"/>
      <c r="I46" s="186"/>
      <c r="J46" s="186"/>
      <c r="K46" s="186"/>
      <c r="L46" s="187"/>
      <c r="M46" s="505" t="inlineStr">
        <is>
          <t>33_Gov_KPI</t>
        </is>
      </c>
      <c r="N46" s="187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/>
      <c r="F47" s="186"/>
      <c r="G47" s="186"/>
      <c r="H47" s="186"/>
      <c r="I47" s="186"/>
      <c r="J47" s="186"/>
      <c r="K47" s="186"/>
      <c r="L47" s="187"/>
      <c r="M47" s="505" t="inlineStr">
        <is>
          <t>34_Tax_Schedule</t>
        </is>
      </c>
      <c r="N47" s="187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(Выручка) (720 / 5 595)</t>
        </is>
      </c>
      <c r="E48" s="186"/>
      <c r="F48" s="186"/>
      <c r="G48" s="186"/>
      <c r="H48" s="186"/>
      <c r="I48" s="186"/>
      <c r="J48" s="186"/>
      <c r="K48" s="186"/>
      <c r="L48" s="187"/>
      <c r="M48" s="505" t="inlineStr">
        <is>
          <t>34_Tax_Schedule</t>
        </is>
      </c>
      <c r="N48" s="187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(контрольных точек соответствия)</t>
        </is>
      </c>
      <c r="E49" s="186"/>
      <c r="F49" s="186"/>
      <c r="G49" s="186"/>
      <c r="H49" s="186"/>
      <c r="I49" s="186"/>
      <c r="J49" s="186"/>
      <c r="K49" s="186"/>
      <c r="L49" s="187"/>
      <c r="M49" s="505" t="inlineStr">
        <is>
          <t>33_Gov_KPI</t>
        </is>
      </c>
      <c r="N49" s="187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7 проектов × 16 периодов × 4 фазы (Dev/Shoot/Post/Release (Релиз))</t>
        </is>
      </c>
      <c r="E52" s="186"/>
      <c r="F52" s="186"/>
      <c r="G52" s="186"/>
      <c r="H52" s="186"/>
      <c r="I52" s="186"/>
      <c r="J52" s="186"/>
      <c r="K52" s="186"/>
      <c r="L52" s="187"/>
      <c r="M52" s="505" t="inlineStr">
        <is>
          <t>35_Roadmap_2026_2032</t>
        </is>
      </c>
      <c r="N52" s="187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/>
      <c r="F53" s="186"/>
      <c r="G53" s="186"/>
      <c r="H53" s="186"/>
      <c r="I53" s="186"/>
      <c r="J53" s="186"/>
      <c r="K53" s="186"/>
      <c r="L53" s="187"/>
      <c r="M53" s="505" t="inlineStr">
        <is>
          <t>35_Roadmap_2026_2032</t>
        </is>
      </c>
      <c r="N53" s="187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(направления корпоративного управления) (Совет директоров, audit, covenant, strategic review)</t>
        </is>
      </c>
      <c r="E54" s="186"/>
      <c r="F54" s="186"/>
      <c r="G54" s="186"/>
      <c r="H54" s="186"/>
      <c r="I54" s="186"/>
      <c r="J54" s="186"/>
      <c r="K54" s="186"/>
      <c r="L54" s="187"/>
      <c r="M54" s="505" t="inlineStr">
        <is>
          <t>35_Roadmap_2026_2032</t>
        </is>
      </c>
      <c r="N54" s="187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(Критический) path — 12 критических элементов</t>
        </is>
      </c>
      <c r="E55" s="186"/>
      <c r="F55" s="186"/>
      <c r="G55" s="186"/>
      <c r="H55" s="186"/>
      <c r="I55" s="186"/>
      <c r="J55" s="186"/>
      <c r="K55" s="186"/>
      <c r="L55" s="187"/>
      <c r="M55" s="505" t="inlineStr">
        <is>
          <t>35_Roadmap_2026_2032</t>
        </is>
      </c>
      <c r="N55" s="187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/>
      <c r="F56" s="186"/>
      <c r="G56" s="186"/>
      <c r="H56" s="186"/>
      <c r="I56" s="186"/>
      <c r="J56" s="186"/>
      <c r="K56" s="186"/>
      <c r="L56" s="187"/>
      <c r="M56" s="505" t="inlineStr">
        <is>
          <t>25_Exit_Scenarios</t>
        </is>
      </c>
      <c r="N56" s="187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(Стратегический) buyer mapping: Яндекс / Сбер / ГМ / НМГ</t>
        </is>
      </c>
      <c r="E57" s="186"/>
      <c r="F57" s="186"/>
      <c r="G57" s="186"/>
      <c r="H57" s="186"/>
      <c r="I57" s="186"/>
      <c r="J57" s="186"/>
      <c r="K57" s="186"/>
      <c r="L57" s="187"/>
      <c r="M57" s="505" t="inlineStr">
        <is>
          <t>36_Executive_Summary V</t>
        </is>
      </c>
      <c r="N57" s="187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(ограниченный партнёр) до 2026Q2</t>
        </is>
      </c>
      <c r="E60" s="186"/>
      <c r="F60" s="186"/>
      <c r="G60" s="186"/>
      <c r="H60" s="186"/>
      <c r="I60" s="186"/>
      <c r="J60" s="186"/>
      <c r="K60" s="186"/>
      <c r="L60" s="187"/>
      <c r="M60" s="505" t="inlineStr">
        <is>
          <t>внешний</t>
        </is>
      </c>
      <c r="N60" s="187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/>
      <c r="F61" s="186"/>
      <c r="G61" s="186"/>
      <c r="H61" s="186"/>
      <c r="I61" s="186"/>
      <c r="J61" s="186"/>
      <c r="K61" s="186"/>
      <c r="L61" s="187"/>
      <c r="M61" s="505" t="inlineStr">
        <is>
          <t>внешний</t>
        </is>
      </c>
      <c r="N61" s="187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/>
      <c r="F62" s="186"/>
      <c r="G62" s="186"/>
      <c r="H62" s="186"/>
      <c r="I62" s="186"/>
      <c r="J62" s="186"/>
      <c r="K62" s="186"/>
      <c r="L62" s="187"/>
      <c r="M62" s="505" t="inlineStr">
        <is>
          <t>внешний</t>
        </is>
      </c>
      <c r="N62" s="187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/>
      <c r="F63" s="186"/>
      <c r="G63" s="186"/>
      <c r="H63" s="186"/>
      <c r="I63" s="186"/>
      <c r="J63" s="186"/>
      <c r="K63" s="186"/>
      <c r="L63" s="187"/>
      <c r="M63" s="505" t="inlineStr">
        <is>
          <t>внешний</t>
        </is>
      </c>
      <c r="N63" s="187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Совет директоров composition: 2 LP (ограниченный партнёр) seats + 2 management + 1 independent</t>
        </is>
      </c>
      <c r="E64" s="186"/>
      <c r="F64" s="186"/>
      <c r="G64" s="186"/>
      <c r="H64" s="186"/>
      <c r="I64" s="186"/>
      <c r="J64" s="186"/>
      <c r="K64" s="186"/>
      <c r="L64" s="187"/>
      <c r="M64" s="505" t="inlineStr">
        <is>
          <t>18_Cap_Table</t>
        </is>
      </c>
      <c r="N64" s="187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/>
      <c r="F65" s="186"/>
      <c r="G65" s="186"/>
      <c r="H65" s="186"/>
      <c r="I65" s="186"/>
      <c r="J65" s="186"/>
      <c r="K65" s="186"/>
      <c r="L65" s="187"/>
      <c r="M65" s="505" t="inlineStr">
        <is>
          <t>38_Notes_and_Sources III</t>
        </is>
      </c>
      <c r="N65" s="187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НАСТРОЙКИ ПЕЧАТИ (НАСТРОЙКИ ПЕЧАТИ)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 (Область печати)</t>
        </is>
      </c>
      <c r="G7" s="187"/>
      <c r="H7" s="321" t="inlineStr">
        <is>
          <t>Повтор. строки</t>
        </is>
      </c>
      <c r="I7" s="186"/>
      <c r="J7" s="186"/>
      <c r="K7" s="186"/>
      <c r="L7" s="186"/>
      <c r="M7" s="186"/>
      <c r="N7" s="187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/>
      <c r="H8" s="354" t="inlineStr">
        <is>
          <t>1:3</t>
        </is>
      </c>
      <c r="I8" s="186"/>
      <c r="J8" s="186"/>
      <c r="K8" s="186"/>
      <c r="L8" s="186"/>
      <c r="M8" s="186"/>
      <c r="N8" s="187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/>
      <c r="H9" s="354" t="inlineStr">
        <is>
          <t>1:5</t>
        </is>
      </c>
      <c r="I9" s="186"/>
      <c r="J9" s="186"/>
      <c r="K9" s="186"/>
      <c r="L9" s="186"/>
      <c r="M9" s="186"/>
      <c r="N9" s="187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/>
      <c r="H10" s="354" t="inlineStr">
        <is>
          <t>1:5</t>
        </is>
      </c>
      <c r="I10" s="186"/>
      <c r="J10" s="186"/>
      <c r="K10" s="186"/>
      <c r="L10" s="186"/>
      <c r="M10" s="186"/>
      <c r="N10" s="187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/>
      <c r="H11" s="354" t="inlineStr">
        <is>
          <t>1:5</t>
        </is>
      </c>
      <c r="I11" s="186"/>
      <c r="J11" s="186"/>
      <c r="K11" s="186"/>
      <c r="L11" s="186"/>
      <c r="M11" s="186"/>
      <c r="N11" s="187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/>
      <c r="H12" s="354" t="inlineStr">
        <is>
          <t>1:5</t>
        </is>
      </c>
      <c r="I12" s="186"/>
      <c r="J12" s="186"/>
      <c r="K12" s="186"/>
      <c r="L12" s="186"/>
      <c r="M12" s="186"/>
      <c r="N12" s="187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/>
      <c r="H13" s="354" t="inlineStr">
        <is>
          <t>1:5</t>
        </is>
      </c>
      <c r="I13" s="186"/>
      <c r="J13" s="186"/>
      <c r="K13" s="186"/>
      <c r="L13" s="186"/>
      <c r="M13" s="186"/>
      <c r="N13" s="187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/>
      <c r="H14" s="354" t="inlineStr">
        <is>
          <t>1:5</t>
        </is>
      </c>
      <c r="I14" s="186"/>
      <c r="J14" s="186"/>
      <c r="K14" s="186"/>
      <c r="L14" s="186"/>
      <c r="M14" s="186"/>
      <c r="N14" s="187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/>
      <c r="H15" s="354" t="inlineStr">
        <is>
          <t>1:5</t>
        </is>
      </c>
      <c r="I15" s="186"/>
      <c r="J15" s="186"/>
      <c r="K15" s="186"/>
      <c r="L15" s="186"/>
      <c r="M15" s="186"/>
      <c r="N15" s="187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/>
      <c r="H16" s="354" t="inlineStr">
        <is>
          <t>1:5</t>
        </is>
      </c>
      <c r="I16" s="186"/>
      <c r="J16" s="186"/>
      <c r="K16" s="186"/>
      <c r="L16" s="186"/>
      <c r="M16" s="186"/>
      <c r="N16" s="187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/>
      <c r="H17" s="354" t="inlineStr">
        <is>
          <t>1:5</t>
        </is>
      </c>
      <c r="I17" s="186"/>
      <c r="J17" s="186"/>
      <c r="K17" s="186"/>
      <c r="L17" s="186"/>
      <c r="M17" s="186"/>
      <c r="N17" s="187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/>
      <c r="H18" s="354" t="inlineStr">
        <is>
          <t>1:5</t>
        </is>
      </c>
      <c r="I18" s="186"/>
      <c r="J18" s="186"/>
      <c r="K18" s="186"/>
      <c r="L18" s="186"/>
      <c r="M18" s="186"/>
      <c r="N18" s="187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/>
      <c r="H19" s="354" t="inlineStr">
        <is>
          <t>1:5</t>
        </is>
      </c>
      <c r="I19" s="186"/>
      <c r="J19" s="186"/>
      <c r="K19" s="186"/>
      <c r="L19" s="186"/>
      <c r="M19" s="186"/>
      <c r="N19" s="187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/>
      <c r="H20" s="354" t="inlineStr">
        <is>
          <t>1:5</t>
        </is>
      </c>
      <c r="I20" s="186"/>
      <c r="J20" s="186"/>
      <c r="K20" s="186"/>
      <c r="L20" s="186"/>
      <c r="M20" s="186"/>
      <c r="N20" s="187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/>
      <c r="H21" s="354" t="inlineStr">
        <is>
          <t>1:5</t>
        </is>
      </c>
      <c r="I21" s="186"/>
      <c r="J21" s="186"/>
      <c r="K21" s="186"/>
      <c r="L21" s="186"/>
      <c r="M21" s="186"/>
      <c r="N21" s="187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/>
      <c r="H22" s="354" t="inlineStr">
        <is>
          <t>1:5</t>
        </is>
      </c>
      <c r="I22" s="186"/>
      <c r="J22" s="186"/>
      <c r="K22" s="186"/>
      <c r="L22" s="186"/>
      <c r="M22" s="186"/>
      <c r="N22" s="187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/>
      <c r="H23" s="354" t="inlineStr">
        <is>
          <t>1:5</t>
        </is>
      </c>
      <c r="I23" s="186"/>
      <c r="J23" s="186"/>
      <c r="K23" s="186"/>
      <c r="L23" s="186"/>
      <c r="M23" s="186"/>
      <c r="N23" s="187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/>
      <c r="H24" s="354" t="inlineStr">
        <is>
          <t>1:5</t>
        </is>
      </c>
      <c r="I24" s="186"/>
      <c r="J24" s="186"/>
      <c r="K24" s="186"/>
      <c r="L24" s="186"/>
      <c r="M24" s="186"/>
      <c r="N24" s="187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/>
      <c r="H25" s="354" t="inlineStr">
        <is>
          <t>1:5</t>
        </is>
      </c>
      <c r="I25" s="186"/>
      <c r="J25" s="186"/>
      <c r="K25" s="186"/>
      <c r="L25" s="186"/>
      <c r="M25" s="186"/>
      <c r="N25" s="187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/>
      <c r="H26" s="354" t="inlineStr">
        <is>
          <t>1:5</t>
        </is>
      </c>
      <c r="I26" s="186"/>
      <c r="J26" s="186"/>
      <c r="K26" s="186"/>
      <c r="L26" s="186"/>
      <c r="M26" s="186"/>
      <c r="N26" s="187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/>
      <c r="H27" s="354" t="inlineStr">
        <is>
          <t>1:5</t>
        </is>
      </c>
      <c r="I27" s="186"/>
      <c r="J27" s="186"/>
      <c r="K27" s="186"/>
      <c r="L27" s="186"/>
      <c r="M27" s="186"/>
      <c r="N27" s="187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/>
      <c r="H28" s="354" t="inlineStr">
        <is>
          <t>1:5</t>
        </is>
      </c>
      <c r="I28" s="186"/>
      <c r="J28" s="186"/>
      <c r="K28" s="186"/>
      <c r="L28" s="186"/>
      <c r="M28" s="186"/>
      <c r="N28" s="187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/>
      <c r="H29" s="354" t="inlineStr">
        <is>
          <t>1:6</t>
        </is>
      </c>
      <c r="I29" s="186"/>
      <c r="J29" s="186"/>
      <c r="K29" s="186"/>
      <c r="L29" s="186"/>
      <c r="M29" s="186"/>
      <c r="N29" s="187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/>
      <c r="H30" s="354" t="inlineStr">
        <is>
          <t>1:5</t>
        </is>
      </c>
      <c r="I30" s="186"/>
      <c r="J30" s="186"/>
      <c r="K30" s="186"/>
      <c r="L30" s="186"/>
      <c r="M30" s="186"/>
      <c r="N30" s="187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/>
      <c r="H31" s="354" t="inlineStr">
        <is>
          <t>1:5</t>
        </is>
      </c>
      <c r="I31" s="186"/>
      <c r="J31" s="186"/>
      <c r="K31" s="186"/>
      <c r="L31" s="186"/>
      <c r="M31" s="186"/>
      <c r="N31" s="187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/>
      <c r="H32" s="354" t="inlineStr">
        <is>
          <t>1:5</t>
        </is>
      </c>
      <c r="I32" s="186"/>
      <c r="J32" s="186"/>
      <c r="K32" s="186"/>
      <c r="L32" s="186"/>
      <c r="M32" s="186"/>
      <c r="N32" s="187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/>
      <c r="H33" s="354" t="inlineStr">
        <is>
          <t>1:5</t>
        </is>
      </c>
      <c r="I33" s="186"/>
      <c r="J33" s="186"/>
      <c r="K33" s="186"/>
      <c r="L33" s="186"/>
      <c r="M33" s="186"/>
      <c r="N33" s="187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/>
      <c r="H34" s="354" t="inlineStr">
        <is>
          <t>1:5</t>
        </is>
      </c>
      <c r="I34" s="186"/>
      <c r="J34" s="186"/>
      <c r="K34" s="186"/>
      <c r="L34" s="186"/>
      <c r="M34" s="186"/>
      <c r="N34" s="187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/>
      <c r="H35" s="354" t="inlineStr">
        <is>
          <t>1:5</t>
        </is>
      </c>
      <c r="I35" s="186"/>
      <c r="J35" s="186"/>
      <c r="K35" s="186"/>
      <c r="L35" s="186"/>
      <c r="M35" s="186"/>
      <c r="N35" s="187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/>
      <c r="H36" s="354" t="inlineStr">
        <is>
          <t>1:6</t>
        </is>
      </c>
      <c r="I36" s="186"/>
      <c r="J36" s="186"/>
      <c r="K36" s="186"/>
      <c r="L36" s="186"/>
      <c r="M36" s="186"/>
      <c r="N36" s="187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/>
      <c r="H37" s="354" t="inlineStr">
        <is>
          <t>1:5</t>
        </is>
      </c>
      <c r="I37" s="186"/>
      <c r="J37" s="186"/>
      <c r="K37" s="186"/>
      <c r="L37" s="186"/>
      <c r="M37" s="186"/>
      <c r="N37" s="187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/>
      <c r="H38" s="354" t="inlineStr">
        <is>
          <t>1:5</t>
        </is>
      </c>
      <c r="I38" s="186"/>
      <c r="J38" s="186"/>
      <c r="K38" s="186"/>
      <c r="L38" s="186"/>
      <c r="M38" s="186"/>
      <c r="N38" s="187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/>
      <c r="H39" s="354" t="inlineStr">
        <is>
          <t>1:5</t>
        </is>
      </c>
      <c r="I39" s="186"/>
      <c r="J39" s="186"/>
      <c r="K39" s="186"/>
      <c r="L39" s="186"/>
      <c r="M39" s="186"/>
      <c r="N39" s="187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/>
      <c r="H40" s="354" t="inlineStr">
        <is>
          <t>1:5</t>
        </is>
      </c>
      <c r="I40" s="186"/>
      <c r="J40" s="186"/>
      <c r="K40" s="186"/>
      <c r="L40" s="186"/>
      <c r="M40" s="186"/>
      <c r="N40" s="187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/>
      <c r="H41" s="354" t="inlineStr">
        <is>
          <t>1:5</t>
        </is>
      </c>
      <c r="I41" s="186"/>
      <c r="J41" s="186"/>
      <c r="K41" s="186"/>
      <c r="L41" s="186"/>
      <c r="M41" s="186"/>
      <c r="N41" s="187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/>
      <c r="H42" s="354" t="inlineStr">
        <is>
          <t>1:5</t>
        </is>
      </c>
      <c r="I42" s="186"/>
      <c r="J42" s="186"/>
      <c r="K42" s="186"/>
      <c r="L42" s="186"/>
      <c r="M42" s="186"/>
      <c r="N42" s="187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/>
      <c r="H43" s="354" t="inlineStr">
        <is>
          <t>1:6</t>
        </is>
      </c>
      <c r="I43" s="186"/>
      <c r="J43" s="186"/>
      <c r="K43" s="186"/>
      <c r="L43" s="186"/>
      <c r="M43" s="186"/>
      <c r="N43" s="187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/>
      <c r="H44" s="354" t="inlineStr">
        <is>
          <t>1:5</t>
        </is>
      </c>
      <c r="I44" s="186"/>
      <c r="J44" s="186"/>
      <c r="K44" s="186"/>
      <c r="L44" s="186"/>
      <c r="M44" s="186"/>
      <c r="N44" s="187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/>
      <c r="H45" s="354" t="inlineStr">
        <is>
          <t>1:5</t>
        </is>
      </c>
      <c r="I45" s="186"/>
      <c r="J45" s="186"/>
      <c r="K45" s="186"/>
      <c r="L45" s="186"/>
      <c r="M45" s="186"/>
      <c r="N45" s="187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/>
      <c r="H46" s="354" t="inlineStr">
        <is>
          <t>1:5</t>
        </is>
      </c>
      <c r="I46" s="186"/>
      <c r="J46" s="186"/>
      <c r="K46" s="186"/>
      <c r="L46" s="186"/>
      <c r="M46" s="186"/>
      <c r="N46" s="187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/>
      <c r="H47" s="354" t="inlineStr">
        <is>
          <t>1:5</t>
        </is>
      </c>
      <c r="I47" s="186"/>
      <c r="J47" s="186"/>
      <c r="K47" s="186"/>
      <c r="L47" s="186"/>
      <c r="M47" s="186"/>
      <c r="N47" s="187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/>
      <c r="H48" s="354" t="inlineStr">
        <is>
          <t>1:5</t>
        </is>
      </c>
      <c r="I48" s="186"/>
      <c r="J48" s="186"/>
      <c r="K48" s="186"/>
      <c r="L48" s="186"/>
      <c r="M48" s="186"/>
      <c r="N48" s="187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/>
      <c r="H49" s="354" t="inlineStr">
        <is>
          <t>1:3</t>
        </is>
      </c>
      <c r="I49" s="186"/>
      <c r="J49" s="186"/>
      <c r="K49" s="186"/>
      <c r="L49" s="186"/>
      <c r="M49" s="186"/>
      <c r="N49" s="187"/>
    </row>
    <row r="51" ht="28" customHeight="1">
      <c r="B51" s="482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ИНВЕСТОР (ИНВЕСТОР) PACKAGE v1.0</t>
        </is>
      </c>
    </row>
    <row r="11" ht="22" customHeight="1">
      <c r="B11" s="515" t="inlineStr">
        <is>
          <t>Уважаемый LP (ограниченный партнёр),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Разработка (Разработка)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      </is>
      </c>
    </row>
    <row r="19" ht="128" customHeight="1">
      <c r="B19" s="516" t="inlineStr">
        <is>
          <t>ЗАЩИТА ИНВЕСТОРА:
• Waterfall (Каскад) W₅ V-D ★ DEFAULT (ПО УМОЛЧАНИЮ) v1.0.1 (1× Liq Pref (Ликвидационная привилегия) + 12% pref × 5y + catch-up 70/30 + carry 60/40) — IRR (внутренняя норма доходности) 24.75% (margin (маржа) +6.75pp к hurdle (порог) 18%); legacy (базовый вариант) W₃ (18.04%) и W₄ premium (премия) доступны%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(Инвестиционный пакет) v1.0 Public — investor_model_v1.0_Public.xlsx (42 листа)</t>
        </is>
      </c>
    </row>
    <row r="37" ht="18" customHeight="1">
      <c r="B37" s="477" t="inlineStr">
        <is>
          <t>2. Executive Summary (Краткое резюме) — см. лист 36</t>
        </is>
      </c>
    </row>
    <row r="38" ht="18" customHeight="1">
      <c r="B38" s="477" t="inlineStr">
        <is>
          <t>3. Due Diligence (Комплексная проверка) Checklist — см. лист 40 (62 пункта)</t>
        </is>
      </c>
    </row>
    <row r="39" ht="18" customHeight="1">
      <c r="B39" s="477" t="inlineStr">
        <is>
          <t>4. Risk Register (Реестр рисков)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Команда ТрендСтудио</dc:creator>
  <dc:title>investor_model_v1.0_Public — ТрендСтудио</dc:title>
  <dc:description>Якорь: cumulative EBITDA 2026–2028 = 3 000 млн ₽</dc:description>
  <dc:subject>Investor Financial Model, Pre-IPO Institutional</dc:subject>
  <ns2:created xsi:type="dcterms:W3CDTF">2026-04-11T18:02:50Z</ns2:created>
  <ns2:modified xsi:type="dcterms:W3CDTF">2026-04-12T00:24:22Z</ns2:modified>
  <ns0:keywords>investor, financial model, L3, pre-IPO, cinema</ns0:keywords>
</ns0:coreProperties>
</file>