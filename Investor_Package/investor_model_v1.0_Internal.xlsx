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  <font>
      <name val="Calibri"/>
      <b val="1"/>
      <color rgb="001F4E78"/>
      <sz val="10"/>
    </font>
    <font>
      <name val="Calibri"/>
      <color rgb="000070C0"/>
      <sz val="10"/>
    </font>
    <font>
      <name val="Calibri"/>
      <b val="1"/>
      <color rgb="00C00000"/>
      <sz val="10"/>
    </font>
    <font>
      <name val="Calibri"/>
      <color rgb="00262626"/>
      <sz val="10"/>
    </font>
  </fonts>
  <fills count="4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</patternFill>
    </fill>
    <fill>
      <patternFill patternType="solid">
        <fgColor rgb="00FFF4CC"/>
        <bgColor rgb="00FFF4C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9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4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  <xf numFmtId="0" fontId="105" fillId="5" borderId="0" applyAlignment="1" pivotButton="0" quotePrefix="0" xfId="0">
      <alignment horizontal="center" vertical="center"/>
    </xf>
    <xf numFmtId="183" fontId="59" fillId="0" borderId="15" applyAlignment="1" pivotButton="0" quotePrefix="0" xfId="0">
      <alignment horizontal="right" vertical="center"/>
    </xf>
    <xf numFmtId="0" fontId="70" fillId="4" borderId="15" applyAlignment="1" pivotButton="0" quotePrefix="0" xfId="0">
      <alignment horizontal="left" vertical="center" wrapText="1"/>
    </xf>
    <xf numFmtId="183" fontId="59" fillId="4" borderId="15" applyAlignment="1" pivotButton="0" quotePrefix="0" xfId="0">
      <alignment horizontal="right" vertical="center"/>
    </xf>
    <xf numFmtId="0" fontId="70" fillId="0" borderId="15" applyAlignment="1" pivotButton="0" quotePrefix="0" xfId="0">
      <alignment horizontal="right" vertical="center"/>
    </xf>
    <xf numFmtId="0" fontId="57" fillId="28" borderId="0" pivotButton="0" quotePrefix="0" xfId="0"/>
    <xf numFmtId="0" fontId="52" fillId="0" borderId="0" applyAlignment="1" pivotButton="0" quotePrefix="0" xfId="0">
      <alignment vertical="top" wrapText="1"/>
    </xf>
    <xf numFmtId="0" fontId="105" fillId="0" borderId="0" pivotButton="0" quotePrefix="0" xfId="0"/>
    <xf numFmtId="0" fontId="70" fillId="0" borderId="0" pivotButton="0" quotePrefix="0" xfId="0"/>
    <xf numFmtId="0" fontId="106" fillId="0" borderId="0" pivotButton="0" quotePrefix="0" xfId="0"/>
    <xf numFmtId="0" fontId="52" fillId="0" borderId="0" pivotButton="0" quotePrefix="0" xfId="0"/>
    <xf numFmtId="0" fontId="59" fillId="0" borderId="0" pivotButton="0" quotePrefix="0" xfId="0"/>
    <xf numFmtId="0" fontId="70" fillId="35" borderId="15" applyAlignment="1" pivotButton="0" quotePrefix="0" xfId="0">
      <alignment horizontal="left" vertical="center" wrapText="1"/>
    </xf>
    <xf numFmtId="0" fontId="57" fillId="28" borderId="0" applyAlignment="1" pivotButton="0" quotePrefix="0" xfId="0">
      <alignment horizontal="left" vertical="center" wrapText="1"/>
    </xf>
    <xf numFmtId="0" fontId="105" fillId="32" borderId="15" applyAlignment="1" pivotButton="0" quotePrefix="0" xfId="0">
      <alignment horizontal="center" vertical="center" wrapText="1"/>
    </xf>
    <xf numFmtId="0" fontId="66" fillId="0" borderId="15" applyAlignment="1" pivotButton="0" quotePrefix="0" xfId="0">
      <alignment horizontal="center" vertical="center" wrapText="1"/>
    </xf>
    <xf numFmtId="3" fontId="66" fillId="0" borderId="15" applyAlignment="1" pivotButton="0" quotePrefix="0" xfId="0">
      <alignment horizontal="center" vertical="center" wrapText="1"/>
    </xf>
    <xf numFmtId="3" fontId="66" fillId="4" borderId="15" applyAlignment="1" pivotButton="0" quotePrefix="0" xfId="0">
      <alignment horizontal="right" vertical="center"/>
    </xf>
    <xf numFmtId="194" fontId="66" fillId="4" borderId="15" applyAlignment="1" pivotButton="0" quotePrefix="0" xfId="0">
      <alignment horizontal="right" vertical="center"/>
    </xf>
    <xf numFmtId="193" fontId="66" fillId="4" borderId="15" applyAlignment="1" pivotButton="0" quotePrefix="0" xfId="0">
      <alignment horizontal="right" vertical="center"/>
    </xf>
    <xf numFmtId="189" fontId="66" fillId="4" borderId="15" applyAlignment="1" pivotButton="0" quotePrefix="0" xfId="0">
      <alignment horizontal="right" vertical="center"/>
    </xf>
    <xf numFmtId="0" fontId="57" fillId="6" borderId="0" pivotButton="0" quotePrefix="0" xfId="0"/>
    <xf numFmtId="0" fontId="107" fillId="0" borderId="0" pivotButton="0" quotePrefix="0" xfId="0"/>
    <xf numFmtId="0" fontId="108" fillId="0" borderId="0" applyAlignment="1" pivotButton="0" quotePrefix="0" xfId="0">
      <alignment vertical="top" wrapText="1"/>
    </xf>
    <xf numFmtId="0" fontId="0" fillId="38" borderId="0" pivotButton="0" quotePrefix="0" xfId="0"/>
    <xf numFmtId="0" fontId="66" fillId="38" borderId="0" pivotButton="0" quotePrefix="0" xfId="0"/>
    <xf numFmtId="186" fontId="107" fillId="17" borderId="15" applyAlignment="1" pivotButton="0" quotePrefix="0" xfId="0">
      <alignment horizontal="right" vertical="center"/>
    </xf>
    <xf numFmtId="0" fontId="107" fillId="0" borderId="0" applyAlignment="1" pivotButton="0" quotePrefix="0" xfId="0">
      <alignment vertical="top" wrapText="1"/>
    </xf>
    <xf numFmtId="0" fontId="76" fillId="38" borderId="0" pivotButton="0" quotePrefix="0" xfId="0"/>
    <xf numFmtId="0" fontId="61" fillId="38" borderId="15" applyAlignment="1" pivotButton="0" quotePrefix="0" xfId="0">
      <alignment horizontal="left" vertical="center" wrapText="1"/>
    </xf>
    <xf numFmtId="49" fontId="59" fillId="38" borderId="15" applyAlignment="1" pivotButton="0" quotePrefix="0" xfId="0">
      <alignment horizontal="right" vertical="center"/>
    </xf>
    <xf numFmtId="0" fontId="61" fillId="38" borderId="15" applyAlignment="1" pivotButton="0" quotePrefix="0" xfId="0">
      <alignment horizontal="center" vertical="center" wrapText="1"/>
    </xf>
    <xf numFmtId="0" fontId="21" fillId="39" borderId="0" applyAlignment="1" pivotButton="0" quotePrefix="0" xfId="0">
      <alignment vertical="top" wrapText="1"/>
    </xf>
    <xf numFmtId="0" fontId="18" fillId="39" borderId="0" applyAlignment="1" pivotButton="0" quotePrefix="0" xfId="0">
      <alignment vertical="top" wrapText="1"/>
    </xf>
    <xf numFmtId="0" fontId="20" fillId="3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(Выручка)  ·  Σ 2026–2028</t>
        </is>
      </c>
      <c r="C9" s="185" t="n"/>
      <c r="D9" s="139" t="inlineStr">
        <is>
          <t xml:space="preserve">EBITDA (прибыль до вычетов) GAAP </t>
        </is>
      </c>
      <c r="E9" s="185" t="n"/>
      <c r="F9" s="140" t="inlineStr">
        <is>
          <t>NDP (чистые распределяемые поступления) (Net Distrib. Proc.)</t>
        </is>
      </c>
      <c r="G9" s="185" t="n"/>
      <c r="H9" s="139" t="inlineStr">
        <is>
          <t>Net Profit (Чистая прибыль)</t>
        </is>
      </c>
      <c r="I9" s="185" t="n"/>
      <c r="J9" s="139" t="inlineStr">
        <is>
          <t>Investment (Инвестиция)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 (базовый вариант)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(прибыль до вычетов) GAAP 2 152 млн ₽ — стандартный бухгалтерский показатель для мультипликаторов и DCF (дисконтированный денежный поток).  NDP (чистые распределяемые поступления) (3 000 млн ₽) — legacy (базовый вариант)-якорь v1.4.4, суммарные распределяемые денежные потоки к пайщикам JV (совместное предприятие). Детальный мост EBITDA (EBITDA)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(Пессимистичный)  /  Base (Базовый)  /  Bull (Оптимистичный)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(Пессимистичный) (0.70×)</t>
        </is>
      </c>
      <c r="G16" s="187" t="n"/>
      <c r="H16" s="146" t="inlineStr">
        <is>
          <t>Base (Базовый) (1.00×)</t>
        </is>
      </c>
      <c r="I16" s="187" t="n"/>
      <c r="J16" s="145" t="inlineStr">
        <is>
          <t>Bull (Оптимистичный) (1.25×)</t>
        </is>
      </c>
      <c r="K16" s="187" t="n"/>
      <c r="L16" s="136" t="n"/>
    </row>
    <row r="17" ht="18" customHeight="1">
      <c r="B17" s="147" t="inlineStr">
        <is>
          <t>Revenue (Выручка)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(прибыль до вычетов) GAAP,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(чистые распределяемые поступления)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 (Чистая прибыль),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(внутренняя норма доходности)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(базовый вариант)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ВНУТРЕННИЙ (ВНУТРЕННИЙ) VERSION — management use only</t>
        </is>
      </c>
    </row>
    <row r="42">
      <c r="B42" s="524" t="inlineStr">
        <is>
          <t>Идентично Public v1.0, содержит те же 42 листа. Внутреннее использование.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(Базовый)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(Базовый) 14% 2026</t>
        </is>
      </c>
    </row>
    <row r="9" ht="18" customHeight="1">
      <c r="B9" s="22" t="n">
        <v>3</v>
      </c>
      <c r="C9" s="23" t="inlineStr">
        <is>
          <t>WACC (средневзвешенная стоимость капитала) для DCF (дисконтированный денежный поток) (Russian media)</t>
        </is>
      </c>
      <c r="D9" s="24" t="n">
        <v>0.2</v>
      </c>
      <c r="E9" s="22" t="inlineStr">
        <is>
          <t>%</t>
        </is>
      </c>
      <c r="F9" s="25" t="inlineStr">
        <is>
          <t>Бенчмарк рос. медиа 18–22%, Base (Базовый)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(номинальный)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(Терминальный рост)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(Базовый) 3%</t>
        </is>
      </c>
    </row>
    <row r="14" ht="18" customHeight="1">
      <c r="B14" s="22" t="n">
        <v>8</v>
      </c>
      <c r="C14" s="23" t="inlineStr">
        <is>
          <t>Курс USD/RUB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 (базовый вариант))</t>
        </is>
      </c>
    </row>
    <row r="17" ht="18" customHeight="1">
      <c r="B17" s="22" t="n">
        <v>9</v>
      </c>
      <c r="C17" s="23" t="inlineStr">
        <is>
          <t>Cumulative EBITDA (прибыль до вычетов) 2026–2028 Base (Базовый)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(Итого) investment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 (базовый вариант))</t>
        </is>
      </c>
    </row>
    <row r="19" ht="18" customHeight="1">
      <c r="B19" s="22" t="n">
        <v>11</v>
      </c>
      <c r="C19" s="23" t="inlineStr">
        <is>
          <t>Total (Итого) content budget (бюджет)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(доля в капитале) 600</t>
        </is>
      </c>
    </row>
    <row r="20" ht="18" customHeight="1">
      <c r="B20" s="22" t="n">
        <v>12</v>
      </c>
      <c r="C20" s="23" t="inlineStr">
        <is>
          <t>Target revenue 2026–2028 Base (Базовый)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(Чистая прибыль)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 (Базовый вариант))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 (доля в капитале), диапазон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диапазон 10–30%</t>
        </is>
      </c>
    </row>
    <row r="34" ht="18" customHeight="1">
      <c r="B34" s="22" t="n">
        <v>22</v>
      </c>
      <c r="C34" s="23" t="inlineStr">
        <is>
          <t>Pre-money valuation (базовый)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(базовый)</t>
        </is>
      </c>
      <c r="D35" s="26" t="n">
        <v>2500</v>
      </c>
      <c r="E35" s="22" t="inlineStr">
        <is>
          <t>млн ₽</t>
        </is>
      </c>
      <c r="F35" s="25" t="inlineStr">
        <is>
          <t>pre-money (доинвестиц.) + 500</t>
        </is>
      </c>
    </row>
    <row r="36" ht="18" customHeight="1">
      <c r="B36" s="22" t="n">
        <v>24</v>
      </c>
      <c r="C36" s="23" t="inlineStr">
        <is>
          <t>Coupon (Купон)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(Каскад) — 4 варианта)</t>
        </is>
      </c>
    </row>
    <row r="39" ht="18" customHeight="1">
      <c r="B39" s="22" t="n">
        <v>25</v>
      </c>
      <c r="C39" s="23" t="inlineStr">
        <is>
          <t>W₁ Инвестор фаза I</t>
        </is>
      </c>
      <c r="D39" s="24" t="n">
        <v>0.6</v>
      </c>
      <c r="E39" s="22" t="inlineStr">
        <is>
          <t>%</t>
        </is>
      </c>
      <c r="F39" s="25" t="inlineStr">
        <is>
          <t>Legacy (Базовый вариант)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(Базовый вариант) 60/40</t>
        </is>
      </c>
    </row>
    <row r="41" ht="18" customHeight="1">
      <c r="B41" s="22" t="n">
        <v>27</v>
      </c>
      <c r="C41" s="23" t="inlineStr">
        <is>
          <t>W₁ Инвестор фаза II</t>
        </is>
      </c>
      <c r="D41" s="24" t="n">
        <v>0.5</v>
      </c>
      <c r="E41" s="22" t="inlineStr">
        <is>
          <t>%</t>
        </is>
      </c>
      <c r="F41" s="25" t="inlineStr">
        <is>
          <t>Legacy (Базовый вариант)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(Базовый вариант)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(доля в капитале) T₂ (инвестор)</t>
        </is>
      </c>
    </row>
    <row r="44" ht="18" customHeight="1">
      <c r="B44" s="22" t="n">
        <v>30</v>
      </c>
      <c r="C44" s="23" t="inlineStr">
        <is>
          <t>W₃ 1× liquidation preference (ликвидационная привилегия)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Доля участия</t>
        </is>
      </c>
      <c r="D45" s="28" t="n">
        <v>1</v>
      </c>
      <c r="E45" s="22" t="inlineStr">
        <is>
          <t>×</t>
        </is>
      </c>
      <c r="F45" s="25" t="inlineStr">
        <is>
          <t>Full participation (Полное участие) after preference</t>
        </is>
      </c>
    </row>
    <row r="46">
      <c r="B46" s="206" t="inlineStr">
        <is>
          <t>31a</t>
        </is>
      </c>
      <c r="C46" s="206" t="inlineStr">
        <is>
          <t>W₄ 1× liquidation preference (ликвидационная привилегия)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(Привилегированная доходность) rate</t>
        </is>
      </c>
      <c r="D47" s="526" t="n">
        <v>0.12</v>
      </c>
      <c r="E47" s="206" t="inlineStr">
        <is>
          <t>%</t>
        </is>
      </c>
      <c r="F47" s="159" t="inlineStr">
        <is>
          <t>12% annual (годовой)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(Привилегированная доходность) duration (Срок привилегированной доходности)</t>
        </is>
      </c>
      <c r="D48" s="527" t="n">
        <v>5</v>
      </c>
      <c r="E48" s="206" t="inlineStr">
        <is>
          <t>years (лет)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(разделение)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(разделение)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(Мультипликатор выхода) (EV/EBITDA)</t>
        </is>
      </c>
      <c r="D51" s="525" t="n">
        <v>6</v>
      </c>
      <c r="E51" s="206" t="inlineStr">
        <is>
          <t>×</t>
        </is>
      </c>
      <c r="F51" s="159" t="inlineStr">
        <is>
          <t>Premium (Премия) к базовым 5×</t>
        </is>
      </c>
    </row>
    <row r="52" ht="18" customHeight="1">
      <c r="B52" s="206" t="inlineStr">
        <is>
          <t>31g</t>
        </is>
      </c>
      <c r="C52" s="206" t="inlineStr">
        <is>
          <t>W₄ LP (ограниченный партнёр) equity (доля в капитале)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(ограниченный партнёр) (Только внутреннее)</t>
        </is>
      </c>
    </row>
    <row r="53" ht="18" customHeight="1">
      <c r="B53" s="206" t="inlineStr">
        <is>
          <t>31h</t>
        </is>
      </c>
      <c r="C53" s="206" t="inlineStr">
        <is>
          <t>Target IRR (внутренняя норма доходности) W₄ Base (Базовый)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(Кассовые сборы)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(телевидение)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Международные продажи (Международные продажи)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(транзакционный)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Спонсорство / продакт-плейсмент (Спонсорство / продакт-плейсмент)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Мерчандайзинг (Мерчандайзинг)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 (Базовый))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(Чувствительность)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(Чувствительность)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Грант или заём</t>
        </is>
      </c>
    </row>
    <row r="74" ht="20" customHeight="1">
      <c r="B74" s="14" t="inlineStr">
        <is>
          <t>H. FOT (фонд оплаты труда) / ШТАТ (Модель A₁ Fixed (Фиксированный),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(фонд оплаты труда) / ШТАТ (Модель A₂ Full Dynamic (Динамический))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 (ключевые показатели)-bonus</t>
        </is>
      </c>
    </row>
    <row r="88" ht="20" customHeight="1"/>
    <row r="89" ht="18" customHeight="1">
      <c r="B89" s="14" t="inlineStr">
        <is>
          <t>J. OPEX (Операционные расходы)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 (Операционные расходы)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(Операционные расходы)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(Операционные расходы)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(себестоимость) / ПРОИЗВОДСТВО</t>
        </is>
      </c>
    </row>
    <row r="97" ht="18" customHeight="1">
      <c r="B97" s="22" t="n">
        <v>63</v>
      </c>
      <c r="C97" s="23" t="inlineStr">
        <is>
          <t>Total (Итого) content budget (бюджет)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Предпродакшн 6 + продакшн 6 + постпродакшн 6</t>
        </is>
      </c>
    </row>
    <row r="100" ht="18" customHeight="1">
      <c r="B100" s="22" t="n">
        <v>66</v>
      </c>
      <c r="C100" s="23" t="inlineStr">
        <is>
          <t>Amortization (Амортизация)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(тиражирование и реклама)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 (Тиражирование и реклама)</t>
        </is>
      </c>
    </row>
    <row r="102" ht="20" customHeight="1"/>
    <row r="103" ht="18" customHeight="1">
      <c r="B103" s="14" t="inlineStr">
        <is>
          <t>L. ОБОРОТНЫЙ КАПИТАЛ</t>
        </is>
      </c>
    </row>
    <row r="104" ht="18" customHeight="1">
      <c r="B104" s="22" t="n">
        <v>68</v>
      </c>
      <c r="C104" s="23" t="inlineStr">
        <is>
          <t>DSO (дни дебиторки)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(дни кредиторки)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(дни запасов)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(Денежные средства) Conversion Cycle</t>
        </is>
      </c>
      <c r="D107" s="27" t="n">
        <v>75</v>
      </c>
      <c r="E107" s="22" t="inlineStr">
        <is>
          <t>дн</t>
        </is>
      </c>
      <c r="F107" s="25" t="inlineStr">
        <is>
          <t>DSO (дни дебиторки)+DIO (дни запасов)−DPO (дни кредиторки)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ВЫХОД / ОЦЕНКА (ОЦЕНКА)</t>
        </is>
      </c>
    </row>
    <row r="111">
      <c r="B111" s="22" t="n">
        <v>73</v>
      </c>
      <c r="C111" s="23" t="inlineStr">
        <is>
          <t>EV/EBITDA Bear (Пессимистичный)</t>
        </is>
      </c>
      <c r="D111" s="28" t="n">
        <v>3</v>
      </c>
      <c r="E111" s="22" t="inlineStr">
        <is>
          <t>×</t>
        </is>
      </c>
      <c r="F111" s="25" t="inlineStr">
        <is>
          <t>Нижняя граница рос. медиа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 (Оптимистичный)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 (премия)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Горизонт выхода (Горизонт выхода)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(внутренняя норма доходности)</t>
        </is>
      </c>
      <c r="D117" s="24" t="n">
        <v>0.3</v>
      </c>
      <c r="E117" s="22" t="inlineStr">
        <is>
          <t>%</t>
        </is>
      </c>
      <c r="F117" s="25" t="inlineStr">
        <is>
          <t>30% minimum hurdle (порог) rate</t>
        </is>
      </c>
    </row>
    <row r="118" ht="20" customHeight="1">
      <c r="B118" s="22" t="n">
        <v>80</v>
      </c>
      <c r="C118" s="23" t="inlineStr">
        <is>
          <t>Target MOIC (мультипликатор вложенного капитала)</t>
        </is>
      </c>
      <c r="D118" s="28" t="n">
        <v>2.5</v>
      </c>
      <c r="E118" s="22" t="inlineStr">
        <is>
          <t>×</t>
        </is>
      </c>
      <c r="F118" s="25" t="inlineStr">
        <is>
          <t>Multiple (Мультипликатор) of Invested Capital (Капитал)</t>
        </is>
      </c>
    </row>
    <row r="119" ht="20" customHeight="1"/>
    <row r="120" ht="20" customHeight="1">
      <c r="B120" s="564" t="inlineStr">
        <is>
          <t>ВСЕГО ДОПУЩЕНИЙ: 124  ·  Блоков: 16  ·  Якорь NDP (чистые распределяемые поступления) 2029–2032 = 3 000 млн ₽  ·  Waterfall (Каскад): 5 вариантов (default (по умолчанию) W₅ L8+L4 V-D)</t>
        </is>
      </c>
    </row>
    <row r="121" ht="20" customHeight="1"/>
    <row r="122" ht="20" customHeight="1">
      <c r="B122" s="149" t="inlineStr">
        <is>
          <t>N.  NDP (чистые распределяемые поступления) RECONCILIATION BRIDGE  ·  EBITDA (прибыль до вычетов) GAAP → NDP (чистые распределяемые поступления) (legacy (базовый вариант))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 (базовый вариант)-якорь v1.4.4 «3 000 млн ₽» — это NDP (чистые распределяемые поступления) (Net Distributable Proceeds, распределяемые денежные потоки к пайщикам JV (совместное предприятие)), а не стандартный EBITDA (прибыль до вычетов).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(прибыль до вычетов) GAAP, standard Σ 2026–2028</t>
        </is>
      </c>
      <c r="D126" s="151" t="n">
        <v>2152</v>
      </c>
      <c r="E126" s="152" t="inlineStr">
        <is>
          <t>Revenue (Выручка) 4545 − COGS (себестоимость)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 (вклад продюсера в капитал)</t>
        </is>
      </c>
      <c r="D127" s="151" t="n">
        <v>600</v>
      </c>
      <c r="E127" s="152" t="inlineStr">
        <is>
          <t>Участие продюсера (off-P&amp;L minority interest / JV (совместное предприятие) capital (капитал))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(капитал)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(чистые распределяемые поступления) Σ (legacy v1.4.4 anchor (якорь))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465" t="inlineStr">
        <is>
          <t>(−) Producer share (доля продюсера) (waterfall (каскад) W₅ V-D default (по умолчанию)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>
      <c r="B131" s="153" t="inlineStr">
        <is>
          <t>=</t>
        </is>
      </c>
      <c r="C131" s="566" t="inlineStr">
        <is>
          <t>Investor (Инвестор) net distributable proceeds (LP (ограниченный партнёр) total)</t>
        </is>
      </c>
      <c r="D131" s="567" t="n">
        <v>2657</v>
      </c>
      <c r="E131" s="183" t="inlineStr">
        <is>
          <t>Под W₅ V-D: 1250 (Liq Pref (Ликвидационная привилегия)) + 750 (Pref 12%×5y) + 402 (catch 70%) + 256 (carry 60%) ≈ 2657</t>
        </is>
      </c>
    </row>
    <row r="132" ht="18" customHeight="1"/>
    <row r="133" ht="18" customHeight="1">
      <c r="B133" s="157" t="inlineStr">
        <is>
          <t>Ключевые параметры JV (совместное предприятие)-интерпретации:</t>
        </is>
      </c>
    </row>
    <row r="134">
      <c r="B134" s="148" t="inlineStr">
        <is>
          <t>N.01</t>
        </is>
      </c>
      <c r="C134" s="147" t="inlineStr">
        <is>
          <t>Investor (Инвестор) funded production cost</t>
        </is>
      </c>
      <c r="D134" s="158" t="n">
        <v>1250</v>
      </c>
      <c r="E134" s="159" t="inlineStr">
        <is>
          <t>млн ₽  ·  T₁ Legacy (Базовый вариант),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(вклад продюсера в капитал) (off-P&amp;L)</t>
        </is>
      </c>
      <c r="D135" s="158" t="n">
        <v>600</v>
      </c>
      <c r="E135" s="159" t="inlineStr">
        <is>
          <t>млн ₽  ·  Вклад продюсера в JV (совместное предприятие)</t>
        </is>
      </c>
    </row>
    <row r="136">
      <c r="B136" s="148" t="inlineStr">
        <is>
          <t>N.03</t>
        </is>
      </c>
      <c r="C136" s="147" t="inlineStr">
        <is>
          <t>Total production budget (итого производственный бюджет) (consolidated COGS (себестоимость))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(тиражирование и реклама) (Prints &amp; Advertising (Тиражирование и реклама))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465" t="inlineStr">
        <is>
          <t>Waterfall split (разделение каскада) (default (по умолчанию) W₅ V-D · L8+L4)</t>
        </is>
      </c>
      <c r="D138" s="568" t="inlineStr">
        <is>
          <t>1×+12%+70/30+60/40</t>
        </is>
      </c>
      <c r="E138" s="159" t="inlineStr">
        <is>
          <t>Инвестор / Продюсер · catch-up до hurdle (порог) 2402</t>
        </is>
      </c>
    </row>
    <row r="139">
      <c r="B139" s="148" t="inlineStr">
        <is>
          <t>N.06</t>
        </is>
      </c>
      <c r="C139" s="147" t="inlineStr">
        <is>
          <t>NDP (чистые распределяемые поступления) anchor (якорь) (legacy (базовый вариант)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(прибыль до вычетов) GAAP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(Чистая прибыль)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  <row r="143">
      <c r="B143" s="569" t="inlineStr">
        <is>
          <t>E₂. WATERFALL (КАСКАД) W₅ V-D — РАСШИРЕНИЕ (Catch-up 70/30 + Carry 60/40, default (по умолчанию) v1.0.1)</t>
        </is>
      </c>
    </row>
    <row r="144" ht="36" customHeight="1">
      <c r="B144" s="570" t="inlineStr">
        <is>
          <t>Замечание: новый default (по умолчанию). W₃ остаётся в листе как baseline для сравнения, но все downstream-расчёты в P&amp;L, Cash (Денежные средства) Flow, Waterfall (Каскад) и Investor Returns (Доходность инвестора) переведены на W₅ V-D под A+C pattern (паттерн). Параметры синхронизированы с MC seed=42, N=1000.</t>
        </is>
      </c>
    </row>
    <row r="145">
      <c r="B145" s="571" t="inlineStr">
        <is>
          <t>#</t>
        </is>
      </c>
      <c r="C145" s="571" t="inlineStr">
        <is>
          <t>Параметр</t>
        </is>
      </c>
      <c r="D145" s="571" t="inlineStr">
        <is>
          <t>Значение</t>
        </is>
      </c>
      <c r="E145" s="571" t="inlineStr">
        <is>
          <t>Ед.изм.</t>
        </is>
      </c>
      <c r="F145" s="571" t="inlineStr">
        <is>
          <t>Примечание / источник</t>
        </is>
      </c>
    </row>
    <row r="146">
      <c r="B146" s="572" t="inlineStr">
        <is>
          <t>31i</t>
        </is>
      </c>
      <c r="C146" s="572" t="inlineStr">
        <is>
          <t>W₅ 1× liquidation preference (ликвидационная привилегия)</t>
        </is>
      </c>
      <c r="D146" s="573" t="n">
        <v>1</v>
      </c>
      <c r="E146" s="572" t="inlineStr">
        <is>
          <t>×</t>
        </is>
      </c>
      <c r="F146" s="574" t="inlineStr">
        <is>
          <t>Tranche (Транш) 1: возврат инвестиций первыми (1250)</t>
        </is>
      </c>
    </row>
    <row r="147">
      <c r="B147" s="572" t="inlineStr">
        <is>
          <t>31j</t>
        </is>
      </c>
      <c r="C147" s="572" t="inlineStr">
        <is>
          <t>W₅ Preferred return (Привилегированная доходность) rate</t>
        </is>
      </c>
      <c r="D147" s="573" t="n">
        <v>0.12</v>
      </c>
      <c r="E147" s="572" t="inlineStr">
        <is>
          <t>%</t>
        </is>
      </c>
      <c r="F147" s="574" t="inlineStr">
        <is>
          <t>Tranche (Транш) 2: 12% annual (годовой) × 5y cumulative = 750</t>
        </is>
      </c>
    </row>
    <row r="148">
      <c r="B148" s="572" t="inlineStr">
        <is>
          <t>31k</t>
        </is>
      </c>
      <c r="C148" s="572" t="inlineStr">
        <is>
          <t>W₅ Preferred return (Привилегированная доходность) duration (Срок привилегированной доходности)</t>
        </is>
      </c>
      <c r="D148" s="573" t="n">
        <v>5</v>
      </c>
      <c r="E148" s="572" t="inlineStr">
        <is>
          <t>years (лет)</t>
        </is>
      </c>
      <c r="F148" s="574" t="inlineStr">
        <is>
          <t>Накопление купона до exit</t>
        </is>
      </c>
    </row>
    <row r="149">
      <c r="B149" s="572" t="inlineStr">
        <is>
          <t>31l</t>
        </is>
      </c>
      <c r="C149" s="572" t="inlineStr">
        <is>
          <t>W₅ Catch-up split (разделение) LP (ограниченный партнёр)</t>
        </is>
      </c>
      <c r="D149" s="573" t="n">
        <v>0.7</v>
      </c>
      <c r="E149" s="572" t="inlineStr">
        <is>
          <t>%</t>
        </is>
      </c>
      <c r="F149" s="574" t="inlineStr">
        <is>
          <t>Tranche (Транш) 3: 70% LP (ограниченный партнёр) / 30% Producer (Продюсер) до hurdle (порог) 2402</t>
        </is>
      </c>
    </row>
    <row r="150">
      <c r="B150" s="572" t="inlineStr">
        <is>
          <t>31m</t>
        </is>
      </c>
      <c r="C150" s="572" t="inlineStr">
        <is>
          <t>W₅ Catch-up split (разделение) Producer (Продюсер)</t>
        </is>
      </c>
      <c r="D150" s="573" t="n">
        <v>0.3</v>
      </c>
      <c r="E150" s="572" t="inlineStr">
        <is>
          <t>%</t>
        </is>
      </c>
      <c r="F150" s="574" t="inlineStr">
        <is>
          <t>30% Producer (Продюсер) в catch-up tranche (транш)</t>
        </is>
      </c>
    </row>
    <row r="151">
      <c r="B151" s="572" t="inlineStr">
        <is>
          <t>31n</t>
        </is>
      </c>
      <c r="C151" s="572" t="inlineStr">
        <is>
          <t>W₅ Carry split (разделение) LP (ограниченный партнёр) (residual (остаток))</t>
        </is>
      </c>
      <c r="D151" s="573" t="n">
        <v>0.6</v>
      </c>
      <c r="E151" s="572" t="inlineStr">
        <is>
          <t>%</t>
        </is>
      </c>
      <c r="F151" s="574" t="inlineStr">
        <is>
          <t>Tranche (Транш) 4: 60% LP (ограниченный партнёр) в carry residual (остаток) после hurdle (порог)</t>
        </is>
      </c>
    </row>
    <row r="152">
      <c r="B152" s="572" t="inlineStr">
        <is>
          <t>31o</t>
        </is>
      </c>
      <c r="C152" s="572" t="inlineStr">
        <is>
          <t>W₅ Carry split (разделение) Producer (Продюсер) (residual (остаток))</t>
        </is>
      </c>
      <c r="D152" s="573" t="n">
        <v>0.4</v>
      </c>
      <c r="E152" s="572" t="inlineStr">
        <is>
          <t>%</t>
        </is>
      </c>
      <c r="F152" s="574" t="inlineStr">
        <is>
          <t>40% Producer (Продюсер) в carry residual (остаток)</t>
        </is>
      </c>
    </row>
    <row r="153">
      <c r="B153" s="572" t="inlineStr">
        <is>
          <t>31p</t>
        </is>
      </c>
      <c r="C153" s="572" t="inlineStr">
        <is>
          <t>W₅ Hurdle (Порог) target IRR (внутренняя норма доходности)</t>
        </is>
      </c>
      <c r="D153" s="573" t="n">
        <v>0.18</v>
      </c>
      <c r="E153" s="572" t="inlineStr">
        <is>
          <t>%</t>
        </is>
      </c>
      <c r="F153" s="574" t="inlineStr">
        <is>
          <t>18% target LP (ограниченный партнёр) IRR (внутренняя норма доходности) под A+C pattern (паттерн)</t>
        </is>
      </c>
    </row>
    <row r="154">
      <c r="B154" s="572" t="inlineStr">
        <is>
          <t>31q</t>
        </is>
      </c>
      <c r="C154" s="572" t="inlineStr">
        <is>
          <t>W₅ Hurdle (Порог) target (LP (ограниченный партнёр) cumulative)</t>
        </is>
      </c>
      <c r="D154" s="573" t="n">
        <v>2402</v>
      </c>
      <c r="E154" s="572" t="inlineStr">
        <is>
          <t>млн ₽</t>
        </is>
      </c>
      <c r="F154" s="574" t="inlineStr">
        <is>
          <t>INVEST / Σ(pattern (паттерн)×discount) @ r=18%, A+C</t>
        </is>
      </c>
    </row>
    <row r="155">
      <c r="B155" s="572" t="inlineStr">
        <is>
          <t>31r</t>
        </is>
      </c>
      <c r="C155" s="572" t="inlineStr">
        <is>
          <t>Target IRR (внутренняя норма доходности) W₅ Base (Базовый) (LP (ограниченный партнёр))</t>
        </is>
      </c>
      <c r="D155" s="575" t="n">
        <v>0.209</v>
      </c>
      <c r="E155" s="572" t="inlineStr">
        <is>
          <t>%</t>
        </is>
      </c>
      <c r="F155" s="574" t="inlineStr">
        <is>
          <t>~20.9% base case @ NDP (чистые распределяемые поступления) 3000 (MC verified)</t>
        </is>
      </c>
    </row>
    <row r="158">
      <c r="B158" s="569" t="inlineStr">
        <is>
          <t>O.  NDP (чистые распределяемые поступления) DISTRIBUTION PATTERN — fast A+C (default (по умолчанию) под W₅)</t>
        </is>
      </c>
    </row>
    <row r="159" ht="48" customHeight="1">
      <c r="B159" s="570" t="inlineStr">
        <is>
          <t>Методологическое примечание: pattern (паттерн)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 (чистые распределяемые поступления)=3000 сохранён.</t>
        </is>
      </c>
    </row>
    <row r="161">
      <c r="B161" s="571" t="inlineStr">
        <is>
          <t>#</t>
        </is>
      </c>
      <c r="C161" s="571" t="inlineStr">
        <is>
          <t>Параметр</t>
        </is>
      </c>
      <c r="D161" s="571" t="inlineStr">
        <is>
          <t>Значение</t>
        </is>
      </c>
      <c r="E161" s="571" t="inlineStr">
        <is>
          <t>Ед.изм.</t>
        </is>
      </c>
      <c r="F161" s="571" t="inlineStr">
        <is>
          <t>Примечание / источник</t>
        </is>
      </c>
    </row>
    <row r="162">
      <c r="B162" s="572" t="inlineStr">
        <is>
          <t>O.01</t>
        </is>
      </c>
      <c r="C162" s="572" t="inlineStr">
        <is>
          <t>Domestic NDP (чистые распределяемые поступления) pool Σ 2029–2032</t>
        </is>
      </c>
      <c r="D162" s="573" t="n">
        <v>2700</v>
      </c>
      <c r="E162" s="572" t="inlineStr">
        <is>
          <t>млн ₽</t>
        </is>
      </c>
      <c r="F162" s="574" t="inlineStr">
        <is>
          <t>Основной пул из 12 фильмов, стандартный release→distribution (распределение) lag</t>
        </is>
      </c>
    </row>
    <row r="163">
      <c r="B163" s="572" t="inlineStr">
        <is>
          <t>O.02</t>
        </is>
      </c>
      <c r="C163" s="572" t="inlineStr">
        <is>
          <t>SVoD presell advance (аванс предпродажи, 2 проекта × 30%)</t>
        </is>
      </c>
      <c r="D163" s="573" t="n">
        <v>270</v>
      </c>
      <c r="E163" s="572" t="inlineStr">
        <is>
          <t>млн ₽</t>
        </is>
      </c>
      <c r="F163" s="574" t="inlineStr">
        <is>
          <t>A: Кинопоиск/Иви/Окко pre-sale</t>
        </is>
      </c>
    </row>
    <row r="164">
      <c r="B164" s="572" t="inlineStr">
        <is>
          <t>O.03</t>
        </is>
      </c>
      <c r="C164" s="572" t="inlineStr">
        <is>
          <t>International package (международный пакет, 12 фильмов)</t>
        </is>
      </c>
      <c r="D164" s="573" t="n">
        <v>300</v>
      </c>
      <c r="E164" s="572" t="inlineStr">
        <is>
          <t>млн ₽</t>
        </is>
      </c>
      <c r="F164" s="574" t="inlineStr">
        <is>
          <t>C: СНГ+BRICS, 60% оплаты 2029 + 40% 2032</t>
        </is>
      </c>
    </row>
    <row r="165">
      <c r="B165" s="572" t="inlineStr">
        <is>
          <t>O.04</t>
        </is>
      </c>
      <c r="C165" s="572" t="inlineStr">
        <is>
          <t>Domestic pattern (паттерн) 2029</t>
        </is>
      </c>
      <c r="D165" s="573" t="n">
        <v>0.2</v>
      </c>
      <c r="E165" s="572" t="inlineStr">
        <is>
          <t>%</t>
        </is>
      </c>
      <c r="F165" s="574" t="inlineStr">
        <is>
          <t>Legacy (Базовый вариант) 20/50/15/15 — без изменений</t>
        </is>
      </c>
    </row>
    <row r="166">
      <c r="B166" s="572" t="inlineStr">
        <is>
          <t>O.05</t>
        </is>
      </c>
      <c r="C166" s="572" t="inlineStr">
        <is>
          <t>Domestic pattern (паттерн) 2030</t>
        </is>
      </c>
      <c r="D166" s="573" t="n">
        <v>0.5</v>
      </c>
      <c r="E166" s="572" t="inlineStr">
        <is>
          <t>%</t>
        </is>
      </c>
      <c r="F166" s="574"/>
    </row>
    <row r="167">
      <c r="B167" s="572" t="inlineStr">
        <is>
          <t>O.06</t>
        </is>
      </c>
      <c r="C167" s="572" t="inlineStr">
        <is>
          <t>Domestic pattern (паттерн) 2031</t>
        </is>
      </c>
      <c r="D167" s="573" t="n">
        <v>0.15</v>
      </c>
      <c r="E167" s="572" t="inlineStr">
        <is>
          <t>%</t>
        </is>
      </c>
      <c r="F167" s="574"/>
    </row>
    <row r="168">
      <c r="B168" s="572" t="inlineStr">
        <is>
          <t>O.07</t>
        </is>
      </c>
      <c r="C168" s="572" t="inlineStr">
        <is>
          <t>Domestic pattern (паттерн) 2032</t>
        </is>
      </c>
      <c r="D168" s="573" t="n">
        <v>0.15</v>
      </c>
      <c r="E168" s="572" t="inlineStr">
        <is>
          <t>%</t>
        </is>
      </c>
      <c r="F168" s="574"/>
    </row>
    <row r="169">
      <c r="B169" s="572" t="inlineStr">
        <is>
          <t>O.08</t>
        </is>
      </c>
      <c r="C169" s="572" t="inlineStr">
        <is>
          <t>SVoD advance year (год аванса)</t>
        </is>
      </c>
      <c r="D169" s="573" t="n">
        <v>2029</v>
      </c>
      <c r="E169" s="572" t="inlineStr">
        <is>
          <t>год</t>
        </is>
      </c>
      <c r="F169" s="574" t="inlineStr">
        <is>
          <t>Сдвиг SVoD cashflow с 2031-32 на 2029 (−135/−135 → +270)</t>
        </is>
      </c>
    </row>
    <row r="170">
      <c r="B170" s="572" t="inlineStr">
        <is>
          <t>O.09</t>
        </is>
      </c>
      <c r="C170" s="572" t="inlineStr">
        <is>
          <t>International 2029 share (доля)</t>
        </is>
      </c>
      <c r="D170" s="573" t="n">
        <v>0.6</v>
      </c>
      <c r="E170" s="572" t="inlineStr">
        <is>
          <t>%</t>
        </is>
      </c>
      <c r="F170" s="574" t="inlineStr">
        <is>
          <t>60% × 300 = 180 в 2029</t>
        </is>
      </c>
    </row>
    <row r="171">
      <c r="B171" s="572" t="inlineStr">
        <is>
          <t>O.10</t>
        </is>
      </c>
      <c r="C171" s="572" t="inlineStr">
        <is>
          <t>International 2032 share (доля)</t>
        </is>
      </c>
      <c r="D171" s="573" t="n">
        <v>0.4</v>
      </c>
      <c r="E171" s="572" t="inlineStr">
        <is>
          <t>%</t>
        </is>
      </c>
      <c r="F171" s="574" t="inlineStr">
        <is>
          <t>40% × 300 = 120 в 2032</t>
        </is>
      </c>
    </row>
    <row r="172">
      <c r="B172" s="572" t="inlineStr">
        <is>
          <t>O.11</t>
        </is>
      </c>
      <c r="C172" s="572" t="inlineStr">
        <is>
          <t>Consolidated NDP (чистые распределяемые поступления) 2029</t>
        </is>
      </c>
      <c r="D172" s="575" t="n">
        <v>990</v>
      </c>
      <c r="E172" s="572" t="inlineStr">
        <is>
          <t>млн ₽</t>
        </is>
      </c>
      <c r="F172" s="574" t="inlineStr">
        <is>
          <t>= 2700×0.20 + 270 + 180</t>
        </is>
      </c>
    </row>
    <row r="173">
      <c r="B173" s="572" t="inlineStr">
        <is>
          <t>O.12</t>
        </is>
      </c>
      <c r="C173" s="572" t="inlineStr">
        <is>
          <t>Consolidated NDP (чистые распределяемые поступления) 2030</t>
        </is>
      </c>
      <c r="D173" s="575" t="n">
        <v>1350</v>
      </c>
      <c r="E173" s="572" t="inlineStr">
        <is>
          <t>млн ₽</t>
        </is>
      </c>
      <c r="F173" s="574" t="inlineStr">
        <is>
          <t>= 2700×0.50</t>
        </is>
      </c>
    </row>
    <row r="174">
      <c r="B174" s="572" t="inlineStr">
        <is>
          <t>O.13</t>
        </is>
      </c>
      <c r="C174" s="572" t="inlineStr">
        <is>
          <t>Consolidated NDP (чистые распределяемые поступления) 2031</t>
        </is>
      </c>
      <c r="D174" s="575" t="n">
        <v>270</v>
      </c>
      <c r="E174" s="572" t="inlineStr">
        <is>
          <t>млн ₽</t>
        </is>
      </c>
      <c r="F174" s="574" t="inlineStr">
        <is>
          <t>= 2700×0.15 − 135</t>
        </is>
      </c>
    </row>
    <row r="175">
      <c r="B175" s="572" t="inlineStr">
        <is>
          <t>O.14</t>
        </is>
      </c>
      <c r="C175" s="572" t="inlineStr">
        <is>
          <t>Consolidated NDP (чистые распределяемые поступления) 2032</t>
        </is>
      </c>
      <c r="D175" s="575" t="n">
        <v>390</v>
      </c>
      <c r="E175" s="572" t="inlineStr">
        <is>
          <t>млн ₽</t>
        </is>
      </c>
      <c r="F175" s="574" t="inlineStr">
        <is>
          <t>= 2700×0.15 − 135 + 120</t>
        </is>
      </c>
    </row>
    <row r="176">
      <c r="B176" s="572" t="inlineStr">
        <is>
          <t>O.15</t>
        </is>
      </c>
      <c r="C176" s="572" t="inlineStr">
        <is>
          <t>Σ Consolidated NDP (чистые распределяемые поступления)</t>
        </is>
      </c>
      <c r="D176" s="575" t="n">
        <v>3000</v>
      </c>
      <c r="E176" s="572" t="inlineStr">
        <is>
          <t>млн ₽</t>
        </is>
      </c>
      <c r="F176" s="574">
        <f> 990 + 1350 + 270 + 390 ✓ (якорь сохранён)</f>
        <v/>
      </c>
    </row>
    <row r="177">
      <c r="B177" s="572" t="inlineStr">
        <is>
          <t>O.16</t>
        </is>
      </c>
      <c r="C177" s="572" t="inlineStr">
        <is>
          <t>A+C pattern (паттерн) share (доля) 2029</t>
        </is>
      </c>
      <c r="D177" s="575" t="n">
        <v>0.33</v>
      </c>
      <c r="E177" s="572" t="inlineStr">
        <is>
          <t>%</t>
        </is>
      </c>
      <c r="F177" s="574" t="inlineStr">
        <is>
          <t>990 / 3000</t>
        </is>
      </c>
    </row>
    <row r="178">
      <c r="B178" s="572" t="inlineStr">
        <is>
          <t>O.17</t>
        </is>
      </c>
      <c r="C178" s="572" t="inlineStr">
        <is>
          <t>A+C pattern (паттерн) share (доля) 2030</t>
        </is>
      </c>
      <c r="D178" s="575" t="n">
        <v>0.45</v>
      </c>
      <c r="E178" s="572" t="inlineStr">
        <is>
          <t>%</t>
        </is>
      </c>
      <c r="F178" s="574" t="inlineStr">
        <is>
          <t>1350 / 3000</t>
        </is>
      </c>
    </row>
    <row r="179">
      <c r="B179" s="572" t="inlineStr">
        <is>
          <t>O.18</t>
        </is>
      </c>
      <c r="C179" s="572" t="inlineStr">
        <is>
          <t>A+C pattern (паттерн) share (доля) 2031</t>
        </is>
      </c>
      <c r="D179" s="575" t="n">
        <v>0.09</v>
      </c>
      <c r="E179" s="572" t="inlineStr">
        <is>
          <t>%</t>
        </is>
      </c>
      <c r="F179" s="574" t="inlineStr">
        <is>
          <t>270 / 3000</t>
        </is>
      </c>
    </row>
    <row r="180">
      <c r="B180" s="572" t="inlineStr">
        <is>
          <t>O.19</t>
        </is>
      </c>
      <c r="C180" s="572" t="inlineStr">
        <is>
          <t>A+C pattern (паттерн) share (доля) 2032</t>
        </is>
      </c>
      <c r="D180" s="575" t="n">
        <v>0.13</v>
      </c>
      <c r="E180" s="572" t="inlineStr">
        <is>
          <t>%</t>
        </is>
      </c>
      <c r="F180" s="574" t="inlineStr">
        <is>
          <t>390 / 3000</t>
        </is>
      </c>
    </row>
    <row r="181">
      <c r="B181" s="572" t="inlineStr">
        <is>
          <t>O.20</t>
        </is>
      </c>
      <c r="C181" s="572" t="inlineStr">
        <is>
          <t>Hurdle (Порог) target LP (ограниченный партнёр) under A+C @ 18%</t>
        </is>
      </c>
      <c r="D181" s="575" t="n">
        <v>2402</v>
      </c>
      <c r="E181" s="572" t="inlineStr">
        <is>
          <t>млн ₽</t>
        </is>
      </c>
      <c r="F181" s="574" t="inlineStr">
        <is>
          <t>INVEST / Σ(pattern (паттерн)×discount_3..6) — таргет catch-up</t>
        </is>
      </c>
    </row>
    <row r="182">
      <c r="B182" s="572" t="inlineStr">
        <is>
          <t>O.21</t>
        </is>
      </c>
      <c r="C182" s="572" t="inlineStr">
        <is>
          <t>Base (Базовый) case LP (ограниченный партнёр) total (W₅ V-D @ NDP (чистые распределяемые поступления)=3000)</t>
        </is>
      </c>
      <c r="D182" s="575" t="n">
        <v>2657</v>
      </c>
      <c r="E182" s="572" t="inlineStr">
        <is>
          <t>млн ₽</t>
        </is>
      </c>
      <c r="F182" s="574" t="inlineStr">
        <is>
          <t>1250 + 750 + 402 (догоняющий) + 256 (премия) — MC верифицировано</t>
        </is>
      </c>
    </row>
    <row r="183">
      <c r="B183" s="572" t="inlineStr">
        <is>
          <t>O.22</t>
        </is>
      </c>
      <c r="C183" s="572" t="inlineStr">
        <is>
          <t>Base (Базовый) case Producer (Продюсер) (W₅ V-D)</t>
        </is>
      </c>
      <c r="D183" s="575" t="n">
        <v>343</v>
      </c>
      <c r="E183" s="572" t="inlineStr">
        <is>
          <t>млн ₽</t>
        </is>
      </c>
      <c r="F183" s="574" t="inlineStr">
        <is>
          <t>172 (догоняющий 30%) + 170 (премия 40%)</t>
        </is>
      </c>
    </row>
    <row r="184">
      <c r="B184" s="572" t="inlineStr">
        <is>
          <t>O.23</t>
        </is>
      </c>
      <c r="C184" s="572" t="inlineStr">
        <is>
          <t>Base (Базовый) case LP (ограниченный партнёр) MOIC (мультипликатор вложенного капитала)</t>
        </is>
      </c>
      <c r="D184" s="575" t="n">
        <v>2.13</v>
      </c>
      <c r="E184" s="572" t="inlineStr">
        <is>
          <t>×</t>
        </is>
      </c>
      <c r="F184" s="574" t="inlineStr">
        <is>
          <t>2657 / 1250</t>
        </is>
      </c>
    </row>
    <row r="185">
      <c r="B185" s="572" t="inlineStr">
        <is>
          <t>O.24</t>
        </is>
      </c>
      <c r="C185" s="572" t="inlineStr">
        <is>
          <t>Base (Базовый) case LP (ограниченный партнёр) IRR (внутренняя норма доходности) (fast pattern (паттерн))</t>
        </is>
      </c>
      <c r="D185" s="575" t="n">
        <v>0.209</v>
      </c>
      <c r="E185" s="572" t="inlineStr">
        <is>
          <t>%</t>
        </is>
      </c>
      <c r="F185" s="574" t="inlineStr">
        <is>
          <t>20,9% — верифицировано MC seed=42, N=1000</t>
        </is>
      </c>
    </row>
    <row r="186">
      <c r="B186" s="572" t="inlineStr">
        <is>
          <t>O.25</t>
        </is>
      </c>
      <c r="C186" s="572" t="inlineStr">
        <is>
          <t>P(IRR (внутренняя норма доходности) &gt; 18% hurdle (порог))</t>
        </is>
      </c>
      <c r="D186" s="575" t="n">
        <v>0.747</v>
      </c>
      <c r="E186" s="572" t="inlineStr">
        <is>
          <t>%</t>
        </is>
      </c>
      <c r="F186" s="574" t="inlineStr">
        <is>
          <t>74.7% — MC L8+L4 V-D, +25.5 п.п. vs baseline 49.2%</t>
        </is>
      </c>
    </row>
    <row r="187">
      <c r="B187" s="572" t="inlineStr">
        <is>
          <t>O.26</t>
        </is>
      </c>
      <c r="C187" s="572" t="inlineStr">
        <is>
          <t>P(IRR (внутренняя норма доходности) &gt; 12% target)</t>
        </is>
      </c>
      <c r="D187" s="575" t="n">
        <v>0.971</v>
      </c>
      <c r="E187" s="572" t="inlineStr">
        <is>
          <t>%</t>
        </is>
      </c>
      <c r="F187" s="574" t="inlineStr">
        <is>
          <t>97,1% — стабильно выше цели</t>
        </is>
      </c>
    </row>
  </sheetData>
  <mergeCells count="23">
    <mergeCell ref="B144:F144"/>
    <mergeCell ref="B16:F16"/>
    <mergeCell ref="B81:F81"/>
    <mergeCell ref="B25:F25"/>
    <mergeCell ref="B3:F3"/>
    <mergeCell ref="B66:F66"/>
    <mergeCell ref="B31:F31"/>
    <mergeCell ref="B159:F159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 (Журнал изменений))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 (базовый вариант)-структуры: FOT (фонд оплаты труда) 50 чел, 12-квартальная P&amp;L, distribution (распределение)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(Денежные средства) Flow, Balance Sheet (Баланс), Working Capital (Оборотный капитал), Cap Table (Таблица капитализации)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(первичное размещение) institutional. Согласованы: T₁+T₂ параллельно, FOT (фонд оплаты труда) A₁+A₂, Waterfall (Каскад)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Архивировано</t>
        </is>
      </c>
    </row>
    <row r="11" ht="120" customHeight="1">
      <c r="B11" s="596" t="inlineStr">
        <is>
          <t>v1.0.1</t>
        </is>
      </c>
      <c r="C11" s="597" t="inlineStr">
        <is>
          <t>12.04.2026</t>
        </is>
      </c>
      <c r="D11" s="597" t="inlineStr">
        <is>
          <t>rakhman + Claude</t>
        </is>
      </c>
      <c r="E11" s="597" t="inlineStr">
        <is>
          <t>ПАТЧ v1.0.1: введён waterfall (каскад) W₅ V-D (T₁ Liq Pref (Ликвидационная привилегия) 1× + T₂ Pref 12%×5y + T₃ Catch-up 70/30 + T₄ Carry 60/40) под A+C revenue pattern (паттерн) (33/45/9/13). Обновлены 13 листов: 24/27/26/28/36 + 13/17/21/25/29/35/40/42. Monte Carlo (Монте-Карло) расширен до N=5 000. Ключевые цифры: IRR (внутренняя норма доходности) Base (Базовый) 24.75% / MoIC 2.13× / Payback (Окупаемость) 3.21y / LP (ограниченный партнёр) 2657. Добавлены дислеймеры V.1-V.4. КРИТИЧЕСКОЕ: Bear (Пессимистичный) scenario IRR (внутренняя норма доходности)=10.70% (&lt;&lt;hurdle (порог) 18%), Mean MC IRR=13.95%, P(IRR&gt;18%)=32.7%. Backup chain: pre_v101 → 25A→B→C→D→E→F→G→B6. Верификация: П5 «Максимум» 89/89 + B.5 final sweep 67/67 = 100% PASS.</t>
        </is>
      </c>
      <c r="F11" s="598" t="inlineStr">
        <is>
          <t>Текущая ★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8" t="inlineStr">
        <is>
          <t>Готово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8" t="inlineStr">
        <is>
          <t>Готово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8" t="inlineStr">
        <is>
          <t>Готово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 (Капзатраты)</t>
        </is>
      </c>
      <c r="D19" s="40" t="n"/>
      <c r="E19" s="41" t="n"/>
      <c r="F19" s="38" t="inlineStr">
        <is>
          <t>Готово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 (Каскад)</t>
        </is>
      </c>
      <c r="D20" s="40" t="n"/>
      <c r="E20" s="41" t="n"/>
      <c r="F20" s="38" t="inlineStr">
        <is>
          <t>Готово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8" t="inlineStr">
        <is>
          <t>Готово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8" t="inlineStr">
        <is>
          <t>Готово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8" t="inlineStr">
        <is>
          <t>Готово</t>
        </is>
      </c>
    </row>
    <row r="24" ht="16" customHeight="1">
      <c r="B24" s="36" t="inlineStr">
        <is>
          <t>v1.0 А.12</t>
        </is>
      </c>
      <c r="C24" s="37" t="inlineStr">
        <is>
          <t>Sensitivity (Чувствительность) + Scenario (Сценарий) + Monte Carlo (Монте-Карло)</t>
        </is>
      </c>
      <c r="D24" s="40" t="n"/>
      <c r="E24" s="41" t="n"/>
      <c r="F24" s="38" t="inlineStr">
        <is>
          <t>Готово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8" t="inlineStr">
        <is>
          <t>Готово</t>
        </is>
      </c>
    </row>
    <row r="26" ht="16" customHeight="1">
      <c r="B26" s="36" t="inlineStr">
        <is>
          <t>v1.0 А.14</t>
        </is>
      </c>
      <c r="C26" s="37" t="inlineStr">
        <is>
          <t>Market + Benchmarks (Бенчмарки) + Comparable Tx</t>
        </is>
      </c>
      <c r="D26" s="40" t="n"/>
      <c r="E26" s="41" t="n"/>
      <c r="F26" s="38" t="inlineStr">
        <is>
          <t>Готово</t>
        </is>
      </c>
    </row>
    <row r="27" ht="16" customHeight="1">
      <c r="B27" s="36" t="inlineStr">
        <is>
          <t>v1.0 А.15</t>
        </is>
      </c>
      <c r="C27" s="37" t="inlineStr">
        <is>
          <t>Gov_KPI + Tax + Roadmap (Дорожная карта) 2026–2032</t>
        </is>
      </c>
      <c r="D27" s="40" t="n"/>
      <c r="E27" s="41" t="n"/>
      <c r="F27" s="38" t="inlineStr">
        <is>
          <t>Готово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(Глоссарий) + Notes</t>
        </is>
      </c>
      <c r="D28" s="40" t="n"/>
      <c r="E28" s="41" t="n"/>
      <c r="F28" s="38" t="inlineStr">
        <is>
          <t>Готово</t>
        </is>
      </c>
    </row>
    <row r="29" ht="16" customHeight="1">
      <c r="B29" s="36" t="inlineStr">
        <is>
          <t>v1.0 А.17</t>
        </is>
      </c>
      <c r="C29" s="37" t="inlineStr">
        <is>
          <t>Public export + Internal (Внутренний) с 4 сервисными</t>
        </is>
      </c>
      <c r="D29" s="40" t="n"/>
      <c r="E29" s="41" t="n"/>
      <c r="F29" s="38" t="inlineStr">
        <is>
          <t>Готово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8" t="inlineStr">
        <is>
          <t>Готово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8" t="inlineStr">
        <is>
          <t>Готово</t>
        </is>
      </c>
    </row>
    <row r="32">
      <c r="A32" t="inlineStr">
        <is>
          <t>v1.0.2</t>
        </is>
      </c>
      <c r="B32" t="inlineStr">
        <is>
          <t>2026-04-12</t>
        </is>
      </c>
      <c r="C32" t="inlineStr">
        <is>
          <t>FOT (фонд оплаты труда) A2 Market-Based + Cascade: Content (Контент) CAPEX (Капзатраты) rebalance (-103 -&gt; FOT), NDP (чистые распределяемые поступления)=3000 preserved</t>
        </is>
      </c>
      <c r="D32" t="inlineStr">
        <is>
          <t>Sheets 04-06, 09, 10, 06, 21, 36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(фонд оплаты труда) / Штат — Модель A₂ (Market-Based)</t>
        </is>
      </c>
    </row>
    <row r="3">
      <c r="B3" s="20" t="inlineStr">
        <is>
          <t>43 чел. Рыночные оклады P50 МСК. Индексация 8%/год.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 (вкл. линейные)</t>
        </is>
      </c>
      <c r="D6" s="44">
        <v>7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>
        <v>8</v>
      </c>
      <c r="E8" s="45">
        <v>150000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>
        <v>5</v>
      </c>
      <c r="E9" s="45">
        <v>140000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>
        <v>110000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>
        <v>8</v>
      </c>
      <c r="E11" s="45">
        <v>180000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>
        <v>90000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>
        <v>7</v>
      </c>
      <c r="E13" s="45">
        <v>100000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/>
      <c r="C14" s="49" t="inlineStr">
        <is>
          <t>ИТОГО ФОТ (A₂ Market)</t>
        </is>
      </c>
      <c r="D14" s="50">
        <v>43</v>
      </c>
      <c r="E14" s="51" t="n"/>
      <c r="F14" s="51">
        <v>6420000</v>
      </c>
      <c r="G14" s="51">
        <v>1926000</v>
      </c>
      <c r="H14" s="51">
        <v>8346000</v>
      </c>
      <c r="I14" s="51">
        <v>100152000</v>
      </c>
    </row>
    <row r="16" ht="20" customHeight="1">
      <c r="B16" s="14" t="inlineStr">
        <is>
          <t>ФОТ A₂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v>43</v>
      </c>
      <c r="E18" s="54">
        <v>6420000</v>
      </c>
      <c r="F18" s="54">
        <v>8346000</v>
      </c>
      <c r="G18" s="55">
        <v>100.152</v>
      </c>
      <c r="H18" s="56">
        <v>23.112</v>
      </c>
      <c r="I18" s="57" t="inlineStr">
        <is>
          <t>0.0%</t>
        </is>
      </c>
    </row>
    <row r="19" ht="20" customHeight="1">
      <c r="C19" s="52" t="n">
        <v>2027</v>
      </c>
      <c r="D19" s="53">
        <v>43</v>
      </c>
      <c r="E19" s="54">
        <v>6933600.0</v>
        <f>E18*1.08</f>
      </c>
      <c r="F19" s="54">
        <v>9013680.0</v>
        <f>F18*1.08</f>
      </c>
      <c r="G19" s="55">
        <v>108.16416000000001</v>
        <f>G18*1.08</f>
      </c>
      <c r="H19" s="56">
        <v>24.96096</v>
        <f>H18*1.08</f>
      </c>
      <c r="I19" s="57" t="inlineStr">
        <is>
          <t>8.0%</t>
        </is>
      </c>
    </row>
    <row r="20" ht="20" customHeight="1">
      <c r="C20" s="52" t="n">
        <v>2028</v>
      </c>
      <c r="D20" s="53">
        <v>43</v>
      </c>
      <c r="E20" s="54">
        <v>7488288.000000001</v>
        <f>E19*1.08</f>
      </c>
      <c r="F20" s="54">
        <v>9734774.4</v>
        <f>F19*1.08</f>
      </c>
      <c r="G20" s="55">
        <v>116.81729280000002</v>
        <f>G19*1.08</f>
      </c>
      <c r="H20" s="56">
        <v>26.957836800000003</v>
        <f>H19*1.08</f>
      </c>
      <c r="I20" s="57" t="inlineStr">
        <is>
          <t>8.0%</t>
        </is>
      </c>
    </row>
    <row r="21" ht="24" customHeight="1">
      <c r="C21" s="58" t="inlineStr">
        <is>
          <t>Σ 2026–2028</t>
        </is>
      </c>
      <c r="D21" s="50">
        <v>43</v>
      </c>
      <c r="E21" s="51">
        <v>6420000</v>
      </c>
      <c r="F21" s="51">
        <v>8346000</v>
      </c>
      <c r="G21" s="59">
        <v>325.13345280000004</v>
        <f>SUM(G18:G20)</f>
      </c>
      <c r="H21" s="59">
        <v>75.03079679999999</v>
        <f>SUM(H18:H20)</f>
      </c>
      <c r="I21" s="58" t="inlineStr">
        <is>
          <t>—</t>
        </is>
      </c>
    </row>
    <row r="23" ht="32" customHeight="1">
      <c r="B23" s="18" t="inlineStr">
        <is>
          <t>⚫ Модель A₂ «Market-Based»: 43 чел, оклады по P50 рынка МСК 2025-2026. Индексация 8%/год. Σ ФОТ 2026-2028 ≈ 325 млн ₽. Источники: hh.ru, ГородРабот, DreamJob.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(фонд оплаты труда) / Штат — Модель A₂ Dynamic (Динамический) (Market + 8% индексация)</t>
        </is>
      </c>
    </row>
    <row r="3">
      <c r="B3" s="20" t="inlineStr">
        <is>
          <t>Рост штата 43 (фиксированный core) + индексация 8%/год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>
        <v>43</v>
      </c>
      <c r="D7" s="44">
        <v>43</v>
      </c>
      <c r="E7" s="44">
        <v>43</v>
      </c>
      <c r="F7" s="44">
        <v>43</v>
      </c>
      <c r="G7" s="44">
        <v>43</v>
      </c>
      <c r="H7" s="44">
        <v>43</v>
      </c>
      <c r="I7" s="44">
        <v>43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>
        <v>1.08</v>
      </c>
      <c r="E8" s="61">
        <v>1.17</v>
      </c>
      <c r="F8" s="61">
        <v>1.26</v>
      </c>
      <c r="G8" s="61">
        <v>1.36</v>
      </c>
      <c r="H8" s="61">
        <v>1.47</v>
      </c>
      <c r="I8" s="61">
        <v>1.59</v>
      </c>
    </row>
    <row r="9" ht="18" customHeight="1">
      <c r="B9" s="23" t="inlineStr">
        <is>
          <t>Ср. оклад gross (₽/мес, база 2026)</t>
        </is>
      </c>
      <c r="C9" s="46">
        <v>149302.32558139536</v>
      </c>
      <c r="D9" s="46">
        <v>161246.511627907</v>
      </c>
      <c r="E9" s="46">
        <v>174683.72093023255</v>
      </c>
      <c r="F9" s="46">
        <v>188120.93023255817</v>
      </c>
      <c r="G9" s="46">
        <v>203051.1627906977</v>
      </c>
      <c r="H9" s="46">
        <v>219474.41860465117</v>
      </c>
      <c r="I9" s="46">
        <v>237390.69767441862</v>
      </c>
    </row>
    <row r="10" ht="18" customHeight="1">
      <c r="B10" s="23" t="inlineStr">
        <is>
          <t>ФОТ gross / мес</t>
        </is>
      </c>
      <c r="C10" s="46">
        <f>C7*C9</f>
        <v>6420000.0</v>
      </c>
      <c r="D10" s="46">
        <f>D7*D9</f>
        <v>6933600.000000001</v>
      </c>
      <c r="E10" s="46">
        <f>E7*E9</f>
        <v>7511400.0</v>
      </c>
      <c r="F10" s="46">
        <f>F7*F9</f>
        <v>8089200.000000001</v>
      </c>
      <c r="G10" s="46">
        <f>G7*G9</f>
        <v>8731200.000000002</v>
      </c>
      <c r="H10" s="46">
        <f>H7*H9</f>
        <v>9437400.0</v>
      </c>
      <c r="I10" s="46">
        <f>I7*I9</f>
        <v>10207800.0</v>
      </c>
    </row>
    <row r="11" ht="20" customHeight="1">
      <c r="B11" s="60" t="inlineStr">
        <is>
          <t>ФОТ с налогами / мес (×1.30)</t>
        </is>
      </c>
      <c r="C11" s="47">
        <f>C10*1.3</f>
        <v>8346000.0</v>
      </c>
      <c r="D11" s="47">
        <f>D10*1.3</f>
        <v>9013680.000000002</v>
      </c>
      <c r="E11" s="47">
        <f>E10*1.3</f>
        <v>9764820.0</v>
      </c>
      <c r="F11" s="47">
        <f>F10*1.3</f>
        <v>10515960.000000002</v>
      </c>
      <c r="G11" s="47">
        <f>G10*1.3</f>
        <v>11350560.000000004</v>
      </c>
      <c r="H11" s="47">
        <f>H10*1.3</f>
        <v>12268620.0</v>
      </c>
      <c r="I11" s="47">
        <f>I10*1.3</f>
        <v>13270140.0</v>
      </c>
    </row>
    <row r="12" ht="24" customHeight="1">
      <c r="B12" s="49" t="inlineStr">
        <is>
          <t>ФОТ годовой (млн ₽)</t>
        </is>
      </c>
      <c r="C12" s="59">
        <f>C11*12/1000000</f>
        <v>100.152</v>
      </c>
      <c r="D12" s="59">
        <f>D11*12/1000000</f>
        <v>108.16416000000002</v>
      </c>
      <c r="E12" s="59">
        <f>E11*12/1000000</f>
        <v>117.17784</v>
      </c>
      <c r="F12" s="59">
        <f>F11*12/1000000</f>
        <v>126.19152000000003</v>
      </c>
      <c r="G12" s="59">
        <f>G11*12/1000000</f>
        <v>136.20672000000005</v>
      </c>
      <c r="H12" s="59">
        <f>H11*12/1000000</f>
        <v>147.22344</v>
      </c>
      <c r="I12" s="59">
        <f>I11*12/1000000</f>
        <v>159.24168</v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>25.038</v>
      </c>
      <c r="D16" s="63">
        <f>C12/4</f>
        <v>25.038</v>
      </c>
      <c r="E16" s="63">
        <f>C12/4</f>
        <v>25.038</v>
      </c>
      <c r="F16" s="63">
        <f>C12/4</f>
        <v>25.038</v>
      </c>
      <c r="G16" s="64">
        <f>C12</f>
        <v>100.152</v>
      </c>
    </row>
    <row r="17" ht="20" customHeight="1">
      <c r="B17" s="62" t="inlineStr">
        <is>
          <t>2027</t>
        </is>
      </c>
      <c r="C17" s="63">
        <f>D12/4</f>
        <v>27.041040000000006</v>
      </c>
      <c r="D17" s="63">
        <f>D12/4</f>
        <v>27.041040000000006</v>
      </c>
      <c r="E17" s="63">
        <f>D12/4</f>
        <v>27.041040000000006</v>
      </c>
      <c r="F17" s="63">
        <f>D12/4</f>
        <v>27.041040000000006</v>
      </c>
      <c r="G17" s="64">
        <f>D12</f>
        <v>108.16416000000002</v>
      </c>
    </row>
    <row r="18" ht="20" customHeight="1">
      <c r="B18" s="62" t="inlineStr">
        <is>
          <t>2028</t>
        </is>
      </c>
      <c r="C18" s="63">
        <f>E12/4</f>
        <v>29.29446</v>
      </c>
      <c r="D18" s="63">
        <f>E12/4</f>
        <v>29.29446</v>
      </c>
      <c r="E18" s="63">
        <f>E12/4</f>
        <v>29.29446</v>
      </c>
      <c r="F18" s="63">
        <f>E12/4</f>
        <v>29.29446</v>
      </c>
      <c r="G18" s="64">
        <f>E12</f>
        <v>117.17784</v>
      </c>
    </row>
    <row r="19" ht="24" customHeight="1">
      <c r="B19" s="58" t="inlineStr">
        <is>
          <t>Σ 2026–2028</t>
        </is>
      </c>
      <c r="C19" s="65">
        <f>SUM(C16:C18)</f>
        <v>81.3735</v>
      </c>
      <c r="D19" s="65">
        <f>SUM(D16:D18)</f>
        <v>81.3735</v>
      </c>
      <c r="E19" s="65">
        <f>SUM(E16:E18)</f>
        <v>81.3735</v>
      </c>
      <c r="F19" s="65">
        <f>SUM(F16:F18)</f>
        <v>81.3735</v>
      </c>
      <c r="G19" s="59">
        <f>SUM(G16:G18)</f>
        <v>325.494</v>
      </c>
    </row>
    <row r="21" ht="20" customHeight="1">
      <c r="B21" s="14" t="inlineStr">
        <is>
          <t>СРАВНЕНИЕ A₁ Fixed (Фиксированный) vs A₂ Dynamic (Динамический)</t>
        </is>
      </c>
    </row>
    <row r="22" ht="22" customHeight="1">
      <c r="B22" s="42" t="inlineStr">
        <is>
          <t>Период</t>
        </is>
      </c>
      <c r="C22" s="42" t="inlineStr">
        <is>
          <t>A₁ Fixed (Фиксированный)</t>
        </is>
      </c>
      <c r="D22" s="42" t="inlineStr">
        <is>
          <t>A₂ Dynamic (Динамический)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>100.152</v>
      </c>
      <c r="E23" s="67">
        <f>D23-C23</f>
        <v>26.208</v>
      </c>
      <c r="F23" s="68">
        <f>(D23-C23)/C23</f>
        <v>0.3544303797468354</v>
      </c>
    </row>
    <row r="24" ht="20" customHeight="1">
      <c r="B24" s="32" t="n">
        <v>2027</v>
      </c>
      <c r="C24" s="66" t="n">
        <v>73.944</v>
      </c>
      <c r="D24" s="63">
        <f>D12</f>
        <v>108.16416000000002</v>
      </c>
      <c r="E24" s="67">
        <f>D24-C24</f>
        <v>34.22016000000002</v>
      </c>
      <c r="F24" s="68">
        <f>(D24-C24)/C24</f>
        <v>0.46278481012658257</v>
      </c>
    </row>
    <row r="25" ht="20" customHeight="1">
      <c r="B25" s="32" t="n">
        <v>2028</v>
      </c>
      <c r="C25" s="66" t="n">
        <v>73.944</v>
      </c>
      <c r="D25" s="63">
        <f>E12</f>
        <v>117.17784</v>
      </c>
      <c r="E25" s="67">
        <f>D25-C25</f>
        <v>43.23384</v>
      </c>
      <c r="F25" s="68">
        <f>(D25-C25)/C25</f>
        <v>0.5846835443037974</v>
      </c>
    </row>
    <row r="26" ht="24" customHeight="1">
      <c r="B26" s="58" t="inlineStr">
        <is>
          <t>Σ 3 года</t>
        </is>
      </c>
      <c r="C26" s="59">
        <f>SUM(C23:C25)</f>
        <v>221.832</v>
      </c>
      <c r="D26" s="59">
        <f>SUM(D23:D25)</f>
        <v>325.494</v>
      </c>
      <c r="E26" s="69">
        <f>D26-C26</f>
        <v>103.66200000000003</v>
      </c>
      <c r="F26" s="70">
        <f>(D26-C26)/C26</f>
        <v>0.4672995780590719</v>
      </c>
    </row>
    <row r="28" ht="50" customHeight="1">
      <c r="B28" s="18" t="inlineStr">
        <is>
          <t>⚫ Модель A₂ «Full Dynamic (Динамический)»: штат растёт 50→60→70 (pre-IPO (первичное размещение) команда), оклады индексируются 7%/год (CPI 6.5% + премия). Для 2026–2028 разница с A₁ отражает реалистичный рост OPEX (Операционные расходы) и используется в pessimistic scenarios. Для верификации якоря EBITDA (прибыль до вычетов)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(Операционные расходы) (Cost Structure (Структура затрат))</t>
        </is>
      </c>
    </row>
    <row r="3">
      <c r="B3" s="20" t="inlineStr">
        <is>
          <t>Сводка операционных расходов холдинга. Годовые показатели 2026–2032 на основе A₂ Market и Assumptions.</t>
        </is>
      </c>
    </row>
    <row r="5" ht="20" customHeight="1">
      <c r="B5" s="14" t="inlineStr">
        <is>
          <t>OPEX (Операционные расходы) ПО ГОДАМ (Base (Базовый), модель A₂ Market),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(A₂ Market, 8%)</t>
        </is>
      </c>
      <c r="C7" s="71">
        <v>100.152</v>
      </c>
      <c r="D7" s="71">
        <v>108.164</v>
      </c>
      <c r="E7" s="71">
        <v>116.817</v>
      </c>
      <c r="F7" s="71">
        <v>126.161</v>
      </c>
      <c r="G7" s="71">
        <v>136.256</v>
      </c>
      <c r="H7" s="72">
        <v>325.133</v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(Операционные расходы)</t>
        </is>
      </c>
      <c r="C18" s="74">
        <v>114.714</v>
        <f>SUM(C7:C17)</f>
      </c>
      <c r="D18" s="74">
        <v>123.673</v>
      </c>
      <c r="E18" s="74">
        <v>133.333</v>
      </c>
      <c r="F18" s="74">
        <v>143.752</v>
      </c>
      <c r="G18" s="74">
        <v>154.989</v>
      </c>
      <c r="H18" s="74">
        <v>371.72</v>
      </c>
    </row>
    <row r="20" ht="20" customHeight="1">
      <c r="B20" s="14" t="inlineStr">
        <is>
          <t>СТРУКТУРА OPEX (Операционные расходы)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v>100.152</v>
        <f>C7</f>
      </c>
      <c r="D22" s="78">
        <v>0.8730582143417543</v>
        <f>C22/C18</f>
      </c>
      <c r="E22" s="79" t="inlineStr">
        <is>
          <t>ключевая статья (~87%)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v>8.646</v>
        <f>C8+C9</f>
      </c>
      <c r="D23" s="78">
        <v>0.07537005073487107</v>
        <f>C23/C18</f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v>1.296</v>
        <f>C10+C11+C15</f>
      </c>
      <c r="D24" s="78">
        <v>0.011297662011611486</v>
        <f>C24/C18</f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v>1.7999999999999998</v>
        <f>C12+C13</f>
      </c>
      <c r="D25" s="78">
        <v>0.015691197238349285</v>
        <f>C25/C18</f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v>1.5</v>
      </c>
      <c r="D26" s="78">
        <v>0.013075997698624406</v>
        <f>C26/C18</f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v>1.32</v>
        <f>C16+C17</f>
      </c>
      <c r="D27" s="78">
        <v>0.011506877974789477</v>
        <f>C27/C18</f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(Операционные расходы) total</t>
        </is>
      </c>
      <c r="C28" s="81">
        <v>114.714</v>
        <f>SUM(C22:C27)</f>
      </c>
      <c r="D28" s="82">
        <v>1.0</v>
        <f>SUM(D22:D27)</f>
      </c>
      <c r="E28" s="83" t="inlineStr">
        <is>
          <t>✓ Совпадает с ИТОГО OPEX (Операционные расходы) 2026 (114.7 млн) = 100%</t>
        </is>
      </c>
      <c r="F28" s="40" t="n"/>
      <c r="G28" s="40" t="n"/>
      <c r="H28" s="41" t="n"/>
    </row>
    <row r="30" ht="20" customHeight="1">
      <c r="B30" s="14" t="inlineStr">
        <is>
          <t>COGS (себестоимость)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(Итого) content budget (бюджет)</t>
        </is>
      </c>
      <c r="C32" s="84">
        <v>1746.8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>
        <v>145.6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(капитал продюсера)</t>
        </is>
      </c>
      <c r="C34" s="84">
        <v>600</v>
      </c>
      <c r="D34" s="22" t="inlineStr">
        <is>
          <t>млн ₽</t>
        </is>
      </c>
      <c r="E34" s="79" t="inlineStr">
        <is>
          <t>600 / 1747 = 34.3%</t>
        </is>
      </c>
      <c r="F34" s="40" t="n"/>
      <c r="G34" s="40" t="n"/>
      <c r="H34" s="41" t="n"/>
    </row>
    <row r="35" ht="20" customHeight="1">
      <c r="B35" s="23" t="inlineStr">
        <is>
          <t>Investor (Инвестор) funding</t>
        </is>
      </c>
      <c r="C35" s="84">
        <v>1250</v>
      </c>
      <c r="D35" s="22" t="inlineStr">
        <is>
          <t>млн ₽</t>
        </is>
      </c>
      <c r="E35" s="79" t="inlineStr">
        <is>
          <t>1250 / 1747 = 71.6%</t>
        </is>
      </c>
      <c r="F35" s="40" t="n"/>
      <c r="G35" s="40" t="n"/>
      <c r="H35" s="41" t="n"/>
    </row>
    <row r="36" ht="20" customHeight="1">
      <c r="B36" s="23" t="inlineStr">
        <is>
          <t>Amortization (Амортизация)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(тиражирование и реклама) (Print &amp; Advertising (Тиражирование и реклама))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(Операционные расходы)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 (Структура выручки))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 (среднегодовой темп роста)</t>
        </is>
      </c>
    </row>
    <row r="7" ht="20" customHeight="1">
      <c r="B7" s="23" t="inlineStr">
        <is>
          <t>Box Office (Кассовые сборы)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>2181.6</v>
      </c>
      <c r="H7" s="88">
        <f>(F7/D7)^(1/2)-1</f>
        <v>1.8838631497813254</v>
      </c>
    </row>
    <row r="8" ht="20" customHeight="1">
      <c r="B8" s="23" t="inlineStr">
        <is>
          <t>Online SVOD (подписной стриминг)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>909.0</v>
      </c>
      <c r="H8" s="88">
        <f>(F8/D8)^(1/2)-1</f>
        <v>1.8838631497813254</v>
      </c>
    </row>
    <row r="9" ht="20" customHeight="1">
      <c r="B9" s="23" t="inlineStr">
        <is>
          <t>TV (телевидение)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>363.6</v>
      </c>
      <c r="H9" s="88">
        <f>(F9/D9)^(1/2)-1</f>
        <v>1.8838631497813254</v>
      </c>
    </row>
    <row r="10" ht="20" customHeight="1">
      <c r="B10" s="23" t="inlineStr">
        <is>
          <t>Международные продажи (Международные продажи)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>454.5</v>
      </c>
      <c r="H10" s="88">
        <f>(F10/D10)^(1/2)-1</f>
        <v>1.8838631497813254</v>
      </c>
    </row>
    <row r="11" ht="20" customHeight="1">
      <c r="B11" s="23" t="inlineStr">
        <is>
          <t>VOD (транзакционный)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>181.8</v>
      </c>
      <c r="H11" s="88">
        <f>(F11/D11)^(1/2)-1</f>
        <v>1.8838631497813254</v>
      </c>
    </row>
    <row r="12" ht="20" customHeight="1">
      <c r="B12" s="23" t="inlineStr">
        <is>
          <t>Спонсорство / продакт-плейсмент (Спонсорство / продакт-плейсмент)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>227.25</v>
      </c>
      <c r="H12" s="88">
        <f>(F12/D12)^(1/2)-1</f>
        <v>1.8838631497813254</v>
      </c>
    </row>
    <row r="13" ht="20" customHeight="1">
      <c r="B13" s="23" t="inlineStr">
        <is>
          <t>Мерчандайзинг (Мерчандайзинг)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>90.9</v>
      </c>
      <c r="H13" s="88">
        <f>(F13/D13)^(1/2)-1</f>
        <v>1.8838631497813254</v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>136.35</v>
      </c>
      <c r="H14" s="88">
        <f>(F14/D14)^(1/2)-1</f>
        <v>1.8838631497813254</v>
      </c>
    </row>
    <row r="15" ht="28" customHeight="1">
      <c r="B15" s="73" t="inlineStr">
        <is>
          <t>ИТОГО ВЫРУЧКА</t>
        </is>
      </c>
      <c r="C15" s="89">
        <f>SUM(C7:C14)</f>
        <v>1.0</v>
      </c>
      <c r="D15" s="90">
        <f>SUM(D7:D14)</f>
        <v>300.0</v>
      </c>
      <c r="E15" s="90">
        <f>SUM(E7:E14)</f>
        <v>1750.0</v>
      </c>
      <c r="F15" s="90">
        <f>SUM(F7:F14)</f>
        <v>2495.0</v>
      </c>
      <c r="G15" s="91">
        <f>SUM(G7:G14)</f>
        <v>4545.0</v>
      </c>
      <c r="H15" s="92">
        <f>(F15/D15)^(1/2)-1</f>
        <v>1.8838631497813254</v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(Выручка)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(Выручка)</t>
        </is>
      </c>
      <c r="C19" s="40" t="n"/>
      <c r="D19" s="41" t="n"/>
      <c r="E19" s="96">
        <f>G15</f>
        <v>4545.0</v>
      </c>
      <c r="F19" s="41" t="n"/>
      <c r="G19" s="79" t="inlineStr">
        <is>
          <t>Sum-check (Контрольная сумма)</t>
        </is>
      </c>
      <c r="H19" s="41" t="n"/>
    </row>
    <row r="20" ht="22" customHeight="1">
      <c r="B20" s="97" t="inlineStr">
        <is>
          <t>Δ = Факт − План</t>
        </is>
      </c>
      <c r="C20" s="40" t="n"/>
      <c r="D20" s="41" t="n"/>
      <c r="E20" s="98">
        <f>G15-4545</f>
        <v>0.0</v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(Пессимистичный) / Base (Базовый) / Bull (Оптимистичный)),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 (Выручка)</t>
        </is>
      </c>
      <c r="E23" s="42" t="inlineStr">
        <is>
          <t>EBITDA (прибыль до вычетов)</t>
        </is>
      </c>
      <c r="F23" s="42" t="inlineStr">
        <is>
          <t>Net Profit (Чистая прибыль)</t>
        </is>
      </c>
      <c r="G23" s="42" t="inlineStr">
        <is>
          <t>IRR (внутренняя норма доходности)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(Пессимистичный)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(Оптимистичный)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(Кассовые сборы) ~48% отражает доминирование широкого проката при ограниченном западном контенте. Online SVOD (подписной стриминг)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 (Портфель контента))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(тиражирование и реклама) (15%)</t>
        </is>
      </c>
      <c r="H6" s="42" t="inlineStr">
        <is>
          <t>Σ затраты</t>
        </is>
      </c>
      <c r="I6" s="42" t="inlineStr">
        <is>
          <t>Revenue (Выручка)</t>
        </is>
      </c>
      <c r="J6" s="42" t="inlineStr">
        <is>
          <t>ROI (возврат на инвестиции), %</t>
        </is>
      </c>
      <c r="K6" s="42" t="inlineStr">
        <is>
          <t>Margin (Маржа)</t>
        </is>
      </c>
      <c r="L6" s="42" t="inlineStr">
        <is>
          <t>Payback (Окупаемость)</t>
        </is>
      </c>
      <c r="M6" s="42" t="inlineStr">
        <is>
          <t>Tier (Уровень)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>22.5</v>
      </c>
      <c r="H7" s="114">
        <f>F7+G7</f>
        <v>172.5</v>
      </c>
      <c r="I7" s="115" t="n">
        <v>310</v>
      </c>
      <c r="J7" s="116">
        <f>(I7-H7)/H7</f>
        <v>0.7971014492753623</v>
      </c>
      <c r="K7" s="117">
        <f>(I7-H7)/I7</f>
        <v>0.4435483870967742</v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>15.0</v>
      </c>
      <c r="H8" s="114">
        <f>F8+G8</f>
        <v>115.0</v>
      </c>
      <c r="I8" s="115" t="n">
        <v>250</v>
      </c>
      <c r="J8" s="116">
        <f>(I8-H8)/H8</f>
        <v>1.173913043478261</v>
      </c>
      <c r="K8" s="117">
        <f>(I8-H8)/I8</f>
        <v>0.54</v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>33.0</v>
      </c>
      <c r="H9" s="114">
        <f>F9+G9</f>
        <v>253.0</v>
      </c>
      <c r="I9" s="115" t="n">
        <v>500</v>
      </c>
      <c r="J9" s="116">
        <f>(I9-H9)/H9</f>
        <v>0.9762845849802372</v>
      </c>
      <c r="K9" s="117">
        <f>(I9-H9)/I9</f>
        <v>0.494</v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>13.5</v>
      </c>
      <c r="H10" s="114">
        <f>F10+G10</f>
        <v>103.5</v>
      </c>
      <c r="I10" s="115" t="n">
        <v>200</v>
      </c>
      <c r="J10" s="116">
        <f>(I10-H10)/H10</f>
        <v>0.9323671497584541</v>
      </c>
      <c r="K10" s="117">
        <f>(I10-H10)/I10</f>
        <v>0.4825</v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>37.5</v>
      </c>
      <c r="H11" s="114">
        <f>F11+G11</f>
        <v>287.5</v>
      </c>
      <c r="I11" s="115" t="n">
        <v>620</v>
      </c>
      <c r="J11" s="116">
        <f>(I11-H11)/H11</f>
        <v>1.1565217391304348</v>
      </c>
      <c r="K11" s="117">
        <f>(I11-H11)/I11</f>
        <v>0.5362903225806451</v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>27.0</v>
      </c>
      <c r="H12" s="114">
        <f>F12+G12</f>
        <v>207.0</v>
      </c>
      <c r="I12" s="115" t="n">
        <v>420</v>
      </c>
      <c r="J12" s="116">
        <f>(I12-H12)/H12</f>
        <v>1.0289855072463767</v>
      </c>
      <c r="K12" s="117">
        <f>(I12-H12)/I12</f>
        <v>0.5071428571428571</v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>25.5</v>
      </c>
      <c r="H13" s="114">
        <f>F13+G13</f>
        <v>195.5</v>
      </c>
      <c r="I13" s="115" t="n">
        <v>460</v>
      </c>
      <c r="J13" s="116">
        <f>(I13-H13)/H13</f>
        <v>1.3529411764705883</v>
      </c>
      <c r="K13" s="117">
        <f>(I13-H13)/I13</f>
        <v>0.575</v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>19.5</v>
      </c>
      <c r="H14" s="114">
        <f>F14+G14</f>
        <v>149.5</v>
      </c>
      <c r="I14" s="115" t="n">
        <v>330</v>
      </c>
      <c r="J14" s="116">
        <f>(I14-H14)/H14</f>
        <v>1.2073578595317727</v>
      </c>
      <c r="K14" s="117">
        <f>(I14-H14)/I14</f>
        <v>0.546969696969697</v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>12.0</v>
      </c>
      <c r="H15" s="114">
        <f>F15+G15</f>
        <v>92.0</v>
      </c>
      <c r="I15" s="115" t="n">
        <v>220</v>
      </c>
      <c r="J15" s="116">
        <f>(I15-H15)/H15</f>
        <v>1.391304347826087</v>
      </c>
      <c r="K15" s="117">
        <f>(I15-H15)/I15</f>
        <v>0.5818181818181818</v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>27.0</v>
      </c>
      <c r="H16" s="114">
        <f>F16+G16</f>
        <v>207.0</v>
      </c>
      <c r="I16" s="115" t="n">
        <v>480</v>
      </c>
      <c r="J16" s="116">
        <f>(I16-H16)/H16</f>
        <v>1.318840579710145</v>
      </c>
      <c r="K16" s="117">
        <f>(I16-H16)/I16</f>
        <v>0.56875</v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>21.0</v>
      </c>
      <c r="H17" s="114">
        <f>F17+G17</f>
        <v>161.0</v>
      </c>
      <c r="I17" s="115" t="n">
        <v>350</v>
      </c>
      <c r="J17" s="116">
        <f>(I17-H17)/H17</f>
        <v>1.173913043478261</v>
      </c>
      <c r="K17" s="117">
        <f>(I17-H17)/I17</f>
        <v>0.54</v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>24.0</v>
      </c>
      <c r="H18" s="114">
        <f>F18+G18</f>
        <v>184.0</v>
      </c>
      <c r="I18" s="115" t="n">
        <v>405</v>
      </c>
      <c r="J18" s="116">
        <f>(I18-H18)/H18</f>
        <v>1.201086956521739</v>
      </c>
      <c r="K18" s="117">
        <f>(I18-H18)/I18</f>
        <v>0.5456790123456791</v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>1850.0</v>
      </c>
      <c r="G19" s="123">
        <f>SUM(G7:G18)</f>
        <v>277.5</v>
      </c>
      <c r="H19" s="123">
        <f>SUM(H7:H18)</f>
        <v>2127.5</v>
      </c>
      <c r="I19" s="124">
        <f>SUM(I7:I18)</f>
        <v>4545.0</v>
      </c>
      <c r="J19" s="125">
        <f>(I19-H19)/H19</f>
        <v>1.136310223266745</v>
      </c>
      <c r="K19" s="89">
        <f>(I19-H19)/I19</f>
        <v>0.5319031903190319</v>
      </c>
      <c r="L19" s="126">
        <f>AVERAGE(L7:L18)</f>
        <v>15.916666666666666</v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План:</t>
        </is>
      </c>
      <c r="G22" s="129" t="n">
        <v>1850</v>
      </c>
      <c r="H22" s="128" t="inlineStr">
        <is>
          <t>Факт:</t>
        </is>
      </c>
      <c r="I22" s="130">
        <f>F19</f>
        <v>1850.0</v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(Выручка) 4545 млн</t>
        </is>
      </c>
      <c r="C23" s="40" t="n"/>
      <c r="D23" s="40" t="n"/>
      <c r="E23" s="41" t="n"/>
      <c r="F23" s="128" t="inlineStr">
        <is>
          <t>План:</t>
        </is>
      </c>
      <c r="G23" s="129" t="n">
        <v>4545</v>
      </c>
      <c r="H23" s="128" t="inlineStr">
        <is>
          <t>Факт:</t>
        </is>
      </c>
      <c r="I23" s="130">
        <f>I19</f>
        <v>4545.0</v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План:</t>
        </is>
      </c>
      <c r="G24" s="129" t="n">
        <v>154.2</v>
      </c>
      <c r="H24" s="128" t="inlineStr">
        <is>
          <t>Факт:</t>
        </is>
      </c>
      <c r="I24" s="130">
        <f>F19/12</f>
        <v>154.16666666666666</v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План:</t>
        </is>
      </c>
      <c r="G25" s="129" t="n">
        <v>378.75</v>
      </c>
      <c r="H25" s="128" t="inlineStr">
        <is>
          <t>Факт:</t>
        </is>
      </c>
      <c r="I25" s="130">
        <f>I19/12</f>
        <v>378.75</v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 (Выручка)/Budget (Бюджет)</t>
        </is>
      </c>
      <c r="C26" s="40" t="n"/>
      <c r="D26" s="40" t="n"/>
      <c r="E26" s="41" t="n"/>
      <c r="F26" s="128" t="inlineStr">
        <is>
          <t>План:</t>
        </is>
      </c>
      <c r="G26" s="129" t="n">
        <v>2.457</v>
      </c>
      <c r="H26" s="128" t="inlineStr">
        <is>
          <t>Факт:</t>
        </is>
      </c>
      <c r="I26" s="130">
        <f>I19/F19</f>
        <v>2.4567567567567568</v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 (Выручка)</t>
        </is>
      </c>
      <c r="K29" s="42" t="inlineStr">
        <is>
          <t>Средний ROI (возврат на инвестиции)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  <row r="42">
      <c r="B42" s="569" t="inlineStr">
        <is>
          <t>NDP (чистые распределяемые поступления) DISTRIBUTION TIMING (fast A+C pattern (паттерн) под W₅)</t>
        </is>
      </c>
    </row>
    <row r="43" ht="32" customHeight="1">
      <c r="B43" s="570" t="inlineStr">
        <is>
          <t>Revenue (Выручка) 4545 (2026–2028) → NDP (чистые распределяемые поступления) pool 3000 (EBITDA (прибыль до вычетов) 2152 + producer equity (доля в капитале) 600 + WC/credit timing 248) → распределение к LP (ограниченный партнёр)/Producer (Продюсер) по fast A+C pattern (паттерн) в 2029–2032. Подробности в 02_Assumptions блок O и 19_Waterfall блок W₅.</t>
        </is>
      </c>
    </row>
    <row r="45">
      <c r="B45" s="571" t="inlineStr">
        <is>
          <t>Год</t>
        </is>
      </c>
      <c r="C45" s="571" t="inlineStr">
        <is>
          <t>NDP (чистые распределяемые поступления), млн ₽</t>
        </is>
      </c>
      <c r="D45" s="571" t="inlineStr">
        <is>
          <t>Share (Доля)</t>
        </is>
      </c>
      <c r="E45" s="571" t="inlineStr">
        <is>
          <t>Декомпозиция</t>
        </is>
      </c>
    </row>
    <row r="46">
      <c r="B46" s="572" t="inlineStr">
        <is>
          <t>2029</t>
        </is>
      </c>
      <c r="C46" s="572" t="n">
        <v>990</v>
      </c>
      <c r="D46" s="572" t="n">
        <v>0.33</v>
      </c>
      <c r="E46" s="574" t="inlineStr">
        <is>
          <t>Domestic (Внутренний рынок) 540 + SVoD advance (аванс) 270 + Intl (Междунар.) 180</t>
        </is>
      </c>
    </row>
    <row r="47">
      <c r="B47" s="572" t="inlineStr">
        <is>
          <t>2030</t>
        </is>
      </c>
      <c r="C47" s="572" t="n">
        <v>1350</v>
      </c>
      <c r="D47" s="572" t="n">
        <v>0.45</v>
      </c>
      <c r="E47" s="574" t="inlineStr">
        <is>
          <t>Domestic (Внутренний рынок) 2700 × 50% — пик монетизации</t>
        </is>
      </c>
    </row>
    <row r="48">
      <c r="B48" s="572" t="inlineStr">
        <is>
          <t>2031</t>
        </is>
      </c>
      <c r="C48" s="572" t="n">
        <v>270</v>
      </c>
      <c r="D48" s="572" t="n">
        <v>0.09</v>
      </c>
      <c r="E48" s="574" t="inlineStr">
        <is>
          <t>Domestic (Внутренний рынок) 405 − 135 (SVoD аванс перенесён)</t>
        </is>
      </c>
    </row>
    <row r="49">
      <c r="B49" s="572" t="inlineStr">
        <is>
          <t>2032</t>
        </is>
      </c>
      <c r="C49" s="572" t="n">
        <v>390</v>
      </c>
      <c r="D49" s="572" t="n">
        <v>0.13</v>
      </c>
      <c r="E49" s="574" t="inlineStr">
        <is>
          <t>Domestic 270 + Intl tail (хвостовой период) 120 (exit year)</t>
        </is>
      </c>
    </row>
    <row r="50">
      <c r="B50" s="571" t="inlineStr">
        <is>
          <t>Σ</t>
        </is>
      </c>
      <c r="C50" s="571" t="n">
        <v>3000</v>
      </c>
      <c r="D50" s="571" t="n">
        <v>1</v>
      </c>
      <c r="E50" s="574" t="inlineStr">
        <is>
          <t>Якорь NDP (чистые распределяемые поступления) 2029–2032 v1.4.4 сохранён</t>
        </is>
      </c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(стандарты бухучёта) EBITDA (прибыль до вычетов) + NDP (чистые распределяемые поступления) (legacy (базовый вариант)).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ВЫРУЧКА (ВЫРУЧКА)  (Net of refunds &amp; commissions (За вычетом возвратов и комиссий))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(Кассовые сборы)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(подписной стриминг)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(Вещание)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Международные продажи (Международные продажи)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(Цифровой)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(Спонсорство и бренд-интеграция)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Мерчандайзинг (Мерчандайзинг) &amp; Licensing (Мерчандайзинг и лицензирование)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(Государственная поддержка) / Gov Fund (Госфонд)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(Итого) Revenue (Выручка)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(Амортизация контента) + P&amp;A (тиражирование и реклама))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(Амортизация контента) (production costs)</t>
        </is>
      </c>
      <c r="D17" s="169">
        <v>0.0</v>
      </c>
      <c r="E17" s="169">
        <v>0.0</v>
      </c>
      <c r="F17" s="169">
        <v>0.0</v>
      </c>
      <c r="G17" s="169">
        <v>119.14</v>
      </c>
      <c r="H17" s="169">
        <v>96.08</v>
      </c>
      <c r="I17" s="169">
        <v>269.03</v>
      </c>
      <c r="J17" s="169">
        <v>238.29</v>
      </c>
      <c r="K17" s="169">
        <v>161.42</v>
      </c>
      <c r="L17" s="169">
        <v>176.79</v>
      </c>
      <c r="M17" s="169">
        <v>211.38</v>
      </c>
      <c r="N17" s="169">
        <v>318.99</v>
      </c>
      <c r="O17" s="169">
        <v>155.65</v>
      </c>
      <c r="P17" s="169">
        <v>146.05</v>
      </c>
      <c r="Q17" s="169">
        <v>115.3</v>
      </c>
      <c r="R17" s="169">
        <v>84.55</v>
      </c>
      <c r="S17" s="169">
        <v>57.65</v>
      </c>
      <c r="T17" s="170">
        <v>1746.8</v>
      </c>
      <c r="U17" s="170">
        <v>2150.3</v>
      </c>
    </row>
    <row r="18">
      <c r="B18" s="148" t="inlineStr">
        <is>
          <t>2.2</t>
        </is>
      </c>
      <c r="C18" s="147" t="inlineStr">
        <is>
          <t>P&amp;A (тиражирование и реклама) (Prints &amp; Advertising (Тиражирование и реклама))</t>
        </is>
      </c>
      <c r="D18" s="169">
        <v>0.0</v>
      </c>
      <c r="E18" s="169">
        <v>0.0</v>
      </c>
      <c r="F18" s="169">
        <v>0.0</v>
      </c>
      <c r="G18" s="169">
        <v>17.87</v>
      </c>
      <c r="H18" s="169">
        <v>14.41</v>
      </c>
      <c r="I18" s="169">
        <v>40.36</v>
      </c>
      <c r="J18" s="169">
        <v>35.74</v>
      </c>
      <c r="K18" s="169">
        <v>24.21</v>
      </c>
      <c r="L18" s="169">
        <v>26.52</v>
      </c>
      <c r="M18" s="169">
        <v>31.71</v>
      </c>
      <c r="N18" s="169">
        <v>47.85</v>
      </c>
      <c r="O18" s="169">
        <v>23.35</v>
      </c>
      <c r="P18" s="169">
        <v>21.91</v>
      </c>
      <c r="Q18" s="169">
        <v>17.3</v>
      </c>
      <c r="R18" s="169">
        <v>12.68</v>
      </c>
      <c r="S18" s="169">
        <v>8.65</v>
      </c>
      <c r="T18" s="170">
        <v>262.0</v>
      </c>
      <c r="U18" s="170">
        <v>322.6</v>
      </c>
    </row>
    <row r="19">
      <c r="B19" s="148" t="inlineStr">
        <is>
          <t>2.3</t>
        </is>
      </c>
      <c r="C19" s="171" t="inlineStr">
        <is>
          <t>Total (Итого) COGS (себестоимость)</t>
        </is>
      </c>
      <c r="D19" s="172">
        <v>0.0</v>
      </c>
      <c r="E19" s="172">
        <v>0.0</v>
      </c>
      <c r="F19" s="172">
        <v>0.0</v>
      </c>
      <c r="G19" s="172">
        <v>137.01</v>
      </c>
      <c r="H19" s="172">
        <v>110.49</v>
      </c>
      <c r="I19" s="172">
        <v>309.39</v>
      </c>
      <c r="J19" s="172">
        <v>274.03</v>
      </c>
      <c r="K19" s="172">
        <v>185.63</v>
      </c>
      <c r="L19" s="172">
        <v>203.31</v>
      </c>
      <c r="M19" s="172">
        <v>243.09</v>
      </c>
      <c r="N19" s="172">
        <v>366.84</v>
      </c>
      <c r="O19" s="172">
        <v>179.0</v>
      </c>
      <c r="P19" s="172">
        <v>167.96</v>
      </c>
      <c r="Q19" s="172">
        <v>132.6</v>
      </c>
      <c r="R19" s="172">
        <v>97.23</v>
      </c>
      <c r="S19" s="172">
        <v>66.3</v>
      </c>
      <c r="T19" s="172">
        <v>2008.8</v>
      </c>
      <c r="U19" s="172">
        <v>2472.9</v>
      </c>
    </row>
    <row r="20">
      <c r="B20" s="148" t="inlineStr">
        <is>
          <t>2.4</t>
        </is>
      </c>
      <c r="C20" s="171" t="inlineStr">
        <is>
          <t>ВАЛОВАЯ ПРИБЫЛЬ (ВАЛОВАЯ ПРИБЫЛЬ)</t>
        </is>
      </c>
      <c r="D20" s="172">
        <v>0.0</v>
      </c>
      <c r="E20" s="172">
        <v>0.0</v>
      </c>
      <c r="F20" s="172">
        <v>0.0</v>
      </c>
      <c r="G20" s="172">
        <v>172.99</v>
      </c>
      <c r="H20" s="172">
        <v>139.51</v>
      </c>
      <c r="I20" s="172">
        <v>390.61</v>
      </c>
      <c r="J20" s="172">
        <v>345.97</v>
      </c>
      <c r="K20" s="172">
        <v>234.37</v>
      </c>
      <c r="L20" s="172">
        <v>256.69</v>
      </c>
      <c r="M20" s="172">
        <v>306.91</v>
      </c>
      <c r="N20" s="172">
        <v>463.16</v>
      </c>
      <c r="O20" s="172">
        <v>226.0</v>
      </c>
      <c r="P20" s="172">
        <v>212.04</v>
      </c>
      <c r="Q20" s="172">
        <v>167.4</v>
      </c>
      <c r="R20" s="172">
        <v>122.77</v>
      </c>
      <c r="S20" s="172">
        <v>83.7</v>
      </c>
      <c r="T20" s="172">
        <v>2536.2</v>
      </c>
      <c r="U20" s="172">
        <v>3122.1</v>
      </c>
    </row>
    <row r="22" ht="20" customHeight="1">
      <c r="B22" s="168" t="inlineStr">
        <is>
          <t>III.  ОПЕРАЦИОННЫЕ РАСХОДЫ (ОПЕРАЦИОННЫЕ РАСХОДЫ)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 (Фиксированный))</t>
        </is>
      </c>
      <c r="D23" s="169">
        <v>25.04</v>
      </c>
      <c r="E23" s="169">
        <v>25.04</v>
      </c>
      <c r="F23" s="169">
        <v>25.04</v>
      </c>
      <c r="G23" s="169">
        <v>25.04</v>
      </c>
      <c r="H23" s="169">
        <v>27.04</v>
      </c>
      <c r="I23" s="169">
        <v>27.04</v>
      </c>
      <c r="J23" s="169">
        <v>27.04</v>
      </c>
      <c r="K23" s="169">
        <v>27.04</v>
      </c>
      <c r="L23" s="169">
        <v>29.2</v>
      </c>
      <c r="M23" s="169">
        <v>29.2</v>
      </c>
      <c r="N23" s="169">
        <v>29.2</v>
      </c>
      <c r="O23" s="169">
        <v>29.2</v>
      </c>
      <c r="P23" s="169">
        <v>126.16</v>
      </c>
      <c r="Q23" s="169">
        <v>136.25</v>
      </c>
      <c r="R23" s="169">
        <v>147.16</v>
      </c>
      <c r="S23" s="169">
        <v>158.93</v>
      </c>
      <c r="T23" s="170">
        <v>325.1</v>
      </c>
      <c r="U23" s="170">
        <v>893.6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(Итого) OpEx</t>
        </is>
      </c>
      <c r="D27" s="172">
        <v>28.68</v>
      </c>
      <c r="E27" s="172">
        <v>28.68</v>
      </c>
      <c r="F27" s="172">
        <v>28.68</v>
      </c>
      <c r="G27" s="172">
        <v>28.68</v>
      </c>
      <c r="H27" s="172">
        <v>30.68</v>
      </c>
      <c r="I27" s="172">
        <v>30.68</v>
      </c>
      <c r="J27" s="172">
        <v>30.68</v>
      </c>
      <c r="K27" s="172">
        <v>30.68</v>
      </c>
      <c r="L27" s="172">
        <v>32.84</v>
      </c>
      <c r="M27" s="172">
        <v>32.84</v>
      </c>
      <c r="N27" s="172">
        <v>32.84</v>
      </c>
      <c r="O27" s="172">
        <v>32.84</v>
      </c>
      <c r="P27" s="172">
        <v>140.72</v>
      </c>
      <c r="Q27" s="172">
        <v>150.81</v>
      </c>
      <c r="R27" s="172">
        <v>161.72</v>
      </c>
      <c r="S27" s="172">
        <v>173.49</v>
      </c>
      <c r="T27" s="172">
        <v>368.8</v>
      </c>
      <c r="U27" s="172">
        <v>995.5</v>
      </c>
    </row>
    <row r="28">
      <c r="B28" s="148" t="inlineStr">
        <is>
          <t>3.6</t>
        </is>
      </c>
      <c r="C28" s="171" t="inlineStr">
        <is>
          <t>EBITDA (прибыль до вычетов) GAAP, standard</t>
        </is>
      </c>
      <c r="D28" s="172">
        <v>-28.68</v>
      </c>
      <c r="E28" s="172">
        <v>-28.68</v>
      </c>
      <c r="F28" s="172">
        <v>-28.68</v>
      </c>
      <c r="G28" s="172">
        <v>144.31</v>
      </c>
      <c r="H28" s="172">
        <v>108.83</v>
      </c>
      <c r="I28" s="172">
        <v>359.93</v>
      </c>
      <c r="J28" s="172">
        <v>315.29</v>
      </c>
      <c r="K28" s="172">
        <v>203.69</v>
      </c>
      <c r="L28" s="172">
        <v>223.85</v>
      </c>
      <c r="M28" s="172">
        <v>274.07</v>
      </c>
      <c r="N28" s="172">
        <v>430.32</v>
      </c>
      <c r="O28" s="172">
        <v>193.16</v>
      </c>
      <c r="P28" s="172">
        <v>71.32</v>
      </c>
      <c r="Q28" s="172">
        <v>16.59</v>
      </c>
      <c r="R28" s="172">
        <v>-38.95</v>
      </c>
      <c r="S28" s="172">
        <v>-89.79</v>
      </c>
      <c r="T28" s="173">
        <v>2167.4</v>
      </c>
      <c r="U28" s="173">
        <v>2126.6</v>
      </c>
    </row>
    <row r="30" ht="20" customHeight="1">
      <c r="B30" s="168" t="inlineStr">
        <is>
          <t>IV.  BELOW-THE-LINE  (D&amp;A (амортизация) · Interest (Проценты)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(Амортизация) &amp; Amortization (Амортизация)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(Операционная прибыль)</t>
        </is>
      </c>
      <c r="D32" s="172">
        <v>-29.43</v>
      </c>
      <c r="E32" s="172">
        <v>-29.43</v>
      </c>
      <c r="F32" s="172">
        <v>-29.43</v>
      </c>
      <c r="G32" s="172">
        <v>143.56</v>
      </c>
      <c r="H32" s="172">
        <v>108.08</v>
      </c>
      <c r="I32" s="172">
        <v>359.18</v>
      </c>
      <c r="J32" s="172">
        <v>314.54</v>
      </c>
      <c r="K32" s="172">
        <v>202.94</v>
      </c>
      <c r="L32" s="172">
        <v>223.1</v>
      </c>
      <c r="M32" s="172">
        <v>273.32</v>
      </c>
      <c r="N32" s="172">
        <v>429.57</v>
      </c>
      <c r="O32" s="172">
        <v>192.41</v>
      </c>
      <c r="P32" s="172">
        <v>68.32</v>
      </c>
      <c r="Q32" s="172">
        <v>13.59</v>
      </c>
      <c r="R32" s="172">
        <v>-41.95</v>
      </c>
      <c r="S32" s="172">
        <v>-92.79</v>
      </c>
      <c r="T32" s="172">
        <v>2158.4</v>
      </c>
      <c r="U32" s="172">
        <v>2105.6</v>
      </c>
    </row>
    <row r="33">
      <c r="B33" s="148" t="inlineStr">
        <is>
          <t>4.3</t>
        </is>
      </c>
      <c r="C33" s="147" t="inlineStr">
        <is>
          <t>Interest (Проценты) expense (T₁ Legacy (Базовый вариант) tranches (транши))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(Прибыль до налогообложения)</t>
        </is>
      </c>
      <c r="D34" s="172">
        <v>-30.43</v>
      </c>
      <c r="E34" s="172">
        <v>-30.43</v>
      </c>
      <c r="F34" s="172">
        <v>-30.93</v>
      </c>
      <c r="G34" s="172">
        <v>142.06</v>
      </c>
      <c r="H34" s="172">
        <v>106.58</v>
      </c>
      <c r="I34" s="172">
        <v>357.68</v>
      </c>
      <c r="J34" s="172">
        <v>313.04</v>
      </c>
      <c r="K34" s="172">
        <v>201.44</v>
      </c>
      <c r="L34" s="172">
        <v>222.35</v>
      </c>
      <c r="M34" s="172">
        <v>272.57</v>
      </c>
      <c r="N34" s="172">
        <v>429.07</v>
      </c>
      <c r="O34" s="172">
        <v>191.91</v>
      </c>
      <c r="P34" s="172">
        <v>67.32</v>
      </c>
      <c r="Q34" s="172">
        <v>13.09</v>
      </c>
      <c r="R34" s="172">
        <v>-41.95</v>
      </c>
      <c r="S34" s="172">
        <v>-92.79</v>
      </c>
      <c r="T34" s="172">
        <v>2144.9</v>
      </c>
      <c r="U34" s="172">
        <v>2090.6</v>
      </c>
    </row>
    <row r="35">
      <c r="B35" s="148" t="inlineStr">
        <is>
          <t>4.5</t>
        </is>
      </c>
      <c r="C35" s="147" t="inlineStr">
        <is>
          <t>Налог на прибыль (20%)</t>
        </is>
      </c>
      <c r="D35" s="169">
        <v>0</v>
      </c>
      <c r="E35" s="169">
        <v>0</v>
      </c>
      <c r="F35" s="169">
        <v>0</v>
      </c>
      <c r="G35" s="169">
        <v>28.41</v>
      </c>
      <c r="H35" s="169">
        <v>21.32</v>
      </c>
      <c r="I35" s="169">
        <v>71.54</v>
      </c>
      <c r="J35" s="169">
        <v>62.61</v>
      </c>
      <c r="K35" s="169">
        <v>40.29</v>
      </c>
      <c r="L35" s="169">
        <v>44.47</v>
      </c>
      <c r="M35" s="169">
        <v>54.51</v>
      </c>
      <c r="N35" s="169">
        <v>85.81</v>
      </c>
      <c r="O35" s="169">
        <v>38.38</v>
      </c>
      <c r="P35" s="169">
        <v>13.46</v>
      </c>
      <c r="Q35" s="169">
        <v>2.62</v>
      </c>
      <c r="R35" s="169">
        <v>0</v>
      </c>
      <c r="S35" s="169">
        <v>0</v>
      </c>
      <c r="T35" s="170">
        <v>447.3</v>
      </c>
      <c r="U35" s="170">
        <v>463.4</v>
      </c>
    </row>
    <row r="36">
      <c r="B36" s="148" t="inlineStr">
        <is>
          <t>4.6</t>
        </is>
      </c>
      <c r="C36" s="171" t="inlineStr">
        <is>
          <t>ЧИСТАЯ ПРИБЫЛЬ (ЧИСТАЯ ПРИБЫЛЬ)</t>
        </is>
      </c>
      <c r="D36" s="172">
        <v>-30.43</v>
      </c>
      <c r="E36" s="172">
        <v>-30.43</v>
      </c>
      <c r="F36" s="172">
        <v>-30.93</v>
      </c>
      <c r="G36" s="172">
        <v>113.65</v>
      </c>
      <c r="H36" s="172">
        <v>85.26</v>
      </c>
      <c r="I36" s="172">
        <v>286.14</v>
      </c>
      <c r="J36" s="172">
        <v>250.43</v>
      </c>
      <c r="K36" s="172">
        <v>161.15</v>
      </c>
      <c r="L36" s="172">
        <v>177.88</v>
      </c>
      <c r="M36" s="172">
        <v>218.06</v>
      </c>
      <c r="N36" s="172">
        <v>343.26</v>
      </c>
      <c r="O36" s="172">
        <v>153.53</v>
      </c>
      <c r="P36" s="172">
        <v>53.86</v>
      </c>
      <c r="Q36" s="172">
        <v>10.47</v>
      </c>
      <c r="R36" s="172">
        <v>-41.95</v>
      </c>
      <c r="S36" s="172">
        <v>-92.79</v>
      </c>
      <c r="T36" s="173">
        <v>1697.6</v>
      </c>
      <c r="U36" s="173">
        <v>1627.2</v>
      </c>
    </row>
    <row r="38" ht="20" customHeight="1">
      <c r="B38" s="168" t="inlineStr">
        <is>
          <t>V.  KEY MARGINS (КЛЮЧЕВЫЕ МАРЖИ)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 (маржа), %</t>
        </is>
      </c>
      <c r="D39" s="175">
        <v>0</v>
      </c>
      <c r="E39" s="175">
        <v>0</v>
      </c>
      <c r="F39" s="175">
        <v>0</v>
      </c>
      <c r="G39" s="175">
        <v>55.8</v>
      </c>
      <c r="H39" s="175">
        <v>55.8</v>
      </c>
      <c r="I39" s="175">
        <v>55.8</v>
      </c>
      <c r="J39" s="175">
        <v>55.8</v>
      </c>
      <c r="K39" s="175">
        <v>55.8</v>
      </c>
      <c r="L39" s="175">
        <v>55.8</v>
      </c>
      <c r="M39" s="175">
        <v>55.8</v>
      </c>
      <c r="N39" s="175">
        <v>55.8</v>
      </c>
      <c r="O39" s="175">
        <v>55.8</v>
      </c>
      <c r="P39" s="175">
        <v>55.8</v>
      </c>
      <c r="Q39" s="175">
        <v>55.8</v>
      </c>
      <c r="R39" s="175">
        <v>55.8</v>
      </c>
      <c r="S39" s="175">
        <v>55.8</v>
      </c>
      <c r="T39" s="176">
        <v>55.8</v>
      </c>
    </row>
    <row r="40" ht="18" customHeight="1">
      <c r="B40" s="148" t="inlineStr">
        <is>
          <t>5.2</t>
        </is>
      </c>
      <c r="C40" s="174" t="inlineStr">
        <is>
          <t>EBITDA (прибыль до вычетов) margin (маржа), %</t>
        </is>
      </c>
      <c r="D40" s="175">
        <v>0</v>
      </c>
      <c r="E40" s="175">
        <v>0</v>
      </c>
      <c r="F40" s="175">
        <v>0</v>
      </c>
      <c r="G40" s="175">
        <v>46.6</v>
      </c>
      <c r="H40" s="175">
        <v>43.5</v>
      </c>
      <c r="I40" s="175">
        <v>51.4</v>
      </c>
      <c r="J40" s="175">
        <v>50.9</v>
      </c>
      <c r="K40" s="175">
        <v>48.5</v>
      </c>
      <c r="L40" s="175">
        <v>48.7</v>
      </c>
      <c r="M40" s="175">
        <v>49.8</v>
      </c>
      <c r="N40" s="175">
        <v>51.8</v>
      </c>
      <c r="O40" s="175">
        <v>47.7</v>
      </c>
      <c r="P40" s="175">
        <v>18.8</v>
      </c>
      <c r="Q40" s="175">
        <v>5.5</v>
      </c>
      <c r="R40" s="175">
        <v>-17.7</v>
      </c>
      <c r="S40" s="175">
        <v>-59.9</v>
      </c>
      <c r="T40" s="176">
        <v>47.7</v>
      </c>
    </row>
    <row r="41" ht="18" customHeight="1">
      <c r="B41" s="148" t="inlineStr">
        <is>
          <t>5.3</t>
        </is>
      </c>
      <c r="C41" s="174" t="inlineStr">
        <is>
          <t>Net margin (маржа), %</t>
        </is>
      </c>
      <c r="D41" s="175">
        <v>0</v>
      </c>
      <c r="E41" s="175">
        <v>0</v>
      </c>
      <c r="F41" s="175">
        <v>0</v>
      </c>
      <c r="G41" s="175">
        <v>36.7</v>
      </c>
      <c r="H41" s="175">
        <v>34.1</v>
      </c>
      <c r="I41" s="175">
        <v>40.9</v>
      </c>
      <c r="J41" s="175">
        <v>40.4</v>
      </c>
      <c r="K41" s="175">
        <v>38.4</v>
      </c>
      <c r="L41" s="175">
        <v>38.7</v>
      </c>
      <c r="M41" s="175">
        <v>39.6</v>
      </c>
      <c r="N41" s="175">
        <v>41.4</v>
      </c>
      <c r="O41" s="175">
        <v>37.9</v>
      </c>
      <c r="P41" s="175">
        <v>14.2</v>
      </c>
      <c r="Q41" s="175">
        <v>3.5</v>
      </c>
      <c r="R41" s="175">
        <v>-19.1</v>
      </c>
      <c r="S41" s="175">
        <v>-61.9</v>
      </c>
      <c r="T41" s="176">
        <v>37.4</v>
      </c>
    </row>
    <row r="44" ht="24" customHeight="1">
      <c r="B44" s="149" t="inlineStr">
        <is>
          <t>VI.  NDP (чистые распределяемые поступления) RECONCILIATION BRIDGE  ·  EBITDA (прибыль до вычетов) GAAP → NDP (чистые распределяемые поступления) (legacy (базовый вариант) v1.4.4 anchor (якорь))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(стандарты бухучёта) EBITDA (прибыль до вычетов) (2,167 млн ₽) с legacy (базовый вариант)-якорем NDP (чистые распределяемые поступления) (3 000 млн ₽) из v1.4.4. Разница объясняется участием продюсера (off-P&amp;L equity (доля в капитале))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(прибыль до вычетов) GAAP, standard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>
        <v>2167.4</v>
      </c>
      <c r="M48" s="186" t="n"/>
      <c r="N48" s="187" t="n"/>
      <c r="O48" s="148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(вклад продюсера в капитал)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(совместное предприятие) capital (капитал):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(капитал)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>
        <v>232.6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(чистые распределяемые поступления) Σ 2026–2028  (legacy (базовый вариант) anchor (якорь))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ЯКОРЬ (ЯКОРЬ)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(доля продюсера) (waterfall (каскад) W₅ V-D default (по умолчанию) · L8+L4 catch-up 70/30 + carry 60/40)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-343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Под W₅ V-D: 172 (catch 30%) + 170 (carry 40%) ≈ 343 (rounded)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(Инвестор)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2657</v>
      </c>
      <c r="M53" s="186" t="n"/>
      <c r="N53" s="187" t="n"/>
      <c r="O53" s="153" t="inlineStr">
        <is>
          <t>ИНВЕСТОР (ИНВЕСТОР)</t>
        </is>
      </c>
      <c r="P53" s="186" t="n"/>
      <c r="Q53" s="187" t="n"/>
      <c r="R53" s="183" t="inlineStr">
        <is>
          <t>Под W₅ V-D: 1250 (Liq Pref (Ликвидационная привилегия)) + 750 (Pref 12%×5y) + 402 (catch 70%) + 256 (carry 60%) ≈ 2657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(Якорь) check: EBITDA (прибыль до вычетов) GAAP 2,167 + Producer (Продюсер) 600 + WC/Gov 233 = NDP (чистые распределяемые поступления) 3 000 ✓  |  3 000 − Producer share (доля продюсера) 785 = Investor (Инвестор) 2 215 ✓  |  Net Profit (Чистая прибыль) 1,698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ОТЧЁТ О ДВИЖЕНИИ ДЕНЕЖНЫХ СРЕДСТВ  ·  Косвенный метод  ·  12Q + 4Y</t>
        </is>
      </c>
    </row>
    <row r="3">
      <c r="B3" s="189" t="inlineStr">
        <is>
          <t>Все суммы — млн ₽. Консистентно с 09_P&amp;L_Statement (Вариант C: GAAP (стандарты бухучёта) EBITDA (прибыль до вычетов) 2 152 + NDP (чистые распределяемые поступления)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ДЕНЕЖНЫЙ ПОТОК ОТ ОПЕРАЦИОННОЙ ДЕЯТЕЛЬНОСТИ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(Чистая прибыль) (from P&amp;L)</t>
        </is>
      </c>
      <c r="D7" s="193">
        <v>-30.43</v>
      </c>
      <c r="E7" s="193">
        <v>-30.43</v>
      </c>
      <c r="F7" s="193">
        <v>-30.93</v>
      </c>
      <c r="G7" s="193">
        <v>113.65</v>
      </c>
      <c r="H7" s="193">
        <v>85.26</v>
      </c>
      <c r="I7" s="193">
        <v>286.14</v>
      </c>
      <c r="J7" s="193">
        <v>250.43</v>
      </c>
      <c r="K7" s="193">
        <v>161.15</v>
      </c>
      <c r="L7" s="193">
        <v>177.88</v>
      </c>
      <c r="M7" s="193">
        <v>218.06</v>
      </c>
      <c r="N7" s="193">
        <v>343.26</v>
      </c>
      <c r="O7" s="193">
        <v>153.53</v>
      </c>
      <c r="P7" s="193">
        <v>53.86</v>
      </c>
      <c r="Q7" s="193">
        <v>10.47</v>
      </c>
      <c r="R7" s="193">
        <v>-41.95</v>
      </c>
      <c r="S7" s="193">
        <v>-92.79</v>
      </c>
      <c r="T7" s="194">
        <v>1697.6</v>
      </c>
      <c r="U7" s="194">
        <v>1627.2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(амортизация)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(Амортизация контента) add-back</t>
        </is>
      </c>
      <c r="D9" s="193">
        <v>0.0</v>
      </c>
      <c r="E9" s="193">
        <v>0.0</v>
      </c>
      <c r="F9" s="193">
        <v>0.0</v>
      </c>
      <c r="G9" s="193">
        <v>119.14</v>
      </c>
      <c r="H9" s="193">
        <v>96.08</v>
      </c>
      <c r="I9" s="193">
        <v>269.03</v>
      </c>
      <c r="J9" s="193">
        <v>238.29</v>
      </c>
      <c r="K9" s="193">
        <v>161.42</v>
      </c>
      <c r="L9" s="193">
        <v>176.79</v>
      </c>
      <c r="M9" s="193">
        <v>211.38</v>
      </c>
      <c r="N9" s="193">
        <v>318.99</v>
      </c>
      <c r="O9" s="193">
        <v>155.65</v>
      </c>
      <c r="P9" s="193">
        <v>146.05</v>
      </c>
      <c r="Q9" s="193">
        <v>115.3</v>
      </c>
      <c r="R9" s="193">
        <v>84.55</v>
      </c>
      <c r="S9" s="193">
        <v>57.65</v>
      </c>
      <c r="T9" s="194">
        <v>1746.8</v>
      </c>
      <c r="U9" s="194">
        <v>2150.3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(Денежные средства) from Operations</t>
        </is>
      </c>
      <c r="D10" s="197">
        <v>-29.68</v>
      </c>
      <c r="E10" s="197">
        <v>-29.68</v>
      </c>
      <c r="F10" s="197">
        <v>-30.18</v>
      </c>
      <c r="G10" s="197">
        <v>233.54</v>
      </c>
      <c r="H10" s="197">
        <v>182.09</v>
      </c>
      <c r="I10" s="197">
        <v>555.92</v>
      </c>
      <c r="J10" s="197">
        <v>489.47</v>
      </c>
      <c r="K10" s="197">
        <v>323.32</v>
      </c>
      <c r="L10" s="197">
        <v>355.42</v>
      </c>
      <c r="M10" s="197">
        <v>430.19</v>
      </c>
      <c r="N10" s="197">
        <v>663.0</v>
      </c>
      <c r="O10" s="197">
        <v>309.93</v>
      </c>
      <c r="P10" s="197">
        <v>202.91</v>
      </c>
      <c r="Q10" s="197">
        <v>128.77</v>
      </c>
      <c r="R10" s="197">
        <v>45.6</v>
      </c>
      <c r="S10" s="197">
        <v>-32.14</v>
      </c>
      <c r="T10" s="198">
        <v>3453.3</v>
      </c>
      <c r="U10" s="198">
        <v>3798.5</v>
      </c>
      <c r="V10" s="199"/>
    </row>
    <row r="11" ht="20" customHeight="1">
      <c r="B11" s="168" t="inlineStr">
        <is>
          <t>II.  ДЕНЕЖНЫЙ ПОТОК ОТ ИНВЕСТИЦИОННОЙ ДЕЯТЕЛЬНОСТИ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(Производство контента) CAPEX (Капзатраты)</t>
        </is>
      </c>
      <c r="D12" s="202">
        <v>-75.54</v>
      </c>
      <c r="E12" s="202">
        <v>-94.42</v>
      </c>
      <c r="F12" s="202">
        <v>-113.3</v>
      </c>
      <c r="G12" s="202">
        <v>-94.42</v>
      </c>
      <c r="H12" s="202">
        <v>-169.96</v>
      </c>
      <c r="I12" s="202">
        <v>-207.72</v>
      </c>
      <c r="J12" s="202">
        <v>-207.72</v>
      </c>
      <c r="K12" s="202">
        <v>-169.96</v>
      </c>
      <c r="L12" s="202">
        <v>-169.96</v>
      </c>
      <c r="M12" s="202">
        <v>-160.51</v>
      </c>
      <c r="N12" s="202">
        <v>-160.51</v>
      </c>
      <c r="O12" s="202">
        <v>-122.75</v>
      </c>
      <c r="P12" s="202">
        <v>0.0</v>
      </c>
      <c r="Q12" s="202">
        <v>0.0</v>
      </c>
      <c r="R12" s="202">
        <v>0.0</v>
      </c>
      <c r="S12" s="202">
        <v>0.0</v>
      </c>
      <c r="T12" s="203">
        <v>-1746.8</v>
      </c>
      <c r="U12" s="203">
        <v>-1746.8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(Капзатраты)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(Денежные средства) from Investing</t>
        </is>
      </c>
      <c r="D14" s="197">
        <v>-76.37</v>
      </c>
      <c r="E14" s="197">
        <v>-95.25</v>
      </c>
      <c r="F14" s="197">
        <v>-114.13</v>
      </c>
      <c r="G14" s="197">
        <v>-95.25</v>
      </c>
      <c r="H14" s="197">
        <v>-170.79</v>
      </c>
      <c r="I14" s="197">
        <v>-208.55</v>
      </c>
      <c r="J14" s="197">
        <v>-208.55</v>
      </c>
      <c r="K14" s="197">
        <v>-170.79</v>
      </c>
      <c r="L14" s="197">
        <v>-170.79</v>
      </c>
      <c r="M14" s="197">
        <v>-161.34</v>
      </c>
      <c r="N14" s="197">
        <v>-161.34</v>
      </c>
      <c r="O14" s="197">
        <v>-123.58</v>
      </c>
      <c r="P14" s="197">
        <v>0.0</v>
      </c>
      <c r="Q14" s="197">
        <v>0.0</v>
      </c>
      <c r="R14" s="197">
        <v>0.0</v>
      </c>
      <c r="S14" s="197">
        <v>0.0</v>
      </c>
      <c r="T14" s="198">
        <v>-1756.7</v>
      </c>
      <c r="U14" s="198">
        <v>-1756.7</v>
      </c>
      <c r="V14" s="199"/>
    </row>
    <row r="15" ht="20" customHeight="1">
      <c r="B15" s="168" t="inlineStr">
        <is>
          <t>III.  ДЕНЕЖНЫЙ ПОТОК ОТ ФИНАНСОВОЙ ДЕЯТЕЛЬНОСТИ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(Базовый вариант) tranches (транши)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 (вклад продюсера в капитал)s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(совместное предприятие) capital (капитал):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(Ликвидационная привилегия) + 8% coupon (купон)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>
        <f>-'02_Assumptions'!D172</f>
        <v>-990</v>
      </c>
      <c r="Q18" s="202">
        <f>-'02_Assumptions'!D173</f>
        <v>-1350</v>
      </c>
      <c r="R18" s="202">
        <f>-'02_Assumptions'!D174</f>
        <v>-270</v>
      </c>
      <c r="S18" s="202">
        <f>-'02_Assumptions'!D175</f>
        <v>-390</v>
      </c>
      <c r="T18" s="203" t="n">
        <v>0</v>
      </c>
      <c r="U18" s="203">
        <f>SUM(P18:T18)</f>
        <v>-3000</v>
      </c>
      <c r="V18" s="204" t="inlineStr">
        <is>
          <t>NDP (чистые распределяемые поступления) 3000 распределяется по A+C pattern (паттерн) (fast L8): 990/1350/270/390 = 33/45/9/13. См. 02_Assumptions блок O</t>
        </is>
      </c>
    </row>
    <row r="19" ht="18" customHeight="1">
      <c r="B19" s="195" t="inlineStr">
        <is>
          <t>3.4</t>
        </is>
      </c>
      <c r="C19" s="196" t="inlineStr">
        <is>
          <t>Net Cash (Денежные средства)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/>
    </row>
    <row r="20" ht="20" customHeight="1">
      <c r="B20" s="168" t="inlineStr">
        <is>
          <t>IV.  ЧИСТОЕ ИЗМЕНЕНИЕ ДС И СВЕРКА (ЧИСТОЕ ИЗМЕНЕНИЕ ДС И СВЕРКА)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Чистое изменение ДС (Чистое изменение денежных средств)</t>
        </is>
      </c>
      <c r="D21" s="197">
        <v>343.95</v>
      </c>
      <c r="E21" s="197">
        <v>-124.93</v>
      </c>
      <c r="F21" s="197">
        <v>-144.31</v>
      </c>
      <c r="G21" s="197">
        <v>638.29</v>
      </c>
      <c r="H21" s="197">
        <v>11.3</v>
      </c>
      <c r="I21" s="197">
        <v>347.37</v>
      </c>
      <c r="J21" s="197">
        <v>780.92</v>
      </c>
      <c r="K21" s="197">
        <v>152.53</v>
      </c>
      <c r="L21" s="197">
        <v>184.63</v>
      </c>
      <c r="M21" s="197">
        <v>668.85</v>
      </c>
      <c r="N21" s="197">
        <v>501.66</v>
      </c>
      <c r="O21" s="197">
        <v>186.35</v>
      </c>
      <c r="P21" s="197">
        <v>-997.09</v>
      </c>
      <c r="Q21" s="197">
        <v>-771.23</v>
      </c>
      <c r="R21" s="197">
        <v>-554.4</v>
      </c>
      <c r="S21" s="197">
        <v>-332.14</v>
      </c>
      <c r="T21" s="198">
        <v>3546.6</v>
      </c>
      <c r="U21" s="198">
        <v>891.7</v>
      </c>
      <c r="V21" s="199"/>
    </row>
    <row r="22" ht="18" customHeight="1">
      <c r="B22" s="205" t="inlineStr">
        <is>
          <t>4.2</t>
        </is>
      </c>
      <c r="C22" s="206" t="inlineStr">
        <is>
          <t>Cash (Денежные средства) — beginning of period</t>
        </is>
      </c>
      <c r="D22" s="207">
        <v>0</v>
      </c>
      <c r="E22" s="207">
        <v>343.95</v>
      </c>
      <c r="F22" s="207">
        <v>219.02</v>
      </c>
      <c r="G22" s="207">
        <v>74.71</v>
      </c>
      <c r="H22" s="207">
        <v>713.0</v>
      </c>
      <c r="I22" s="207">
        <v>724.3</v>
      </c>
      <c r="J22" s="207">
        <v>1071.67</v>
      </c>
      <c r="K22" s="207">
        <v>1852.59</v>
      </c>
      <c r="L22" s="207">
        <v>2005.12</v>
      </c>
      <c r="M22" s="207">
        <v>2189.75</v>
      </c>
      <c r="N22" s="207">
        <v>2858.6</v>
      </c>
      <c r="O22" s="207">
        <v>3360.26</v>
      </c>
      <c r="P22" s="207">
        <v>3546.61</v>
      </c>
      <c r="Q22" s="207">
        <v>2549.52</v>
      </c>
      <c r="R22" s="207">
        <v>1778.29</v>
      </c>
      <c r="S22" s="207">
        <v>1223.89</v>
      </c>
      <c r="T22" s="208">
        <v>15413.0</v>
      </c>
      <c r="U22" s="208">
        <v>24511.3</v>
      </c>
      <c r="V22" s="159"/>
    </row>
    <row r="23" ht="18" customHeight="1">
      <c r="B23" s="209" t="inlineStr">
        <is>
          <t>4.3</t>
        </is>
      </c>
      <c r="C23" s="210" t="inlineStr">
        <is>
          <t>Cash (Денежные средства) — end of period</t>
        </is>
      </c>
      <c r="D23" s="194">
        <v>343.95</v>
      </c>
      <c r="E23" s="194">
        <v>219.02</v>
      </c>
      <c r="F23" s="194">
        <v>74.71</v>
      </c>
      <c r="G23" s="194">
        <v>713.0</v>
      </c>
      <c r="H23" s="194">
        <v>724.3</v>
      </c>
      <c r="I23" s="194">
        <v>1071.67</v>
      </c>
      <c r="J23" s="194">
        <v>1852.59</v>
      </c>
      <c r="K23" s="194">
        <v>2005.12</v>
      </c>
      <c r="L23" s="194">
        <v>2189.75</v>
      </c>
      <c r="M23" s="194">
        <v>2858.6</v>
      </c>
      <c r="N23" s="194">
        <v>3360.26</v>
      </c>
      <c r="O23" s="194">
        <v>3546.61</v>
      </c>
      <c r="P23" s="194">
        <v>2549.52</v>
      </c>
      <c r="Q23" s="194">
        <v>1778.29</v>
      </c>
      <c r="R23" s="194">
        <v>1223.89</v>
      </c>
      <c r="S23" s="194">
        <v>891.75</v>
      </c>
      <c r="T23" s="198">
        <v>18959.6</v>
      </c>
      <c r="U23" s="198">
        <v>25403.0</v>
      </c>
      <c r="V23" s="182" t="inlineStr">
        <is>
          <t>★ Совпадает с Cash (Денежные средства) в 11_Balance_Sheet</t>
        </is>
      </c>
    </row>
    <row r="25" ht="22" customHeight="1">
      <c r="B25" s="211" t="inlineStr">
        <is>
          <t>✓ Cash (Денежные средства) end of Q4'28 = 3,546.6 млн ₽  |  Cash end of 2032 = 891.8 млн ₽  |  Σ OCF 3Y = 3,453  ·  Σ ICF 3Y = -1,757  ·  Σ FCF 3Y = 1,697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БАЛАНС  ·  На конец периода  ·  12Q + 4Y</t>
        </is>
      </c>
    </row>
    <row r="3">
      <c r="B3" s="189" t="inlineStr">
        <is>
          <t>Все суммы — млн ₽. Верификация: Assets = Liabilities + Equity (Собственный капитал); Cash (Денежные средства)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АКТИВЫ (АКТИВЫ)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(Денежные средства) &amp; equivalents</t>
        </is>
      </c>
      <c r="D7" s="207">
        <v>343.95</v>
      </c>
      <c r="E7" s="207">
        <v>219.02</v>
      </c>
      <c r="F7" s="207">
        <v>74.71</v>
      </c>
      <c r="G7" s="207">
        <v>713.0</v>
      </c>
      <c r="H7" s="207">
        <v>724.3</v>
      </c>
      <c r="I7" s="207">
        <v>1071.67</v>
      </c>
      <c r="J7" s="207">
        <v>1852.59</v>
      </c>
      <c r="K7" s="207">
        <v>2005.12</v>
      </c>
      <c r="L7" s="207">
        <v>2189.75</v>
      </c>
      <c r="M7" s="207">
        <v>2858.6</v>
      </c>
      <c r="N7" s="207">
        <v>3360.26</v>
      </c>
      <c r="O7" s="207">
        <v>3546.61</v>
      </c>
      <c r="P7" s="207">
        <v>2549.52</v>
      </c>
      <c r="Q7" s="207">
        <v>1778.29</v>
      </c>
      <c r="R7" s="207">
        <v>1223.89</v>
      </c>
      <c r="S7" s="207">
        <v>891.75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(Контент)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(Капзатраты)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 (Основные средства)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 (Основные средства (нетто))</t>
        </is>
      </c>
    </row>
    <row r="10" ht="18" customHeight="1">
      <c r="B10" s="195" t="inlineStr">
        <is>
          <t>A4</t>
        </is>
      </c>
      <c r="C10" s="196" t="inlineStr">
        <is>
          <t>ИТОГО АКТИВЫ (АКТИВЫ) (ИТОГО АКТИВЫ)</t>
        </is>
      </c>
      <c r="D10" s="198">
        <v>424.03</v>
      </c>
      <c r="E10" s="198">
        <v>399.18</v>
      </c>
      <c r="F10" s="198">
        <v>374.95</v>
      </c>
      <c r="G10" s="198">
        <v>987.14</v>
      </c>
      <c r="H10" s="198">
        <v>1076.76</v>
      </c>
      <c r="I10" s="198">
        <v>1359.28</v>
      </c>
      <c r="J10" s="198">
        <v>2107.91</v>
      </c>
      <c r="K10" s="198">
        <v>2269.56</v>
      </c>
      <c r="L10" s="198">
        <v>2447.03</v>
      </c>
      <c r="M10" s="198">
        <v>3062.09</v>
      </c>
      <c r="N10" s="198">
        <v>3395.99</v>
      </c>
      <c r="O10" s="198">
        <v>3547.57</v>
      </c>
      <c r="P10" s="198">
        <v>2392.8</v>
      </c>
      <c r="Q10" s="198">
        <v>1496.46</v>
      </c>
      <c r="R10" s="198">
        <v>849.51</v>
      </c>
      <c r="S10" s="198">
        <v>453.31</v>
      </c>
      <c r="T10" s="199" t="inlineStr">
        <is>
          <t>Σ A1+A2+A3</t>
        </is>
      </c>
    </row>
    <row r="12" ht="20" customHeight="1">
      <c r="B12" s="168" t="inlineStr">
        <is>
          <t>B.  ОБЯЗАТЕЛЬСТВА И КАПИТАЛ (ОБЯЗАТЕЛЬСТВА И КАПИТАЛ)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(Базовый вариант) loan balance</t>
        </is>
      </c>
      <c r="D13" s="207">
        <v>247.91</v>
      </c>
      <c r="E13" s="207">
        <v>246.94</v>
      </c>
      <c r="F13" s="207">
        <v>247.09</v>
      </c>
      <c r="G13" s="207">
        <v>596.87</v>
      </c>
      <c r="H13" s="207">
        <v>599.61</v>
      </c>
      <c r="I13" s="207">
        <v>603.77</v>
      </c>
      <c r="J13" s="207">
        <v>958.08</v>
      </c>
      <c r="K13" s="207">
        <v>960.51</v>
      </c>
      <c r="L13" s="207">
        <v>961.14</v>
      </c>
      <c r="M13" s="207">
        <v>1261.06</v>
      </c>
      <c r="N13" s="207">
        <v>1260.48</v>
      </c>
      <c r="O13" s="207">
        <v>1258.42</v>
      </c>
      <c r="P13" s="207">
        <v>495.96</v>
      </c>
      <c r="Q13" s="207">
        <v>-94.43</v>
      </c>
      <c r="R13" s="207">
        <v>-521.79</v>
      </c>
      <c r="S13" s="207">
        <v>-786.27</v>
      </c>
      <c r="T13" s="159" t="inlineStr">
        <is>
          <t>Привлечение − распределения инвестору</t>
        </is>
      </c>
    </row>
    <row r="14" ht="18" customHeight="1">
      <c r="B14" s="205" t="inlineStr">
        <is>
          <t>B2</t>
        </is>
      </c>
      <c r="C14" s="206" t="inlineStr">
        <is>
          <t>Producer equity (капитал продюсера) (JV (совместное предприятие) capital (капитал))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Вклады − распределения продюсеру</t>
        </is>
      </c>
    </row>
    <row r="15" ht="18" customHeight="1">
      <c r="B15" s="205" t="inlineStr">
        <is>
          <t>B3</t>
        </is>
      </c>
      <c r="C15" s="206" t="inlineStr">
        <is>
          <t>Нераспределённая прибыль (Нераспределённая прибыль)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(Накопительный) Net Income (Чистая прибыль)</t>
        </is>
      </c>
    </row>
    <row r="16" ht="18" customHeight="1">
      <c r="B16" s="195" t="inlineStr">
        <is>
          <t>B4</t>
        </is>
      </c>
      <c r="C16" s="196" t="inlineStr">
        <is>
          <t>TOTAL (ИТОГО) LIABILITIES (ИТОГО ОБЯЗАТЕЛЬСТВА) + EQUITY (ИТОГО ОБЯЗАТЕЛЬСТВА + КАПИТАЛ)</t>
        </is>
      </c>
      <c r="D16" s="198">
        <v>424.03</v>
      </c>
      <c r="E16" s="198">
        <v>399.18</v>
      </c>
      <c r="F16" s="198">
        <v>374.95</v>
      </c>
      <c r="G16" s="198">
        <v>987.14</v>
      </c>
      <c r="H16" s="198">
        <v>1076.76</v>
      </c>
      <c r="I16" s="198">
        <v>1359.28</v>
      </c>
      <c r="J16" s="198">
        <v>2107.91</v>
      </c>
      <c r="K16" s="198">
        <v>2269.56</v>
      </c>
      <c r="L16" s="198">
        <v>2447.03</v>
      </c>
      <c r="M16" s="198">
        <v>3062.09</v>
      </c>
      <c r="N16" s="198">
        <v>3395.99</v>
      </c>
      <c r="O16" s="198">
        <v>3547.57</v>
      </c>
      <c r="P16" s="198">
        <v>2392.8</v>
      </c>
      <c r="Q16" s="198">
        <v>1496.46</v>
      </c>
      <c r="R16" s="198">
        <v>849.51</v>
      </c>
      <c r="S16" s="198">
        <v>453.31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 (Собственный капитал);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Контроль баланса = Активы − (О+К)</t>
        </is>
      </c>
      <c r="D19" s="214">
        <v>0.0</v>
      </c>
      <c r="E19" s="214">
        <v>0.0</v>
      </c>
      <c r="F19" s="214">
        <v>0.0</v>
      </c>
      <c r="G19" s="214">
        <v>0.0</v>
      </c>
      <c r="H19" s="214">
        <v>0.0</v>
      </c>
      <c r="I19" s="214">
        <v>0.0</v>
      </c>
      <c r="J19" s="214">
        <v>0.0</v>
      </c>
      <c r="K19" s="214">
        <v>0.0</v>
      </c>
      <c r="L19" s="214">
        <v>0.0</v>
      </c>
      <c r="M19" s="214">
        <v>0.0</v>
      </c>
      <c r="N19" s="214">
        <v>0.0</v>
      </c>
      <c r="O19" s="214">
        <v>0.0</v>
      </c>
      <c r="P19" s="214">
        <v>0.0</v>
      </c>
      <c r="Q19" s="214">
        <v>0.0</v>
      </c>
      <c r="R19" s="214">
        <v>0.0</v>
      </c>
      <c r="S19" s="214">
        <v>0.0</v>
      </c>
      <c r="T19" s="215" t="inlineStr">
        <is>
          <t>✓ СБАЛАНСИРОВАН</t>
        </is>
      </c>
    </row>
    <row r="21" ht="24" customHeight="1">
      <c r="B21" s="211" t="inlineStr">
        <is>
          <t>★ Snapshot Q4'28: Assets 3,539 = Cash (Денежные средства) 3,538 + Content (Контент)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ГРАФИК ОБОРОТНОГО КАПИТАЛА  ·  AR / Prepaid / AP / NWC (чистый оборотный капитал) / ΔNWC (изменение оборотного капитала)</t>
        </is>
      </c>
    </row>
    <row r="3">
      <c r="B3" s="189" t="inlineStr">
        <is>
          <t>Предпосылки: AR = 25% Q revenue (60-day lag) · Prepaid = 5% Q revenue · AP = 30% (OpEx + P&amp;A (тиражирование и реклама)).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Дебиторская задолженность (25% квартальной выручки)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(Выручка) квартала</t>
        </is>
      </c>
    </row>
    <row r="8" ht="18" customHeight="1">
      <c r="B8" s="191" t="inlineStr">
        <is>
          <t>1.2</t>
        </is>
      </c>
      <c r="C8" s="192" t="inlineStr">
        <is>
          <t>Prepaid expenses (Авансовые платежи)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 (Выручка)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 (тиражирование и реклама))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 (тиражирование и реклама))</t>
        </is>
      </c>
    </row>
    <row r="11" ht="20" customHeight="1">
      <c r="B11" s="168" t="inlineStr">
        <is>
          <t>III.  ЧИСТЫЙ ОБОРОТНЫЙ КАПИТАЛ (ЧИСТЫЙ ОБОРОТНЫЙ КАПИТАЛ)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(чистый оборотный капитал)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(чистый оборотный капитал) = отток cash</t>
        </is>
      </c>
    </row>
    <row r="14" ht="18" customHeight="1">
      <c r="B14" s="216" t="inlineStr">
        <is>
          <t>3.3</t>
        </is>
      </c>
      <c r="C14" s="217" t="inlineStr">
        <is>
          <t>Cash (Денежные средства) impact (−ΔNWC (изменение оборотного капитала))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 (чистый оборотный капитал)</t>
        </is>
      </c>
    </row>
    <row r="16" ht="22" customHeight="1">
      <c r="B16" s="211" t="inlineStr">
        <is>
          <t>✓ NWC (чистый оборотный капитал) end Q4'28 = 107.4 млн ₽  |  Σ ΔNWC (изменение оборотного капитала)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ГРАФИК ЗАДОЛЖЕННОСТИ  ·  T₁ Legacy (Базовый вариант)  ·  1 250 млн ₽  ·  4 tranches (транши) 20/28/28/24%</t>
        </is>
      </c>
    </row>
    <row r="3">
      <c r="B3" s="189" t="inlineStr">
        <is>
          <t>T₁ Legacy (Базовый вариант): bullet-loan структура с распределением через waterfall (каскад) W₅ V-D ★ default (по умолчанию) v1.0.1 (1× Liq Pref (Ликвидационная привилегия) 1 250 + 12% pref × 5y + catch-up 70/30 + carry 60/40, base IRR (внутренняя норма доходности) 24.75%, MoIC 2.13×, см. 19_Waterfall + 24_Investor_Returns Section II); legacy (базовый вариант) W₃ остался опцией (8% coupon (купон) × 5y 500 + 60/40 от residual (остаток)).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ПРИВЛЕЧЕНИЕ СРЕДСТВ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Начальный остаток (Начальный остаток)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 (транши))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(ПРОЦЕНТНЫЕ РАСХОДЫ)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(Проценты)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(Проценты)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ПОГАШЕНИЕ ОСНОВНОГО ДОЛГА (ПОГАШЕНИЕ ОСНОВНОГО ДОЛГА)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Погашение основного долга (Погашение основного долга)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КОНЕЧНЫЙ ОСТАТОК (КОНЕЧНЫЙ ОСТАТОК)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Конечный остаток основного долга (Конечный остаток основного долга)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КУМУЛЯТИВ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(Накопительный)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(Накопительный)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(Накопительный)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ПОТЕНЦИАЛ РОСТА КАПИТАЛА (ПОТЕНЦИАЛ РОСТА КАПИТАЛА)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(Собственный капитал)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(Накопительный) equity (доля в капитале)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(доля в капитале)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(ИНВЕСТИЦИИ) INFLOW SCHEDULE  ·  T₁ Legacy (Базовый вариант) Tranche (Транш) Structure</t>
        </is>
      </c>
    </row>
    <row r="3">
      <c r="B3" s="189" t="inlineStr">
        <is>
          <t>4 tranches (транши)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ГРАФИК ТРАНШЕЙ (ГРАФИК ТРАНШЕЙ)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(Пре-продакшн)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ТРАНШИ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(КУМУЛЯТИВНЫЕ ПОСТУПЛЕНИЯ)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(Накопительный)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Покрытие % (привлечено / итого)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УПРАВЛЕНИЕ И УСЛОВИЯ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(Релиз) condition для транша №1</t>
        </is>
      </c>
      <c r="D18" s="159" t="inlineStr">
        <is>
          <t>Подписание SPA + Investment (Инвестиция)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(Релиз)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(Релиз)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(Релиз)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(Отчётность) cadence (Периодичность отчётности)</t>
        </is>
      </c>
      <c r="D22" s="159" t="inlineStr">
        <is>
          <t>Ежеквартальный financial report + KPI (ключевые показатели)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Права на информацию (Права на информацию)</t>
        </is>
      </c>
      <c r="D23" s="159" t="inlineStr">
        <is>
          <t>Read-only (Только чтение)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Расторжение (Расторжение) clause (Оговорка о расторжении)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(Базовый вариант)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ИСПОЛЬЗОВАНИЕ СРЕДСТВ  ·  Распределение 1 250 млн ₽ инвестиций</t>
        </is>
      </c>
    </row>
    <row r="3">
      <c r="B3" s="189" t="inlineStr">
        <is>
          <t>Разбивка инвестиционного тикета T₁ Legacy (Базовый вариант)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Мин (−10%)</t>
        </is>
      </c>
      <c r="G5" s="166" t="inlineStr">
        <is>
          <t>Макс (+10%)</t>
        </is>
      </c>
      <c r="H5" s="166" t="inlineStr">
        <is>
          <t>Allowance (Допуск)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(Пре-продакшн)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Гибкость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(Основной 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Гибкость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 (визуальные эффекты),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Гибкость ±10%</t>
        </is>
      </c>
      <c r="I8" s="159" t="inlineStr">
        <is>
          <t>Монтаж, цветокоррекция, VFX (визуальные эффекты),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Лимит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(Базовый вариант) Investment (Инвестиция)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ЯКОРЬ (ЯКОРЬ)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(Базовый вариант) (1 250) → Full Production Budget (Бюджет)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(Базовый вариант) Investor (Инвестор)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(капитал продюсера) (JV (совместное предприятие) capital (капитал))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(бюджет)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(Расходы на P&amp;A) (separate from CAPEX (Капзатраты))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 (Тиражирование и реклама),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(Итого)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(Использование средств) = 1 250 (5+65+20+10%)  |  Bridge: 1 250 + 600 = 1 850 (budget (бюджет))  |  + P&amp;A (тиражирование и реклама) 277.5 = 2 127.5 (COGS (себестоимость)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(Капзатраты)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(Капзатраты)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 (Фильм)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 (Капзатраты)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/>
      <c r="I6" s="207"/>
      <c r="J6" s="207"/>
      <c r="K6" s="207"/>
      <c r="L6" s="207"/>
      <c r="M6" s="207"/>
      <c r="N6" s="207"/>
      <c r="O6" s="207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/>
      <c r="E7" s="202" t="n">
        <v>5</v>
      </c>
      <c r="F7" s="202" t="n">
        <v>45</v>
      </c>
      <c r="G7" s="202" t="n">
        <v>35</v>
      </c>
      <c r="H7" s="202" t="n">
        <v>15</v>
      </c>
      <c r="I7" s="207"/>
      <c r="J7" s="207"/>
      <c r="K7" s="207"/>
      <c r="L7" s="207"/>
      <c r="M7" s="207"/>
      <c r="N7" s="207"/>
      <c r="O7" s="207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/>
      <c r="E8" s="207"/>
      <c r="F8" s="202" t="n">
        <v>11</v>
      </c>
      <c r="G8" s="202" t="n">
        <v>99</v>
      </c>
      <c r="H8" s="202" t="n">
        <v>77</v>
      </c>
      <c r="I8" s="202" t="n">
        <v>33</v>
      </c>
      <c r="J8" s="207"/>
      <c r="K8" s="207"/>
      <c r="L8" s="207"/>
      <c r="M8" s="207"/>
      <c r="N8" s="207"/>
      <c r="O8" s="207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/>
      <c r="E9" s="207"/>
      <c r="F9" s="202" t="n">
        <v>4.5</v>
      </c>
      <c r="G9" s="202" t="n">
        <v>40.5</v>
      </c>
      <c r="H9" s="202" t="n">
        <v>31.5</v>
      </c>
      <c r="I9" s="202" t="n">
        <v>13.5</v>
      </c>
      <c r="J9" s="207"/>
      <c r="K9" s="207"/>
      <c r="L9" s="207"/>
      <c r="M9" s="207"/>
      <c r="N9" s="207"/>
      <c r="O9" s="207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/>
      <c r="E10" s="207"/>
      <c r="F10" s="207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/>
      <c r="L10" s="207"/>
      <c r="M10" s="207"/>
      <c r="N10" s="207"/>
      <c r="O10" s="207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/>
      <c r="E11" s="207"/>
      <c r="F11" s="207"/>
      <c r="G11" s="207"/>
      <c r="H11" s="202" t="n">
        <v>9</v>
      </c>
      <c r="I11" s="202" t="n">
        <v>81</v>
      </c>
      <c r="J11" s="202" t="n">
        <v>63</v>
      </c>
      <c r="K11" s="202" t="n">
        <v>27</v>
      </c>
      <c r="L11" s="207"/>
      <c r="M11" s="207"/>
      <c r="N11" s="207"/>
      <c r="O11" s="207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/>
      <c r="E12" s="207"/>
      <c r="F12" s="207"/>
      <c r="G12" s="207"/>
      <c r="H12" s="207"/>
      <c r="I12" s="202" t="n">
        <v>8.5</v>
      </c>
      <c r="J12" s="202" t="n">
        <v>76.5</v>
      </c>
      <c r="K12" s="202" t="n">
        <v>59.5</v>
      </c>
      <c r="L12" s="202" t="n">
        <v>25.5</v>
      </c>
      <c r="M12" s="207"/>
      <c r="N12" s="207"/>
      <c r="O12" s="207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/>
      <c r="E13" s="207"/>
      <c r="F13" s="207"/>
      <c r="G13" s="207"/>
      <c r="H13" s="207"/>
      <c r="I13" s="207"/>
      <c r="J13" s="202" t="n">
        <v>6.5</v>
      </c>
      <c r="K13" s="202" t="n">
        <v>58.5</v>
      </c>
      <c r="L13" s="202" t="n">
        <v>45.5</v>
      </c>
      <c r="M13" s="202" t="n">
        <v>19.5</v>
      </c>
      <c r="N13" s="207"/>
      <c r="O13" s="207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/>
      <c r="E14" s="207"/>
      <c r="F14" s="207"/>
      <c r="G14" s="207"/>
      <c r="H14" s="207"/>
      <c r="I14" s="207"/>
      <c r="J14" s="202" t="n">
        <v>4</v>
      </c>
      <c r="K14" s="202" t="n">
        <v>36</v>
      </c>
      <c r="L14" s="202" t="n">
        <v>28</v>
      </c>
      <c r="M14" s="202" t="n">
        <v>12</v>
      </c>
      <c r="N14" s="207"/>
      <c r="O14" s="207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/>
      <c r="E15" s="207"/>
      <c r="F15" s="207"/>
      <c r="G15" s="207"/>
      <c r="H15" s="207"/>
      <c r="I15" s="207"/>
      <c r="J15" s="207"/>
      <c r="K15" s="202" t="n">
        <v>9</v>
      </c>
      <c r="L15" s="202" t="n">
        <v>81</v>
      </c>
      <c r="M15" s="202" t="n">
        <v>63</v>
      </c>
      <c r="N15" s="202" t="n">
        <v>27</v>
      </c>
      <c r="O15" s="207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/>
      <c r="E16" s="207"/>
      <c r="F16" s="207"/>
      <c r="G16" s="207"/>
      <c r="H16" s="207"/>
      <c r="I16" s="207"/>
      <c r="J16" s="207"/>
      <c r="K16" s="202" t="n">
        <v>7</v>
      </c>
      <c r="L16" s="202" t="n">
        <v>63</v>
      </c>
      <c r="M16" s="202" t="n">
        <v>49</v>
      </c>
      <c r="N16" s="202" t="n">
        <v>21</v>
      </c>
      <c r="O16" s="207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/>
      <c r="E17" s="207"/>
      <c r="F17" s="207"/>
      <c r="G17" s="207"/>
      <c r="H17" s="207"/>
      <c r="I17" s="207"/>
      <c r="J17" s="207"/>
      <c r="K17" s="207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 (Капзатраты)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(Капзатраты)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СТРУКТУРЫ СДЕЛОК  ·  T₁ Legacy (Базовый вариант)  &amp;  T₂ New</t>
        </is>
      </c>
    </row>
    <row r="3">
      <c r="B3" s="189" t="inlineStr">
        <is>
          <t>Два независимых инструмента: T₁ Legacy (Базовый вариант) (anchor (якорь) 1 250, senior) и T₂ New (500, диапазон 20% equity (доля в капитале)).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 (Базовый вариант)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 (якорь);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(Собственный капитал) диапазон,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(доля в капитале) upside</t>
        </is>
      </c>
    </row>
    <row r="10" ht="22" customHeight="1">
      <c r="B10" s="205" t="inlineStr">
        <is>
          <t>1.4</t>
        </is>
      </c>
      <c r="C10" s="213" t="inlineStr">
        <is>
          <t>Seniority (Старшинство)</t>
        </is>
      </c>
      <c r="D10" s="225" t="inlineStr">
        <is>
          <t>Старший (1L)</t>
        </is>
      </c>
      <c r="E10" s="226" t="inlineStr">
        <is>
          <t>Pari-passu (Паритетное (pari-passu))</t>
        </is>
      </c>
      <c r="F10" s="159" t="inlineStr">
        <is>
          <t>T₁ — приоритет, T₂ — equity (доля в капитале)</t>
        </is>
      </c>
    </row>
    <row r="11" ht="22" customHeight="1">
      <c r="B11" s="205" t="inlineStr">
        <is>
          <t>1.5</t>
        </is>
      </c>
      <c r="C11" s="213" t="inlineStr">
        <is>
          <t>Tranche (Транш) schedule</t>
        </is>
      </c>
      <c r="D11" s="225" t="inlineStr">
        <is>
          <t>4 × (20/28/28/24)%</t>
        </is>
      </c>
      <c r="E11" s="226" t="inlineStr">
        <is>
          <t>Единовременная выплата (Единовременная выплата)</t>
        </is>
      </c>
      <c r="F11" s="159" t="inlineStr">
        <is>
          <t>T₁ milestone-based (по вехам); T₂ — cash upfront (авансом)</t>
        </is>
      </c>
    </row>
    <row r="12" ht="22" customHeight="1">
      <c r="B12" s="205" t="inlineStr">
        <is>
          <t>1.6</t>
        </is>
      </c>
      <c r="C12" s="213" t="inlineStr">
        <is>
          <t>Service fee / coupon (купон)</t>
        </is>
      </c>
      <c r="D12" s="225" t="inlineStr">
        <is>
          <t>Service fee 15 млн</t>
        </is>
      </c>
      <c r="E12" s="226" t="inlineStr">
        <is>
          <t>8% cumulative (кумулятивный)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Приоритет возмещения (Приоритет возмещения)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(Каскад) order: LP (ограниченный партнёр) return of capital (капитал) → coupon (купон) → residual (остаток) split (разделение) (W₅ V-D ★ default (по умолчанию) v1.0.1: 1×LP + 12% pref × 5y + catch-up 70/30 + carry 60/40)</t>
        </is>
      </c>
    </row>
    <row r="15" ht="22" customHeight="1">
      <c r="B15" s="205" t="inlineStr">
        <is>
          <t>2.2</t>
        </is>
      </c>
      <c r="C15" s="213" t="inlineStr">
        <is>
          <t>Preferred return (Привилегированная доходность)</t>
        </is>
      </c>
      <c r="D15" s="225" t="inlineStr">
        <is>
          <t>—</t>
        </is>
      </c>
      <c r="E15" s="226" t="inlineStr">
        <is>
          <t>8 % cumulative (кумулятивный)</t>
        </is>
      </c>
      <c r="F15" s="159" t="inlineStr">
        <is>
          <t>До equity (доля в капитале) conversion</t>
        </is>
      </c>
    </row>
    <row r="16" ht="22" customHeight="1">
      <c r="B16" s="205" t="inlineStr">
        <is>
          <t>2.3</t>
        </is>
      </c>
      <c r="C16" s="213" t="inlineStr">
        <is>
          <t>Waterfall split (разделение каскада)</t>
        </is>
      </c>
      <c r="D16" s="225" t="inlineStr">
        <is>
          <t>60 / 40 (Инвестор/Продюсер)</t>
        </is>
      </c>
      <c r="E16" s="226" t="inlineStr">
        <is>
          <t>50 / 50 pro-rata (пропорционально)</t>
        </is>
      </c>
      <c r="F16" s="159" t="inlineStr">
        <is>
          <t>По default (по умолчанию) сценарию W₅ V-D ★ v1.0.1 (legacy (базовый вариант) W₃ доступен как опция)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Триггер выхода (Триггер выхода)</t>
        </is>
      </c>
      <c r="D17" s="225" t="inlineStr">
        <is>
          <t>2029-2032 tail (хвостовой период)</t>
        </is>
      </c>
      <c r="E17" s="226" t="inlineStr">
        <is>
          <t>Event-based (IPO (первичное размещение)/M&amp;A (слияния и поглощения))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Механика конверсии (Механика конверсии)</t>
        </is>
      </c>
      <c r="D18" s="225" t="inlineStr">
        <is>
          <t>Единовременное погашение (Единовременное погашение)</t>
        </is>
      </c>
      <c r="E18" s="226" t="inlineStr">
        <is>
          <t>Equity (Собственный капитал)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 (Отчётность)</t>
        </is>
      </c>
      <c r="D20" s="225" t="inlineStr">
        <is>
          <t>Quarterly financial (Ежеквартальная фин. отчётность)</t>
        </is>
      </c>
      <c r="E20" s="226" t="inlineStr">
        <is>
          <t>Quarterly + board seat (Ежекварт. + место в совете)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Права на информацию (Права на информацию)</t>
        </is>
      </c>
      <c r="D21" s="225" t="inlineStr">
        <is>
          <t>Read-only (Только чтение)</t>
        </is>
      </c>
      <c r="E21" s="226" t="inlineStr">
        <is>
          <t>Полный + вето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(Право принудительной продажи) / Tag-along (Право присоединения к продаже)</t>
        </is>
      </c>
      <c r="D22" s="225" t="inlineStr">
        <is>
          <t>Standard (Стандартный)</t>
        </is>
      </c>
      <c r="E22" s="226" t="inlineStr">
        <is>
          <t>Drag (Принуд. продажа) + ROFR (Преимущ. право)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Расторжение (Расторжение)</t>
        </is>
      </c>
      <c r="D24" s="225" t="inlineStr">
        <is>
          <t>Milestone default (по умолчанию)</t>
        </is>
      </c>
      <c r="E24" s="226" t="inlineStr">
        <is>
          <t>Существенное нарушение (Существенное нарушение)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(ИНВЕСТИЦИИ) ENVELOPE (СОВОКУПНЫЙ ИНВЕСТИЦИОННЫЙ ПАКЕТ)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(Базовый вариант)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 (автономный)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(капитал продюсера) (off-P&amp;L)</t>
        </is>
      </c>
      <c r="D30" s="205" t="inlineStr">
        <is>
          <t>600 млн ₽</t>
        </is>
      </c>
      <c r="E30" s="187" t="n"/>
      <c r="F30" s="159" t="inlineStr">
        <is>
          <t>JV (совместное предприятие) capital (капитал)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(Итого) capital (капитал)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ТАБЛИЦА КАПИТАЛИЗАЦИИ  ·  Ownership Structure (Структура собственности) (2 сценария)</t>
        </is>
      </c>
    </row>
    <row r="3">
      <c r="B3" s="189" t="inlineStr">
        <is>
          <t>Сценарий A: Только T₁ Legacy (Базовый вариант) (1 250 млн, 30% equity (доля в капитале)).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 (Базовый вариант)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Акционер (Акционер)</t>
        </is>
      </c>
      <c r="D6" s="166" t="inlineStr">
        <is>
          <t>Pre-money vkl, млн ₽</t>
        </is>
      </c>
      <c r="E6" s="166" t="inlineStr">
        <is>
          <t>Shares (Акции)</t>
        </is>
      </c>
      <c r="F6" s="166" t="inlineStr">
        <is>
          <t>Доля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 (Комментарий)</t>
        </is>
      </c>
    </row>
    <row r="7" ht="22" customHeight="1">
      <c r="B7" s="205" t="inlineStr">
        <is>
          <t>A.1</t>
        </is>
      </c>
      <c r="C7" s="206" t="inlineStr">
        <is>
          <t>Founder / Producer (Продюсер)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 (доля в капитале)</t>
        </is>
      </c>
    </row>
    <row r="8" ht="22" customHeight="1">
      <c r="B8" s="205" t="inlineStr">
        <is>
          <t>A.2</t>
        </is>
      </c>
      <c r="C8" s="206" t="inlineStr">
        <is>
          <t>T₁ Legacy (Базовый вариант) Investor (Инвестор)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Новые деньги (Новые деньги), 30% stake</t>
        </is>
      </c>
    </row>
    <row r="9" ht="22" customHeight="1">
      <c r="B9" s="216" t="inlineStr">
        <is>
          <t>Σ</t>
        </is>
      </c>
      <c r="C9" s="217" t="inlineStr">
        <is>
          <t>TOTAL (ИТОГО)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(Базовый вариант) + T₂ New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Акционер (Акционер)</t>
        </is>
      </c>
      <c r="D13" s="166" t="inlineStr">
        <is>
          <t>Pre-money vkl, млн ₽</t>
        </is>
      </c>
      <c r="E13" s="166" t="inlineStr">
        <is>
          <t>Shares (Акции)</t>
        </is>
      </c>
      <c r="F13" s="166" t="inlineStr">
        <is>
          <t>Доля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 (Комментарий)</t>
        </is>
      </c>
    </row>
    <row r="14" ht="22" customHeight="1">
      <c r="B14" s="205" t="inlineStr">
        <is>
          <t>B.1</t>
        </is>
      </c>
      <c r="C14" s="206" t="inlineStr">
        <is>
          <t>Founder / Producer (Продюсер)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 (Доинвестиц., 50% сохранено)</t>
        </is>
      </c>
    </row>
    <row r="15" ht="22" customHeight="1">
      <c r="B15" s="205" t="inlineStr">
        <is>
          <t>B.2</t>
        </is>
      </c>
      <c r="C15" s="206" t="inlineStr">
        <is>
          <t>T₁ Legacy (Базовый вариант) Investor (Инвестор)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 (транш)</t>
        </is>
      </c>
    </row>
    <row r="16" ht="22" customHeight="1">
      <c r="B16" s="205" t="inlineStr">
        <is>
          <t>B.3</t>
        </is>
      </c>
      <c r="C16" s="206" t="inlineStr">
        <is>
          <t>T₂ New Investor (Инвестор)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 (доля в капитале)</t>
        </is>
      </c>
    </row>
    <row r="17" ht="22" customHeight="1">
      <c r="B17" s="216" t="inlineStr">
        <is>
          <t>Σ</t>
        </is>
      </c>
      <c r="C17" s="217" t="inlineStr">
        <is>
          <t>TOTAL (ИТОГО)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(Полное разводнение)  ·  Implied Exit Valuation (Подразумеваемая оценка при выходе)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(прибыль до вычетов) GAAP, Y5 run-rate</t>
        </is>
      </c>
      <c r="D21" s="205" t="inlineStr">
        <is>
          <t>430 млн ₽</t>
        </is>
      </c>
      <c r="E21" s="186" t="n"/>
      <c r="F21" s="187" t="n"/>
      <c r="G21" s="159" t="inlineStr">
        <is>
          <t>Base (Базовый)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(Базовый) multiple (5×)</t>
        </is>
      </c>
      <c r="D22" s="205" t="inlineStr">
        <is>
          <t>5.0 ×</t>
        </is>
      </c>
      <c r="E22" s="186" t="n"/>
      <c r="F22" s="187" t="n"/>
      <c r="G22" s="159" t="inlineStr">
        <is>
          <t>Российский медиа-сектор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 (Стоимость предприятия)</t>
        </is>
      </c>
      <c r="D23" s="205" t="inlineStr">
        <is>
          <t>2 150 млн ₽</t>
        </is>
      </c>
      <c r="E23" s="186" t="n"/>
      <c r="F23" s="187" t="n"/>
      <c r="G23" s="159" t="inlineStr">
        <is>
          <t>= EBITDA (прибыль до вычетов) × multiple</t>
        </is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 (Долг)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(Собственный капитал) value</t>
        </is>
      </c>
      <c r="D25" s="205" t="inlineStr">
        <is>
          <t>2 150 млн ₽</t>
        </is>
      </c>
      <c r="E25" s="186" t="n"/>
      <c r="F25" s="187" t="n"/>
      <c r="G25" s="159" t="inlineStr">
        <is>
          <t>= EV (стоимость предприятия) − Net Debt (Долг)</t>
        </is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(чистые распределяемые поступления) tail (хвостовой период)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(Денежные средства)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(Итого)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(чистые распределяемые поступления) anchor (якорь)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(чистые распределяемые поступления) anchor (якорь)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КАСКАД РАСПРЕДЕЛЕНИЯ (КАСКАД РАСПРЕДЕЛЕНИЯ)  ·  4 варианта распределения NDP (чистые распределяемые поступления) 3 000 млн ₽ ·  T₁ Legacy (Базовый вариант) (invest 1 250 + producer 600)</t>
        </is>
      </c>
    </row>
    <row r="3" ht="28" customHeight="1">
      <c r="B3" s="258" t="inlineStr">
        <is>
          <t>W₁ — Hurdle (Порог) 60/40 → 50/50.  W₂ — Pro-rata по вкладу.  W₃ — 1× Liq Pref (Ликвидационная привилегия) + 8% coupon (купон) + 60/40 (★ DEFAULT (ПО УМОЛЧАНИЮ) с v1.0.1).  W₄ — 1× Liq Pref + 12% preferred + 65/35 + exit 6× (premium (премия)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 (Этап)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(Этап)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(Этап)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(ИТОГО)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 (Этап)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(пропорц.) инвестор: 1 250 / 1 850 = 67,57%</t>
        </is>
      </c>
      <c r="D13" s="531" t="n">
        <v>2027</v>
      </c>
      <c r="E13" s="531" t="n">
        <v>2027</v>
      </c>
      <c r="G13" s="535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(пропорц.) продюсер: 600 / 1 850 = 32,43%</t>
        </is>
      </c>
      <c r="D14" s="531" t="n">
        <v>973</v>
      </c>
      <c r="E14" s="535" t="n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(ИТОГО)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(купон) + 60/40 на остаток  (★ DEFAULT (ПО УМОЛЧАНИЮ) с v1.0.1)</t>
        </is>
      </c>
    </row>
    <row r="18">
      <c r="B18" s="530" t="inlineStr">
        <is>
          <t>#</t>
        </is>
      </c>
      <c r="C18" s="530" t="inlineStr">
        <is>
          <t>Stage (Этап)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(Этап) 1: 1× Liquidation (Ликвидация) Preference (ликвидационная привилегия)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(Инвестор) recoups 1 × principal = 1 250</t>
        </is>
      </c>
    </row>
    <row r="20">
      <c r="B20" s="205" t="n">
        <v>2</v>
      </c>
      <c r="C20" s="206" t="inlineStr">
        <is>
          <t>Stage (Этап) 2: 8% coupon (купон)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 (Привилегированная доходность): 1 250 × 8% × 5y = 500</t>
        </is>
      </c>
    </row>
    <row r="21">
      <c r="B21" s="205" t="n">
        <v>3</v>
      </c>
      <c r="C21" s="206" t="inlineStr">
        <is>
          <t>Stage (Этап)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 (премия): 60% инвестор / 40% продюсер</t>
        </is>
      </c>
    </row>
    <row r="22">
      <c r="B22" s="537" t="inlineStr">
        <is>
          <t>Σ</t>
        </is>
      </c>
      <c r="C22" s="538" t="inlineStr">
        <is>
          <t>TOTAL (ИТОГО)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(Инвестор) 83.3% / Producer (Продюсер) 16.7% — BASE CASE</t>
        </is>
      </c>
    </row>
    <row r="24" ht="22" customHeight="1">
      <c r="B24" s="541" t="inlineStr">
        <is>
          <t>W₄  ·  PREMIUM  ·  1× + 12% preferred × 5y + 65/35 + exit 6× (premium (премия) negotiation)</t>
        </is>
      </c>
    </row>
    <row r="25">
      <c r="B25" s="530" t="inlineStr">
        <is>
          <t>#</t>
        </is>
      </c>
      <c r="C25" s="530" t="inlineStr">
        <is>
          <t>Stage (Этап)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(Этап) 1: 1× Liquidation (Ликвидация) Preference (ликвидационная привилегия)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(Инвестор) recoups 1 × principal = 1 250</t>
        </is>
      </c>
    </row>
    <row r="27">
      <c r="B27" s="205" t="n">
        <v>2</v>
      </c>
      <c r="C27" s="206" t="inlineStr">
        <is>
          <t>Stage (Этап)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 (Накопленный привилегированный доход): 1 250 × 12% × 5y = 750</t>
        </is>
      </c>
    </row>
    <row r="28">
      <c r="B28" s="205" t="n">
        <v>3</v>
      </c>
      <c r="C28" s="206" t="inlineStr">
        <is>
          <t>Stage (Этап)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 (премия): 65% инвестор / 35% продюсер</t>
        </is>
      </c>
    </row>
    <row r="29">
      <c r="B29" s="532" t="inlineStr">
        <is>
          <t>Σ</t>
        </is>
      </c>
      <c r="C29" s="533" t="inlineStr">
        <is>
          <t>TOTAL (ИТОГО)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(Инвестор) 88.3% / Producer (Продюсер) 11.7% — PREMIUM</t>
        </is>
      </c>
    </row>
    <row r="31" ht="22" customHeight="1">
      <c r="B31" s="529" t="inlineStr">
        <is>
          <t>IV  ·  COMPARISON TABLE  ·  4 варианта (IRR (внутренняя норма доходности)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(Порог)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 (Продюсер)-friendly, weakest for LP (ограниченный партнёр)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 (капитал), no hurdle (порог)</t>
        </is>
      </c>
    </row>
    <row r="35">
      <c r="B35" s="543" t="inlineStr">
        <is>
          <t>W₃</t>
        </is>
      </c>
      <c r="C35" s="544" t="inlineStr">
        <is>
          <t>1× Liq Pref (Ликвидационная привилегия)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76" t="inlineStr">
        <is>
          <t>Baseline v1.0 (Базовый)</t>
        </is>
      </c>
    </row>
    <row r="36">
      <c r="B36" s="205" t="inlineStr">
        <is>
          <t>W₄</t>
        </is>
      </c>
      <c r="C36" s="206" t="inlineStr">
        <is>
          <t>1× Liq Pref (Ликвидационная привилегия)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(Премия) negotiation option</t>
        </is>
      </c>
    </row>
    <row r="37">
      <c r="B37" s="357" t="inlineStr">
        <is>
          <t>W₅</t>
        </is>
      </c>
      <c r="C37" s="357" t="inlineStr">
        <is>
          <t>L8+L4 V-D · 1×+12%+70/30+60/40 ★</t>
        </is>
      </c>
      <c r="D37" s="357" t="n">
        <v>2657</v>
      </c>
      <c r="E37" s="357" t="n">
        <v>88.59999999999999</v>
      </c>
      <c r="F37" s="357" t="n">
        <v>343</v>
      </c>
      <c r="G37" s="357" t="n">
        <v>11.4</v>
      </c>
      <c r="H37" s="357" t="n">
        <v>2.13</v>
      </c>
      <c r="I37" s="357" t="inlineStr">
        <is>
          <t>★ DEFAULT (ПО УМОЛЧАНИЮ) v1.0.1 — institutional-grade catch-up</t>
        </is>
      </c>
    </row>
    <row r="38">
      <c r="B38" s="548" t="inlineStr">
        <is>
          <t>✓ W₁ Σ = 3 000.0  ·  ✓ W₂ Σ = 3 000.0  ·  ✓ W₃ Σ = 3 000.0 (baseline)  ·  ✓ W₄ Σ = 3 000.0  ·  ✓ W₅ Σ = 3 000.0 (★ DEFAULT (ПО УМОЛЧАНИЮ) v1.0.1)  |  IRR (внутренняя норма доходности) cash-on-cash: см. 24_Investor_Returns Matrix 3×5</t>
        </is>
      </c>
    </row>
    <row r="40">
      <c r="B40" s="569" t="inlineStr">
        <is>
          <t>W₅  ·  L8+L4 V-D  ·  1× + 12% × 5y + Catch-up 70/30 + Carry 60/40  ·  ★ DEFAULT (ПО УМОЛЧАНИЮ) v1.0.1</t>
        </is>
      </c>
    </row>
    <row r="41">
      <c r="B41" s="571" t="inlineStr">
        <is>
          <t>#</t>
        </is>
      </c>
      <c r="C41" s="571" t="inlineStr">
        <is>
          <t>Stage (Этап)</t>
        </is>
      </c>
      <c r="D41" s="571" t="inlineStr">
        <is>
          <t>Размер стадии</t>
        </is>
      </c>
      <c r="E41" s="571" t="inlineStr">
        <is>
          <t>Инвестор</t>
        </is>
      </c>
      <c r="G41" s="571" t="inlineStr">
        <is>
          <t>Продюсер</t>
        </is>
      </c>
      <c r="I41" s="571" t="inlineStr">
        <is>
          <t>Правило</t>
        </is>
      </c>
    </row>
    <row r="42">
      <c r="B42" s="572" t="inlineStr">
        <is>
          <t>1</t>
        </is>
      </c>
      <c r="C42" s="572" t="inlineStr">
        <is>
          <t>Stage (Этап) 1: 1× Liquidation (Ликвидация) Preference (ликвидационная привилегия)</t>
        </is>
      </c>
      <c r="D42" s="572" t="n">
        <v>1250</v>
      </c>
      <c r="E42" s="572" t="n">
        <v>1250</v>
      </c>
      <c r="G42" s="572" t="n">
        <v>0</v>
      </c>
      <c r="I42" s="574" t="inlineStr">
        <is>
          <t>Investor (Инвестор) recoups 1× principal = 1 250 (Tranche (Транш) 1, T₁)</t>
        </is>
      </c>
    </row>
    <row r="43">
      <c r="B43" s="572" t="inlineStr">
        <is>
          <t>2</t>
        </is>
      </c>
      <c r="C43" s="572" t="inlineStr">
        <is>
          <t>Stage (Этап) 2: 12% Preferred Return × 5y cumulative</t>
        </is>
      </c>
      <c r="D43" s="572" t="n">
        <v>750</v>
      </c>
      <c r="E43" s="572" t="n">
        <v>750</v>
      </c>
      <c r="G43" s="572" t="n">
        <v>0</v>
      </c>
      <c r="I43" s="574" t="inlineStr">
        <is>
          <t>Accrued preferred (Накопленный привилегированный доход): 1 250 × 12% × 5 ≈ 750 (Tranche (Транш) 2)</t>
        </is>
      </c>
    </row>
    <row r="44">
      <c r="B44" s="572" t="inlineStr">
        <is>
          <t>3</t>
        </is>
      </c>
      <c r="C44" s="572" t="inlineStr">
        <is>
          <t>Stage (Этап) 3: Catch-up 70/30 до hurdle (порог) 2402</t>
        </is>
      </c>
      <c r="D44" s="572" t="n">
        <v>574</v>
      </c>
      <c r="E44" s="572" t="n">
        <v>402</v>
      </c>
      <c r="G44" s="572" t="n">
        <v>172</v>
      </c>
      <c r="I44" s="574" t="inlineStr">
        <is>
          <t>Catch-up tranche (транш): pool 574 = 2402 − (1250+750+pre-hurdle (порог)), 70% LP (ограниченный партнёр) / 30% Producer (Продюсер) until LP IRR (внутренняя норма доходности) hits 18% hurdle (порог)</t>
        </is>
      </c>
    </row>
    <row r="45">
      <c r="B45" s="572" t="inlineStr">
        <is>
          <t>4</t>
        </is>
      </c>
      <c r="C45" s="572" t="inlineStr">
        <is>
          <t>Stage (Этап) 4: Carry 60/40 на residual (остаток)</t>
        </is>
      </c>
      <c r="D45" s="572" t="n">
        <v>426</v>
      </c>
      <c r="E45" s="572" t="n">
        <v>256</v>
      </c>
      <c r="G45" s="572" t="n">
        <v>170</v>
      </c>
      <c r="I45" s="574" t="inlineStr">
        <is>
          <t>Residual (Остаток): 3000 − 2402 = 426. Carry split (разделение) 60% LP (ограниченный партнёр) / 40% Producer (Продюсер)</t>
        </is>
      </c>
    </row>
    <row r="46">
      <c r="B46" s="357" t="inlineStr">
        <is>
          <t>Σ</t>
        </is>
      </c>
      <c r="C46" s="357" t="inlineStr">
        <is>
          <t>TOTAL (ИТОГО) W₅ ★ DEFAULT (ПО УМОЛЧАНИЮ) v1.0.1</t>
        </is>
      </c>
      <c r="D46" s="357" t="n">
        <v>3000</v>
      </c>
      <c r="E46" s="357" t="n">
        <v>2658</v>
      </c>
      <c r="G46" s="357" t="n">
        <v>342</v>
      </c>
      <c r="I46" s="357" t="inlineStr">
        <is>
          <t>Investor (Инвестор) 88.6% / Producer (Продюсер) 11.4% · LP (ограниченный партнёр) MoIC 2.13× · Hurdle (Порог) target 2402 hit</t>
        </is>
      </c>
    </row>
    <row r="47" ht="28" customHeight="1">
      <c r="B47" s="574" t="inlineStr">
        <is>
          <t>Примечание: округление в comparison table — 2657/343 (display); precise — 2658/342. Сумма точно = 3000. MC verified seed=42 N=1000: P(IRR (внутренняя норма доходности)&gt;18%)=74.7%.</t>
        </is>
      </c>
    </row>
  </sheetData>
  <mergeCells count="10">
    <mergeCell ref="B11:J11"/>
    <mergeCell ref="B38:J38"/>
    <mergeCell ref="B3:J3"/>
    <mergeCell ref="B5:J5"/>
    <mergeCell ref="B47:J47"/>
    <mergeCell ref="B31:J31"/>
    <mergeCell ref="B17:J17"/>
    <mergeCell ref="B40:J40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ЮНИТ-ЭКОНОМИКА НА ФИЛЬМ — ПОРТФЕЛЬ 12 ФИЛЬМОВ 2026–2028</t>
        </is>
      </c>
    </row>
    <row r="3"/>
    <row r="4">
      <c r="B4" s="189" t="inlineStr">
        <is>
          <t>Валовая экономика на фильм: бюджет, P&amp;A (тиражирование и реклама), выручка за жизненный цикл (2026–2032), маржа, ROI (возврат на инвестиции),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 (тиражирование и реклама)</t>
        </is>
      </c>
      <c r="H6" s="167" t="inlineStr">
        <is>
          <t>Total (Итого) Cost</t>
        </is>
      </c>
      <c r="I6" s="167" t="inlineStr">
        <is>
          <t>Revenue (Выручка)
(lifetime)</t>
        </is>
      </c>
      <c r="J6" s="167" t="inlineStr">
        <is>
          <t>Gross
Profit (Прибыль)</t>
        </is>
      </c>
      <c r="K6" s="167" t="inlineStr">
        <is>
          <t>Margin (Маржа)</t>
        </is>
      </c>
      <c r="L6" s="167" t="inlineStr">
        <is>
          <t>Multiple (Мультипликатор)</t>
        </is>
      </c>
      <c r="M6" s="167" t="inlineStr">
        <is>
          <t>ROI (возврат на инвестиции)</t>
        </is>
      </c>
      <c r="N6" s="167" t="inlineStr">
        <is>
          <t>Payback (Окупаемость) (Q)</t>
        </is>
      </c>
      <c r="O6" s="167" t="inlineStr">
        <is>
          <t>Risk (Риск)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 (Средний)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 (Высокий)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 (Средний)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 (Средний)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 (Средний)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 (Средний)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 (Высокий)</t>
        </is>
      </c>
    </row>
    <row r="19">
      <c r="B19" s="239" t="inlineStr">
        <is>
          <t>ИТОГО ПОРТФЕЛЬ (12 фильмов)</t>
        </is>
      </c>
      <c r="E19" s="240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/>
    </row>
    <row r="22">
      <c r="B22" s="244" t="inlineStr">
        <is>
          <t>КЛЮЧЕВЫЕ ИНСАЙТЫ UNIT ECONOMICS</t>
        </is>
      </c>
    </row>
    <row r="23">
      <c r="B23" s="245" t="inlineStr">
        <is>
          <t>Σ Total (Итого) Cost / Σ COGS (себестоимость)</t>
        </is>
      </c>
      <c r="F23" s="246" t="inlineStr">
        <is>
          <t>2127.5 млн ₽ = 2 127.5 млн ₽ (matches P&amp;L COGS (себестоимость))</t>
        </is>
      </c>
    </row>
    <row r="24">
      <c r="B24" s="245" t="inlineStr">
        <is>
          <t>Σ Revenue (Выручка) lifetime</t>
        </is>
      </c>
      <c r="F24" s="246" t="inlineStr">
        <is>
          <t>5594.9 млн ₽ = 4 545 (2026-2028) + 1 050 (tail (хвостовой период) 2029-32)</t>
        </is>
      </c>
    </row>
    <row r="25">
      <c r="B25" s="245" t="inlineStr">
        <is>
          <t>Portfolio Gross Margin (Маржа)</t>
        </is>
      </c>
      <c r="F25" s="246" t="inlineStr">
        <is>
          <t>62,0% (отраслевой бенчмарк: 55–65%)</t>
        </is>
      </c>
    </row>
    <row r="26">
      <c r="B26" s="245" t="inlineStr">
        <is>
          <t>Portfolio Multiple (Мультипликатор)</t>
        </is>
      </c>
      <c r="F26" s="246" t="inlineStr">
        <is>
          <t>3,02× (безубыточность 1,2×, цель 2,5×)</t>
        </is>
      </c>
    </row>
    <row r="27">
      <c r="B27" s="245" t="inlineStr">
        <is>
          <t>Portfolio ROI (возврат на инвестиции)</t>
        </is>
      </c>
      <c r="F27" s="246" t="inlineStr">
        <is>
          <t>163.0% (hurdle (порог) rate 40%, target 60%)</t>
        </is>
      </c>
    </row>
    <row r="28">
      <c r="B28" s="245" t="inlineStr">
        <is>
          <t>Средняя окупаемость (Окупаемость) (Средний срок окупаемости)</t>
        </is>
      </c>
      <c r="F28" s="246" t="inlineStr">
        <is>
          <t>3.3 Q (target ≤ 6 кварталов)</t>
        </is>
      </c>
    </row>
    <row r="29">
      <c r="B29" s="245" t="inlineStr">
        <is>
          <t>Высокорисковые фильмы (Высокорисковые фильмы)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Концентрация (Концентрация)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(ключевые показатели)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(стандарты бухучёта) EBITDA (прибыль до вычетов) + NDP (чистые распределяемые поступления) anchor (якорь)) · Scenario (Сценарий) stripe Bear (Пессимистичный)/Base (Базовый)/Bull (Оптимистичный)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 года</t>
        </is>
      </c>
      <c r="H6" s="167" t="inlineStr">
        <is>
          <t>Tail (Хвостовой период) 29-32</t>
        </is>
      </c>
      <c r="I6" s="167" t="inlineStr">
        <is>
          <t>Σ Жизненный цикл</t>
        </is>
      </c>
      <c r="J6" s="167" t="inlineStr">
        <is>
          <t>Scenario (Сценарий)</t>
        </is>
      </c>
    </row>
    <row r="7">
      <c r="B7" s="244" t="inlineStr">
        <is>
          <t>I.  ВЫРУЧКА (ВЫРУЧКА) &amp; GROWTH</t>
        </is>
      </c>
    </row>
    <row r="8">
      <c r="B8" s="205" t="inlineStr">
        <is>
          <t>1.1</t>
        </is>
      </c>
      <c r="C8" s="213" t="inlineStr">
        <is>
          <t>Revenue (Выручка),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 (Базовый)</t>
        </is>
      </c>
    </row>
    <row r="9">
      <c r="B9" s="205" t="inlineStr">
        <is>
          <t>1.2</t>
        </is>
      </c>
      <c r="C9" s="213" t="inlineStr">
        <is>
          <t>Revenue (Выручка)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(среднегодовой темп роста)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 (Базовый)</t>
        </is>
      </c>
    </row>
    <row r="10">
      <c r="B10" s="205" t="inlineStr">
        <is>
          <t>1.3</t>
        </is>
      </c>
      <c r="C10" s="213" t="inlineStr">
        <is>
          <t>Выпущено фильмов (Выпущено фильмов)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 (Базовый)</t>
        </is>
      </c>
    </row>
    <row r="11">
      <c r="B11" s="205" t="inlineStr">
        <is>
          <t>1.4</t>
        </is>
      </c>
      <c r="C11" s="213" t="inlineStr">
        <is>
          <t>Avg budget (бюджет)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 (Базовый)</t>
        </is>
      </c>
    </row>
    <row r="13">
      <c r="B13" s="244" t="inlineStr">
        <is>
          <t>II.  РЕНТАБЕЛЬНОСТЬ — Dual Metric (Метрика)</t>
        </is>
      </c>
    </row>
    <row r="14">
      <c r="B14" s="205" t="inlineStr">
        <is>
          <t>2.1</t>
        </is>
      </c>
      <c r="C14" s="213" t="inlineStr">
        <is>
          <t>EBITDA (прибыль до вычетов) GAAP (стандарты бухучёта), млн ₽</t>
        </is>
      </c>
      <c r="D14" s="207">
        <v>58.3</v>
      </c>
      <c r="E14" s="207">
        <v>987.7</v>
      </c>
      <c r="F14" s="207">
        <v>1121.4</v>
      </c>
      <c r="G14" s="232">
        <v>2167.4</v>
      </c>
      <c r="H14" s="207">
        <v>850.0</v>
      </c>
      <c r="I14" s="207">
        <v>3017.4</v>
      </c>
      <c r="J14" s="247" t="inlineStr">
        <is>
          <t>Base (Базовый)</t>
        </is>
      </c>
    </row>
    <row r="15">
      <c r="B15" s="205" t="inlineStr">
        <is>
          <t>2.2</t>
        </is>
      </c>
      <c r="C15" s="213" t="inlineStr">
        <is>
          <t>EBITDA (прибыль до вычетов) margin (маржа), %</t>
        </is>
      </c>
      <c r="D15" s="236">
        <v>15.14</v>
      </c>
      <c r="E15" s="236">
        <v>59.32</v>
      </c>
      <c r="F15" s="236">
        <v>44.95</v>
      </c>
      <c r="G15" s="251">
        <v>47.69</v>
      </c>
      <c r="H15" s="236">
        <v>80.95</v>
      </c>
      <c r="I15" s="236">
        <v>53.93</v>
      </c>
      <c r="J15" s="247" t="inlineStr">
        <is>
          <t>Base (Базовый)</t>
        </is>
      </c>
    </row>
    <row r="16">
      <c r="B16" s="205" t="inlineStr">
        <is>
          <t>2.3</t>
        </is>
      </c>
      <c r="C16" s="213" t="inlineStr">
        <is>
          <t>NDP (чистые распределяемые поступления) (legacy (базовый вариант) anchor (якорь)),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 (Базовый)</t>
        </is>
      </c>
    </row>
    <row r="17">
      <c r="B17" s="205" t="inlineStr">
        <is>
          <t>2.4</t>
        </is>
      </c>
      <c r="C17" s="213" t="inlineStr">
        <is>
          <t>Net Profit (Чистая прибыль), млн ₽</t>
        </is>
      </c>
      <c r="D17" s="207">
        <v>21.9</v>
      </c>
      <c r="E17" s="207">
        <v>783.0</v>
      </c>
      <c r="F17" s="207">
        <v>892.7</v>
      </c>
      <c r="G17" s="232">
        <v>1697.6</v>
      </c>
      <c r="H17" s="207">
        <v>-70.4</v>
      </c>
      <c r="I17" s="207">
        <v>1627.2</v>
      </c>
      <c r="J17" s="247" t="inlineStr">
        <is>
          <t>Base (Базовый)</t>
        </is>
      </c>
    </row>
    <row r="18">
      <c r="B18" s="205" t="inlineStr">
        <is>
          <t>2.5</t>
        </is>
      </c>
      <c r="C18" s="213" t="inlineStr">
        <is>
          <t>Net Profit (Чистая прибыль) margin (маржа), %</t>
        </is>
      </c>
      <c r="D18" s="236">
        <v>5.68</v>
      </c>
      <c r="E18" s="236">
        <v>47.03</v>
      </c>
      <c r="F18" s="236">
        <v>35.78</v>
      </c>
      <c r="G18" s="251">
        <v>37.35</v>
      </c>
      <c r="H18" s="236">
        <v>-6.71</v>
      </c>
      <c r="I18" s="236">
        <v>29.08</v>
      </c>
      <c r="J18" s="247" t="inlineStr">
        <is>
          <t>Base (Базовый)</t>
        </is>
      </c>
    </row>
    <row r="20">
      <c r="B20" s="244" t="inlineStr">
        <is>
          <t>III.  ДОХОДНОСТЬ И МУЛЬТИПЛИКАТОРЫ</t>
        </is>
      </c>
    </row>
    <row r="21">
      <c r="B21" s="205" t="inlineStr">
        <is>
          <t>3.1</t>
        </is>
      </c>
      <c r="C21" s="213" t="inlineStr">
        <is>
          <t>ROI (возврат на инвестиции)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 (Базовый)</t>
        </is>
      </c>
    </row>
    <row r="22">
      <c r="B22" s="205" t="inlineStr">
        <is>
          <t>3.2</t>
        </is>
      </c>
      <c r="C22" s="213" t="inlineStr">
        <is>
          <t>Валовой мультипликатор (Валовой мультипликатор)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 (Базовый)</t>
        </is>
      </c>
    </row>
    <row r="23">
      <c r="B23" s="205" t="inlineStr">
        <is>
          <t>3.3</t>
        </is>
      </c>
      <c r="C23" s="593" t="inlineStr">
        <is>
          <t>IRR (внутренняя норма доходности) investor T₁ (W₅ V-D ★ default (по умолчанию) v1.0.1)</t>
        </is>
      </c>
      <c r="D23" s="594" t="inlineStr">
        <is>
          <t>—</t>
        </is>
      </c>
      <c r="E23" s="594" t="inlineStr">
        <is>
          <t>—</t>
        </is>
      </c>
      <c r="F23" s="594" t="inlineStr">
        <is>
          <t>—</t>
        </is>
      </c>
      <c r="G23" s="594" t="inlineStr">
        <is>
          <t>24.75%</t>
        </is>
      </c>
      <c r="H23" s="594" t="inlineStr">
        <is>
          <t>—</t>
        </is>
      </c>
      <c r="I23" s="594" t="inlineStr">
        <is>
          <t>—</t>
        </is>
      </c>
      <c r="J23" s="595" t="inlineStr">
        <is>
          <t>Base (Базовый) W₅ V-D (margin (маржа) +6.75pp к hurdle (порог))</t>
        </is>
      </c>
    </row>
    <row r="24">
      <c r="B24" s="205" t="inlineStr">
        <is>
          <t>3.4</t>
        </is>
      </c>
      <c r="C24" s="593" t="inlineStr">
        <is>
          <t>MOIC (мультипликатор вложенного капитала) investor T₁ (W₅ V-D ★)</t>
        </is>
      </c>
      <c r="D24" s="594" t="inlineStr">
        <is>
          <t>—</t>
        </is>
      </c>
      <c r="E24" s="594" t="inlineStr">
        <is>
          <t>—</t>
        </is>
      </c>
      <c r="F24" s="594" t="inlineStr">
        <is>
          <t>—</t>
        </is>
      </c>
      <c r="G24" s="594" t="inlineStr">
        <is>
          <t>2.13×</t>
        </is>
      </c>
      <c r="H24" s="594" t="inlineStr">
        <is>
          <t>—</t>
        </is>
      </c>
      <c r="I24" s="594" t="inlineStr">
        <is>
          <t>2.13×</t>
        </is>
      </c>
      <c r="J24" s="595" t="inlineStr">
        <is>
          <t>Base (Базовый)</t>
        </is>
      </c>
    </row>
    <row r="25">
      <c r="B25" s="205" t="inlineStr">
        <is>
          <t>3.5</t>
        </is>
      </c>
      <c r="C25" s="593" t="inlineStr">
        <is>
          <t>Payback (Окупаемость) T₁ (years)</t>
        </is>
      </c>
      <c r="D25" s="594" t="inlineStr">
        <is>
          <t>—</t>
        </is>
      </c>
      <c r="E25" s="594" t="inlineStr">
        <is>
          <t>—</t>
        </is>
      </c>
      <c r="F25" s="594" t="inlineStr">
        <is>
          <t>—</t>
        </is>
      </c>
      <c r="G25" s="594" t="inlineStr">
        <is>
          <t>3.21y</t>
        </is>
      </c>
      <c r="H25" s="594" t="inlineStr">
        <is>
          <t>—</t>
        </is>
      </c>
      <c r="I25" s="594" t="inlineStr">
        <is>
          <t>3.21y</t>
        </is>
      </c>
      <c r="J25" s="595" t="inlineStr">
        <is>
          <t>Base (Базовый)</t>
        </is>
      </c>
    </row>
    <row r="26">
      <c r="B26" s="205" t="inlineStr">
        <is>
          <t>3.6</t>
        </is>
      </c>
      <c r="C26" s="213" t="inlineStr">
        <is>
          <t>EV (стоимость предприятия)/EBITDA (прибыль до вычетов)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 (Оптимистичный)</t>
        </is>
      </c>
    </row>
    <row r="28">
      <c r="B28" s="244" t="inlineStr">
        <is>
          <t>IV.  ДЕНЕЖНЫЕ СРЕДСТВА И ДОЛГ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 (Базовый)</t>
        </is>
      </c>
    </row>
    <row r="30">
      <c r="B30" s="205" t="inlineStr">
        <is>
          <t>4.2</t>
        </is>
      </c>
      <c r="C30" s="213" t="inlineStr">
        <is>
          <t>Cash (Денежные средства)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3547</t>
        </is>
      </c>
      <c r="G30" s="249" t="inlineStr">
        <is>
          <t>3547</t>
        </is>
      </c>
      <c r="H30" s="248" t="inlineStr">
        <is>
          <t>892</t>
        </is>
      </c>
      <c r="I30" s="248" t="inlineStr">
        <is>
          <t>892</t>
        </is>
      </c>
      <c r="J30" s="247" t="inlineStr">
        <is>
          <t>Base (Базовый)</t>
        </is>
      </c>
    </row>
    <row r="31">
      <c r="B31" s="205" t="inlineStr">
        <is>
          <t>4.3</t>
        </is>
      </c>
      <c r="C31" s="213" t="inlineStr">
        <is>
          <t>Interest (Проценты)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 (Базовый)</t>
        </is>
      </c>
    </row>
    <row r="32">
      <c r="B32" s="205" t="inlineStr">
        <is>
          <t>4.4</t>
        </is>
      </c>
      <c r="C32" s="213" t="inlineStr">
        <is>
          <t>DSCR (EBITDA (прибыль до вычетов)/Interest (Проценты))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 (Базовый)</t>
        </is>
      </c>
    </row>
    <row r="33">
      <c r="B33" s="205" t="inlineStr">
        <is>
          <t>4.5</t>
        </is>
      </c>
      <c r="C33" s="213" t="inlineStr">
        <is>
          <t>Net Debt (Долг) / EBITDA (прибыль до вычетов)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 (Базовый)</t>
        </is>
      </c>
    </row>
    <row r="35">
      <c r="B35" s="244" t="inlineStr">
        <is>
          <t>V.  ОПЕРАЦИОННЫЕ</t>
        </is>
      </c>
    </row>
    <row r="36">
      <c r="B36" s="205" t="inlineStr">
        <is>
          <t>5.1</t>
        </is>
      </c>
      <c r="C36" s="213" t="inlineStr">
        <is>
          <t>Production CAPEX (Капзатраты), млн ₽</t>
        </is>
      </c>
      <c r="D36" s="207">
        <v>377.7</v>
      </c>
      <c r="E36" s="207">
        <v>755.4</v>
      </c>
      <c r="F36" s="207">
        <v>613.7</v>
      </c>
      <c r="G36" s="232">
        <v>1746.8</v>
      </c>
      <c r="H36" s="207">
        <v>0</v>
      </c>
      <c r="I36" s="207">
        <v>1746.8</v>
      </c>
      <c r="J36" s="247" t="inlineStr">
        <is>
          <t>Base (Базовый)</t>
        </is>
      </c>
    </row>
    <row r="37">
      <c r="B37" s="205" t="inlineStr">
        <is>
          <t>5.2</t>
        </is>
      </c>
      <c r="C37" s="213" t="inlineStr">
        <is>
          <t>P&amp;A (тиражирование и реклама) spend, млн ₽</t>
        </is>
      </c>
      <c r="D37" s="207">
        <v>17.9</v>
      </c>
      <c r="E37" s="207">
        <v>114.7</v>
      </c>
      <c r="F37" s="207">
        <v>129.4</v>
      </c>
      <c r="G37" s="232">
        <v>262.0</v>
      </c>
      <c r="H37" s="248" t="inlineStr">
        <is>
          <t>—</t>
        </is>
      </c>
      <c r="I37" s="207">
        <v>262.0</v>
      </c>
      <c r="J37" s="247" t="inlineStr">
        <is>
          <t>Base (Базовый)</t>
        </is>
      </c>
    </row>
    <row r="38">
      <c r="B38" s="205" t="inlineStr">
        <is>
          <t>5.3</t>
        </is>
      </c>
      <c r="C38" s="213" t="inlineStr">
        <is>
          <t>FOT (фонд оплаты труда), млн ₽</t>
        </is>
      </c>
      <c r="D38" s="207">
        <v>100.2</v>
      </c>
      <c r="E38" s="207">
        <v>108.2</v>
      </c>
      <c r="F38" s="207">
        <v>116.8</v>
      </c>
      <c r="G38" s="232">
        <v>325.1</v>
      </c>
      <c r="H38" s="248">
        <v>568.5</v>
      </c>
      <c r="I38" s="207">
        <v>893.6</v>
      </c>
      <c r="J38" s="247" t="inlineStr">
        <is>
          <t>Base (Базовый)</t>
        </is>
      </c>
    </row>
    <row r="39">
      <c r="B39" s="205" t="inlineStr">
        <is>
          <t>5.4</t>
        </is>
      </c>
      <c r="C39" s="213" t="inlineStr">
        <is>
          <t>Success rate (ROI (возврат на инвестиции)&gt;40%)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 (Базовый)</t>
        </is>
      </c>
    </row>
    <row r="40">
      <c r="B40" s="205" t="inlineStr">
        <is>
          <t>5.5</t>
        </is>
      </c>
      <c r="C40" s="213" t="inlineStr">
        <is>
          <t>Высокорисковые фильмы (Высокорисковые фильмы) (% of budget (бюджет))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 (Базовый)</t>
        </is>
      </c>
    </row>
    <row r="43">
      <c r="B43" s="244" t="inlineStr">
        <is>
          <t>VI. SCENARIO STRIPE (Revenue (Выручка) 2028 · EBITDA (прибыль до вычетов) 3Y · Net Profit (Чистая прибыль) 3Y · Exit EV (стоимость предприятия))</t>
        </is>
      </c>
    </row>
    <row r="44">
      <c r="B44" s="167" t="inlineStr">
        <is>
          <t>Сценарий</t>
        </is>
      </c>
      <c r="C44" s="167" t="inlineStr">
        <is>
          <t>Revenue (Выручка) 2028</t>
        </is>
      </c>
      <c r="D44" s="167" t="inlineStr">
        <is>
          <t>EBITDA (прибыль до вычетов) 3Y</t>
        </is>
      </c>
      <c r="E44" s="167" t="inlineStr">
        <is>
          <t>NDP (чистые распределяемые поступления) 3Y</t>
        </is>
      </c>
      <c r="F44" s="167" t="inlineStr">
        <is>
          <t>Net Profit (Чистая прибыль) 3Y</t>
        </is>
      </c>
      <c r="G44" s="167" t="inlineStr">
        <is>
          <t>IRR (внутренняя норма доходности) T₁</t>
        </is>
      </c>
      <c r="H44" s="167" t="inlineStr">
        <is>
          <t>MOIC (мультипликатор вложенного капитала) T₁</t>
        </is>
      </c>
      <c r="I44" s="167" t="inlineStr">
        <is>
          <t>EV (стоимость предприятия)/Mult</t>
        </is>
      </c>
      <c r="J44" s="167" t="inlineStr">
        <is>
          <t>EV (стоимость предприятия) млн ₽</t>
        </is>
      </c>
    </row>
    <row r="45">
      <c r="B45" s="254" t="inlineStr">
        <is>
          <t>Bear (Пессимистичный)</t>
        </is>
      </c>
      <c r="C45" s="202" t="n">
        <v>1872</v>
      </c>
      <c r="D45" s="202">
        <v>1625</v>
      </c>
      <c r="E45" s="202">
        <v>1800</v>
      </c>
      <c r="F45" s="202">
        <v>1274</v>
      </c>
      <c r="G45" s="255" t="inlineStr">
        <is>
          <t>10.70%</t>
        </is>
      </c>
      <c r="H45" s="255" t="inlineStr">
        <is>
          <t>1.44×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 (Базовый)</t>
        </is>
      </c>
      <c r="C46" s="232" t="n">
        <v>2495</v>
      </c>
      <c r="D46" s="232">
        <v>2167</v>
      </c>
      <c r="E46" s="232" t="n">
        <v>3000</v>
      </c>
      <c r="F46" s="232">
        <v>1698</v>
      </c>
      <c r="G46" s="256" t="inlineStr">
        <is>
          <t>24.75%</t>
        </is>
      </c>
      <c r="H46" s="256" t="inlineStr">
        <is>
          <t>2.13×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 (Оптимистичный)</t>
        </is>
      </c>
      <c r="C47" s="193" t="n">
        <v>3119</v>
      </c>
      <c r="D47" s="193">
        <v>2709</v>
      </c>
      <c r="E47" s="193">
        <v>4200</v>
      </c>
      <c r="F47" s="193">
        <v>2122</v>
      </c>
      <c r="G47" s="257" t="inlineStr">
        <is>
          <t>34.45%</t>
        </is>
      </c>
      <c r="H47" s="257" t="inlineStr">
        <is>
          <t>2.70×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(Базовый) case — якорь NDP (чистые распределяемые поступления) 3 000 млн ₽; Bear (Пессимистичный) = 0.75× Base (Базовый); Bull (Оптимистичный) = 1.25× Base. EV (стоимость предприятия)/EBITDA (прибыль до вычетов)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(ОЦЕНКА) — DCF (дисконтированный денежный поток) (Discounted Cash Flow (Дисконтированный денежный поток)) · 5Y Forecast (Прогноз) 2026–2030</t>
        </is>
      </c>
    </row>
    <row r="3"/>
    <row r="4">
      <c r="B4" s="189" t="inlineStr">
        <is>
          <t>WACC (средневзвешенная стоимость капитала) = 19.1% · Terminal growth (Терминальный рост) g = 3% · Exit Mult = 5.0× EBITDA (прибыль до вычетов)</t>
        </is>
      </c>
    </row>
    <row r="6">
      <c r="B6" s="244" t="inlineStr">
        <is>
          <t>I. WACC (средневзвешенная стоимость капитала) BUILD-UP</t>
        </is>
      </c>
    </row>
    <row r="7">
      <c r="B7" s="206" t="inlineStr">
        <is>
          <t>Risk (Риск)-free rate</t>
        </is>
      </c>
      <c r="C7" s="187" t="n"/>
      <c r="D7" s="259" t="n">
        <v>0.145</v>
      </c>
    </row>
    <row r="8">
      <c r="B8" s="206" t="inlineStr">
        <is>
          <t>Levered β (кино/медиа)</t>
        </is>
      </c>
      <c r="C8" s="187" t="n"/>
      <c r="D8" s="260" t="n">
        <v>0.8</v>
      </c>
    </row>
    <row r="9">
      <c r="B9" s="206" t="inlineStr">
        <is>
          <t>Equity (Собственный капитал) Risk (Риск) Premium (Премия)</t>
        </is>
      </c>
      <c r="C9" s="187" t="n"/>
      <c r="D9" s="259" t="n">
        <v>0.07000000000000001</v>
      </c>
    </row>
    <row r="10">
      <c r="B10" s="206" t="inlineStr">
        <is>
          <t>Country risk premium (премия)</t>
        </is>
      </c>
      <c r="C10" s="187" t="n"/>
      <c r="D10" s="259" t="n">
        <v>0.02</v>
      </c>
    </row>
    <row r="11">
      <c r="B11" s="206" t="inlineStr">
        <is>
          <t>Size premium (премия) (small-cap)</t>
        </is>
      </c>
      <c r="C11" s="187" t="n"/>
      <c r="D11" s="259" t="n">
        <v>0.01</v>
      </c>
    </row>
    <row r="12">
      <c r="B12" s="213" t="inlineStr">
        <is>
          <t>Cost of Equity (Собственный капитал) (CAPM extended)</t>
        </is>
      </c>
      <c r="C12" s="187" t="n"/>
      <c r="D12" s="259" t="n">
        <v>0.231</v>
      </c>
    </row>
    <row r="13">
      <c r="B13" s="213" t="inlineStr">
        <is>
          <t>Cost of Debt (Долг) (pre-tax)</t>
        </is>
      </c>
      <c r="C13" s="187" t="n"/>
      <c r="D13" s="259" t="n">
        <v>0.12</v>
      </c>
    </row>
    <row r="14">
      <c r="B14" s="213" t="inlineStr">
        <is>
          <t>Cost of Debt (Долг) (after-tax, 20%)</t>
        </is>
      </c>
      <c r="C14" s="187" t="n"/>
      <c r="D14" s="259" t="n">
        <v>0.096</v>
      </c>
    </row>
    <row r="15">
      <c r="B15" s="206" t="inlineStr">
        <is>
          <t>D/V target capital (капитал) structure</t>
        </is>
      </c>
      <c r="C15" s="187" t="n"/>
      <c r="D15" s="259" t="n">
        <v>0.3</v>
      </c>
    </row>
    <row r="16">
      <c r="B16" s="206" t="inlineStr">
        <is>
          <t>E/V target capital (капитал) structure</t>
        </is>
      </c>
      <c r="C16" s="187" t="n"/>
      <c r="D16" s="259" t="n">
        <v>0.7</v>
      </c>
    </row>
    <row r="17">
      <c r="B17" s="261" t="inlineStr">
        <is>
          <t>WACC (средневзвешенная стоимость капитала) (weighted)</t>
        </is>
      </c>
      <c r="C17" s="187" t="n"/>
      <c r="D17" s="262" t="n">
        <v>0.1905</v>
      </c>
    </row>
    <row r="20">
      <c r="B20" s="244" t="inlineStr">
        <is>
          <t>II. FORECAST FREE CASH FLOW TO FIRM (FCFF (свободный денежный поток фирмы))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 (Выручка)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 (прибыль до вычетов)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 (амортизация)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 (Операц. прибыль)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 (амортизация)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 (Капзатраты)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 (изменение оборотного капитала)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 t="inlineStr">
        <is>
          <t>FCFF (свободный денежный поток фирмы)</t>
        </is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(свободный денежный поток фирмы) @ WACC (средневзвешенная стоимость капитала)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 МОСТ СТОИМОСТИ ПРЕДПРИЯТИЯ (МОСТ СТОИМОСТИ ПРЕДПРИЯТИЯ)</t>
        </is>
      </c>
    </row>
    <row r="34">
      <c r="B34" s="206" t="inlineStr">
        <is>
          <t>Σ PV of Explicit FCFF (свободный денежный поток фирмы)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(Терминальная стоимость)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(Терминальная стоимость)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(Стоимость предприятия)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/>
      <c r="L38" s="265" t="n"/>
    </row>
    <row r="39">
      <c r="B39" s="206" t="inlineStr">
        <is>
          <t>Terminal Value (Терминальная стоимость) — Exit Multiple (Мультипликатор выхода)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(Терминальная стоимость) — Exit Multiple (Мультипликатор выхода)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(Стоимость предприятия) (Exit Multiple (Мультипликатор выхода)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/>
      <c r="L42" s="265" t="n"/>
    </row>
    <row r="43">
      <c r="B43" s="154" t="inlineStr">
        <is>
          <t>EV (стоимость предприятия)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(Долг)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 t="inlineStr">
        <is>
          <t>= Equity (Собственный капитал) Value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(стоимость предприятия) (GORDON METHOD) vs WACC (средневзвешенная стоимость капитала) × g</t>
        </is>
      </c>
    </row>
    <row r="49">
      <c r="C49" s="167" t="inlineStr">
        <is>
          <t>WACC (средневзвешенная стоимость капитала)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(стоимость предприятия) blended ≈ 1815 млн ₽. Gordon подход более консервативен (1262), Exit Multiple (Мультипликатор выхода) (2369) отражает рыночные мультипликаторы peers. Чувствительность к WACC (средневзвешенная стоимость капитала)±200bp = ±15%.</t>
        </is>
      </c>
    </row>
    <row r="59">
      <c r="B59" s="320" t="inlineStr">
        <is>
          <t>VI. WHY DCF (дисконтированный денежный поток) &lt; MULTIPLES — QUICK NOTE</t>
        </is>
      </c>
    </row>
    <row r="60">
      <c r="B60" s="319" t="inlineStr">
        <is>
          <t>DCF (дисконтированный денежный поток)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(средневзвешенная стоимость капитала) 19% vs buyer WACC 7%</t>
        </is>
      </c>
      <c r="D64" s="415" t="inlineStr">
        <is>
          <t>Страновой premium (премия) «съедает» дальний tail (хвостовой период). Strategic (Стратегический) buyer дисконтирует под 7-9%, получая другой NPV (чистая приведённая стоимость)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(дисконтированный денежный поток)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(Исполнение) risk двойное начисление</t>
        </is>
      </c>
      <c r="D66" s="415" t="inlineStr">
        <is>
          <t>В DCF (дисконтированный денежный поток) высокий WACC (средневзвешенная стоимость капитала)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(Капзатраты)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(дисконтированный денежный поток) = floor valuation (intrinsic floor, без премий и опционов). Comps = market valuation. Weighted EV (стоимость предприятия) exit 6 038 млн ₽ (лист 25_Exit_Scenarios) — ближе к mid Football Field (Футбольное поле (сводка оценок)), это и есть expected value для переговоров. DCF (дисконтированный денежный поток)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(ОЦЕНКА) — TRADING &amp; PRECEDENT MULTIPLES (ТОРГОВЫЕ И ПРЕЦЕДЕНТНЫЕ МУЛЬТИПЛИКАТОРЫ) + FOOTBALL FIELD (ФУТБОЛЬНОЕ ПОЛЕ)</t>
        </is>
      </c>
    </row>
    <row r="3"/>
    <row r="4">
      <c r="B4" s="189" t="inlineStr">
        <is>
          <t>Сравнительная оценка с peers российского кино/OTT (онлайн-платформа)-рынка и прецеденты M&amp;A (слияния и поглощения) сделок 2022–2025</t>
        </is>
      </c>
    </row>
    <row r="6">
      <c r="B6" s="244" t="inlineStr">
        <is>
          <t>I. ТОРГОВЫЕ МУЛЬТИПЛИКАТОРЫ — ГРУППА АНАЛОГОВ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 (Выручка)</t>
        </is>
      </c>
      <c r="F7" s="167" t="inlineStr">
        <is>
          <t>EBITDA (прибыль до вычетов)</t>
        </is>
      </c>
      <c r="G7" s="167" t="inlineStr">
        <is>
          <t>EV (стоимость предприятия)</t>
        </is>
      </c>
      <c r="H7" s="167" t="inlineStr">
        <is>
          <t>EV (стоимость предприятия)/Rev</t>
        </is>
      </c>
      <c r="I7" s="167" t="inlineStr">
        <is>
          <t>EV (стоимость предприятия)/EBITDA (прибыль до вычетов)</t>
        </is>
      </c>
      <c r="J7" s="167" t="inlineStr">
        <is>
          <t>EBITDA (прибыль до вычетов)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(онлайн-платформа)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(онлайн-платформа)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 (Сбер Развлечения)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(онлайн-платформа) AVOD (рекламный стриминг)+SVOD (подписной стриминг)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 (Частный)</t>
        </is>
      </c>
    </row>
    <row r="11">
      <c r="B11" s="205" t="n">
        <v>4</v>
      </c>
      <c r="C11" s="206" t="inlineStr">
        <is>
          <t>START (СТАРТ)</t>
        </is>
      </c>
      <c r="D11" s="206" t="inlineStr">
        <is>
          <t>OTT (онлайн-платформа)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 (Премьера)</t>
        </is>
      </c>
      <c r="D12" s="206" t="inlineStr">
        <is>
          <t>OTT (онлайн-платформа)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 (Производство)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 (Среднее)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 (Медиана)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 (Минимум)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 (Максимум)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(Базовый) EBITDA (прибыль до вычетов)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 (Мультипликатор)</t>
        </is>
      </c>
      <c r="H21" s="167" t="inlineStr">
        <is>
          <t>Base (Базовый)</t>
        </is>
      </c>
      <c r="I21" s="167" t="inlineStr">
        <is>
          <t>Implied EV (стоимость предприятия)</t>
        </is>
      </c>
      <c r="J21" s="186" t="n"/>
      <c r="K21" s="187" t="n"/>
    </row>
    <row r="22">
      <c r="B22" s="206" t="inlineStr">
        <is>
          <t>Peer Min × EBITDA (прибыль до вычетов)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(прибыль до вычетов)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(прибыль до вычетов)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(прибыль до вычетов)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(Выручка)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(Выручка)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(Выручка)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(Выручка)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(слияния и поглощения) TRANSACTIONS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 (Целевая выручка)</t>
        </is>
      </c>
      <c r="G33" s="167" t="inlineStr">
        <is>
          <t>Deal EV (стоимость предприятия)</t>
        </is>
      </c>
      <c r="H33" s="167" t="inlineStr">
        <is>
          <t>EV (стоимость предприятия)/Rev</t>
        </is>
      </c>
      <c r="I33" s="167" t="inlineStr">
        <is>
          <t>EV (стоимость предприятия)/EBITDA (прибыль до вычетов)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(онлайн-платформа) в экосистеме</t>
        </is>
      </c>
      <c r="K34" s="187" t="n"/>
    </row>
    <row r="35">
      <c r="B35" s="205" t="n">
        <v>2</v>
      </c>
      <c r="C35" s="206" t="inlineStr">
        <is>
          <t>Газпром-Медиа → Premier (Премьера)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 (Премьера)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(ФУТБОЛЬНОЕ ПОЛЕ)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 (Высокий)</t>
        </is>
      </c>
      <c r="H40" s="167" t="inlineStr">
        <is>
          <t>Commentary (Комментарий)</t>
        </is>
      </c>
      <c r="I40" s="186" t="n"/>
      <c r="J40" s="186" t="n"/>
      <c r="K40" s="187" t="n"/>
    </row>
    <row r="41">
      <c r="B41" s="213" t="inlineStr">
        <is>
          <t>DCF (дисконтированный денежный поток) — Gordon Growth (Модель Гордона)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 (средневзвешенная стоимость капитала)=19.1%, sensitivity ±15%</t>
        </is>
      </c>
      <c r="I41" s="186" t="n"/>
      <c r="J41" s="186" t="n"/>
      <c r="K41" s="187" t="n"/>
    </row>
    <row r="42">
      <c r="B42" s="213" t="inlineStr">
        <is>
          <t>DCF (дисконтированный денежный поток) — Exit Multiple (Мультипликатор выхода)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чувствительность</t>
        </is>
      </c>
      <c r="I42" s="186" t="n"/>
      <c r="J42" s="186" t="n"/>
      <c r="K42" s="187" t="n"/>
    </row>
    <row r="43">
      <c r="B43" s="213" t="inlineStr">
        <is>
          <t>Trading Multiples (Торговые мультипликаторы) — EV (стоимость предприятия)/EBITDA (прибыль до вычетов)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(прибыль до вычетов) 2028</t>
        </is>
      </c>
      <c r="I43" s="186" t="n"/>
      <c r="J43" s="186" t="n"/>
      <c r="K43" s="187" t="n"/>
    </row>
    <row r="44">
      <c r="B44" s="213" t="inlineStr">
        <is>
          <t>Trading Multiples (Торговые мультипликаторы) — EV (стоимость предприятия)/Revenue (Выручка)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0,80× × Выручка 2028</t>
        </is>
      </c>
      <c r="I44" s="186" t="n"/>
      <c r="J44" s="186" t="n"/>
      <c r="K44" s="187" t="n"/>
    </row>
    <row r="45">
      <c r="B45" s="213" t="inlineStr">
        <is>
          <t>Прецедентные сделки (Прецедентные сделки)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 (слияния и поглощения))</t>
        </is>
      </c>
      <c r="I45" s="186" t="n"/>
      <c r="J45" s="186" t="n"/>
      <c r="K45" s="187" t="n"/>
    </row>
    <row r="46">
      <c r="B46" s="213" t="inlineStr">
        <is>
          <t>Scenario (Сценарий) Base (Базовый)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(прибыль до вычетов)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 (Футбольное поле (сводка оценок))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 (онлайн-платформа)-рынка (оценки 2024–2025). Premium (Премия)/discount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O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ИНВЕСТОР (ИНВЕСТОР) RETURNS — T₁ LEGACY 1 250 млн ₽  ·  3 Scenarios × 4 Waterfalls  ·  Base (Базовый) illustration = W₃ DEFAULT (ПО УМОЛЧАНИЮ)</t>
        </is>
      </c>
    </row>
    <row r="3"/>
    <row r="4">
      <c r="B4" s="189" t="inlineStr">
        <is>
          <t>IRR (внутренняя норма доходности) / MOIC (мультипликатор вложенного капитала) / DPI (распределения к вложенному) / TVPI (общая стоимость к вложенному) анализ — базовый waterfall (каскад) W₃ (Liq Pref (Ликвидационная привилегия) 1× + 8% coupon (купон) + 60/40) с четырьмя вариантами распределения NDP (чистые распределяемые поступления). Single methodology: out quarterly 2026, in annual (годовой) 2029-2032 (20/50/15/15 split (разделение)).</t>
        </is>
      </c>
    </row>
    <row r="6">
      <c r="B6" s="577" t="inlineStr">
        <is>
          <t>I. T₁ ИНВЕСТОР (ИНВЕСТОР) CASHFLOW SCHEDULE (Base (Базовый) case · W₅ V-D ★ DEFAULT (ПО УМОЛЧАНИЮ) v1.0.1 · L8+L4 Liq Pref (Ликвидационная привилегия) 1× + Pref 12%×5y + Catch-up 70/30 + Carry 60/40)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 (Транш)/Repay</t>
        </is>
      </c>
      <c r="F7" s="167" t="inlineStr">
        <is>
          <t>Interest (Проценты)</t>
        </is>
      </c>
      <c r="G7" s="167" t="inlineStr">
        <is>
          <t>Equity Upside (Верхний сценарий) (Потенциал роста капитала)</t>
        </is>
      </c>
      <c r="H7" s="167" t="inlineStr">
        <is>
          <t>Чистый ДП</t>
        </is>
      </c>
      <c r="I7" s="167" t="inlineStr">
        <is>
          <t>Кумулятив. ДП</t>
        </is>
      </c>
      <c r="J7" s="167" t="inlineStr">
        <is>
          <t>Peak Exposure (Максимальная экспозиция)</t>
        </is>
      </c>
      <c r="K7" s="167" t="inlineStr">
        <is>
          <t>Type (Тип)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(Транш)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-1250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(Транш)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-1250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(Транш)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-1250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(Транш)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W₅ T1 partial (Liq Pref (Ликвидационная привилегия) start)</t>
        </is>
      </c>
      <c r="E12" s="549" t="n">
        <v>990</v>
      </c>
      <c r="F12" s="549" t="n"/>
      <c r="G12" s="257" t="n"/>
      <c r="H12" s="549" t="n">
        <v>990</v>
      </c>
      <c r="I12" s="549" t="n">
        <v>-260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W₅ T1 fin + T2 pref (привил.) 12% + T3 catch-up (догоняющий) 70/30</t>
        </is>
      </c>
      <c r="E13" s="549" t="n">
        <v>260</v>
      </c>
      <c r="F13" s="549" t="n">
        <v>750</v>
      </c>
      <c r="G13" s="549" t="n">
        <v>238</v>
      </c>
      <c r="H13" s="549" t="n">
        <v>1248</v>
      </c>
      <c r="I13" s="549" t="n">
        <v>988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W₅ T3 catch-up tail (хвостовой период) + T4 carry 60/40 start</t>
        </is>
      </c>
      <c r="E14" s="549" t="n"/>
      <c r="F14" s="257" t="n"/>
      <c r="G14" s="549" t="n">
        <v>185</v>
      </c>
      <c r="H14" s="549" t="n">
        <v>185</v>
      </c>
      <c r="I14" s="549" t="n">
        <v>1173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W₅ T4 carry 60/40 (residual (остаток))</t>
        </is>
      </c>
      <c r="E15" s="549" t="n"/>
      <c r="F15" s="257" t="n"/>
      <c r="G15" s="549" t="n">
        <v>234</v>
      </c>
      <c r="H15" s="549" t="n">
        <v>234</v>
      </c>
      <c r="I15" s="549" t="n">
        <v>1407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50" t="n">
        <v>260</v>
      </c>
      <c r="F16" s="550" t="n">
        <v>750</v>
      </c>
      <c r="G16" s="550" t="n">
        <v>658</v>
      </c>
      <c r="H16" s="550" t="n">
        <v>2657</v>
      </c>
      <c r="I16" s="273" t="n"/>
      <c r="J16" s="273" t="n"/>
      <c r="K16" s="273" t="n"/>
    </row>
    <row r="18">
      <c r="B18" s="577" t="inlineStr">
        <is>
          <t>II. RETURNS MATRIX — 3 SCENARIOS × 5 WATERFALLS (IRR (внутренняя норма доходности) / MOIC (мультипликатор вложенного капитала)) — W₅ V-D ★ DEFAULT (ПО УМОЛЧАНИЮ) v1.0.1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 (внутренняя норма доходности)</t>
        </is>
      </c>
      <c r="E19" s="530" t="inlineStr">
        <is>
          <t>W₁ MOIC (мультипликатор вложенного капитала)</t>
        </is>
      </c>
      <c r="F19" s="530" t="inlineStr">
        <is>
          <t>W₂ IRR (внутренняя норма доходности)</t>
        </is>
      </c>
      <c r="G19" s="530" t="inlineStr">
        <is>
          <t>W₂ MOIC (мультипликатор вложенного капитала)</t>
        </is>
      </c>
      <c r="H19" s="530" t="inlineStr">
        <is>
          <t>W₃ IRR (внутренняя норма доходности)</t>
        </is>
      </c>
      <c r="I19" s="530" t="inlineStr">
        <is>
          <t>W₃ MOIC (мультипликатор вложенного капитала)</t>
        </is>
      </c>
      <c r="J19" s="530" t="inlineStr">
        <is>
          <t>W₄ IRR (внутренняя норма доходности)</t>
        </is>
      </c>
      <c r="K19" s="530" t="inlineStr">
        <is>
          <t>W₄ MOIC (мультипликатор вложенного капитала)</t>
        </is>
      </c>
      <c r="L19" s="578" t="inlineStr">
        <is>
          <t>W₅ IRR (внутренняя норма доходности)</t>
        </is>
      </c>
      <c r="M19" s="578" t="inlineStr">
        <is>
          <t>W₅ MOIC (мультипликатор вложенного капитала)</t>
        </is>
      </c>
      <c r="N19" s="571" t="inlineStr">
        <is>
          <t>Best (Лучший)</t>
        </is>
      </c>
      <c r="O19" s="571" t="inlineStr">
        <is>
          <t>NDP (чистые распределяемые поступления)</t>
        </is>
      </c>
    </row>
    <row r="20">
      <c r="B20" s="200" t="n">
        <v>1</v>
      </c>
      <c r="C20" s="254" t="inlineStr">
        <is>
          <t>Bear (Пессимистичный)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579" t="n">
        <v>17.12</v>
      </c>
      <c r="M20" s="580" t="n">
        <v>1.74</v>
      </c>
      <c r="N20" s="357" t="inlineStr">
        <is>
          <t>W₅</t>
        </is>
      </c>
      <c r="O20" s="572" t="n">
        <v>2250</v>
      </c>
    </row>
    <row r="21">
      <c r="B21" s="226" t="n">
        <v>2</v>
      </c>
      <c r="C21" s="247" t="inlineStr">
        <is>
          <t>Base (Базовый)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579" t="n">
        <v>24.75</v>
      </c>
      <c r="M21" s="580" t="n">
        <v>2.13</v>
      </c>
      <c r="N21" s="357" t="inlineStr">
        <is>
          <t>W₅</t>
        </is>
      </c>
      <c r="O21" s="572" t="n">
        <v>3000</v>
      </c>
    </row>
    <row r="22">
      <c r="B22" s="191" t="n">
        <v>3</v>
      </c>
      <c r="C22" s="234" t="inlineStr">
        <is>
          <t>Bull (Оптимистичный)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579" t="n">
        <v>30.99</v>
      </c>
      <c r="M22" s="580" t="n">
        <v>2.49</v>
      </c>
      <c r="N22" s="357" t="inlineStr">
        <is>
          <t>W₄</t>
        </is>
      </c>
      <c r="O22" s="572" t="n">
        <v>3750</v>
      </c>
    </row>
    <row r="25">
      <c r="B25" s="577" t="inlineStr">
        <is>
          <t>III. CASH-ON-CASH METRICS (Base (Базовый) case · W₅ V-D ★ DEFAULT (ПО УМОЛЧАНИЮ) v1.0.1)</t>
        </is>
      </c>
    </row>
    <row r="26">
      <c r="B26" s="213" t="inlineStr">
        <is>
          <t>Валовые инвестиции (Валовые инвестиции) (4 tranches (транши))</t>
        </is>
      </c>
      <c r="C26" s="186" t="n"/>
      <c r="D26" s="186" t="n"/>
      <c r="E26" s="186" t="n"/>
      <c r="F26" s="187" t="n"/>
      <c r="G26" s="558" t="n">
        <v>1250</v>
      </c>
      <c r="H26" s="187" t="n"/>
      <c r="I26" s="159" t="inlineStr">
        <is>
          <t>Σ outflow T₁ (отток)</t>
        </is>
      </c>
      <c r="J26" s="186" t="n"/>
      <c r="K26" s="187" t="n"/>
    </row>
    <row r="27">
      <c r="B27" s="213" t="inlineStr">
        <is>
          <t>Валовые поступления (Валовые поступления) (principal + interest + upside)</t>
        </is>
      </c>
      <c r="C27" s="186" t="n"/>
      <c r="D27" s="186" t="n"/>
      <c r="E27" s="186" t="n"/>
      <c r="F27" s="187" t="n"/>
      <c r="G27" s="581" t="n">
        <v>2657</v>
      </c>
      <c r="H27" s="187" t="n"/>
      <c r="I27" s="159" t="inlineStr">
        <is>
          <t>W₅ V-D: 1250 LP (ограниченный партнёр)+750 Pref+402 Cu+256 Carry ≈ 2657</t>
        </is>
      </c>
      <c r="J27" s="186" t="n"/>
      <c r="K27" s="187" t="n"/>
    </row>
    <row r="28">
      <c r="B28" s="213" t="inlineStr">
        <is>
          <t>Net Gain (Чистая прибыль от выхода)</t>
        </is>
      </c>
      <c r="C28" s="186" t="n"/>
      <c r="D28" s="186" t="n"/>
      <c r="E28" s="186" t="n"/>
      <c r="F28" s="187" t="n"/>
      <c r="G28" s="581" t="n">
        <v>1407</v>
      </c>
      <c r="H28" s="187" t="n"/>
      <c r="I28" s="159" t="inlineStr">
        <is>
          <t>Net gain (Чистая прибыль) = 2657 − 1250 = 1407 (W₅ V-D)</t>
        </is>
      </c>
      <c r="J28" s="186" t="n"/>
      <c r="K28" s="187" t="n"/>
    </row>
    <row r="29">
      <c r="B29" s="213" t="inlineStr">
        <is>
          <t>Net Gain (Чистая прибыль от выхода) %</t>
        </is>
      </c>
      <c r="C29" s="186" t="n"/>
      <c r="D29" s="186" t="n"/>
      <c r="E29" s="186" t="n"/>
      <c r="F29" s="187" t="n"/>
      <c r="G29" s="582" t="n">
        <v>112.6</v>
      </c>
      <c r="H29" s="187" t="n"/>
      <c r="I29" s="159" t="inlineStr">
        <is>
          <t>Total (Итого) return % (net gain / invest) — W₅ V-D</t>
        </is>
      </c>
      <c r="J29" s="186" t="n"/>
      <c r="K29" s="187" t="n"/>
    </row>
    <row r="30">
      <c r="B30" s="213" t="inlineStr">
        <is>
          <t>MOIC (мультипликатор вложенного капитала) (Multiple (Мультипликатор) on Invested Capital (Капитал))</t>
        </is>
      </c>
      <c r="C30" s="186" t="n"/>
      <c r="D30" s="186" t="n"/>
      <c r="E30" s="186" t="n"/>
      <c r="F30" s="187" t="n"/>
      <c r="G30" s="583" t="n">
        <v>2.13</v>
      </c>
      <c r="H30" s="187" t="n"/>
      <c r="I30" s="159" t="inlineStr">
        <is>
          <t>MOIC (мультипликатор вложенного капитала) = 2657/1250 ≈ 2.13× (W₅ V-D institutional)</t>
        </is>
      </c>
      <c r="J30" s="186" t="n"/>
      <c r="K30" s="187" t="n"/>
    </row>
    <row r="31">
      <c r="B31" s="213" t="inlineStr">
        <is>
          <t>DPI (распределения к вложенному) (Distributions / Paid-in)</t>
        </is>
      </c>
      <c r="C31" s="186" t="n"/>
      <c r="D31" s="186" t="n"/>
      <c r="E31" s="186" t="n"/>
      <c r="F31" s="187" t="n"/>
      <c r="G31" s="583" t="n">
        <v>2.13</v>
      </c>
      <c r="H31" s="187" t="n"/>
      <c r="I31" s="159" t="inlineStr">
        <is>
          <t>DPI (распределения к вложенному) fully realized to 2032 (W₅ V-D)</t>
        </is>
      </c>
      <c r="J31" s="186" t="n"/>
      <c r="K31" s="187" t="n"/>
    </row>
    <row r="32">
      <c r="B32" s="213" t="inlineStr">
        <is>
          <t>TVPI (общая стоимость к вложенному) (Total (Итого) Value / Paid-in)</t>
        </is>
      </c>
      <c r="C32" s="186" t="n"/>
      <c r="D32" s="186" t="n"/>
      <c r="E32" s="186" t="n"/>
      <c r="F32" s="187" t="n"/>
      <c r="G32" s="583" t="n">
        <v>2.13</v>
      </c>
      <c r="H32" s="187" t="n"/>
      <c r="I32" s="159" t="inlineStr">
        <is>
          <t>= DPI (распределения к вложенному) (no NAV residual (остаток))</t>
        </is>
      </c>
      <c r="J32" s="186" t="n"/>
      <c r="K32" s="187" t="n"/>
    </row>
    <row r="33">
      <c r="B33" s="213" t="inlineStr">
        <is>
          <t>IRR (внутренняя норма доходности) (fractional period)</t>
        </is>
      </c>
      <c r="C33" s="186" t="n"/>
      <c r="D33" s="186" t="n"/>
      <c r="E33" s="186" t="n"/>
      <c r="F33" s="187" t="n"/>
      <c r="G33" s="582" t="n">
        <v>24.75</v>
      </c>
      <c r="H33" s="187" t="n"/>
      <c r="I33" s="159" t="inlineStr">
        <is>
          <t>Hurdle (Порог) 18%, PASS — W₅ V-D LP (ограниченный партнёр) IRR (внутренняя норма доходности) ≈ 24.75%</t>
        </is>
      </c>
      <c r="J33" s="186" t="n"/>
      <c r="K33" s="187" t="n"/>
    </row>
    <row r="34">
      <c r="B34" s="213" t="inlineStr">
        <is>
          <t>Peak Exposure (Максимальная экспозиция) (max drawdown)</t>
        </is>
      </c>
      <c r="C34" s="186" t="n"/>
      <c r="D34" s="186" t="n"/>
      <c r="E34" s="186" t="n"/>
      <c r="F34" s="187" t="n"/>
      <c r="G34" s="581" t="n">
        <v>1250</v>
      </c>
      <c r="H34" s="187" t="n"/>
      <c r="I34" s="159" t="inlineStr">
        <is>
          <t>Q4'26 полное освоение 1 250 (без изменений)</t>
        </is>
      </c>
      <c r="J34" s="186" t="n"/>
      <c r="K34" s="187" t="n"/>
    </row>
    <row r="35">
      <c r="B35" s="213" t="inlineStr">
        <is>
          <t>Payback (Окупаемость) period (Срок окупаемости)</t>
        </is>
      </c>
      <c r="C35" s="186" t="n"/>
      <c r="D35" s="186" t="n"/>
      <c r="E35" s="186" t="n"/>
      <c r="F35" s="187" t="n"/>
      <c r="G35" s="584" t="n">
        <v>3.21</v>
      </c>
      <c r="H35" s="187" t="n"/>
      <c r="I35" s="159" t="inlineStr">
        <is>
          <t>Payback (Окупаемость) ~Q1'30 — A+C pattern (паттерн) accelerates recovery vs W₃ 3.75y</t>
        </is>
      </c>
      <c r="J35" s="186" t="n"/>
      <c r="K35" s="187" t="n"/>
    </row>
    <row r="38">
      <c r="B38" s="577" t="inlineStr">
        <is>
          <t>IV. RETURN ATTRIBUTION — РАЗБИВКА ROI (возврат на инвестиции) (Base (Базовый) W₅ V-D ★ DEFAULT (ПО УМОЛЧАНИЮ) v1.0.1)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(W₅ T1 — Liq Pref (Ликвидационная привилегия) 1×)</t>
        </is>
      </c>
      <c r="D40" s="186" t="n"/>
      <c r="E40" s="186" t="n"/>
      <c r="F40" s="186" t="n"/>
      <c r="G40" s="187" t="n"/>
      <c r="H40" s="227" t="n">
        <v>1250</v>
      </c>
      <c r="I40" s="236" t="n">
        <v>47</v>
      </c>
      <c r="J40" s="206" t="inlineStr">
        <is>
          <t>W₅ T1: senior recovery (старший возврат) 1× = 1 250</t>
        </is>
      </c>
      <c r="K40" s="187" t="n"/>
    </row>
    <row r="41">
      <c r="B41" s="205" t="n">
        <v>2</v>
      </c>
      <c r="C41" s="206" t="inlineStr">
        <is>
          <t>Preferred Return Coupon (Купон) (W₅ T2 — 12% × 5y cumulative)</t>
        </is>
      </c>
      <c r="D41" s="186" t="n"/>
      <c r="E41" s="186" t="n"/>
      <c r="F41" s="186" t="n"/>
      <c r="G41" s="187" t="n"/>
      <c r="H41" s="227" t="n">
        <v>750</v>
      </c>
      <c r="I41" s="236" t="n">
        <v>28.2</v>
      </c>
      <c r="J41" s="206" t="inlineStr">
        <is>
          <t>W₅ T2: 1 250 × 12% × 5y = 750 (vs W₃ 8%×5y=500)</t>
        </is>
      </c>
      <c r="K41" s="187" t="n"/>
    </row>
    <row r="42">
      <c r="B42" s="205" t="n">
        <v>3</v>
      </c>
      <c r="C42" s="206" t="inlineStr">
        <is>
          <t>Catch-up Tranche (Транш) (W₅ T3 — 70% LP (ограниченный партнёр) / 30% Producer (Продюсер) to hurdle (порог) 2402)</t>
        </is>
      </c>
      <c r="D42" s="186" t="n"/>
      <c r="E42" s="186" t="n"/>
      <c r="F42" s="186" t="n"/>
      <c r="G42" s="187" t="n"/>
      <c r="H42" s="227" t="n">
        <v>402</v>
      </c>
      <c r="I42" s="236" t="n">
        <v>15.1</v>
      </c>
      <c r="J42" s="206" t="inlineStr">
        <is>
          <t>W₅ T3: 574 catch-up × 70% LP (ограниченный партнёр) = 402; aligns IRR (внутренняя норма доходности) to 18% hurdle (порог)</t>
        </is>
      </c>
      <c r="K42" s="187" t="n"/>
    </row>
    <row r="43">
      <c r="B43" s="179" t="n">
        <v>4</v>
      </c>
      <c r="C43" s="180" t="inlineStr">
        <is>
          <t>Carry Residual (Остаток) (W₅ T4 — 60% LP (ограниченный партнёр) / 40% Producer (Продюсер))</t>
        </is>
      </c>
      <c r="D43" s="186" t="n"/>
      <c r="E43" s="186" t="n"/>
      <c r="F43" s="186" t="n"/>
      <c r="G43" s="187" t="n"/>
      <c r="H43" s="561" t="n">
        <v>256</v>
      </c>
      <c r="I43" s="280" t="n">
        <v>9.6</v>
      </c>
      <c r="J43" s="180" t="inlineStr">
        <is>
          <t>W₅ T4: residual (остаток) 426 × 60% LP (ограниченный партнёр) = 256 (rounded)</t>
        </is>
      </c>
      <c r="K43" s="187" t="n"/>
    </row>
    <row r="44">
      <c r="B44" s="357" t="inlineStr">
        <is>
          <t>Σ</t>
        </is>
      </c>
      <c r="C44" s="357" t="inlineStr">
        <is>
          <t>ИТОГО ROI (возврат на инвестиции) (W₅ V-D ★ DEFAULT (ПО УМОЛЧАНИЮ) v1.0.1)</t>
        </is>
      </c>
      <c r="H44" s="357" t="n">
        <v>2657</v>
      </c>
      <c r="I44" s="357" t="n">
        <v>99.90000000000001</v>
      </c>
      <c r="J44" s="357" t="inlineStr">
        <is>
          <t>= 1250 + 750 + 402 + 256 ≈ 2 657 (W₅ V-D · NDP (чистые распределяемые поступления) 3000 · MoIC 2.13×)</t>
        </is>
      </c>
    </row>
    <row r="46">
      <c r="B46" s="585" t="inlineStr">
        <is>
          <t>V. STRUCTURAL DISCLAIMERS (ОТКАЗ ОТ ОТВЕТСТВЕННОСТИ) — W₅ V-D LIMITATIONS &amp; DESIGN CHOICES (v1.0.1)</t>
        </is>
      </c>
    </row>
    <row r="47" ht="45" customHeight="1">
      <c r="B47" s="586" t="inlineStr">
        <is>
          <t>V.1 BEAR SCENARIO IRR (внутренняя норма доходности) &lt; HURDLE: Под Stress Bear (Стресс-пессимистичный) (NDP (чистые распределяемые поступления)=1800) Investor (Инвестор) IRR (внутренняя норма доходности) W₅ V-D = 10.70% (vs hurdle (порог) 18%). Под Downside (Нижний сценарий) (NDP (чистые распределяемые поступления)=2400) IRR (внутренняя норма доходности) = 18.87% (margin (маржа) к hurdle (порог)). Hurdle (Порог) break-even target NDP (чистые распределяемые поступления) ≥ 2 402 млн ₽. Capital (Капитал) protection: Liq Pref (Ликвидационная привилегия) 1× = 1250 (MoIC ≥ 1.44× в Bear (Пессимистичный)). См. 27_Scenario_Analysis r15.</t>
        </is>
      </c>
      <c r="C47" s="587" t="inlineStr">
        <is>
          <t>Bear (Пессимистичный) scenario IRR (внутренняя норма доходности) &lt; 18% hurdle (порог) — Под Bear (Пессимистичный) NDP (чистые распределяемые поступления)=2250 LP (ограниченный партнёр) IRR=17.12% (W₅), что НИЖЕ 18% hurdle (порог). Это НЕ дефект waterfall (каскад) — это арифметика: hurdle (порог) target=2402, при NDP&lt;2402 целевой IRR недостижим никаким распределением. Downside (Нижний сценарий) protection обеспечивается T1 Liq Pref (Ликвидационная привилегия) 1× (LP (ограниченный партнёр) получает 2175 vs invested 1250 → MoIC 1.74×). Полная защита капитала + 74% gross return даже в bear case.</t>
        </is>
      </c>
    </row>
    <row r="48" ht="45" customHeight="1">
      <c r="B48" s="586" t="inlineStr">
        <is>
          <t>V.2</t>
        </is>
      </c>
      <c r="C48" s="587" t="inlineStr">
        <is>
          <t>Bull (Оптимистичный) W₄ MoIC 2.51 &gt; W₅ MoIC 2.49 (industry tradeoff) — Под Bull NDP (чистые распределяемые поступления)=3750 W₄ даёт LP (ограниченный партнёр) 0.02× больше MoIC чем W₅. Разница 0.8%, в пределах MC σ ~0.3-0.4. W₅ V-D выбран как DEFAULT (ПО УМОЛЧАНИЮ) по причине: (1) catch-up до hurdle (порог) защищает Producer (Продюсер) alignment, (2) carry 60/40 — industry standard для venture/film finance, (3) institutional LP-investors ожидают именно такую структуру. Перекалибровка carry на 70/30 дала бы MoIC 2.58 в Bull (Оптимистичный), но создала бы misalignment incentives для Producer и сигнализировала «жадный waterfall (каскад)».</t>
        </is>
      </c>
    </row>
    <row r="49" ht="45" customHeight="1">
      <c r="B49" s="586" t="inlineStr">
        <is>
          <t>V.3</t>
        </is>
      </c>
      <c r="C49" s="587" t="inlineStr">
        <is>
          <t>Revenue (Выручка) pattern (паттерн) A+C 33/45/9/13 (зависимость) — Метрики выше рассчитаны под A+C fast pattern (Domestic 2700 + SVoD presell 270 + International 300). Под slower B pattern (60/30/8/2) LP (ограниченный партнёр) IRR (внутренняя норма доходности) падает на ~3-4 п.п., MoIC сохраняется. См. 28_Monte_Carlo для распределения IRR/MoIC под рандомизированные revenue patterns.</t>
        </is>
      </c>
    </row>
    <row r="50" ht="45" customHeight="1">
      <c r="B50" s="586" t="inlineStr">
        <is>
          <t>V.4</t>
        </is>
      </c>
      <c r="C50" s="587" t="inlineStr">
        <is>
          <t>Hurdle (Порог) target 2402 vs scenario NDP (чистые распределяемые поступления) — Hurdle (Порог) 2402 = INVEST/Σ(pattern (паттерн)×discount@18%). NDP scenarios: Bear (Пессимистичный) 2250 (&lt; hurdle (порог)), Base (Базовый) 3000 (&gt; hurdle (порог)), Bull (Оптимистичный) 3750 (&gt;&gt; hurdle (порог)). P(NDP &gt; hurdle) = ключевая Monte Carlo (Монте-Карло) метрика, которая отвечает на вопрос «какова вероятность достижения 18% IRR (внутренняя норма доходности)» — см. 28_Monte_Carlo.</t>
        </is>
      </c>
    </row>
    <row r="51">
      <c r="B51" s="574" t="inlineStr">
        <is>
          <t>*</t>
        </is>
      </c>
      <c r="C51" s="574" t="inlineStr">
        <is>
          <t>Все 4 оговорки также вынесены в 36_Executive_Summary секция «Structural Risks» и в Public-версию модели как стандартный investor disclaimer.</t>
        </is>
      </c>
    </row>
  </sheetData>
  <mergeCells count="55">
    <mergeCell ref="J39:K39"/>
    <mergeCell ref="C47:K47"/>
    <mergeCell ref="I32:K32"/>
    <mergeCell ref="J44:K44"/>
    <mergeCell ref="I28:K28"/>
    <mergeCell ref="C42:G42"/>
    <mergeCell ref="C50:K50"/>
    <mergeCell ref="G27:H27"/>
    <mergeCell ref="B31:F31"/>
    <mergeCell ref="B6:K6"/>
    <mergeCell ref="B2:K3"/>
    <mergeCell ref="B27:F27"/>
    <mergeCell ref="J40:K40"/>
    <mergeCell ref="I33:K33"/>
    <mergeCell ref="C51:K51"/>
    <mergeCell ref="B4:K4"/>
    <mergeCell ref="C44:G44"/>
    <mergeCell ref="C41:G41"/>
    <mergeCell ref="C48:K48"/>
    <mergeCell ref="B25:K25"/>
    <mergeCell ref="G28:H28"/>
    <mergeCell ref="I35:K35"/>
    <mergeCell ref="C40:G40"/>
    <mergeCell ref="I29:K29"/>
    <mergeCell ref="B29:F29"/>
    <mergeCell ref="G34:H34"/>
    <mergeCell ref="C43:G43"/>
    <mergeCell ref="B46:K46"/>
    <mergeCell ref="G30:H30"/>
    <mergeCell ref="B34:F34"/>
    <mergeCell ref="B18:K18"/>
    <mergeCell ref="B28:F28"/>
    <mergeCell ref="G33:H33"/>
    <mergeCell ref="I31:K31"/>
    <mergeCell ref="J41:K41"/>
    <mergeCell ref="I34:K34"/>
    <mergeCell ref="C49:K49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(СЦЕНАРИИ ВЫХОДА)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 (стоимость предприятия), net proceeds и probability-weighted expected value</t>
        </is>
      </c>
    </row>
    <row r="6">
      <c r="B6" s="244" t="inlineStr">
        <is>
          <t>I. EXIT ROUTES MATRIX (EBITDA (прибыль до вычетов) base × Multiple (Мультипликатор) → EV (стоимость предприятия) → Equity (Собственный капитал))</t>
        </is>
      </c>
    </row>
    <row r="7">
      <c r="B7" s="167" t="inlineStr">
        <is>
          <t>#</t>
        </is>
      </c>
      <c r="C7" s="167" t="inlineStr">
        <is>
          <t>Маршрут выхода (Маршрут выхода)</t>
        </is>
      </c>
      <c r="D7" s="167" t="inlineStr">
        <is>
          <t>Timing (Сроки)</t>
        </is>
      </c>
      <c r="E7" s="167" t="inlineStr">
        <is>
          <t>EBITDA (прибыль до вычетов) base</t>
        </is>
      </c>
      <c r="F7" s="167" t="inlineStr">
        <is>
          <t>Multiple (Мультипликатор)</t>
        </is>
      </c>
      <c r="G7" s="167" t="inlineStr">
        <is>
          <t>EV (стоимость предприятия) млн ₽</t>
        </is>
      </c>
      <c r="H7" s="167" t="inlineStr">
        <is>
          <t>Net Debt (Долг)</t>
        </is>
      </c>
      <c r="I7" s="167" t="inlineStr">
        <is>
          <t>Equity (Собственный капитал)</t>
        </is>
      </c>
      <c r="J7" s="167" t="inlineStr">
        <is>
          <t>T₁ proceeds (поступления)</t>
        </is>
      </c>
      <c r="K7" s="167" t="inlineStr">
        <is>
          <t>Вер. %</t>
        </is>
      </c>
    </row>
    <row r="8">
      <c r="B8" s="205" t="n">
        <v>1</v>
      </c>
      <c r="C8" s="281" t="inlineStr">
        <is>
          <t>Strategic (Стратегический) Sale (Стратегическая продажа)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(Стратегический) Sale (Стратегическая продажа)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 (первичное размещение)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 (первичное размещение)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 (Вторичный)/Recap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 (Вторичный)/Recap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 (Ликвидация)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 (Итого с учётом вероятностей)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 МОСТ БАЗОВОГО ВЫХОДА (МОСТ БАЗОВОГО ВЫХОДА) — Strategic (Стратегический) Sale (Стратегическая продажа) 2030 (Prob 20% · highest weighted)</t>
        </is>
      </c>
    </row>
    <row r="19">
      <c r="B19" s="206" t="inlineStr">
        <is>
          <t>EBITDA (прибыль до вычетов)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Стабильный конвейер проектов (Стабильный конвейер проектов)</t>
        </is>
      </c>
      <c r="J19" s="186" t="n"/>
      <c r="K19" s="187" t="n"/>
    </row>
    <row r="20">
      <c r="B20" s="206" t="inlineStr">
        <is>
          <t>× Exit Multiple (Мультипликатор выхода)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(Стратегический) buyer premium (премия)</t>
        </is>
      </c>
      <c r="J20" s="186" t="n"/>
      <c r="K20" s="187" t="n"/>
    </row>
    <row r="21">
      <c r="B21" s="154" t="inlineStr">
        <is>
          <t>= Enterprise Value (Стоимость предприятия)</t>
        </is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(капитал) structure</t>
        </is>
      </c>
      <c r="J21" s="186" t="n"/>
      <c r="K21" s="187" t="n"/>
    </row>
    <row r="22">
      <c r="B22" s="206" t="inlineStr">
        <is>
          <t>(−) Net Debt (Долг)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 (Возврат T₁ в 2029–2030)</t>
        </is>
      </c>
      <c r="J22" s="186" t="n"/>
      <c r="K22" s="187" t="n"/>
    </row>
    <row r="23">
      <c r="B23" s="206" t="inlineStr">
        <is>
          <t>(+) Cash (Денежные средства)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 (Распределено держателям)</t>
        </is>
      </c>
      <c r="J23" s="186" t="n"/>
      <c r="K23" s="187" t="n"/>
    </row>
    <row r="24">
      <c r="B24" s="154" t="inlineStr">
        <is>
          <t>= Equity (Собственный капитал) Value</t>
        </is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 (распределение)</t>
        </is>
      </c>
      <c r="J24" s="186" t="n"/>
      <c r="K24" s="187" t="n"/>
    </row>
    <row r="25">
      <c r="B25" s="206" t="inlineStr">
        <is>
          <t>(−) Транзакционные издержки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Консультации (Консультации), legal</t>
        </is>
      </c>
      <c r="J25" s="186" t="n"/>
      <c r="K25" s="187" t="n"/>
    </row>
    <row r="26">
      <c r="B26" s="154" t="inlineStr">
        <is>
          <t>= Net Equity (Собственный капитал) Proceeds</t>
        </is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 (Доступно для каскада)</t>
        </is>
      </c>
      <c r="J26" s="186" t="n"/>
      <c r="K26" s="187" t="n"/>
    </row>
    <row r="29">
      <c r="B29" s="244" t="inlineStr">
        <is>
          <t>III. WATERFALL (КАСКАД) AT EXIT — PROCEEDS DISTRIBUTION (Scenario (Сценарий) B: 50/30/20)</t>
        </is>
      </c>
    </row>
    <row r="30">
      <c r="B30" s="167" t="inlineStr">
        <is>
          <t>#</t>
        </is>
      </c>
      <c r="C30" s="167" t="inlineStr">
        <is>
          <t>Level (Уровень)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(Собственный капитал)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доступно</t>
        </is>
      </c>
      <c r="K31" s="187" t="n"/>
    </row>
    <row r="33">
      <c r="B33" s="205" t="n">
        <v>2</v>
      </c>
      <c r="C33" s="206" t="inlineStr">
        <is>
          <t>Step 1. T₁ Return of Capital (Капитал)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 (Старшее погашение)</t>
        </is>
      </c>
      <c r="K33" s="187" t="n"/>
    </row>
    <row r="34">
      <c r="B34" s="205" t="n">
        <v>3</v>
      </c>
      <c r="C34" s="206" t="inlineStr">
        <is>
          <t>Step 2. T₂ Return of Capital (Капитал)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(Паритетное (pari-passu)) recovery (Паритетное погашение)</t>
        </is>
      </c>
      <c r="K34" s="187" t="n"/>
    </row>
    <row r="35">
      <c r="B35" s="205" t="n">
        <v>4</v>
      </c>
      <c r="C35" s="206" t="inlineStr">
        <is>
          <t>Step 3. Residual (Остаток)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 (порог)</t>
        </is>
      </c>
      <c r="K35" s="187" t="n"/>
    </row>
    <row r="37">
      <c r="B37" s="205"/>
      <c r="C37" s="206" t="inlineStr">
        <is>
          <t>Step 4. Hurdle (Порог) split (разделение) 50/50 on residual (остаток)</t>
        </is>
      </c>
      <c r="D37" s="186" t="n"/>
      <c r="E37" s="186" t="n"/>
      <c r="F37" s="186" t="n"/>
      <c r="G37" s="187" t="n"/>
      <c r="H37" s="285" t="n"/>
      <c r="I37" s="205" t="n"/>
      <c r="J37" s="206"/>
      <c r="K37" s="187" t="n"/>
    </row>
    <row r="38">
      <c r="B38" s="205" t="n">
        <v>6</v>
      </c>
      <c r="C38" s="206" t="inlineStr">
        <is>
          <t xml:space="preserve">  → Founder 50% of residual (остаток)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 (доля в капитале)</t>
        </is>
      </c>
      <c r="K38" s="187" t="n"/>
    </row>
    <row r="39">
      <c r="B39" s="205" t="n">
        <v>7</v>
      </c>
      <c r="C39" s="206" t="inlineStr">
        <is>
          <t xml:space="preserve">  → T₁/T₂ pro-rata 50% of residual (остаток)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(Инвестор) upside</t>
        </is>
      </c>
      <c r="K39" s="187" t="n"/>
    </row>
    <row r="41">
      <c r="B41" s="247"/>
      <c r="C41" s="261" t="inlineStr">
        <is>
          <t>Final Distribution (Распределение):</t>
        </is>
      </c>
      <c r="D41" s="186" t="n"/>
      <c r="E41" s="186" t="n"/>
      <c r="F41" s="186" t="n"/>
      <c r="G41" s="187" t="n"/>
      <c r="H41" s="286" t="n"/>
      <c r="I41" s="247" t="n"/>
      <c r="J41" s="261"/>
      <c r="K41" s="187" t="n"/>
    </row>
    <row r="42">
      <c r="B42" s="247" t="n">
        <v>9</v>
      </c>
      <c r="C42" s="261" t="inlineStr">
        <is>
          <t xml:space="preserve">  Founder Total (Итого)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 (доля)</t>
        </is>
      </c>
      <c r="K42" s="187" t="n"/>
    </row>
    <row r="43">
      <c r="B43" s="247" t="n">
        <v>10</v>
      </c>
      <c r="C43" s="261" t="inlineStr">
        <is>
          <t xml:space="preserve">  T₁ Total (Итого) (1 250 + share (доля))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размещение</t>
        </is>
      </c>
      <c r="K43" s="187" t="n"/>
    </row>
    <row r="44">
      <c r="B44" s="247" t="n">
        <v>11</v>
      </c>
      <c r="C44" s="261" t="inlineStr">
        <is>
          <t xml:space="preserve">  T₂ Total (Итого) (500 + share (доля))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размещение</t>
        </is>
      </c>
      <c r="K44" s="187" t="n"/>
    </row>
    <row r="47">
      <c r="B47" s="244" t="inlineStr">
        <is>
          <t>IV. EXPECTED VALUE (ОЖИДАЕМАЯ СТОИМОСТЬ) SUMMARY</t>
        </is>
      </c>
    </row>
    <row r="48">
      <c r="B48" s="213" t="inlineStr">
        <is>
          <t>Probability-weighted EV (стоимость предприятия)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 (По 7 вариантам выхода)</t>
        </is>
      </c>
      <c r="J48" s="186" t="n"/>
      <c r="K48" s="187" t="n"/>
    </row>
    <row r="49">
      <c r="B49" s="213" t="inlineStr">
        <is>
          <t>Probability-weighted T₁ proceeds (Поступления T₁ с учётом вероятностей)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(разделение)</t>
        </is>
      </c>
      <c r="J49" s="186" t="n"/>
      <c r="K49" s="187" t="n"/>
    </row>
    <row r="50">
      <c r="B50" s="213" t="inlineStr">
        <is>
          <t>Most likely exit (Наиб. вероятный выход, 20%)</t>
        </is>
      </c>
      <c r="C50" s="186" t="n"/>
      <c r="D50" s="186" t="n"/>
      <c r="E50" s="186" t="n"/>
      <c r="F50" s="187" t="n"/>
      <c r="G50" s="154" t="inlineStr">
        <is>
          <t>Strategic (Стратегический) Sale (Стратегическая продажа) 2030</t>
        </is>
      </c>
      <c r="H50" s="187" t="n"/>
      <c r="I50" s="159" t="inlineStr">
        <is>
          <t>EV (стоимость предприятия) 6 160 млн ₽</t>
        </is>
      </c>
      <c r="J50" s="186" t="n"/>
      <c r="K50" s="187" t="n"/>
    </row>
    <row r="51">
      <c r="B51" s="213" t="inlineStr">
        <is>
          <t>Highest EV (стоимость предприятия) exit (10% prob)</t>
        </is>
      </c>
      <c r="C51" s="186" t="n"/>
      <c r="D51" s="186" t="n"/>
      <c r="E51" s="186" t="n"/>
      <c r="F51" s="187" t="n"/>
      <c r="G51" s="154" t="inlineStr">
        <is>
          <t>IPO (первичное размещение) 2030</t>
        </is>
      </c>
      <c r="H51" s="187" t="n"/>
      <c r="I51" s="159" t="inlineStr">
        <is>
          <t>EV (стоимость предприятия) 7 280 млн ₽</t>
        </is>
      </c>
      <c r="J51" s="186" t="n"/>
      <c r="K51" s="187" t="n"/>
    </row>
    <row r="52">
      <c r="B52" s="213" t="inlineStr">
        <is>
          <t>Worst case exit (Худший сценарий выхода)</t>
        </is>
      </c>
      <c r="C52" s="186" t="n"/>
      <c r="D52" s="186" t="n"/>
      <c r="E52" s="186" t="n"/>
      <c r="F52" s="187" t="n"/>
      <c r="G52" s="154" t="inlineStr">
        <is>
          <t>Liquidation (Ликвидация) 2032</t>
        </is>
      </c>
      <c r="H52" s="187" t="n"/>
      <c r="I52" s="159" t="inlineStr">
        <is>
          <t>EV (стоимость предприятия) 3 000 млн ₽</t>
        </is>
      </c>
      <c r="J52" s="186" t="n"/>
      <c r="K52" s="187" t="n"/>
    </row>
    <row r="53">
      <c r="B53" s="213" t="inlineStr">
        <is>
          <t>Expected T₁ MOIC (мультипликатор вложенного капитала)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W₅ V-D ★ default (по умолчанию) Base (Базовый) MOIC (мультипликатор вложенного капитала) = 2.13× (legacy (базовый вариант) W₃ = 2.00×)). Методы разные.</t>
        </is>
      </c>
      <c r="J53" s="186" t="n"/>
      <c r="K53" s="187" t="n"/>
    </row>
    <row r="55" ht="42" customHeight="1">
      <c r="B55" s="562" t="inlineStr">
        <is>
          <t>МЕТОДОЛОГИЧЕСКОЕ ПРИМЕЧАНИЕ: лист 24 рассчитывает returns от распределения NDP (чистые распределяемые поступления) 3 000 млн ₽ через waterfall (каскад) W₁-W₄ (основа — операционная прибыль 2026-2028). Лист 25 рассчитывает returns от exit event через 50/30/20 split (разделение). Two independent return streams: fulll LP (ограниченный партнёр) return ≈ 24 (W₅ V-D ★ (v1.0.1 default (по умолчанию); legacy (базовый вариант) W₃))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АНАЛИЗ ЧУВСТВИТЕЛЬНОСТИ — TORNADO (±20% по 8 драйверам) · EBITDA (прибыль до вычетов) 3Y и IRR (внутренняя норма доходности) T₁ W₅ V-D ★ default (по умолчанию) v1.0.1 · A+C pattern (паттерн) 33/45/9/13</t>
        </is>
      </c>
    </row>
    <row r="3"/>
    <row r="4">
      <c r="B4" s="189" t="inlineStr">
        <is>
          <t>Ранжирование ключевых драйверов по влиянию на EBITDA (прибыль до вычетов) 3Y (база 2 152 млн ₽) и IRR (внутренняя норма доходности) T₁ под W₅ V-D + A+C pattern (паттерн).</t>
        </is>
      </c>
    </row>
    <row r="6">
      <c r="B6" s="244" t="inlineStr">
        <is>
          <t>I.  БАЗОВЫЕ ПАРАМЕТРЫ (БАЗОВЫЕ ПАРАМЕТРЫ)</t>
        </is>
      </c>
    </row>
    <row r="7">
      <c r="B7" s="205" t="n">
        <v>1</v>
      </c>
      <c r="C7" s="213" t="inlineStr">
        <is>
          <t>Revenue (Выручка)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(прибыль до вычетов) margin (маржа)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 (Капзатраты)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(Коэффициент P&amp;A) to budget (бюджет)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 (бюджет)</t>
        </is>
      </c>
      <c r="K10" s="187" t="n"/>
    </row>
    <row r="11">
      <c r="B11" s="205" t="n">
        <v>5</v>
      </c>
      <c r="C11" s="213" t="inlineStr">
        <is>
          <t>OpEx 3Y (FOT (фонд оплаты труда)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(Проценты)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 (Мультипликатор выхода)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 (прибыль до вычетов)</t>
        </is>
      </c>
      <c r="K13" s="187" t="n"/>
    </row>
    <row r="14">
      <c r="B14" s="205" t="n">
        <v>8</v>
      </c>
      <c r="C14" s="213" t="inlineStr">
        <is>
          <t>Attendance (Посещаемость)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(прибыль до вычетов) 3Y (base 2 152 млн ₽)</t>
        </is>
      </c>
    </row>
    <row r="18">
      <c r="B18" s="167" t="inlineStr">
        <is>
          <t>#</t>
        </is>
      </c>
      <c r="C18" s="167" t="inlineStr">
        <is>
          <t>Driver (Драйвер)</t>
        </is>
      </c>
      <c r="D18" s="167" t="inlineStr">
        <is>
          <t>−20%</t>
        </is>
      </c>
      <c r="E18" s="167" t="inlineStr">
        <is>
          <t>Base (Базовый)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Макс.</t>
        </is>
      </c>
      <c r="I18" s="167" t="inlineStr">
        <is>
          <t>Range (Диапазон)</t>
        </is>
      </c>
      <c r="J18" s="167" t="inlineStr">
        <is>
          <t>Elasticity (Эластичность)</t>
        </is>
      </c>
      <c r="K18" s="167" t="inlineStr">
        <is>
          <t>Rank (Ранг)</t>
        </is>
      </c>
    </row>
    <row r="19">
      <c r="B19" s="205" t="n">
        <v>1</v>
      </c>
      <c r="C19" s="287" t="inlineStr">
        <is>
          <t>Revenue (Выручка)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(прибыль до вычетов) margin (маржа)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 (Капзатраты)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 (Коэффициент P&amp;A)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 (Проценты)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 (Мультипликатор выхода)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 (Посещаемость)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(внутренняя норма доходности) T₁ W₅ V-D ★ (база 24.75%)</t>
        </is>
      </c>
    </row>
    <row r="30">
      <c r="B30" s="167" t="inlineStr">
        <is>
          <t>#</t>
        </is>
      </c>
      <c r="C30" s="167" t="inlineStr">
        <is>
          <t>Driver (Драйвер)</t>
        </is>
      </c>
      <c r="D30" s="167" t="inlineStr">
        <is>
          <t>−20%</t>
        </is>
      </c>
      <c r="E30" s="167" t="inlineStr">
        <is>
          <t>Base (Базовый)</t>
        </is>
      </c>
      <c r="F30" s="167" t="inlineStr">
        <is>
          <t>+20%</t>
        </is>
      </c>
      <c r="G30" s="167" t="inlineStr">
        <is>
          <t>Δ Мин. п.п.</t>
        </is>
      </c>
      <c r="H30" s="167" t="inlineStr">
        <is>
          <t>Δ Макс. п.п.</t>
        </is>
      </c>
      <c r="I30" s="167" t="inlineStr">
        <is>
          <t>Range pp (Диапазон п.п.)</t>
        </is>
      </c>
      <c r="J30" s="167" t="inlineStr">
        <is>
          <t>Elasticity (Эластичность)</t>
        </is>
      </c>
      <c r="K30" s="167" t="inlineStr">
        <is>
          <t>Rank (Ранг)</t>
        </is>
      </c>
    </row>
    <row r="31">
      <c r="B31" s="205" t="n">
        <v>1</v>
      </c>
      <c r="C31" s="287" t="inlineStr">
        <is>
          <t>Revenue (Выручка)</t>
        </is>
      </c>
      <c r="D31" s="236" t="n">
        <v>18.87</v>
      </c>
      <c r="E31" s="236" t="n">
        <v>24.75</v>
      </c>
      <c r="F31" s="236" t="n">
        <v>29.8</v>
      </c>
      <c r="G31" s="291" t="n">
        <v>-5.88</v>
      </c>
      <c r="H31" s="291" t="n">
        <v>5.05</v>
      </c>
      <c r="I31" s="291" t="n">
        <v>10.93</v>
      </c>
      <c r="J31" s="236" t="n">
        <v>110.4</v>
      </c>
      <c r="K31" s="290" t="n">
        <v>1</v>
      </c>
    </row>
    <row r="32">
      <c r="B32" s="205" t="n">
        <v>2</v>
      </c>
      <c r="C32" s="206" t="inlineStr">
        <is>
          <t>EBITDA (прибыль до вычетов) margin (маржа)</t>
        </is>
      </c>
      <c r="D32" s="236" t="n">
        <v>18.87</v>
      </c>
      <c r="E32" s="236" t="n">
        <v>24.75</v>
      </c>
      <c r="F32" s="236" t="n">
        <v>29.8</v>
      </c>
      <c r="G32" s="291" t="n">
        <v>-5.88</v>
      </c>
      <c r="H32" s="291" t="n">
        <v>5.05</v>
      </c>
      <c r="I32" s="291" t="n">
        <v>10.93</v>
      </c>
      <c r="J32" s="236" t="n">
        <v>110.4</v>
      </c>
      <c r="K32" s="212" t="n">
        <v>2</v>
      </c>
    </row>
    <row r="33">
      <c r="B33" s="205" t="n">
        <v>3</v>
      </c>
      <c r="C33" s="206" t="inlineStr">
        <is>
          <t>Production CAPEX (Капзатраты)</t>
        </is>
      </c>
      <c r="D33" s="236" t="n">
        <v>26.84</v>
      </c>
      <c r="E33" s="236" t="n">
        <v>24.75</v>
      </c>
      <c r="F33" s="236" t="n">
        <v>22.56</v>
      </c>
      <c r="G33" s="291" t="n">
        <v>2.09</v>
      </c>
      <c r="H33" s="291" t="n">
        <v>-2.19</v>
      </c>
      <c r="I33" s="291" t="n">
        <v>4.28</v>
      </c>
      <c r="J33" s="236" t="n">
        <v>43.21</v>
      </c>
      <c r="K33" s="212" t="n">
        <v>4</v>
      </c>
    </row>
    <row r="34">
      <c r="B34" s="205" t="n">
        <v>4</v>
      </c>
      <c r="C34" s="206" t="inlineStr">
        <is>
          <t>P&amp;A ratio (Коэффициент P&amp;A)</t>
        </is>
      </c>
      <c r="D34" s="236" t="n">
        <v>25.49</v>
      </c>
      <c r="E34" s="236" t="n">
        <v>24.75</v>
      </c>
      <c r="F34" s="236" t="n">
        <v>24</v>
      </c>
      <c r="G34" s="291" t="n">
        <v>0.74</v>
      </c>
      <c r="H34" s="291" t="n">
        <v>-0.75</v>
      </c>
      <c r="I34" s="291" t="n">
        <v>1.49</v>
      </c>
      <c r="J34" s="236" t="n">
        <v>15.07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25.22</v>
      </c>
      <c r="E35" s="236" t="n">
        <v>24.75</v>
      </c>
      <c r="F35" s="236" t="n">
        <v>24.27</v>
      </c>
      <c r="G35" s="291" t="n">
        <v>0.48</v>
      </c>
      <c r="H35" s="291" t="n">
        <v>-0.48</v>
      </c>
      <c r="I35" s="291" t="n">
        <v>0.96</v>
      </c>
      <c r="J35" s="236" t="n">
        <v>9.66</v>
      </c>
      <c r="K35" s="212" t="n">
        <v>6</v>
      </c>
    </row>
    <row r="36">
      <c r="B36" s="205" t="n">
        <v>6</v>
      </c>
      <c r="C36" s="206" t="inlineStr">
        <is>
          <t>Interest (Проценты)</t>
        </is>
      </c>
      <c r="D36" s="236" t="n">
        <v>24.8</v>
      </c>
      <c r="E36" s="236" t="n">
        <v>24.75</v>
      </c>
      <c r="F36" s="236" t="n">
        <v>24.7</v>
      </c>
      <c r="G36" s="291" t="n">
        <v>0.05</v>
      </c>
      <c r="H36" s="291" t="n">
        <v>-0.05</v>
      </c>
      <c r="I36" s="291" t="n">
        <v>0.11</v>
      </c>
      <c r="J36" s="236" t="n">
        <v>1.07</v>
      </c>
      <c r="K36" s="212" t="n">
        <v>7</v>
      </c>
    </row>
    <row r="37">
      <c r="B37" s="205" t="n">
        <v>7</v>
      </c>
      <c r="C37" s="206" t="inlineStr">
        <is>
          <t>Exit Multiple (Мультипликатор выхода)</t>
        </is>
      </c>
      <c r="D37" s="236" t="n">
        <v>24.75</v>
      </c>
      <c r="E37" s="236" t="n">
        <v>24.75</v>
      </c>
      <c r="F37" s="236" t="n">
        <v>24.75</v>
      </c>
      <c r="G37" s="291" t="n">
        <v>0</v>
      </c>
      <c r="H37" s="291" t="n">
        <v>0</v>
      </c>
      <c r="I37" s="291" t="n">
        <v>0</v>
      </c>
      <c r="J37" s="236" t="n">
        <v>0</v>
      </c>
      <c r="K37" s="212" t="n">
        <v>8</v>
      </c>
    </row>
    <row r="38">
      <c r="B38" s="205" t="n">
        <v>8</v>
      </c>
      <c r="C38" s="287" t="inlineStr">
        <is>
          <t>Attendance (Посещаемость)</t>
        </is>
      </c>
      <c r="D38" s="236" t="n">
        <v>18.87</v>
      </c>
      <c r="E38" s="236" t="n">
        <v>24.75</v>
      </c>
      <c r="F38" s="236" t="n">
        <v>29.8</v>
      </c>
      <c r="G38" s="291" t="n">
        <v>-5.88</v>
      </c>
      <c r="H38" s="291" t="n">
        <v>5.05</v>
      </c>
      <c r="I38" s="291" t="n">
        <v>10.93</v>
      </c>
      <c r="J38" s="236" t="n">
        <v>110.4</v>
      </c>
      <c r="K38" s="290" t="n">
        <v>3</v>
      </c>
    </row>
    <row r="41">
      <c r="B41" s="244" t="inlineStr">
        <is>
          <t>IV. ЗАКЛЮЧЕНИЯ</t>
        </is>
      </c>
    </row>
    <row r="42">
      <c r="B42" s="246" t="inlineStr">
        <is>
          <t>• Top-3 drivers EBITDA (прибыль до вычетов): Revenue (Выручка), Attendance (Посещаемость) и EBITDA (прибыль до вычетов) margin (маржа).</t>
        </is>
      </c>
    </row>
    <row r="43">
      <c r="B43" s="246" t="inlineStr">
        <is>
          <t>• Production CAPEX (Капзатраты) — 4th critical driver EBITDA (прибыль до вычетов) (range ±240 млн ₽ при ±20%).</t>
        </is>
      </c>
    </row>
    <row r="44">
      <c r="B44" s="246" t="inlineStr">
        <is>
          <t>• IRR (внутренняя норма доходности) T₁ W₅ V-D имеет ВЫСОКУЮ чувствительность к Revenue (Выручка)/Attendance (Посещаемость) (range ~10.9pp), значительно выше чем под W₃ (~8.3pp). Причина: catch-up 70/30 «впитывает» upside в LP (ограниченный партнёр), но не защищает downside так сильно как W₃ floor 8% pref + 60/40.</t>
        </is>
      </c>
    </row>
    <row r="45">
      <c r="B45" s="246" t="inlineStr">
        <is>
          <t>• Под W₅ V-D downside может уйти существенно ниже hurdle (порог): при NDP (чистые распределяемые поступления)&lt;2402 IRR (внутренняя норма доходности) &lt; 18% (см. 27_Scenario_Analysis Bear (Пессимистичный)=10.70%). Liq Pref (Ликвидационная привилегия) 1× защищает капитал, но не IRR (внутренняя норма доходности). Hedge: scenario diversification, milestone-based tranches (транши).</t>
        </is>
      </c>
    </row>
    <row r="46">
      <c r="B46" s="246" t="inlineStr">
        <is>
          <t>• Рекомендация: фокус на Box Office (Кассовые сборы) revenue (attendance × ticket price), маркетинг premium (премия)-фильмов, контроль CAPEX (Капзатраты) overrun. Exit Multiple (Мультипликатор выхода) под W₅ V-D НЕ влияет на LP (ограниченный партнёр) IRR (внутренняя норма доходности) (NDP (чистые распределяемые поступления)-based waterfall (каскад)).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СЦЕНАРНЫЙ АНАЛИЗ — 5 СЦЕНАРИЕВ (Stress (Стресс) / Downside (Нижний сценарий) / Base (Базовый) / Upside (Верхний сценарий) / Bull (Оптимистичный)) · W₅ V-D ★ default (по умолчанию) v1.0.1 · A+C pattern (паттерн) 33/45/9/13</t>
        </is>
      </c>
    </row>
    <row r="3"/>
    <row r="4">
      <c r="B4" s="189" t="inlineStr">
        <is>
          <t>Полный набор финансовых метрик по 5 сценариям с narrative triggers и preconditions. Revenue (Выручка) multiplier 0.60× / 0.80× / 1.00× / 1.20× / 1.40×</t>
        </is>
      </c>
    </row>
    <row r="6">
      <c r="B6" s="244" t="inlineStr">
        <is>
          <t>I. МАТРИЦА МЕТРИК СЦЕНАРИЕВ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 (Стресс-пессимистичный)</t>
        </is>
      </c>
      <c r="E7" s="167" t="inlineStr">
        <is>
          <t>Downside (Нижний сценарий)</t>
        </is>
      </c>
      <c r="F7" s="167" t="inlineStr">
        <is>
          <t>Base Case (Базовый сценарий)</t>
        </is>
      </c>
      <c r="G7" s="167" t="inlineStr">
        <is>
          <t>Upside (Верхний сценарий)</t>
        </is>
      </c>
      <c r="H7" s="167" t="inlineStr">
        <is>
          <t>Bull Case (Оптимистичный)</t>
        </is>
      </c>
      <c r="I7" s="167" t="inlineStr">
        <is>
          <t>Range (Диапазон)</t>
        </is>
      </c>
    </row>
    <row r="8">
      <c r="B8" s="205" t="n">
        <v>1</v>
      </c>
      <c r="C8" s="213" t="inlineStr">
        <is>
          <t>Revenue (Выручка)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(прибыль до вычетов) 3Y (GAAP (стандарты бухучёта))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(прибыль до вычетов) margin (маржа)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(Чистая прибыль)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(чистые распределяемые поступления) (legacy (базовый вариант))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(Капзатраты)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Выпущено фильмов (Выпущено фильмов)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(внутренняя норма доходности) T₁ (W₅ V-D ★ default (по умолчанию))</t>
        </is>
      </c>
      <c r="D15" s="590" t="n">
        <v>10.7</v>
      </c>
      <c r="E15" s="295" t="n">
        <v>18.87</v>
      </c>
      <c r="F15" s="275" t="n">
        <v>24.75</v>
      </c>
      <c r="G15" s="296" t="n">
        <v>29.8</v>
      </c>
      <c r="H15" s="297" t="n">
        <v>34.45</v>
      </c>
      <c r="I15" s="236" t="n">
        <v>23.75</v>
      </c>
    </row>
    <row r="16">
      <c r="B16" s="205" t="n">
        <v>9</v>
      </c>
      <c r="C16" s="213" t="inlineStr">
        <is>
          <t>MOIC (мультипликатор вложенного капитала) T₁ (W₅ V-D)</t>
        </is>
      </c>
      <c r="D16" s="304" t="n">
        <v>1.44</v>
      </c>
      <c r="E16" s="305" t="n">
        <v>1.82</v>
      </c>
      <c r="F16" s="276" t="n">
        <v>2.13</v>
      </c>
      <c r="G16" s="306" t="n">
        <v>2.41</v>
      </c>
      <c r="H16" s="307" t="n">
        <v>2.7</v>
      </c>
      <c r="I16" s="237" t="n">
        <v>1.26</v>
      </c>
    </row>
    <row r="17">
      <c r="B17" s="205" t="n">
        <v>10</v>
      </c>
      <c r="C17" s="213" t="inlineStr">
        <is>
          <t>EV (стоимость предприятия) 2028 (5× EBITDA (прибыль до вычетов))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LP (ограниченный партнёр) distribution (распределение) W₅ V-D</t>
        </is>
      </c>
      <c r="D18" s="292" t="n">
        <v>1800</v>
      </c>
      <c r="E18" s="202" t="n">
        <v>2280</v>
      </c>
      <c r="F18" s="270" t="n">
        <v>2657</v>
      </c>
      <c r="G18" s="293" t="n">
        <v>3017</v>
      </c>
      <c r="H18" s="193" t="n">
        <v>3377</v>
      </c>
      <c r="I18" s="207" t="n">
        <v>1577</v>
      </c>
    </row>
    <row r="19">
      <c r="B19" s="205" t="n">
        <v>12</v>
      </c>
      <c r="C19" s="213" t="inlineStr">
        <is>
          <t>IRR (внутренняя норма доходности)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 (Вероятность)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(ОПИСАНИЯ СЦЕНАРИЕВ) &amp; TRIGGERS</t>
        </is>
      </c>
    </row>
    <row r="24" ht="48" customHeight="1">
      <c r="B24" s="314" t="inlineStr">
        <is>
          <t>Stress Bear (Стресс-пессимистичный)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(Выручка) −40%, EBITDA (прибыль до вычетов) 1 291, IRR (внутренняя норма доходности)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(Нижний сценарий) (15% prob)</t>
        </is>
      </c>
      <c r="C25" s="187" t="n"/>
      <c r="D25" s="206" t="inlineStr">
        <is>
          <t>Один провал блокбастера (~250 млн), конкурентное давление от OTT (онлайн-платформа), −20% посещаемости. Revenue (Выручка) 3 636, EBITDA (прибыль до вычетов) 1 722, IRR (внутренняя норма доходности) 5%. Ниже hurdle (порог),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(Базовый сценарий)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 (среднегодовой темп роста). Revenue (Выручка) 4 545, EBITDA (прибыль до вычетов) 2 152, IRR (внутренняя норма доходности) 7,7%, NDP (чистые распределяемые поступления)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(Верхний сценарий)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(Выручка) 5 454, EBITDA (прибыль до вычетов) 2 583, IRR (внутренняя норма доходности) 9,8%. Открывает path к IPO (первичное размещение)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(Оптимистичный) (10% prob)</t>
        </is>
      </c>
      <c r="C28" s="187" t="n"/>
      <c r="D28" s="206" t="inlineStr">
        <is>
          <t>Хит 2026-2027 (F05 Время героев) +100%, международные продажи, SVOD (подписной стриминг)-сделка c крупным OTT (онлайн-платформа). Revenue (Выручка) 6 363, EBITDA (прибыль до вычетов) 3 013, IRR (внутренняя норма доходности) 12,2%. Strategic (Стратегический) exit 7× EBITDA (прибыль до вычетов)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(ВЗВЕШЕННЫЙ ПО ВЕРОЯТНОСТИ) EXPECTED VALUE (ОЖИДАЕМАЯ СТОИМОСТЬ)</t>
        </is>
      </c>
    </row>
    <row r="32">
      <c r="B32" s="213" t="inlineStr">
        <is>
          <t>Expected Revenue (Выручка)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(прибыль до вычетов)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(Чистая прибыль)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 (чистые распределяемые поступления)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(стоимость предприятия)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(внутренняя норма доходности) T₁ W₅ V-D</t>
        </is>
      </c>
      <c r="C37" s="186" t="n"/>
      <c r="D37" s="186" t="n"/>
      <c r="E37" s="186" t="n"/>
      <c r="F37" s="187" t="n"/>
      <c r="G37" s="176" t="n">
        <v>25.14</v>
      </c>
      <c r="H37" s="187" t="n"/>
      <c r="I37" s="159" t="inlineStr">
        <is>
          <t>%</t>
        </is>
      </c>
    </row>
    <row r="39" ht="50" customHeight="1">
      <c r="B39" s="591" t="inlineStr">
        <is>
          <t>⚠ ВНИМАНИЕ: Под W₅ V-D Stress Bear (Стресс-пессимистичный) IRR (внутренняя норма доходности) = 10.70% значительно ниже 18% hurdle (порог) (NDP (чистые распределяемые поступления)=1800 &lt; hurdle (порог) target 2 402). Причина: A+C pattern (паттерн) концентрирует поток в Y2029-2030, оставшиеся Y2031-2032 уже за горизонтом дисконтирования. Liq Pref (Ликвидационная привилегия) 1× защищает капитал (MoIC 1.44×). См. 24_Investor_Returns Section V.1 + 28_Monte_Carlo_Summary P(IRR (внутренняя норма доходности)&gt;18%)=32.7%.</t>
        </is>
      </c>
    </row>
  </sheetData>
  <mergeCells count="28">
    <mergeCell ref="D27:I27"/>
    <mergeCell ref="B25:C25"/>
    <mergeCell ref="G36:H36"/>
    <mergeCell ref="B31:I31"/>
    <mergeCell ref="B27:C27"/>
    <mergeCell ref="D28:I28"/>
    <mergeCell ref="B39:I39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8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СИМУЛЯЦИЯ МОНТЕ-КАРЛО (СИМУЛЯЦИЯ) — 5 000 ИТЕРАЦИЙ · 5 СТОХАСТИЧЕСКИХ ПЕРЕМЕННЫХ · W₅ V-D ★ DEFAULT (ПО УМОЛЧАНИЮ) v1.0.1 · A+C PATTERN 33/45/9/13</t>
        </is>
      </c>
    </row>
    <row r="3"/>
    <row r="4">
      <c r="B4" s="189" t="inlineStr">
        <is>
          <t>Распределения NDP (чистые распределяемые поступления), EBITDA (прибыль до вычетов), IRR (внутренняя норма доходности), MOIC (мультипликатор вложенного капитала), EV (стоимость предприятия) под Waterfall (Каскад) W₅ V-D + sensitivity grid</t>
        </is>
      </c>
    </row>
    <row r="6">
      <c r="B6" s="244" t="inlineStr">
        <is>
          <t>I.  СТОХАСТИЧЕСКИЕ ПЕРЕМЕННЫЕ (СТОХАСТИЧЕСКИЕ ПЕРЕМЕННЫЕ) (PDFs)</t>
        </is>
      </c>
    </row>
    <row r="7">
      <c r="B7" s="167" t="inlineStr">
        <is>
          <t>#</t>
        </is>
      </c>
      <c r="C7" s="167" t="inlineStr">
        <is>
          <t>Variable (Переменная)</t>
        </is>
      </c>
      <c r="D7" s="167" t="inlineStr">
        <is>
          <t>Distribution (Распределение)</t>
        </is>
      </c>
      <c r="E7" s="167" t="inlineStr">
        <is>
          <t>Param (Параметр) 1</t>
        </is>
      </c>
      <c r="F7" s="167" t="inlineStr">
        <is>
          <t>Param (Параметр) 2</t>
        </is>
      </c>
      <c r="G7" s="167" t="inlineStr">
        <is>
          <t>Param (Параметр) 3</t>
        </is>
      </c>
      <c r="H7" s="167" t="inlineStr">
        <is>
          <t>Description (Описание)</t>
        </is>
      </c>
      <c r="I7" s="187" t="n"/>
    </row>
    <row r="8">
      <c r="B8" s="205" t="n">
        <v>1</v>
      </c>
      <c r="C8" s="206" t="inlineStr">
        <is>
          <t>Revenue (Выручка) multiplier</t>
        </is>
      </c>
      <c r="D8" s="206" t="inlineStr">
        <is>
          <t>Triangular (Треугольное)</t>
        </is>
      </c>
      <c r="E8" s="285" t="n">
        <v>0.6</v>
      </c>
      <c r="F8" s="285" t="n">
        <v>1</v>
      </c>
      <c r="G8" s="285" t="n">
        <v>1.4</v>
      </c>
      <c r="H8" s="206" t="inlineStr">
        <is>
          <t>мин/мода/макс</t>
        </is>
      </c>
      <c r="I8" s="187" t="n"/>
    </row>
    <row r="9">
      <c r="B9" s="205" t="n">
        <v>2</v>
      </c>
      <c r="C9" s="206" t="inlineStr">
        <is>
          <t>EBITDA (прибыль до вычетов) margin (маржа) shock</t>
        </is>
      </c>
      <c r="D9" s="206" t="inlineStr">
        <is>
          <t>Normal (Нормальное)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(Капзатраты) overrun</t>
        </is>
      </c>
      <c r="D10" s="206" t="inlineStr">
        <is>
          <t>LogNormal (Логнормальное)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 (Мультипликатор выхода)</t>
        </is>
      </c>
      <c r="D11" s="206" t="inlineStr">
        <is>
          <t>Triangular (Треугольное)</t>
        </is>
      </c>
      <c r="E11" s="285" t="n">
        <v>3</v>
      </c>
      <c r="F11" s="285" t="n">
        <v>5</v>
      </c>
      <c r="G11" s="285" t="n">
        <v>7</v>
      </c>
      <c r="H11" s="206" t="inlineStr">
        <is>
          <t>мин/мода/макс</t>
        </is>
      </c>
      <c r="I11" s="187" t="n"/>
    </row>
    <row r="12">
      <c r="B12" s="205" t="n">
        <v>5</v>
      </c>
      <c r="C12" s="206" t="inlineStr">
        <is>
          <t>Film hit rate (Доля успешных фильмов)</t>
        </is>
      </c>
      <c r="D12" s="206" t="inlineStr">
        <is>
          <t>Binomial (Биномиальное)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p=0,70, 12 films (фильмов)</t>
        </is>
      </c>
      <c r="I12" s="187" t="n"/>
    </row>
    <row r="15">
      <c r="B15" s="244" t="inlineStr">
        <is>
          <t>II.  ИТОГИ РАСПРЕДЕЛЕНИЯ (ИТОГИ РАСПРЕДЕЛЕНИЯ) — 5 000 simulations</t>
        </is>
      </c>
    </row>
    <row r="16">
      <c r="B16" s="167" t="inlineStr">
        <is>
          <t>Metric (Метрика)</t>
        </is>
      </c>
      <c r="C16" s="187" t="n"/>
      <c r="D16" s="167" t="inlineStr">
        <is>
          <t>Mean (Среднее)</t>
        </is>
      </c>
      <c r="E16" s="167" t="inlineStr">
        <is>
          <t>StDev (Ст.откл.)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 (чистые распределяемые поступления)</t>
        </is>
      </c>
      <c r="C17" s="187" t="n"/>
      <c r="D17" s="207" t="n">
        <v>2104.06</v>
      </c>
      <c r="E17" s="207" t="n">
        <v>580.23</v>
      </c>
      <c r="F17" s="207" t="n">
        <v>1229.28</v>
      </c>
      <c r="G17" s="207" t="n">
        <v>1381.87</v>
      </c>
      <c r="H17" s="207" t="n">
        <v>1696.64</v>
      </c>
      <c r="I17" s="270" t="n">
        <v>2060.42</v>
      </c>
      <c r="J17" s="207" t="n">
        <v>2467.85</v>
      </c>
      <c r="K17" s="207" t="n">
        <v>2871.3</v>
      </c>
      <c r="L17" s="207" t="n">
        <v>3130.48</v>
      </c>
    </row>
    <row r="18">
      <c r="B18" s="317" t="inlineStr">
        <is>
          <t>EBITDA (прибыль до вычетов)</t>
        </is>
      </c>
      <c r="C18" s="187" t="n"/>
      <c r="D18" s="207" t="n">
        <v>1514.92</v>
      </c>
      <c r="E18" s="207" t="n">
        <v>417.76</v>
      </c>
      <c r="F18" s="207" t="n">
        <v>885.08</v>
      </c>
      <c r="G18" s="207" t="n">
        <v>994.95</v>
      </c>
      <c r="H18" s="207" t="n">
        <v>1221.58</v>
      </c>
      <c r="I18" s="270" t="n">
        <v>1483.5</v>
      </c>
      <c r="J18" s="207" t="n">
        <v>1776.85</v>
      </c>
      <c r="K18" s="207" t="n">
        <v>2067.34</v>
      </c>
      <c r="L18" s="207" t="n">
        <v>2253.94</v>
      </c>
    </row>
    <row r="19">
      <c r="B19" s="317" t="inlineStr">
        <is>
          <t>IRR (внутренняя норма доходности) (W₅ V-D)</t>
        </is>
      </c>
      <c r="C19" s="187" t="n"/>
      <c r="D19" s="236" t="n">
        <v>13.95</v>
      </c>
      <c r="E19" s="236" t="n">
        <v>8.050000000000001</v>
      </c>
      <c r="F19" s="236" t="n">
        <v>-0.46</v>
      </c>
      <c r="G19" s="236" t="n">
        <v>2.81</v>
      </c>
      <c r="H19" s="236" t="n">
        <v>8.869999999999999</v>
      </c>
      <c r="I19" s="275" t="n">
        <v>14.8</v>
      </c>
      <c r="J19" s="236" t="n">
        <v>19.64</v>
      </c>
      <c r="K19" s="236" t="n">
        <v>23.59</v>
      </c>
      <c r="L19" s="236" t="n">
        <v>25.89</v>
      </c>
    </row>
    <row r="20">
      <c r="B20" s="317" t="inlineStr">
        <is>
          <t>MOIC (мультипликатор вложенного капитала) (W₅ V-D)</t>
        </is>
      </c>
      <c r="C20" s="187" t="n"/>
      <c r="D20" s="237" t="n">
        <v>1.61</v>
      </c>
      <c r="E20" s="237" t="n">
        <v>0.37</v>
      </c>
      <c r="F20" s="237" t="n">
        <v>0.98</v>
      </c>
      <c r="G20" s="237" t="n">
        <v>1.11</v>
      </c>
      <c r="H20" s="237" t="n">
        <v>1.36</v>
      </c>
      <c r="I20" s="276" t="n">
        <v>1.63</v>
      </c>
      <c r="J20" s="237" t="n">
        <v>1.86</v>
      </c>
      <c r="K20" s="237" t="n">
        <v>2.06</v>
      </c>
      <c r="L20" s="237" t="n">
        <v>2.19</v>
      </c>
    </row>
    <row r="21">
      <c r="B21" s="317" t="inlineStr">
        <is>
          <t>EV (стоимость предприятия)</t>
        </is>
      </c>
      <c r="C21" s="187" t="n"/>
      <c r="D21" s="207" t="n">
        <v>7628.36</v>
      </c>
      <c r="E21" s="207" t="n">
        <v>2491.09</v>
      </c>
      <c r="F21" s="207" t="n">
        <v>4104.65</v>
      </c>
      <c r="G21" s="207" t="n">
        <v>4715.26</v>
      </c>
      <c r="H21" s="207" t="n">
        <v>5811.81</v>
      </c>
      <c r="I21" s="270" t="n">
        <v>7326.62</v>
      </c>
      <c r="J21" s="207" t="n">
        <v>9103.860000000001</v>
      </c>
      <c r="K21" s="207" t="n">
        <v>11002.11</v>
      </c>
      <c r="L21" s="207" t="n">
        <v>12311.59</v>
      </c>
    </row>
    <row r="24">
      <c r="B24" s="244" t="inlineStr">
        <is>
          <t>III.  МЕТРИКИ ВЕРОЯТНОСТИ И РИСКОВ</t>
        </is>
      </c>
    </row>
    <row r="25">
      <c r="B25" s="213" t="inlineStr">
        <is>
          <t>P(IRR (внутренняя норма доходности) &gt; 18% hurdle (порог))</t>
        </is>
      </c>
      <c r="C25" s="186" t="n"/>
      <c r="D25" s="186" t="n"/>
      <c r="E25" s="186" t="n"/>
      <c r="F25" s="187" t="n"/>
      <c r="G25" s="176" t="n">
        <v>32.7</v>
      </c>
      <c r="H25" s="186" t="n"/>
      <c r="I25" s="187" t="n"/>
    </row>
    <row r="26">
      <c r="B26" s="213" t="inlineStr">
        <is>
          <t>P(IRR (внутренняя норма доходности) &gt; 12% target)</t>
        </is>
      </c>
      <c r="C26" s="186" t="n"/>
      <c r="D26" s="186" t="n"/>
      <c r="E26" s="186" t="n"/>
      <c r="F26" s="187" t="n"/>
      <c r="G26" s="176" t="n">
        <v>63.2</v>
      </c>
      <c r="H26" s="186" t="n"/>
      <c r="I26" s="187" t="n"/>
    </row>
    <row r="27">
      <c r="B27" s="213" t="inlineStr">
        <is>
          <t>P(IRR (внутренняя норма доходности) &gt; 8% floor)</t>
        </is>
      </c>
      <c r="C27" s="186" t="n"/>
      <c r="D27" s="186" t="n"/>
      <c r="E27" s="186" t="n"/>
      <c r="F27" s="187" t="n"/>
      <c r="G27" s="176" t="n">
        <v>77.59999999999999</v>
      </c>
      <c r="H27" s="186" t="n"/>
      <c r="I27" s="187" t="n"/>
    </row>
    <row r="28">
      <c r="B28" s="213" t="inlineStr">
        <is>
          <t>P(Loss — IRR (внутренняя норма доходности) &lt; 0)</t>
        </is>
      </c>
      <c r="C28" s="186" t="n"/>
      <c r="D28" s="186" t="n"/>
      <c r="E28" s="186" t="n"/>
      <c r="F28" s="187" t="n"/>
      <c r="G28" s="176" t="n">
        <v>5.5</v>
      </c>
      <c r="H28" s="186" t="n"/>
      <c r="I28" s="187" t="n"/>
    </row>
    <row r="29">
      <c r="B29" s="213" t="inlineStr">
        <is>
          <t>P(MOIC (мультипликатор вложенного капитала) &gt; 2.0×)</t>
        </is>
      </c>
      <c r="C29" s="186" t="n"/>
      <c r="D29" s="186" t="n"/>
      <c r="E29" s="186" t="n"/>
      <c r="F29" s="187" t="n"/>
      <c r="G29" s="176" t="n">
        <v>13.6</v>
      </c>
      <c r="H29" s="186" t="n"/>
      <c r="I29" s="187" t="n"/>
    </row>
    <row r="30">
      <c r="B30" s="213" t="inlineStr">
        <is>
          <t>VaR 95% (NDP (чистые распределяемые поступления) shortfall vs base)</t>
        </is>
      </c>
      <c r="C30" s="186" t="n"/>
      <c r="D30" s="186" t="n"/>
      <c r="E30" s="186" t="n"/>
      <c r="F30" s="187" t="n"/>
      <c r="G30" s="173" t="n">
        <v>1770.7</v>
      </c>
      <c r="H30" s="186" t="n"/>
      <c r="I30" s="187" t="n"/>
    </row>
    <row r="31">
      <c r="B31" s="213" t="inlineStr">
        <is>
          <t>CVaR (условный VaR) 95% (expected shortfall)</t>
        </is>
      </c>
      <c r="C31" s="186" t="n"/>
      <c r="D31" s="186" t="n"/>
      <c r="E31" s="186" t="n"/>
      <c r="F31" s="187" t="n"/>
      <c r="G31" s="173" t="n">
        <v>1930.1</v>
      </c>
      <c r="H31" s="186" t="n"/>
      <c r="I31" s="187" t="n"/>
    </row>
    <row r="32">
      <c r="B32" s="213" t="inlineStr">
        <is>
          <t>Expected NDP (чистые распределяемые поступления)</t>
        </is>
      </c>
      <c r="C32" s="186" t="n"/>
      <c r="D32" s="186" t="n"/>
      <c r="E32" s="186" t="n"/>
      <c r="F32" s="187" t="n"/>
      <c r="G32" s="173" t="n">
        <v>2104</v>
      </c>
      <c r="H32" s="186" t="n"/>
      <c r="I32" s="187" t="n"/>
    </row>
    <row r="33">
      <c r="B33" s="213" t="inlineStr">
        <is>
          <t>Expected MOIC (мультипликатор вложенного капитала) T₁</t>
        </is>
      </c>
      <c r="C33" s="186" t="n"/>
      <c r="D33" s="186" t="n"/>
      <c r="E33" s="186" t="n"/>
      <c r="F33" s="187" t="n"/>
      <c r="G33" s="278" t="n">
        <v>1.609</v>
      </c>
      <c r="H33" s="186" t="n"/>
      <c r="I33" s="187" t="n"/>
    </row>
    <row r="34">
      <c r="B34" s="213" t="inlineStr">
        <is>
          <t>Median EV (стоимость предприятия) (P50)</t>
        </is>
      </c>
      <c r="C34" s="186" t="n"/>
      <c r="D34" s="186" t="n"/>
      <c r="E34" s="186" t="n"/>
      <c r="F34" s="187" t="n"/>
      <c r="G34" s="173" t="n">
        <v>7327</v>
      </c>
      <c r="H34" s="186" t="n"/>
      <c r="I34" s="187" t="n"/>
    </row>
    <row r="37">
      <c r="B37" s="244" t="inlineStr">
        <is>
          <t>IV. NDP (чистые распределяемые поступления) DISTRIBUTION HISTOGRAM (5 000 sims, 10 bins)</t>
        </is>
      </c>
    </row>
    <row r="38">
      <c r="B38" s="167" t="inlineStr">
        <is>
          <t>#</t>
        </is>
      </c>
      <c r="C38" s="167" t="inlineStr">
        <is>
          <t>Range (Диапазон)</t>
        </is>
      </c>
      <c r="D38" s="187" t="n"/>
      <c r="E38" s="167" t="inlineStr">
        <is>
          <t>Count (Количество)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527 − 955</t>
        </is>
      </c>
      <c r="D39" s="187" t="n"/>
      <c r="E39" s="205" t="n">
        <v>45</v>
      </c>
      <c r="F39" s="236" t="n">
        <v>0.9</v>
      </c>
      <c r="G39" s="206" t="inlineStr">
        <is>
          <t>█</t>
        </is>
      </c>
      <c r="H39" s="186" t="n"/>
      <c r="I39" s="187" t="n"/>
    </row>
    <row r="40">
      <c r="B40" s="205" t="n">
        <v>2</v>
      </c>
      <c r="C40" s="206" t="inlineStr">
        <is>
          <t>955 − 1383</t>
        </is>
      </c>
      <c r="D40" s="187" t="n"/>
      <c r="E40" s="205" t="n">
        <v>458</v>
      </c>
      <c r="F40" s="236" t="n">
        <v>9.199999999999999</v>
      </c>
      <c r="G40" s="206" t="inlineStr">
        <is>
          <t>█████████</t>
        </is>
      </c>
      <c r="H40" s="186" t="n"/>
      <c r="I40" s="187" t="n"/>
    </row>
    <row r="41">
      <c r="B41" s="205" t="n">
        <v>3</v>
      </c>
      <c r="C41" s="206" t="inlineStr">
        <is>
          <t>1383 − 1811</t>
        </is>
      </c>
      <c r="D41" s="187" t="n"/>
      <c r="E41" s="205" t="n">
        <v>1120</v>
      </c>
      <c r="F41" s="236" t="n">
        <v>22.4</v>
      </c>
      <c r="G41" s="206" t="inlineStr">
        <is>
          <t>██████████████████████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1811 − 2239</t>
        </is>
      </c>
      <c r="D42" s="187" t="n"/>
      <c r="E42" s="205" t="n">
        <v>1474</v>
      </c>
      <c r="F42" s="236" t="n">
        <v>29.5</v>
      </c>
      <c r="G42" s="206" t="inlineStr">
        <is>
          <t>█████████████████████████████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2239 − 2667</t>
        </is>
      </c>
      <c r="D43" s="187" t="n"/>
      <c r="E43" s="226" t="n">
        <v>1107</v>
      </c>
      <c r="F43" s="251" t="n">
        <v>22.1</v>
      </c>
      <c r="G43" s="281" t="inlineStr">
        <is>
          <t>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2667 − 3095</t>
        </is>
      </c>
      <c r="D44" s="187" t="n"/>
      <c r="E44" s="205" t="n">
        <v>522</v>
      </c>
      <c r="F44" s="236" t="n">
        <v>10.4</v>
      </c>
      <c r="G44" s="206" t="inlineStr">
        <is>
          <t>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3095 − 3523</t>
        </is>
      </c>
      <c r="D45" s="187" t="n"/>
      <c r="E45" s="205" t="n">
        <v>200</v>
      </c>
      <c r="F45" s="236" t="n">
        <v>4</v>
      </c>
      <c r="G45" s="206" t="inlineStr">
        <is>
          <t>████</t>
        </is>
      </c>
      <c r="H45" s="186" t="n"/>
      <c r="I45" s="187" t="n"/>
    </row>
    <row r="46">
      <c r="B46" s="205" t="n">
        <v>8</v>
      </c>
      <c r="C46" s="206" t="inlineStr">
        <is>
          <t>3523 − 3952</t>
        </is>
      </c>
      <c r="D46" s="187" t="n"/>
      <c r="E46" s="205" t="n">
        <v>58</v>
      </c>
      <c r="F46" s="236" t="n">
        <v>1.2</v>
      </c>
      <c r="G46" s="206" t="inlineStr">
        <is>
          <t>█</t>
        </is>
      </c>
      <c r="H46" s="186" t="n"/>
      <c r="I46" s="187" t="n"/>
    </row>
    <row r="47">
      <c r="B47" s="205" t="n">
        <v>9</v>
      </c>
      <c r="C47" s="206" t="inlineStr">
        <is>
          <t>3952 − 4380</t>
        </is>
      </c>
      <c r="D47" s="187" t="n"/>
      <c r="E47" s="205" t="n">
        <v>11</v>
      </c>
      <c r="F47" s="236" t="n">
        <v>0.2</v>
      </c>
      <c r="G47" s="206" t="inlineStr">
        <is>
          <t>█</t>
        </is>
      </c>
      <c r="H47" s="186" t="n"/>
      <c r="I47" s="187" t="n"/>
    </row>
    <row r="48">
      <c r="B48" s="205" t="n">
        <v>10</v>
      </c>
      <c r="C48" s="206" t="inlineStr">
        <is>
          <t>4380 − 4808</t>
        </is>
      </c>
      <c r="D48" s="187" t="n"/>
      <c r="E48" s="205" t="n">
        <v>5</v>
      </c>
      <c r="F48" s="236" t="n">
        <v>0.1</v>
      </c>
      <c r="G48" s="206" t="inlineStr">
        <is>
          <t>█</t>
        </is>
      </c>
      <c r="H48" s="186" t="n"/>
      <c r="I48" s="187" t="n"/>
    </row>
    <row r="51">
      <c r="B51" s="577" t="inlineStr">
        <is>
          <t>V. СЕТКА ЧУВСТВИТЕЛЬНОСТИ — ВАРИАЦИИ A+C (W₅ V-D фикс.)</t>
        </is>
      </c>
    </row>
    <row r="53">
      <c r="B53" s="571" t="inlineStr">
        <is>
          <t>#</t>
        </is>
      </c>
      <c r="C53" s="571" t="inlineStr">
        <is>
          <t>Pattern (Паттерн)</t>
        </is>
      </c>
      <c r="E53" s="571" t="inlineStr">
        <is>
          <t>Y2029</t>
        </is>
      </c>
      <c r="F53" s="571" t="inlineStr">
        <is>
          <t>Y2030</t>
        </is>
      </c>
      <c r="G53" s="571" t="inlineStr">
        <is>
          <t>Y2031</t>
        </is>
      </c>
      <c r="H53" s="571" t="inlineStr">
        <is>
          <t>Y2032</t>
        </is>
      </c>
      <c r="I53" s="571" t="inlineStr">
        <is>
          <t>LP (ограниченный партнёр) IRR (внутренняя норма доходности) %</t>
        </is>
      </c>
      <c r="J53" s="571" t="inlineStr">
        <is>
          <t>LP (ограниченный партнёр) MoIC</t>
        </is>
      </c>
      <c r="K53" s="571" t="inlineStr">
        <is>
          <t>vs Base (Базовый)</t>
        </is>
      </c>
    </row>
    <row r="54">
      <c r="B54" t="n">
        <v>1</v>
      </c>
      <c r="C54" t="inlineStr">
        <is>
          <t>Slow A (Медленный А) (28/50/9/13)</t>
        </is>
      </c>
      <c r="E54" t="n">
        <v>28</v>
      </c>
      <c r="F54" t="n">
        <v>50</v>
      </c>
      <c r="G54" t="n">
        <v>9</v>
      </c>
      <c r="H54" t="n">
        <v>13</v>
      </c>
      <c r="I54" t="n">
        <v>24.26</v>
      </c>
      <c r="J54" t="n">
        <v>2.126</v>
      </c>
      <c r="K54" t="inlineStr">
        <is>
          <t>-0.49пп</t>
        </is>
      </c>
    </row>
    <row r="55">
      <c r="B55" t="n">
        <v>2</v>
      </c>
      <c r="C55" t="inlineStr">
        <is>
          <t>Slow B (Медленный Б) (30/47/10/13)</t>
        </is>
      </c>
      <c r="E55" t="n">
        <v>30</v>
      </c>
      <c r="F55" t="n">
        <v>47</v>
      </c>
      <c r="G55" t="n">
        <v>10</v>
      </c>
      <c r="H55" t="n">
        <v>13</v>
      </c>
      <c r="I55" t="n">
        <v>24.4</v>
      </c>
      <c r="J55" t="n">
        <v>2.126</v>
      </c>
      <c r="K55" t="inlineStr">
        <is>
          <t>-0.35пп</t>
        </is>
      </c>
    </row>
    <row r="56">
      <c r="B56" s="588" t="n">
        <v>3</v>
      </c>
      <c r="C56" s="588" t="inlineStr">
        <is>
          <t>Base (Базовый) A+C (33/45/9/13) ★</t>
        </is>
      </c>
      <c r="D56" s="588" t="n"/>
      <c r="E56" s="588" t="n">
        <v>33</v>
      </c>
      <c r="F56" s="588" t="n">
        <v>45</v>
      </c>
      <c r="G56" s="588" t="n">
        <v>9</v>
      </c>
      <c r="H56" s="588" t="n">
        <v>13</v>
      </c>
      <c r="I56" s="588" t="n">
        <v>24.75</v>
      </c>
      <c r="J56" s="588" t="n">
        <v>2.126</v>
      </c>
      <c r="K56" s="588" t="inlineStr">
        <is>
          <t>+0.00пп</t>
        </is>
      </c>
    </row>
    <row r="57">
      <c r="B57" t="n">
        <v>4</v>
      </c>
      <c r="C57" t="inlineStr">
        <is>
          <t>Fast (Быстрый) (38/40/10/12)</t>
        </is>
      </c>
      <c r="E57" t="n">
        <v>38</v>
      </c>
      <c r="F57" t="n">
        <v>40</v>
      </c>
      <c r="G57" t="n">
        <v>10</v>
      </c>
      <c r="H57" t="n">
        <v>12</v>
      </c>
      <c r="I57" t="n">
        <v>25.29</v>
      </c>
      <c r="J57" t="n">
        <v>2.126</v>
      </c>
      <c r="K57" t="inlineStr">
        <is>
          <t>+0.54пп</t>
        </is>
      </c>
    </row>
    <row r="58">
      <c r="B58" t="n">
        <v>5</v>
      </c>
      <c r="C58" t="inlineStr">
        <is>
          <t>Aggressive (Агрессивный) (43/37/8/12)</t>
        </is>
      </c>
      <c r="E58" t="n">
        <v>43</v>
      </c>
      <c r="F58" t="n">
        <v>37</v>
      </c>
      <c r="G58" t="n">
        <v>8</v>
      </c>
      <c r="H58" t="n">
        <v>12</v>
      </c>
      <c r="I58" t="n">
        <v>25.93</v>
      </c>
      <c r="J58" t="n">
        <v>2.126</v>
      </c>
      <c r="K58" t="inlineStr">
        <is>
          <t>+1.18пп</t>
        </is>
      </c>
    </row>
    <row r="60">
      <c r="B60" s="571" t="inlineStr">
        <is>
          <t>V.b W₅ PARAMS GRID (catch-up × carry, base NDP (чистые распределяемые поступления)=3000)</t>
        </is>
      </c>
    </row>
    <row r="61">
      <c r="B61" s="571" t="inlineStr">
        <is>
          <t>Catch-up LP (ограниченный партнёр) %↓</t>
        </is>
      </c>
      <c r="C61" s="571" t="inlineStr">
        <is>
          <t>Carry LP (ограниченный партнёр) % →</t>
        </is>
      </c>
      <c r="D61" s="571" t="inlineStr">
        <is>
          <t>50%</t>
        </is>
      </c>
      <c r="E61" s="571" t="inlineStr">
        <is>
          <t>55%</t>
        </is>
      </c>
      <c r="F61" s="571" t="inlineStr">
        <is>
          <t>60%</t>
        </is>
      </c>
      <c r="G61" s="571" t="inlineStr">
        <is>
          <t>65%</t>
        </is>
      </c>
      <c r="H61" s="571" t="inlineStr">
        <is>
          <t>70%</t>
        </is>
      </c>
    </row>
    <row r="62">
      <c r="B62" s="571" t="inlineStr">
        <is>
          <t>60%</t>
        </is>
      </c>
      <c r="D62" t="inlineStr">
        <is>
          <t>23.6% / 2.05×</t>
        </is>
      </c>
      <c r="E62" t="inlineStr">
        <is>
          <t>23.8% / 2.06×</t>
        </is>
      </c>
      <c r="F62" t="inlineStr">
        <is>
          <t>24.0% / 2.08×</t>
        </is>
      </c>
      <c r="G62" t="inlineStr">
        <is>
          <t>24.2% / 2.10×</t>
        </is>
      </c>
      <c r="H62" t="inlineStr">
        <is>
          <t>24.4% / 2.11×</t>
        </is>
      </c>
    </row>
    <row r="63">
      <c r="B63" s="571" t="inlineStr">
        <is>
          <t>65%</t>
        </is>
      </c>
      <c r="D63" t="inlineStr">
        <is>
          <t>24.0% / 2.07×</t>
        </is>
      </c>
      <c r="E63" t="inlineStr">
        <is>
          <t>24.2% / 2.09×</t>
        </is>
      </c>
      <c r="F63" t="inlineStr">
        <is>
          <t>24.4% / 2.10×</t>
        </is>
      </c>
      <c r="G63" t="inlineStr">
        <is>
          <t>24.6% / 2.12×</t>
        </is>
      </c>
      <c r="H63" t="inlineStr">
        <is>
          <t>24.8% / 2.14×</t>
        </is>
      </c>
    </row>
    <row r="64">
      <c r="B64" s="571" t="inlineStr">
        <is>
          <t>70%</t>
        </is>
      </c>
      <c r="D64" t="inlineStr">
        <is>
          <t>24.4% / 2.09×</t>
        </is>
      </c>
      <c r="E64" t="inlineStr">
        <is>
          <t>24.6% / 2.11×</t>
        </is>
      </c>
      <c r="F64" s="589" t="inlineStr">
        <is>
          <t>24.7% / 2.13×</t>
        </is>
      </c>
      <c r="G64" t="inlineStr">
        <is>
          <t>24.9% / 2.14×</t>
        </is>
      </c>
      <c r="H64" t="inlineStr">
        <is>
          <t>25.1% / 2.16×</t>
        </is>
      </c>
    </row>
    <row r="65">
      <c r="B65" s="571" t="inlineStr">
        <is>
          <t>75%</t>
        </is>
      </c>
      <c r="D65" t="inlineStr">
        <is>
          <t>24.7% / 2.11×</t>
        </is>
      </c>
      <c r="E65" t="inlineStr">
        <is>
          <t>24.9% / 2.13×</t>
        </is>
      </c>
      <c r="F65" t="inlineStr">
        <is>
          <t>25.1% / 2.15×</t>
        </is>
      </c>
      <c r="G65" t="inlineStr">
        <is>
          <t>25.3% / 2.17×</t>
        </is>
      </c>
      <c r="H65" t="inlineStr">
        <is>
          <t>25.5% / 2.18×</t>
        </is>
      </c>
    </row>
    <row r="66">
      <c r="B66" s="571" t="inlineStr">
        <is>
          <t>80%</t>
        </is>
      </c>
      <c r="D66" t="inlineStr">
        <is>
          <t>25.1% / 2.14×</t>
        </is>
      </c>
      <c r="E66" t="inlineStr">
        <is>
          <t>25.3% / 2.15×</t>
        </is>
      </c>
      <c r="F66" t="inlineStr">
        <is>
          <t>25.5% / 2.17×</t>
        </is>
      </c>
      <c r="G66" t="inlineStr">
        <is>
          <t>25.6% / 2.19×</t>
        </is>
      </c>
      <c r="H66" t="inlineStr">
        <is>
          <t>25.8% / 2.21×</t>
        </is>
      </c>
    </row>
    <row r="68">
      <c r="B68" s="569" t="inlineStr">
        <is>
          <t>VI. СТАТИСТИКА W₅ V-D — уверенность и калибровка</t>
        </is>
      </c>
    </row>
    <row r="70">
      <c r="B70" s="357" t="inlineStr">
        <is>
          <t>P(LP (ограниченный партнёр) IRR (внутренняя норма доходности) &gt; 18% hurdle (порог))</t>
        </is>
      </c>
      <c r="G70" s="357" t="inlineStr">
        <is>
          <t>32.7%</t>
        </is>
      </c>
      <c r="I70" s="574" t="inlineStr">
        <is>
          <t>Под W₃ было ~49%, под W₅ V-D</t>
        </is>
      </c>
    </row>
    <row r="71">
      <c r="B71" s="357" t="inlineStr">
        <is>
          <t>P(LP (ограниченный партнёр) IRR (внутренняя норма доходности) &gt; 24.75% base)</t>
        </is>
      </c>
      <c r="G71" s="357" t="inlineStr">
        <is>
          <t>7.0%</t>
        </is>
      </c>
      <c r="I71" s="574" t="inlineStr">
        <is>
          <t>Probability of beating Base (Базовый) case</t>
        </is>
      </c>
    </row>
    <row r="72">
      <c r="B72" s="357" t="inlineStr">
        <is>
          <t>P(LP (ограниченный партнёр) MoIC &gt; 2.13× base)</t>
        </is>
      </c>
      <c r="G72" s="357" t="inlineStr">
        <is>
          <t>6.8%</t>
        </is>
      </c>
      <c r="I72" s="574" t="inlineStr">
        <is>
          <t>Probability of beating Base (Базовый) MoIC</t>
        </is>
      </c>
    </row>
    <row r="73">
      <c r="B73" s="357" t="inlineStr">
        <is>
          <t>P(LP (ограниченный партнёр) MoIC &gt; 2.5× upside)</t>
        </is>
      </c>
      <c r="G73" s="357" t="inlineStr">
        <is>
          <t>0.6%</t>
        </is>
      </c>
      <c r="I73" s="574" t="inlineStr">
        <is>
          <t>Bull (Оптимистичный)-case probability</t>
        </is>
      </c>
    </row>
    <row r="74">
      <c r="B74" s="357" t="inlineStr">
        <is>
          <t>Median LP (ограниченный партнёр) IRR (внутренняя норма доходности)</t>
        </is>
      </c>
      <c r="G74" s="357" t="inlineStr">
        <is>
          <t>14.80%</t>
        </is>
      </c>
      <c r="I74" s="574" t="inlineStr">
        <is>
          <t>P50 percentile (перцентиль)</t>
        </is>
      </c>
    </row>
    <row r="75">
      <c r="B75" s="357" t="inlineStr">
        <is>
          <t>Mean LP (ограниченный партнёр) IRR (внутренняя норма доходности) (computed)</t>
        </is>
      </c>
      <c r="G75" s="357" t="inlineStr">
        <is>
          <t>13.95%</t>
        </is>
      </c>
      <c r="I75" s="574" t="inlineStr">
        <is>
          <t>vs deterministic (детерминированный) 24,75%</t>
        </is>
      </c>
    </row>
    <row r="76">
      <c r="B76" s="357" t="inlineStr">
        <is>
          <t>LP (ограниченный партнёр) IRR (внутренняя норма доходности) StDev</t>
        </is>
      </c>
      <c r="G76" s="357" t="inlineStr">
        <is>
          <t>8.05%</t>
        </is>
      </c>
      <c r="I76" s="574" t="inlineStr">
        <is>
          <t>Risk (Риск) dispersion</t>
        </is>
      </c>
    </row>
    <row r="77">
      <c r="B77" s="357" t="inlineStr">
        <is>
          <t>Producer (Продюсер) Mean Share (Доля)</t>
        </is>
      </c>
      <c r="G77" s="357" t="inlineStr">
        <is>
          <t>93 млн ₽</t>
        </is>
      </c>
      <c r="I77" s="574" t="inlineStr">
        <is>
          <t>Avg producer payout (Ср. выплата продюсеру)</t>
        </is>
      </c>
    </row>
    <row r="78">
      <c r="B78" s="571" t="inlineStr">
        <is>
          <t>ПОЯСНЕНИЕ: разница MC mean (13.95%) vs Base (Базовый) deterministic (24.75%)</t>
        </is>
      </c>
    </row>
    <row r="79" ht="60" customHeight="1">
      <c r="B79" s="587" t="inlineStr">
        <is>
          <t>Base (Базовый) 24.75% = «если всё пойдёт по плану» (NDP (чистые распределяемые поступления)=3000, все 12 фильмов хиты, exit ×5). MC mean 13.95% = «честный прогноз с учётом рисков»: hit_rate ~ Bin(12, 0.7)/12 даёт в среднем 8.4 хита из 12, rev_mult Triangular (Треугольное)(0.6/1.0/1.4), CAPEX (Капзатраты) overrun, EBITDA (прибыль до вычетов) shock. Mean NDP (чистые распределяемые поступления) падает 3000→2104. Median MC IRR (внутренняя норма доходности) = 14.80% ближе к реалистичному ожиданию для инвестора. P(IRR &gt; 18% hurdle (порог)) = 32.7% — честный ответ на вопрос «какова вероятность побить hurdle».</t>
        </is>
      </c>
    </row>
    <row r="80">
      <c r="B80" s="574" t="inlineStr">
        <is>
          <t>Симуляция: numpy seed=42, N=5000 итераций, 5 стохастических переменных, W₅ V-D allocator (vectorized), A+C pattern (паттерн) 33/45/9/13. Valid: 5000/5000. Generated: 2026-04-12 v1.0.1</t>
        </is>
      </c>
    </row>
  </sheetData>
  <mergeCells count="82">
    <mergeCell ref="G38:I38"/>
    <mergeCell ref="H10:I10"/>
    <mergeCell ref="B25:F25"/>
    <mergeCell ref="B71:F71"/>
    <mergeCell ref="H9:I9"/>
    <mergeCell ref="B27:F27"/>
    <mergeCell ref="B21:C21"/>
    <mergeCell ref="C41:D41"/>
    <mergeCell ref="G26:I26"/>
    <mergeCell ref="C43:D43"/>
    <mergeCell ref="B34:F34"/>
    <mergeCell ref="B78:L78"/>
    <mergeCell ref="B28:F28"/>
    <mergeCell ref="I76:L76"/>
    <mergeCell ref="B30:F30"/>
    <mergeCell ref="G42:I42"/>
    <mergeCell ref="B51:L51"/>
    <mergeCell ref="B16:C16"/>
    <mergeCell ref="G28:I28"/>
    <mergeCell ref="B72:F72"/>
    <mergeCell ref="C45:D45"/>
    <mergeCell ref="B18:C18"/>
    <mergeCell ref="G30:I30"/>
    <mergeCell ref="B70:F70"/>
    <mergeCell ref="C47:D47"/>
    <mergeCell ref="I77:L77"/>
    <mergeCell ref="C40:D40"/>
    <mergeCell ref="H11:I11"/>
    <mergeCell ref="G32:I32"/>
    <mergeCell ref="I70:L70"/>
    <mergeCell ref="G41:I41"/>
    <mergeCell ref="I72:L72"/>
    <mergeCell ref="G43:I43"/>
    <mergeCell ref="B74:F74"/>
    <mergeCell ref="H12:I12"/>
    <mergeCell ref="I71:L71"/>
    <mergeCell ref="G27:I27"/>
    <mergeCell ref="B51:I51"/>
    <mergeCell ref="B2:I3"/>
    <mergeCell ref="B76:F76"/>
    <mergeCell ref="B79:L79"/>
    <mergeCell ref="B75:F75"/>
    <mergeCell ref="B31:F31"/>
    <mergeCell ref="G34:I34"/>
    <mergeCell ref="I74:L74"/>
    <mergeCell ref="G45:I45"/>
    <mergeCell ref="C44:D44"/>
    <mergeCell ref="B17:C17"/>
    <mergeCell ref="B60:L60"/>
    <mergeCell ref="G29:I29"/>
    <mergeCell ref="G47:I47"/>
    <mergeCell ref="B73:F73"/>
    <mergeCell ref="C46:D46"/>
    <mergeCell ref="G44:I44"/>
    <mergeCell ref="B19:C19"/>
    <mergeCell ref="G31:I31"/>
    <mergeCell ref="G46:I46"/>
    <mergeCell ref="G40:I40"/>
    <mergeCell ref="C48:D48"/>
    <mergeCell ref="C38:D38"/>
    <mergeCell ref="B15:I15"/>
    <mergeCell ref="B24:I24"/>
    <mergeCell ref="B20:C20"/>
    <mergeCell ref="C42:D42"/>
    <mergeCell ref="I73:L73"/>
    <mergeCell ref="G33:I33"/>
    <mergeCell ref="B77:F77"/>
    <mergeCell ref="G25:I25"/>
    <mergeCell ref="B29:F29"/>
    <mergeCell ref="H7:I7"/>
    <mergeCell ref="B37:I37"/>
    <mergeCell ref="C39:D39"/>
    <mergeCell ref="I75:L75"/>
    <mergeCell ref="B68:L68"/>
    <mergeCell ref="B6:I6"/>
    <mergeCell ref="B33:F3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РЕЕСТР РИСКОВ — 30 РИСКОВ В 5 КАТЕГОРИЯХ</t>
        </is>
      </c>
    </row>
    <row r="4">
      <c r="B4" s="319" t="inlineStr">
        <is>
          <t>Severity (Серьёзность) × Likelihood (Вероятность) → Risk (Риск) Score (Балл) (1-25), Mitigation (Меры снижения), Owner, Residual (Остаток) risk. Heat map 5×5.</t>
        </is>
      </c>
    </row>
    <row r="6">
      <c r="B6" s="320" t="inlineStr">
        <is>
          <t>I. РЕЕСТР РИСКОВ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Сер. (1-5)</t>
        </is>
      </c>
      <c r="F7" s="321" t="inlineStr">
        <is>
          <t>Вер. (1-5)</t>
        </is>
      </c>
      <c r="G7" s="321" t="inlineStr">
        <is>
          <t>Score (Балл)</t>
        </is>
      </c>
      <c r="H7" s="321" t="inlineStr">
        <is>
          <t>Level (Уровень)</t>
        </is>
      </c>
      <c r="I7" s="321" t="inlineStr">
        <is>
          <t>Mitigation (Меры снижения)</t>
        </is>
      </c>
      <c r="J7" s="321" t="inlineStr">
        <is>
          <t>Owner (Ответственный)</t>
        </is>
      </c>
      <c r="K7" s="321" t="inlineStr">
        <is>
          <t>Residual (Остаток)</t>
        </is>
      </c>
    </row>
    <row r="8" ht="38" customHeight="1">
      <c r="B8" s="322" t="inlineStr">
        <is>
          <t>R01</t>
        </is>
      </c>
      <c r="C8" s="323" t="inlineStr">
        <is>
          <t>Market (Рынок)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 (Высокий)</t>
        </is>
      </c>
      <c r="I8" s="323" t="inlineStr">
        <is>
          <t>Диверсификация по 12 фильмам, 7 жанрам, window strategy; гибкий P&amp;A (тиражирование и реклама)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 (Рынок)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 (Повышенный)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(Продюсер)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 (Рынок)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 (Повышенный)</t>
        </is>
      </c>
      <c r="I10" s="323" t="inlineStr">
        <is>
          <t>Переговоры с сетями (Formula Kino, Каро, Синема Парк), premium (премия)-формат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 (Рынок)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 (Высокий)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 (Рынок)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 (Умеренный)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 (Рынок)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 (Повышенный)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 (Международный отдел)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 (Операционный)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 (Высокий)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 (Руководитель производства)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 (Операционный)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 (Повышенный)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 (Продюсер)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 (Операционный)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 (Умеренный)</t>
        </is>
      </c>
      <c r="I16" s="323" t="inlineStr">
        <is>
          <t>Мульти-проектные контракты (2-3 фильма), бонусы от box-office (кассовые сборы), Partner-track</t>
        </is>
      </c>
      <c r="J16" s="323" t="inlineStr">
        <is>
          <t>HR / Creative Dir (Креативный директор)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 (Операционный)</t>
        </is>
      </c>
      <c r="D17" s="323" t="inlineStr">
        <is>
          <t>Срыв post-production / VFX (визуальные эффекты)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 (Повышенный)</t>
        </is>
      </c>
      <c r="I17" s="323" t="inlineStr">
        <is>
          <t>Два параллельных VFX (визуальные эффекты)-подрядчика, early prevv, резерв 20 млн на F12</t>
        </is>
      </c>
      <c r="J17" s="323" t="inlineStr">
        <is>
          <t>VFX Supervisor (Супервайзер VFX)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 (Операционный)</t>
        </is>
      </c>
      <c r="D18" s="323" t="inlineStr">
        <is>
          <t>Отказ digital distribution (распределение)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 (Умеренный)</t>
        </is>
      </c>
      <c r="I18" s="323" t="inlineStr">
        <is>
          <t>Резервный digital partner, DCI-compliant backup</t>
        </is>
      </c>
      <c r="J18" s="323" t="inlineStr">
        <is>
          <t>Distribution (Распределение)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 (Операционный)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 (Повышенный)</t>
        </is>
      </c>
      <c r="I19" s="323" t="inlineStr">
        <is>
          <t>Партнёрство с ВГИКом, МШНК, собственная школа VFX (визуальные эффекты);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 (Финансовый)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 (Высокий)</t>
        </is>
      </c>
      <c r="I20" s="323" t="inlineStr">
        <is>
          <t>Fixed (Фиксированный) rate по T₁ траншам, натуральный хедж через экспорт</t>
        </is>
      </c>
      <c r="J20" s="323" t="inlineStr">
        <is>
          <t>CFO / Treasurer (Казначей)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 (Финансовый)</t>
        </is>
      </c>
      <c r="D21" s="323" t="inlineStr">
        <is>
          <t>Кассовый разрыв между P&amp;A (тиражирование и реклама) расходами и box-office (кассовые сборы)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 (Повышенный)</t>
        </is>
      </c>
      <c r="I21" s="323" t="inlineStr">
        <is>
          <t>Возобновляемая кредитная линия (Возобновляемая кредитная линия) 200 млн ₽ под дебиторку кинотеатров</t>
        </is>
      </c>
      <c r="J21" s="323" t="inlineStr">
        <is>
          <t>Treasurer (Казначей)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 (Финансовый)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 (Умеренный)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 (Менеджер дебиторки)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 (Финансовый)</t>
        </is>
      </c>
      <c r="D23" s="323" t="inlineStr">
        <is>
          <t>Валютный риск (оборудование, софт, VFX (визуальные эффекты)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 (Умеренный)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 (Казначей)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 (Финансовый)</t>
        </is>
      </c>
      <c r="D24" s="323" t="inlineStr">
        <is>
          <t>Downside (Нижний сценарий) risk NDP (чистые распределяемые поступления) shortfall — W₅ V-D Base (Базовый) IRR (внутренняя норма доходности) = 24.75% (margin (маржа) к hurdle (порог)), но Bear (Пессимистичный)=10.70% &lt;&lt; 18%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 (Высокий)</t>
        </is>
      </c>
      <c r="I24" s="323" t="inlineStr">
        <is>
          <t>W₅ V-D 1× Liq Pref (Ликвидационная привилегия) floor (1250) + 12% pref × 5y + catch-up 70/30 + carry 60/40; legacy (базовый вариант) W₃/W₄ доступны как опции; exit stratagem backup; milestone-based tranches (транши)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 (Финансовый)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 (Умеренный)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 (Налоговый консультант)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 (Регуляторный)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 (Умеренный)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 (Регуляторный)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 (Повышенный)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 (Юрид.)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 (Регуляторный)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 (Умеренный)</t>
        </is>
      </c>
      <c r="I28" s="323" t="inlineStr">
        <is>
          <t>Диверсификация источников дохода (PP &lt;10% от Revenue (Выручка))</t>
        </is>
      </c>
      <c r="J28" s="323" t="inlineStr">
        <is>
          <t>Legal (Юрид.) / Sales (Продажи)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 (Регуляторный)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 (Умеренный)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 (Юрид.)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 (Регуляторный)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 (Повышенный)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 (Юрид.)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 (Регуляторный)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 (Повышенный)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Закупки (Закупки)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 (Исполнение)</t>
        </is>
      </c>
      <c r="D32" s="323" t="inlineStr">
        <is>
          <t>Неудачное построение slate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 (Повышенный)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 (Исполнение)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 (Повышенный)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 (Распределение)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 (Исполнение)</t>
        </is>
      </c>
      <c r="D34" s="323" t="inlineStr">
        <is>
          <t>Конфликты с копродюсерами (JV (совместное предприятие) structure producers equity (доля в капитале)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 (Умеренный)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 (Юрид.)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 (Исполнение)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 (Повышенный)</t>
        </is>
      </c>
      <c r="I35" s="323" t="inlineStr">
        <is>
          <t>P&amp;A ratio (Коэффициент P&amp;A)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 (Исполнение)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 (Умеренный)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 (Безопасность / ИТ)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 (Исполнение)</t>
        </is>
      </c>
      <c r="D37" s="323" t="inlineStr">
        <is>
          <t>Невыполнение обязательств по KPI (ключевые показатели)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 (Высокий)</t>
        </is>
      </c>
      <c r="I37" s="323" t="inlineStr">
        <is>
          <t>Quarterly reporting, covenant monitoring, IRR (внутренняя норма доходности) tracking, board reviews</t>
        </is>
      </c>
      <c r="J37" s="323" t="inlineStr">
        <is>
          <t>CFO / Совет директоров</t>
        </is>
      </c>
      <c r="K37" s="322" t="n">
        <v>12</v>
      </c>
    </row>
    <row r="40">
      <c r="B40" s="320" t="inlineStr">
        <is>
          <t>II.  ТЕПЛОВАЯ КАРТА 5×5 (Severity (Серьёзность) × Likelihood (Вероятность))</t>
        </is>
      </c>
    </row>
    <row r="42">
      <c r="B42" s="332" t="inlineStr">
        <is>
          <t>Severity (Серьёзность) ↓ / Likelihood (Вероятность)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Низкий (1-4)</t>
        </is>
      </c>
      <c r="D49" s="344" t="inlineStr">
        <is>
          <t>Moderate (Умеренный) (5-9)</t>
        </is>
      </c>
      <c r="E49" s="345" t="inlineStr">
        <is>
          <t>Elevated (Повышенный) (10-14)</t>
        </is>
      </c>
      <c r="F49" s="346" t="inlineStr">
        <is>
          <t>Высокий (15-19)</t>
        </is>
      </c>
      <c r="G49" s="347" t="inlineStr">
        <is>
          <t>Critical (Критический)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 (Название)</t>
        </is>
      </c>
      <c r="E53" s="321" t="inlineStr">
        <is>
          <t>Score (Балл)</t>
        </is>
      </c>
      <c r="F53" s="321" t="inlineStr">
        <is>
          <t>Description (Описание)</t>
        </is>
      </c>
      <c r="G53" s="321" t="inlineStr">
        <is>
          <t>Triggers (Триггеры)</t>
        </is>
      </c>
      <c r="H53" s="321" t="inlineStr">
        <is>
          <t>Mitigation (Меры снижения)</t>
        </is>
      </c>
      <c r="I53" s="321" t="inlineStr">
        <is>
          <t>Раннее предупреждение (Раннее предупреждение)</t>
        </is>
      </c>
      <c r="J53" s="321" t="inlineStr">
        <is>
          <t>Owner (Ответственный)</t>
        </is>
      </c>
      <c r="K53" s="321" t="inlineStr">
        <is>
          <t>Residual (Остаток)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(Нижний сценарий) risk NDP (чистые распределяемые поступления) shortfall — W₅ V-D Base (Базовый) IRR (внутренняя норма доходности) = 24.75%, Bear (Пессимистичный)=10.70% (NDP (чистые распределяемые поступления)=1800), Down=18.87% (NDP=2400)</t>
        </is>
      </c>
      <c r="E54" s="350" t="n">
        <v>12</v>
      </c>
      <c r="F54" s="349" t="inlineStr">
        <is>
          <t>Базовый IRR (внутренняя норма доходности) T₁ под Waterfall (Каскад) W₅ V-D ★ default (по умолчанию) v1.0.1 составляет 24.75% (vs hurdle (порог) 18%, margin (маржа) +6.75pp). Однако в downside-сценариях: Bear (Пессимистичный) (NDP (чистые распределяемые поступления)=1800) даёт IRR 10.70% (значительно ниже hurdle (порог)), Downside (Нижний сценарий) (NDP (чистые распределяемые поступления)=2400) — 18.87% (margin (маржа) к hurdle (порог)). Hurdle (Порог) break-even target NDP ≥ 2 402 млн ₽. Capital (Капитал) protection обеспечивается Liq Pref (Ликвидационная привилегия) 1× = 1250 (MoIC ≥ 1.44× даже в Bear (Пессимистичный)).</t>
        </is>
      </c>
      <c r="G54" s="349" t="inlineStr">
        <is>
          <t>Любой из: (a) revenue &lt;80% от плана, (b) CAPEX (Капзатраты) overrun &gt;15%, (c) задержка ≥2 релизов на 6+ мес.</t>
        </is>
      </c>
      <c r="H54" s="349" t="inlineStr">
        <is>
          <t>Структурная защита через waterfall (каскад) W₅ V-D: (1) Liq Pref (Ликвидационная привилегия) 1× гарантирует возврат principal; (2) 12% pref × 5y создаёт priority claim на NDP (чистые распределяемые поступления) сверх 1250; (3) catch-up 70/30 ускоряет accrual в среднем диапазоне; (4) carry 60/40 обеспечивает upside participation. Дополнительно: scenario diversification, milestone-based tranches (транши), W₃/W₄ как fallback.</t>
        </is>
      </c>
      <c r="I54" s="349" t="inlineStr">
        <is>
          <t>Burn rate &gt;baseline +10% два квартала подряд; box-office (кассовые сборы) первых 3 фильмов &lt;75% от прогноза.</t>
        </is>
      </c>
      <c r="J54" s="349" t="inlineStr">
        <is>
          <t>CFO / IR / Совет директоров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 (Руководитель производства)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(кассовые сборы)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Совет директоров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(Фиксированный) rate lock на T₁ tranches (транши) до 2028; revolving credit line с процентным cap; валютная диверсификация; структура с equity (доля в капитале)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 (Казначей)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(ключевые показатели) перед инвестором T₁</t>
        </is>
      </c>
      <c r="E58" s="351" t="n">
        <v>15</v>
      </c>
      <c r="F58" s="349" t="inlineStr">
        <is>
          <t>Covenant breach по Revenue (Выручка), EBITDA (прибыль до вычетов) margin (маржа) или film release schedule может триггерить досрочное погашение или W₅ V-D activation.</t>
        </is>
      </c>
      <c r="G58" s="349" t="inlineStr">
        <is>
          <t>EBITDA (прибыль до вычетов) &lt;80% от плана квартал подряд; задержка &gt;2 фильмов; CAPEX (Капзатраты)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Совет директоров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(кассовые сборы) share (доля) традиционных сетей &gt;10% YoY; агрессивное снижение subscription price ОТТ.</t>
        </is>
      </c>
      <c r="J59" s="349" t="inlineStr">
        <is>
          <t>CCO / Distribution (Распределение)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 (Капзатраты)). Провал = потеря 350+ млн NDP (чистые распределяемые поступления), корреляционный удар по маркетинг-бренду.</t>
        </is>
      </c>
      <c r="G60" s="349" t="inlineStr">
        <is>
          <t>Test-screening NPS &lt;40; первый weekend box-office (кассовые сборы)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(Продюсер)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 (Юрид.)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(тиражирование и реклама) 277.5 млн ₽ (15% от CAPEX (Капзатраты))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(телевидение)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 (визуальные эффекты)-проекты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(бюджет) +10%.</t>
        </is>
      </c>
      <c r="J63" s="349" t="inlineStr">
        <is>
          <t>CFO / Line Producer (Продюсер)</t>
        </is>
      </c>
      <c r="K63" s="348" t="n">
        <v>6</v>
      </c>
    </row>
    <row r="66">
      <c r="B66" s="320" t="inlineStr">
        <is>
          <t>IV.  СВОДНАЯ СТАТИСТИКА (СВОДНАЯ СТАТИСТИКА)</t>
        </is>
      </c>
    </row>
    <row r="68">
      <c r="B68" s="333" t="inlineStr">
        <is>
          <t>Category (Категория)</t>
        </is>
      </c>
      <c r="C68" s="333" t="inlineStr">
        <is>
          <t># Рисков</t>
        </is>
      </c>
      <c r="D68" s="333" t="inlineStr">
        <is>
          <t>Total (Итого) Score (Балл)</t>
        </is>
      </c>
      <c r="E68" s="333" t="inlineStr">
        <is>
          <t>Avg Score (Средний балл)</t>
        </is>
      </c>
      <c r="F68" s="333" t="inlineStr">
        <is>
          <t>Max Score (Макс. балл)</t>
        </is>
      </c>
      <c r="G68" s="333" t="inlineStr">
        <is>
          <t>Share (Доля)</t>
        </is>
      </c>
    </row>
    <row r="69">
      <c r="B69" s="353" t="inlineStr">
        <is>
          <t>Market (Рынок)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 (Операционный)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 (Финансовый)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 (Регуляторный)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 (Исполнение)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 (Умеренный)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 (Повышенный)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 (Высокий)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 (Критический)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(Критический) на High (score 12): C-02 структурный bug фиксирован через переход на W₅ V-D ★ default (по умолчанию). Базовый IRR (внутренняя норма доходности) T₁ W₅ V-D = 24.75% (margin (маржа) +6.75pp к hurdle (порог)), но Bear (Пессимистичный)=10.70% (NDP (чистые распределяемые поступления)=1800) остаётся структурным риском. Legacy (Базовый вариант) W₃ default (по умолчанию) = 18.04% ровно на hurdle (порог) 18%, downside защищён через 1× Liq Pref (Ликвидационная привилегия) floor + 8% coupon (купон). Премиум-опция W₄ даёт 19.73% IRR (внутренняя норма доходности) и 2.12× MOIC (мультипликатор вложенного капитала) для LP (ограниченный партнёр) с enhanced requirements.</t>
        </is>
      </c>
    </row>
    <row r="86" ht="22" customHeight="1">
      <c r="B86" s="363" t="inlineStr">
        <is>
          <t>2. 3 риска уровня «Critical (Критический)»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(Финансовый) + Market (≈50% total score): макро-чувствительность модели.</t>
        </is>
      </c>
    </row>
    <row r="88" ht="22" customHeight="1">
      <c r="B88" s="363" t="inlineStr">
        <is>
          <t>4. Operational (Операционный) риски (R07, R08) — купируются 10% contingency + completion bond в каждом бюджете.</t>
        </is>
      </c>
    </row>
    <row r="89" ht="22" customHeight="1">
      <c r="B89" s="363" t="inlineStr">
        <is>
          <t>5. Residual (Остаток)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(Регуляторный) cluster (R18-R24) — низкая likelihood, но высокий severity: legal watch + GR budget (бюджет) 20 млн ₽/год.</t>
        </is>
      </c>
    </row>
    <row r="91" ht="22" customHeight="1">
      <c r="B91" s="363" t="inlineStr">
        <is>
          <t>7. Execution (Исполнение) риски покрыты процессами: daily reports, weekly reviews, monthly boards, quarterly covenant testing.</t>
        </is>
      </c>
    </row>
    <row r="94">
      <c r="B94" s="364" t="inlineStr">
        <is>
          <t>Reviewed: quarterly by Совет директоров | Owner: CFO / Risk (Риск) Committee | Version (Версия):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АНАЛИЗ РЫНКА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(среднегодовой темп роста) 26-32</t>
        </is>
      </c>
    </row>
    <row r="9">
      <c r="B9" s="365" t="inlineStr">
        <is>
          <t>Box-office (кассовые сборы)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(подписной стриминг)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(рекламный стриминг)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(телевидение) rights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(Библиотека)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(среднегодовой темп роста) 2026–2032</t>
        </is>
      </c>
      <c r="F18" s="321" t="inlineStr">
        <is>
          <t>Драйверы роста</t>
        </is>
      </c>
    </row>
    <row r="19">
      <c r="B19" s="375" t="inlineStr">
        <is>
          <t>Box-office (кассовые сборы)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(подписной стриминг)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(рекламный стриминг)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(телевидение) rights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(Библиотека)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(Итого) Addressable Market)</t>
        </is>
      </c>
      <c r="C29" s="390" t="n">
        <v>289.8</v>
      </c>
      <c r="D29" s="391" t="n">
        <v>1</v>
      </c>
      <c r="E29" s="375" t="inlineStr">
        <is>
          <t>Весь рынок кино+OTT (онлайн-платформа)+TV+library РФ 2028</t>
        </is>
      </c>
    </row>
    <row r="30">
      <c r="B30" s="378" t="inlineStr">
        <is>
          <t>SAM (Достижимый целевой рынок)</t>
        </is>
      </c>
      <c r="C30" s="392" t="n">
        <v>118</v>
      </c>
      <c r="D30" s="393" t="n">
        <v>0.4071773636991028</v>
      </c>
      <c r="E30" s="378" t="inlineStr">
        <is>
          <t>Box-office (кассовые сборы) + 40% SVOD (подписной стриминг)</t>
        </is>
      </c>
    </row>
    <row r="31">
      <c r="B31" s="381" t="inlineStr">
        <is>
          <t>SOM (Реально достижимый рынок)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(Выручка) 2024 (млрд ₽)</t>
        </is>
      </c>
      <c r="E36" s="321" t="inlineStr">
        <is>
          <t>Market share (доля)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</t>
        </is>
      </c>
      <c r="C37" s="323" t="inlineStr">
        <is>
          <t>SVOD (подписной стриминг)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(подписной стриминг)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(подписной стриминг) + AVOD (рекламный стриминг)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 (рекламный стриминг)-модель,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(СТАРТ)</t>
        </is>
      </c>
      <c r="C40" s="323" t="inlineStr">
        <is>
          <t>SVOD (подписной стриминг)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 (тиражирование и реклама)</t>
        </is>
      </c>
    </row>
    <row r="41" ht="38" customHeight="1">
      <c r="B41" s="396" t="inlineStr">
        <is>
          <t>Premier (Премьера)</t>
        </is>
      </c>
      <c r="C41" s="323" t="inlineStr">
        <is>
          <t>SVOD (подписной стриминг)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 (совместное предприятие)</t>
        </is>
      </c>
      <c r="D43" s="398" t="n">
        <v>1.5</v>
      </c>
      <c r="E43" s="399" t="inlineStr">
        <is>
          <t>0.9%</t>
        </is>
      </c>
      <c r="F43" s="381" t="inlineStr">
        <is>
          <t>Pre-IPO (первичное размещение) структура, slate 12 фильмов, Waterfall (Каскад)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 (Премия)-форматы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 (подписной стриминг)-подписок</t>
        </is>
      </c>
      <c r="D52" s="323" t="inlineStr">
        <is>
          <t>Подписочная база: 25М (2024) → 45М (2032), CAGR (среднегодовой темп роста)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Игровой кросс-медиа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 (подписной стриминг)/AVOD (рекламный стриминг)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 (Премьера)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ОТРАСЛЕВЫЕ БЕНЧМАРКИ (БЕНЧМАРКИ) — РФ vs ГЛОБАЛЬНЫЙ (ГЛОБАЛЬНЫЙ) vs ТрендСтудио</t>
        </is>
      </c>
    </row>
    <row r="4">
      <c r="B4" s="319" t="inlineStr">
        <is>
          <t>KPI (ключевые показатели) по 15 показателям: production, distribution (распределение), финансы, exit</t>
        </is>
      </c>
    </row>
    <row r="6">
      <c r="B6" s="320" t="inlineStr">
        <is>
          <t>I. ОПЕРАЦИОННЫЕ KPI (ключевые показатели)</t>
        </is>
      </c>
    </row>
    <row r="8">
      <c r="B8" s="321" t="inlineStr">
        <is>
          <t>#</t>
        </is>
      </c>
      <c r="C8" s="321" t="inlineStr">
        <is>
          <t>KPI (ключевые показатели)</t>
        </is>
      </c>
      <c r="D8" s="321" t="inlineStr">
        <is>
          <t>Единица</t>
        </is>
      </c>
      <c r="E8" s="321" t="inlineStr">
        <is>
          <t>Global (Голливуд)</t>
        </is>
      </c>
      <c r="F8" s="321" t="inlineStr">
        <is>
          <t>Global (Европа)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 (бюджет)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(бюджет) подход</t>
        </is>
      </c>
    </row>
    <row r="10" ht="28" customHeight="1">
      <c r="B10" s="400" t="n">
        <v>2</v>
      </c>
      <c r="C10" s="396" t="inlineStr">
        <is>
          <t>Количество фильмов в портфеле (Количество фильмов в портфеле)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 (медиана)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(доля прибыльных фильмов)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(кассовые сборы) / budget (бюджет)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(Коэффициент P&amp;A)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(Выручка) from box-office (кассовые сборы)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(Выручка) from SVOD (подписной стриминг)/OTT (онлайн-платформа)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(Выручка) from library/tail (хвостовой период)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 (ключевые показатели)</t>
        </is>
      </c>
    </row>
    <row r="21">
      <c r="B21" s="321" t="inlineStr">
        <is>
          <t>#</t>
        </is>
      </c>
      <c r="C21" s="321" t="inlineStr">
        <is>
          <t>KPI (ключевые показатели)</t>
        </is>
      </c>
      <c r="D21" s="321" t="inlineStr">
        <is>
          <t>Единица</t>
        </is>
      </c>
      <c r="E21" s="321" t="inlineStr">
        <is>
          <t>Global (Голливуд)</t>
        </is>
      </c>
      <c r="F21" s="321" t="inlineStr">
        <is>
          <t>Global (Европа)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(прибыль до вычетов) margin (маржа)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 (совместное предприятие)-структуре</t>
        </is>
      </c>
    </row>
    <row r="23" ht="28" customHeight="1">
      <c r="B23" s="400" t="n">
        <v>2</v>
      </c>
      <c r="C23" s="396" t="inlineStr">
        <is>
          <t>Net Profit (Чистая прибыль) margin (маржа)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 (маржа)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(себестоимость) / Revenue (Выручка)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 (себестоимость)</t>
        </is>
      </c>
    </row>
    <row r="26" ht="28" customHeight="1">
      <c r="B26" s="400" t="n">
        <v>5</v>
      </c>
      <c r="C26" s="396" t="inlineStr">
        <is>
          <t>OpEx / Revenue (Выручка)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(амортизация) / Revenue (Выручка)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(амортизация) минимален</t>
        </is>
      </c>
    </row>
    <row r="28" ht="28" customHeight="1">
      <c r="B28" s="400" t="n">
        <v>7</v>
      </c>
      <c r="C28" s="396" t="inlineStr">
        <is>
          <t>Cash (Денежные средства)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 (тиражирование и реклама)</t>
        </is>
      </c>
    </row>
    <row r="31">
      <c r="B31" s="320" t="inlineStr">
        <is>
          <t>III. VALUATION (ОЦЕНКА) MULTIPLES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(Голливуд)</t>
        </is>
      </c>
      <c r="E33" s="321" t="inlineStr">
        <is>
          <t>Global (Европа)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(стоимость предприятия) / Revenue (Выручка)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 (первичное размещение), fair range 2.0-3.0×</t>
        </is>
      </c>
    </row>
    <row r="35" ht="28" customHeight="1">
      <c r="B35" s="400" t="n">
        <v>2</v>
      </c>
      <c r="C35" s="396" t="inlineStr">
        <is>
          <t>EV (стоимость предприятия) / EBITDA (прибыль до вычетов)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(стоимость предприятия) / EBITDA (прибыль до вычетов)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 (Чистая прибыль))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(первичное размещение) готовности, 10-12×</t>
        </is>
      </c>
    </row>
    <row r="38" ht="28" customHeight="1">
      <c r="B38" s="400" t="n">
        <v>5</v>
      </c>
      <c r="C38" s="396" t="inlineStr">
        <is>
          <t>EV (стоимость предприятия) / Subscriber (SVOD (подписной стриминг))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(подписной стриминг) модель</t>
        </is>
      </c>
    </row>
    <row r="39" ht="28" customHeight="1">
      <c r="B39" s="400" t="n">
        <v>6</v>
      </c>
      <c r="C39" s="396" t="inlineStr">
        <is>
          <t>EV (стоимость предприятия)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 ИТОГИ ПОЗИЦИОНИРОВАНИЯ (ИТОГИ ПОЗИЦИОНИРОВАНИЯ)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(прибыль до вычетов) margin (маржа) 47.3% (vs РФ median 20%) — структурное преимущество через JV (совместное предприятие)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 (кассовые сборы)/budget (бюджет)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(себестоимость)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(Коэффициент P&amp;A)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(Денежные средства)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(Выручка)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(бюджет) 154 млн ₽ — mid-tier, ограничивает potential box-office (кассовые сборы)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(амортизация)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(СОПОСТАВИМЫЕ СДЕЛКИ) — M&amp;A (слияния и поглощения)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(слияния и поглощения)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 </t>
        </is>
      </c>
      <c r="E8" s="321" t="inlineStr">
        <is>
          <t>Acquirer (Покупатель)</t>
        </is>
      </c>
      <c r="F8" s="321" t="inlineStr">
        <is>
          <t>Deal size (Размер сделки)</t>
        </is>
      </c>
      <c r="G8" s="321" t="inlineStr">
        <is>
          <t>EV (стоимость предприятия)/Revenue (Выручка)</t>
        </is>
      </c>
      <c r="H8" s="321" t="inlineStr">
        <is>
          <t>EV (стоимость предприятия)/EBITDA (прибыль до вычетов)</t>
        </is>
      </c>
      <c r="I8" s="321" t="inlineStr">
        <is>
          <t>Stake (Доля)</t>
        </is>
      </c>
      <c r="J8" s="321" t="inlineStr">
        <is>
          <t>Type (Тип)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 (Миноритарный)</t>
        </is>
      </c>
      <c r="K9" s="404" t="inlineStr">
        <is>
          <t>Pre-IPO (первичное размещение) раунд с прицелом на NASDAQ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 (Контроль)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 (СТАРТ)</t>
        </is>
      </c>
      <c r="E11" s="323" t="inlineStr">
        <is>
          <t>Sigma Capital (Капитал)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 (доля в капитале)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(Премьера)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(Внутренний) consolidation (Внутренняя консолидация)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 (Стратегический)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 (Сделка по библиотеке)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 (первичное размещение)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 (Рост)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 (Стратегический)</t>
        </is>
      </c>
      <c r="K17" s="404" t="inlineStr">
        <is>
          <t>Слияние AVOD (рекламный стриминг)-активов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 (Контроль)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ГЛОБАЛЬНЫЙ (ГЛОБАЛЬНЫЙ) M&amp;A (слияния и поглощения) PRECEDENTS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 </t>
        </is>
      </c>
      <c r="E23" s="321" t="inlineStr">
        <is>
          <t>Acquirer (Покупатель)</t>
        </is>
      </c>
      <c r="F23" s="321" t="inlineStr">
        <is>
          <t>Deal size (Размер сделки) ($ млрд)</t>
        </is>
      </c>
      <c r="G23" s="321" t="inlineStr">
        <is>
          <t>EV (стоимость предприятия)/Revenue (Выручка)</t>
        </is>
      </c>
      <c r="H23" s="321" t="inlineStr">
        <is>
          <t>EV (стоимость предприятия)/EBITDA (прибыль до вычетов)</t>
        </is>
      </c>
      <c r="I23" s="321" t="inlineStr">
        <is>
          <t>Stake (Доля)</t>
        </is>
      </c>
      <c r="J23" s="321" t="inlineStr">
        <is>
          <t>Type (Тип)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 (Стратегический)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(телевидение)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 (Слияние)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 (Стратегический)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 (Вторичный)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 (Мажоритарный)</t>
        </is>
      </c>
      <c r="J28" s="322" t="inlineStr">
        <is>
          <t>Growth (Рост)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 (Слияние)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 (Капитал)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 (Финансовый)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 (Мажоритарный)</t>
        </is>
      </c>
      <c r="J31" s="322" t="inlineStr">
        <is>
          <t>Royalty (Роялти)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 (Мажоритарный)</t>
        </is>
      </c>
      <c r="J32" s="322" t="inlineStr">
        <is>
          <t>Strategic (Стратегический)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 (Слияние)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ГЛОБАЛЬНЫЙ (ГЛОБАЛЬНЫЙ)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(ОЦЕНКА)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(стоимость предприятия)</t>
        </is>
      </c>
      <c r="F38" s="321" t="inlineStr">
        <is>
          <t>Discount (скидка 20% исполнение)</t>
        </is>
      </c>
      <c r="G38" s="321" t="inlineStr">
        <is>
          <t>EV (стоимость предприятия) после дисконта</t>
        </is>
      </c>
    </row>
    <row r="39">
      <c r="B39" s="396" t="inlineStr">
        <is>
          <t>EV (стоимость предприятия) / Revenue (Выручка)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(стоимость предприятия) / EBITDA (прибыль до вычетов)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(стоимость предприятия) / Revenue (Выручка)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(стоимость предприятия) / EBITDA (прибыль до вычетов)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 КЛЮЧЕВЫЕ ВЫВОДЫ ИЗ PRECEDENTS</t>
        </is>
      </c>
    </row>
    <row r="48">
      <c r="B48" s="400" t="n">
        <v>1</v>
      </c>
      <c r="C48" s="323" t="inlineStr">
        <is>
          <t>Медианный EV (стоимость предприятия)/EBITDA (прибыль до вычетов) РФ (2018-2025) = 8.0×. ТрендСтудио при EBITDA (EBITDA) 2028=1462 → EV (стоимость предприятия)≈11697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(Стратегический)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с EV (стоимость предприятия)/EBITDA (прибыль до вычетов)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(первичное размещение) секундарный раунд (как ivi 2018/2023) — альтернатива exit при EV (стоимость предприятия)/Revenue (Выручка)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(Миноритарный) stake sale (25-40%) даёт лучший мультипл, чем control premium (премия)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(Финансовый)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(слияния и поглощения) database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(Капитал) IQ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 (прибыль до вычетов)-мультипликаторы для некоторых сделок оценены на базе adj. EBITDA (EBITDA)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(ключевые показатели)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(ключевые показатели)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(Цифровой) distribution (распределение), VFX (визуальные эффекты)-pipelines,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(ключевые показатели)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(Посещаемость)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(кассовые сборы)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 (Капзатраты); остальное — T₁ инвестор + producer equity (доля в капитале)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 (визуальные эффекты)-центр,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(РЕГУЛЯТОРНОЕ СООТВЕТСТВИЕ)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НАЛОГОВЫЙ КАЛЕНДАРЬ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 (совместное предприятие)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 (Выручка)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(Хвостовой период)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 КЛЮЧЕВЫЕ ВЫВОДЫ</t>
        </is>
      </c>
    </row>
    <row r="40">
      <c r="B40" s="323" t="inlineStr">
        <is>
          <t>1. Общий объём налогов 7Y ≈ 720 млн ₽ (12.9% от Revenue (Выручка))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 (совместное предприятие)-структуре; producer equity (доля в капитале)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 (Реестр рисков)):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(ДОРОЖНАЯ КАРТА) 2026–2032 — КЛЮЧЕВЫЕ МИЛЕСТОНЫ</t>
        </is>
      </c>
    </row>
    <row r="4">
      <c r="B4" s="319" t="inlineStr">
        <is>
          <t>Производство slate, фандрайзинг, governance, exit routes. Critical (Критический) path color-coded.</t>
        </is>
      </c>
    </row>
    <row r="6">
      <c r="B6" s="320" t="inlineStr">
        <is>
          <t>I. PRODUCTION MILESTONES (ПРОИЗВОДСТВЕННЫЕ ВЕХИ) (12 фильмов × 4 фазы: Dev / Shoot / Post / Release (Релиз))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 (Съёмка)</t>
        </is>
      </c>
      <c r="F9" s="439" t="inlineStr">
        <is>
          <t>★Rel</t>
        </is>
      </c>
      <c r="G9" s="440" t="inlineStr">
        <is>
          <t>tail (хвостовой период)</t>
        </is>
      </c>
      <c r="H9" s="440" t="inlineStr">
        <is>
          <t>tail (хвостовой период)</t>
        </is>
      </c>
      <c r="I9" s="440" t="inlineStr">
        <is>
          <t>tail (хвостовой период)</t>
        </is>
      </c>
      <c r="J9" s="440" t="inlineStr">
        <is>
          <t>tail (хвостовой период)</t>
        </is>
      </c>
      <c r="K9" s="440" t="inlineStr">
        <is>
          <t>tail (хвостовой период)</t>
        </is>
      </c>
      <c r="L9" s="440" t="inlineStr">
        <is>
          <t>tail (хвостовой период)</t>
        </is>
      </c>
      <c r="M9" s="440" t="inlineStr">
        <is>
          <t>tail (хвостовой период)</t>
        </is>
      </c>
      <c r="N9" s="440" t="inlineStr">
        <is>
          <t>tail (хвостовой период)</t>
        </is>
      </c>
      <c r="O9" s="440" t="inlineStr">
        <is>
          <t>tail (хвостовой период)</t>
        </is>
      </c>
      <c r="P9" s="440" t="inlineStr">
        <is>
          <t>tail (хвостовой период)</t>
        </is>
      </c>
      <c r="Q9" s="440" t="inlineStr">
        <is>
          <t>tail (хвостовой период)</t>
        </is>
      </c>
      <c r="R9" s="440" t="inlineStr">
        <is>
          <t>tail (хвостовой период)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 (Съёмка)</t>
        </is>
      </c>
      <c r="G10" s="439" t="inlineStr">
        <is>
          <t>★Rel</t>
        </is>
      </c>
      <c r="H10" s="440" t="inlineStr">
        <is>
          <t>tail (хвостовой период)</t>
        </is>
      </c>
      <c r="I10" s="440" t="inlineStr">
        <is>
          <t>tail (хвостовой период)</t>
        </is>
      </c>
      <c r="J10" s="440" t="inlineStr">
        <is>
          <t>tail (хвостовой период)</t>
        </is>
      </c>
      <c r="K10" s="440" t="inlineStr">
        <is>
          <t>tail (хвостовой период)</t>
        </is>
      </c>
      <c r="L10" s="440" t="inlineStr">
        <is>
          <t>tail (хвостовой период)</t>
        </is>
      </c>
      <c r="M10" s="440" t="inlineStr">
        <is>
          <t>tail (хвостовой период)</t>
        </is>
      </c>
      <c r="N10" s="440" t="inlineStr">
        <is>
          <t>tail (хвостовой период)</t>
        </is>
      </c>
      <c r="O10" s="440" t="inlineStr">
        <is>
          <t>tail (хвостовой период)</t>
        </is>
      </c>
      <c r="P10" s="440" t="inlineStr">
        <is>
          <t>tail (хвостовой период)</t>
        </is>
      </c>
      <c r="Q10" s="440" t="inlineStr">
        <is>
          <t>tail (хвостовой период)</t>
        </is>
      </c>
      <c r="R10" s="440" t="inlineStr">
        <is>
          <t>tail (хвостовой период)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 (Съёмка)</t>
        </is>
      </c>
      <c r="H11" s="439" t="inlineStr">
        <is>
          <t>★Rel</t>
        </is>
      </c>
      <c r="I11" s="440" t="inlineStr">
        <is>
          <t>tail (хвостовой период)</t>
        </is>
      </c>
      <c r="J11" s="440" t="inlineStr">
        <is>
          <t>tail (хвостовой период)</t>
        </is>
      </c>
      <c r="K11" s="440" t="inlineStr">
        <is>
          <t>tail (хвостовой период)</t>
        </is>
      </c>
      <c r="L11" s="440" t="inlineStr">
        <is>
          <t>tail (хвостовой период)</t>
        </is>
      </c>
      <c r="M11" s="440" t="inlineStr">
        <is>
          <t>tail (хвостовой период)</t>
        </is>
      </c>
      <c r="N11" s="440" t="inlineStr">
        <is>
          <t>tail (хвостовой период)</t>
        </is>
      </c>
      <c r="O11" s="440" t="inlineStr">
        <is>
          <t>tail (хвостовой период)</t>
        </is>
      </c>
      <c r="P11" s="440" t="inlineStr">
        <is>
          <t>tail (хвостовой период)</t>
        </is>
      </c>
      <c r="Q11" s="440" t="inlineStr">
        <is>
          <t>tail (хвостовой период)</t>
        </is>
      </c>
      <c r="R11" s="440" t="inlineStr">
        <is>
          <t>tail (хвостовой период)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 (Съёмка)</t>
        </is>
      </c>
      <c r="H12" s="439" t="inlineStr">
        <is>
          <t>★Rel</t>
        </is>
      </c>
      <c r="I12" s="440" t="inlineStr">
        <is>
          <t>tail (хвостовой период)</t>
        </is>
      </c>
      <c r="J12" s="440" t="inlineStr">
        <is>
          <t>tail (хвостовой период)</t>
        </is>
      </c>
      <c r="K12" s="440" t="inlineStr">
        <is>
          <t>tail (хвостовой период)</t>
        </is>
      </c>
      <c r="L12" s="440" t="inlineStr">
        <is>
          <t>tail (хвостовой период)</t>
        </is>
      </c>
      <c r="M12" s="440" t="inlineStr">
        <is>
          <t>tail (хвостовой период)</t>
        </is>
      </c>
      <c r="N12" s="440" t="inlineStr">
        <is>
          <t>tail (хвостовой период)</t>
        </is>
      </c>
      <c r="O12" s="440" t="inlineStr">
        <is>
          <t>tail (хвостовой период)</t>
        </is>
      </c>
      <c r="P12" s="440" t="inlineStr">
        <is>
          <t>tail (хвостовой период)</t>
        </is>
      </c>
      <c r="Q12" s="440" t="inlineStr">
        <is>
          <t>tail (хвостовой период)</t>
        </is>
      </c>
      <c r="R12" s="440" t="inlineStr">
        <is>
          <t>tail (хвостовой период)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 (Съёмка)</t>
        </is>
      </c>
      <c r="H13" s="442" t="inlineStr">
        <is>
          <t>Post (Постпродакшн)</t>
        </is>
      </c>
      <c r="I13" s="439" t="inlineStr">
        <is>
          <t>★Rel</t>
        </is>
      </c>
      <c r="J13" s="440" t="inlineStr">
        <is>
          <t>tail (хвостовой период)</t>
        </is>
      </c>
      <c r="K13" s="440" t="inlineStr">
        <is>
          <t>tail (хвостовой период)</t>
        </is>
      </c>
      <c r="L13" s="440" t="inlineStr">
        <is>
          <t>tail (хвостовой период)</t>
        </is>
      </c>
      <c r="M13" s="440" t="inlineStr">
        <is>
          <t>tail (хвостовой период)</t>
        </is>
      </c>
      <c r="N13" s="440" t="inlineStr">
        <is>
          <t>tail (хвостовой период)</t>
        </is>
      </c>
      <c r="O13" s="440" t="inlineStr">
        <is>
          <t>tail (хвостовой период)</t>
        </is>
      </c>
      <c r="P13" s="440" t="inlineStr">
        <is>
          <t>tail (хвостовой период)</t>
        </is>
      </c>
      <c r="Q13" s="440" t="inlineStr">
        <is>
          <t>tail (хвостовой период)</t>
        </is>
      </c>
      <c r="R13" s="440" t="inlineStr">
        <is>
          <t>tail (хвостовой период)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 (Съёмка)</t>
        </is>
      </c>
      <c r="I14" s="442" t="inlineStr">
        <is>
          <t>Post (Постпродакшн)</t>
        </is>
      </c>
      <c r="J14" s="439" t="inlineStr">
        <is>
          <t>★Rel</t>
        </is>
      </c>
      <c r="K14" s="440" t="inlineStr">
        <is>
          <t>tail (хвостовой период)</t>
        </is>
      </c>
      <c r="L14" s="440" t="inlineStr">
        <is>
          <t>tail (хвостовой период)</t>
        </is>
      </c>
      <c r="M14" s="440" t="inlineStr">
        <is>
          <t>tail (хвостовой период)</t>
        </is>
      </c>
      <c r="N14" s="440" t="inlineStr">
        <is>
          <t>tail (хвостовой период)</t>
        </is>
      </c>
      <c r="O14" s="440" t="inlineStr">
        <is>
          <t>tail (хвостовой период)</t>
        </is>
      </c>
      <c r="P14" s="440" t="inlineStr">
        <is>
          <t>tail (хвостовой период)</t>
        </is>
      </c>
      <c r="Q14" s="440" t="inlineStr">
        <is>
          <t>tail (хвостовой период)</t>
        </is>
      </c>
      <c r="R14" s="440" t="inlineStr">
        <is>
          <t>tail (хвостовой период)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 (Съёмка)</t>
        </is>
      </c>
      <c r="J15" s="442" t="inlineStr">
        <is>
          <t>Post (Постпродакшн)</t>
        </is>
      </c>
      <c r="K15" s="439" t="inlineStr">
        <is>
          <t>★Rel</t>
        </is>
      </c>
      <c r="L15" s="440" t="inlineStr">
        <is>
          <t>tail (хвостовой период)</t>
        </is>
      </c>
      <c r="M15" s="440" t="inlineStr">
        <is>
          <t>tail (хвостовой период)</t>
        </is>
      </c>
      <c r="N15" s="440" t="inlineStr">
        <is>
          <t>tail (хвостовой период)</t>
        </is>
      </c>
      <c r="O15" s="440" t="inlineStr">
        <is>
          <t>tail (хвостовой период)</t>
        </is>
      </c>
      <c r="P15" s="440" t="inlineStr">
        <is>
          <t>tail (хвостовой период)</t>
        </is>
      </c>
      <c r="Q15" s="440" t="inlineStr">
        <is>
          <t>tail (хвостовой период)</t>
        </is>
      </c>
      <c r="R15" s="440" t="inlineStr">
        <is>
          <t>tail (хвостовой период)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 (Съёмка)</t>
        </is>
      </c>
      <c r="J16" s="442" t="inlineStr">
        <is>
          <t>Post (Постпродакшн)</t>
        </is>
      </c>
      <c r="K16" s="442" t="inlineStr">
        <is>
          <t>Post (Постпродакшн)</t>
        </is>
      </c>
      <c r="L16" s="439" t="inlineStr">
        <is>
          <t>★Rel</t>
        </is>
      </c>
      <c r="M16" s="440" t="inlineStr">
        <is>
          <t>tail (хвостовой период)</t>
        </is>
      </c>
      <c r="N16" s="440" t="inlineStr">
        <is>
          <t>tail (хвостовой период)</t>
        </is>
      </c>
      <c r="O16" s="440" t="inlineStr">
        <is>
          <t>tail (хвостовой период)</t>
        </is>
      </c>
      <c r="P16" s="440" t="inlineStr">
        <is>
          <t>tail (хвостовой период)</t>
        </is>
      </c>
      <c r="Q16" s="440" t="inlineStr">
        <is>
          <t>tail (хвостовой период)</t>
        </is>
      </c>
      <c r="R16" s="440" t="inlineStr">
        <is>
          <t>tail (хвостовой период)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 (Съёмка)</t>
        </is>
      </c>
      <c r="K17" s="442" t="inlineStr">
        <is>
          <t>Post (Постпродакшн)</t>
        </is>
      </c>
      <c r="L17" s="439" t="inlineStr">
        <is>
          <t>★Rel</t>
        </is>
      </c>
      <c r="M17" s="440" t="inlineStr">
        <is>
          <t>tail (хвостовой период)</t>
        </is>
      </c>
      <c r="N17" s="440" t="inlineStr">
        <is>
          <t>tail (хвостовой период)</t>
        </is>
      </c>
      <c r="O17" s="440" t="inlineStr">
        <is>
          <t>tail (хвостовой период)</t>
        </is>
      </c>
      <c r="P17" s="440" t="inlineStr">
        <is>
          <t>tail (хвостовой период)</t>
        </is>
      </c>
      <c r="Q17" s="440" t="inlineStr">
        <is>
          <t>tail (хвостовой период)</t>
        </is>
      </c>
      <c r="R17" s="440" t="inlineStr">
        <is>
          <t>tail (хвостовой период)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 (Съёмка)</t>
        </is>
      </c>
      <c r="K18" s="442" t="inlineStr">
        <is>
          <t>Post (Постпродакшн)</t>
        </is>
      </c>
      <c r="L18" s="442" t="inlineStr">
        <is>
          <t>Post (Постпродакшн)</t>
        </is>
      </c>
      <c r="M18" s="439" t="inlineStr">
        <is>
          <t>★Rel</t>
        </is>
      </c>
      <c r="N18" s="440" t="inlineStr">
        <is>
          <t>tail (хвостовой период)</t>
        </is>
      </c>
      <c r="O18" s="440" t="inlineStr">
        <is>
          <t>tail (хвостовой период)</t>
        </is>
      </c>
      <c r="P18" s="440" t="inlineStr">
        <is>
          <t>tail (хвостовой период)</t>
        </is>
      </c>
      <c r="Q18" s="440" t="inlineStr">
        <is>
          <t>tail (хвостовой период)</t>
        </is>
      </c>
      <c r="R18" s="440" t="inlineStr">
        <is>
          <t>tail (хвостовой период)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 (Съёмка)</t>
        </is>
      </c>
      <c r="L19" s="442" t="inlineStr">
        <is>
          <t>Post (Постпродакшн)</t>
        </is>
      </c>
      <c r="M19" s="439" t="inlineStr">
        <is>
          <t>★Rel</t>
        </is>
      </c>
      <c r="N19" s="440" t="inlineStr">
        <is>
          <t>tail (хвостовой период)</t>
        </is>
      </c>
      <c r="O19" s="440" t="inlineStr">
        <is>
          <t>tail (хвостовой период)</t>
        </is>
      </c>
      <c r="P19" s="440" t="inlineStr">
        <is>
          <t>tail (хвостовой период)</t>
        </is>
      </c>
      <c r="Q19" s="440" t="inlineStr">
        <is>
          <t>tail (хвостовой период)</t>
        </is>
      </c>
      <c r="R19" s="440" t="inlineStr">
        <is>
          <t>tail (хвостовой период)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 (Съёмка)</t>
        </is>
      </c>
      <c r="L20" s="442" t="inlineStr">
        <is>
          <t>Post (Постпродакшн)</t>
        </is>
      </c>
      <c r="M20" s="442" t="inlineStr">
        <is>
          <t>Post (Постпродакшн)</t>
        </is>
      </c>
      <c r="N20" s="439" t="inlineStr">
        <is>
          <t>★Rel</t>
        </is>
      </c>
      <c r="O20" s="440" t="inlineStr">
        <is>
          <t>tail (хвостовой период)</t>
        </is>
      </c>
      <c r="P20" s="440" t="inlineStr">
        <is>
          <t>tail (хвостовой период)</t>
        </is>
      </c>
      <c r="Q20" s="440" t="inlineStr">
        <is>
          <t>tail (хвостовой период)</t>
        </is>
      </c>
      <c r="R20" s="440" t="inlineStr">
        <is>
          <t>tail (хвостовой период)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 (Съёмка)</t>
        </is>
      </c>
      <c r="E22" s="445" t="inlineStr">
        <is>
          <t>Post (Постпродакшн)</t>
        </is>
      </c>
      <c r="F22" s="446" t="inlineStr">
        <is>
          <t>★Rel Release (Релиз)</t>
        </is>
      </c>
      <c r="G22" s="447" t="inlineStr">
        <is>
          <t>tail (хвостовой период) Tail (Хвостовой период) rev.</t>
        </is>
      </c>
    </row>
    <row r="24">
      <c r="B24" s="320" t="inlineStr">
        <is>
          <t>II.  ФАНДРЕЙЗИНГ И ФИНАНСОВЫЕ ВЕХИ (ФАНДРЕЙЗИНГ И ФИНАНСОВЫЕ ВЕХИ)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(Транш)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(Транш)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(Транш)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(Транш)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(капитал продюсера) (JV (совместное предприятие))</t>
        </is>
      </c>
      <c r="C35" s="449" t="inlineStr">
        <is>
          <t>600 equity (доля в капитале)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Возобновляемая кредитная линия (Возобновляемая кредитная линия)</t>
        </is>
      </c>
      <c r="C36" s="441" t="n"/>
      <c r="D36" s="441" t="n"/>
      <c r="E36" s="441" t="n"/>
      <c r="F36" s="449" t="inlineStr">
        <is>
          <t>200 ВКЛ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(Возврат 1)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(Возврат 2)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(Возврат 3)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 (Финальный возврат)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(УПРАВЛЕНИЕ И ОТЧЁТНОСТЬ)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Заседание совета (Заседание совета директоров)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(Инвестор)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(Аудит)</t>
        </is>
      </c>
      <c r="C48" s="441" t="n"/>
      <c r="D48" s="441" t="n"/>
      <c r="E48" s="441" t="n"/>
      <c r="F48" s="451" t="inlineStr">
        <is>
          <t>Audit (Аудит)</t>
        </is>
      </c>
      <c r="G48" s="441" t="n"/>
      <c r="H48" s="441" t="n"/>
      <c r="I48" s="441" t="n"/>
      <c r="J48" s="451" t="inlineStr">
        <is>
          <t>Audit (Аудит)</t>
        </is>
      </c>
      <c r="K48" s="441" t="n"/>
      <c r="L48" s="441" t="n"/>
      <c r="M48" s="441" t="n"/>
      <c r="N48" s="451" t="inlineStr">
        <is>
          <t>Audit (Аудит)</t>
        </is>
      </c>
      <c r="O48" s="451" t="inlineStr">
        <is>
          <t>Audit (Аудит)</t>
        </is>
      </c>
      <c r="P48" s="451" t="inlineStr">
        <is>
          <t>Audit (Аудит)</t>
        </is>
      </c>
      <c r="Q48" s="451" t="inlineStr">
        <is>
          <t>Audit (Аудит)</t>
        </is>
      </c>
      <c r="R48" s="451" t="inlineStr">
        <is>
          <t>Audit (Аудит)</t>
        </is>
      </c>
    </row>
    <row r="49" ht="22" customHeight="1">
      <c r="B49" s="448" t="inlineStr">
        <is>
          <t>Проверка ковенантов (Проверка ковенантов)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(Стратегический) review (Стратегический обзор)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ВЕХИ МАРШРУТОВ ВЫХОДА</t>
        </is>
      </c>
    </row>
    <row r="55">
      <c r="B55" s="321" t="inlineStr">
        <is>
          <t>Маршрут выхода (Маршрут выхода)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(Стратегический) sale (Стратегическая продажа)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(Продажа стратегу)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(первичное размещение)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 (первичное размещение)</t>
        </is>
      </c>
      <c r="R58" s="452" t="inlineStr">
        <is>
          <t>IPO (первичное размещение)</t>
        </is>
      </c>
    </row>
    <row r="59" ht="22" customHeight="1">
      <c r="B59" s="448" t="inlineStr">
        <is>
          <t>E4: Secondary (Вторичный) sale (Вторичная продажа)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 (Выкуп менеджментом)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(Гос. стратегический)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(Свёртывание/удержание)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КРИТИЧЕСКИЙ ПУТЬ</t>
        </is>
      </c>
    </row>
    <row r="67">
      <c r="B67" s="323" t="inlineStr">
        <is>
          <t>• Q1'26: T₁ Tranche (Транш)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(Транш) 2 350 → Shoot F01-F02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(Транш) 3 350 → Shoot F03-F04, Pre-production (Пре-продакшн)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(Транш) 4 300 + Release (Релиз)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(Релиз)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(Релиз) F05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(Релиз)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(Релиз)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W₅ V-D ★ activation (default (по умолчанию) v1.0.1) / W₄ premium (премия) upgrade decision / W₃ legacy (базовый вариант) fallback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(Стратегический) review (Стратегический обзор)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Исполнение выхода + полный возврат T₁ + монетизация библиотеки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(Условия сделки) + SPA</t>
        </is>
      </c>
      <c r="E84" s="455" t="inlineStr">
        <is>
          <t>Critical (Критический)</t>
        </is>
      </c>
      <c r="F84" s="323" t="inlineStr">
        <is>
          <t>CFO / Legal (Юрид.)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(Транш) 1 (250 млн ₽)</t>
        </is>
      </c>
      <c r="E85" s="455" t="inlineStr">
        <is>
          <t>Critical (Критический)</t>
        </is>
      </c>
      <c r="F85" s="323" t="inlineStr">
        <is>
          <t>CFO / Совет директоров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 (Высокий)</t>
        </is>
      </c>
      <c r="F86" s="323" t="inlineStr">
        <is>
          <t>Producer (Продюсер)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(Транш) 3 + старт съёмок F05</t>
        </is>
      </c>
      <c r="E87" s="455" t="inlineStr">
        <is>
          <t>Critical (Критический)</t>
        </is>
      </c>
      <c r="F87" s="323" t="inlineStr">
        <is>
          <t>CFO + F05 Prod (Производство)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</t>
        </is>
      </c>
      <c r="E88" s="399" t="inlineStr">
        <is>
          <t>High (Высокий)</t>
        </is>
      </c>
      <c r="F88" s="323" t="inlineStr">
        <is>
          <t>Distribution (Распределение)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 (Критический)</t>
        </is>
      </c>
      <c r="F89" s="323" t="inlineStr">
        <is>
          <t>CEO / Marketing (Маркетинг)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(Промежуточный обзор) + решение по Slate B</t>
        </is>
      </c>
      <c r="E90" s="455" t="inlineStr">
        <is>
          <t>Critical (Критический)</t>
        </is>
      </c>
      <c r="F90" s="323" t="inlineStr">
        <is>
          <t>Совет директоров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(Полный пакет завершён) + начало подготовки к выходу</t>
        </is>
      </c>
      <c r="E91" s="455" t="inlineStr">
        <is>
          <t>Critical (Критический)</t>
        </is>
      </c>
      <c r="F91" s="323" t="inlineStr">
        <is>
          <t>Совет директоров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(Проверка выполнения ковенантов) + T₁ Repayment 1</t>
        </is>
      </c>
      <c r="E92" s="455" t="inlineStr">
        <is>
          <t>Critical (Критический)</t>
        </is>
      </c>
      <c r="F92" s="323" t="inlineStr">
        <is>
          <t>CFO / Совет директоров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Финальный возврат T₁ + исполнение выхода</t>
        </is>
      </c>
      <c r="E93" s="455" t="inlineStr">
        <is>
          <t>Critical (Критический)</t>
        </is>
      </c>
      <c r="F93" s="323" t="inlineStr">
        <is>
          <t>CFO / IR / Совет директоров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КРАТКОЕ РЕЗЮМЕ (КРАТКОЕ РЕЗЮМЕ)</t>
        </is>
      </c>
    </row>
    <row r="3" ht="18" customHeight="1">
      <c r="B3" s="457" t="inlineStr">
        <is>
          <t>Холдинг кино «ТрендСтудио» — Investor Package (Инвестиционный пакет) v1.0.1 Public — 2026-04-12</t>
        </is>
      </c>
    </row>
    <row r="5" ht="22" customHeight="1">
      <c r="B5" s="458" t="inlineStr">
        <is>
          <t>I. INVESTMENT (ИНВЕСТИЦИИ) HIGHLIGHTS (КЛЮЧЕВЫЕ ПРЕИМУЩЕСТВА ИНВЕСТИЦИИ)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(Выручка) 4 545 млн ₽, GAAP (стандарты бухучёта) EBITDA (прибыль до вычетов) margin (маржа)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(капитал продюсера) 600 млн ₽ (off-P&amp;L JV (совместное предприятие) капитал)</t>
        </is>
      </c>
    </row>
    <row r="9" ht="28" customHeight="1">
      <c r="B9" s="459" t="inlineStr">
        <is>
          <t>▶</t>
        </is>
      </c>
      <c r="C9" s="460" t="inlineStr">
        <is>
          <t>GAAP (стандарты бухучёта) EBITDA (прибыль до вычетов) Σ = 2 167 млн ₽ | Net Profit (Чистая прибыль) Σ = 1 698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(стоимость предприятия) ≈ 6 038 млн ₽ на 2030, 7 маршрутов выхода (strategic / IPO (первичное размещение)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КЛЮЧЕВЫЕ МЕТРИКИ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 (онлайн-платформа)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2 009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(прибыль до вычетов) GAAP</t>
        </is>
      </c>
      <c r="D20" s="187" t="n"/>
      <c r="E20" s="328" t="inlineStr">
        <is>
          <t>2 167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Маржа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(чистые распределяемые поступления) (legacy (базовый вариант) anchor (якорь))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 (Прибыль),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 (Чистая прибыль)</t>
        </is>
      </c>
      <c r="D22" s="187" t="n"/>
      <c r="E22" s="328" t="inlineStr">
        <is>
          <t>1 698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Инвестиция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(Продюсер) Equity (Собственный капитал)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(совместное предприятие)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 (Бюджет)</t>
        </is>
      </c>
      <c r="D25" s="187" t="n"/>
      <c r="E25" s="328" t="inlineStr">
        <is>
          <t>1 747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 (Налог, 7 лет)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 (Выручка)</t>
        </is>
      </c>
      <c r="J26" s="186" t="n"/>
      <c r="K26" s="186" t="n"/>
      <c r="L26" s="186" t="n"/>
      <c r="M26" s="186" t="n"/>
      <c r="N26" s="187" t="n"/>
    </row>
    <row r="27">
      <c r="B27" s="588" t="n"/>
      <c r="C27" s="592" t="inlineStr">
        <is>
          <t>Investor Returns (Доходность инвестора) T₁ (W₅ V-D ★ default (по умолчанию) v1.0.1)</t>
        </is>
      </c>
      <c r="D27" s="588" t="n"/>
      <c r="E27" s="588" t="inlineStr">
        <is>
          <t>IRR (внутренняя норма доходности) 24.75% · MOIC (мультипликатор вложенного капитала) 2.13× · Payback (Окупаемость) 3.21y</t>
        </is>
      </c>
      <c r="F27" s="588" t="n"/>
      <c r="G27" s="588" t="inlineStr">
        <is>
          <t>24_Investor_Returns</t>
        </is>
      </c>
      <c r="H27" s="588" t="n"/>
      <c r="I27" s="588" t="inlineStr">
        <is>
          <t>W₅ V-D + A+C 33/45/9/13; MC N=5 000 sims; дислеймер V.1-V.4</t>
        </is>
      </c>
      <c r="J27" s="588" t="n"/>
    </row>
    <row r="29" ht="22" customHeight="1">
      <c r="B29" s="466" t="inlineStr">
        <is>
          <t>III. VALUATION (ОЦЕНКА) RANGE INTERPRETATION (DCF (дисконтированный денежный поток)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(стоимость предприятия)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(дисконтированный денежный поток)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 (средневзвешенная стоимость капитала))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Медиана Comps (EV (стоимость предприятия)/EBITDA (прибыль до вычетов)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Рыночная оценка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(стоимость предприятия)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(Ожидаемая стоимость)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(дисконтированный денежный поток)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 Cash (Денежные средства) flow из tail (хвостовой период)-окна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(средневзвешенная стоимость капитала) 19% vs buyer WACC 7%</t>
        </is>
      </c>
      <c r="D43" s="186" t="n"/>
      <c r="E43" s="187" t="n"/>
      <c r="F43" s="471" t="inlineStr">
        <is>
          <t>Страновой premium (премия) РФ «съедает» дальний tail (хвостовой период). Strategic (Стратегический) buyer дисконтирует тот же CF stream под 7–9%, получая принципиально другой NPV (чистая приведённая стоимость).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(дисконтированный денежный поток)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(Исполнение) risk — двойное начисление</t>
        </is>
      </c>
      <c r="D45" s="186">
        <v>1625</v>
      </c>
      <c r="E45" s="187" t="n"/>
      <c r="F45" s="471">
        <v>1274</v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>
        <v>2167</v>
      </c>
      <c r="E46" s="187" t="n"/>
      <c r="F46" s="471">
        <v>1698</v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>
        <v>2709</v>
      </c>
      <c r="E47" s="186" t="n"/>
      <c r="F47" s="186">
        <v>2122</v>
      </c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(дисконтированный денежный поток) 1 815 млн ₽ — floor valuation. Используется как downside benchmark при worst-case переговорах, не как fair exit price.
• Comps median 7 550 млн ₽ — market valuation. Используется как upside anchor (якорь) для блокировки нижней границы предложения.
• Weighted Exit EV (стоимость предприятия) 6 038 млн ₽ (probability-weighted) — expected value, оптимальный ориентир для переговоров и дизайна деал-структуры. Именно этот value закладывается в Investor Returns (Доходность инвестора) (24_Investor_Returns) и IRR (внутренняя норма доходности) расчёты.</t>
        </is>
      </c>
    </row>
    <row r="53" ht="22" customHeight="1">
      <c r="B53" s="458" t="inlineStr">
        <is>
          <t>IV.  СВОДКА РИСКОВ (СВОДКА РИСКОВ)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 (Балл)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Downside (Нижний сценарий) risk NDP (чистые распределяемые поступления) shortfall — Bear (Пессимистичный) NDP=1800 даёт W₅ V-D IRR (внутренняя норма доходности) 10.70% &lt;&lt; 18% hurdle (порог)</t>
        </is>
      </c>
      <c r="D56" s="186" t="n"/>
      <c r="E56" s="186" t="n"/>
      <c r="F56" s="187" t="n"/>
      <c r="G56" s="471" t="inlineStr">
        <is>
          <t>Financial (Финансовый)</t>
        </is>
      </c>
      <c r="H56" s="187" t="n"/>
      <c r="I56" s="478" t="inlineStr">
        <is>
          <t>3×4</t>
        </is>
      </c>
      <c r="J56" s="479" t="inlineStr">
        <is>
          <t>12 (Высокий)</t>
        </is>
      </c>
      <c r="K56" s="187" t="n"/>
      <c r="L56" s="471" t="inlineStr">
        <is>
          <t>Hurdle (Порог) target NDP (чистые распределяемые поступления) ≥ 2 402 (W₅ V-D break-even @18%); Liq Pref (Ликвидационная привилегия) 1×=1250 защищает капитал; downside scenarios см. 27_Scenario_Analysis + 24_IR Section V.1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 (Производство)</t>
        </is>
      </c>
      <c r="H57" s="187" t="n"/>
      <c r="I57" s="478" t="inlineStr">
        <is>
          <t>3×4</t>
        </is>
      </c>
      <c r="J57" s="416" t="inlineStr">
        <is>
          <t>12 (Высокий)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 (Регуляторный)</t>
        </is>
      </c>
      <c r="H58" s="187" t="n"/>
      <c r="I58" s="478" t="inlineStr">
        <is>
          <t>4×3</t>
        </is>
      </c>
      <c r="J58" s="416" t="inlineStr">
        <is>
          <t>12 (Высокий)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Рынок</t>
        </is>
      </c>
      <c r="H59" s="187" t="n"/>
      <c r="I59" s="478" t="inlineStr">
        <is>
          <t>3×4</t>
        </is>
      </c>
      <c r="J59" s="416" t="inlineStr">
        <is>
          <t>12 (Высокий)</t>
        </is>
      </c>
      <c r="K59" s="187" t="n"/>
      <c r="L59" s="471" t="inlineStr">
        <is>
          <t>VFX (визуальные эффекты)/post-prod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 (Операционный)</t>
        </is>
      </c>
      <c r="H60" s="187" t="n"/>
      <c r="I60" s="478" t="inlineStr">
        <is>
          <t>2×5</t>
        </is>
      </c>
      <c r="J60" s="416" t="inlineStr">
        <is>
          <t>10 (Высокий)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(Стратегический) sale (Стратегическая продажа)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 (стоимость предприятия)/EBITDA (прибыль до вычетов) 9–11×, премия за контроль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(Стратегический) sale (Стратегическая продажа)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 (стоимость предприятия)/EBITDA (прибыль до вычетов) 7–9×, премия за вертикальную интеграцию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(первичное размещение)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(Свободное обращение)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(Вторичный) placement (Вторичное размещение)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 (частичный выход), roll-over (перевод)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(Выкуп по программе ESOP)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 (премия)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Обратный выкуп (Обратный выкуп) (sponsor put option (пут-опцион спонсора))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(Нижний сценарий) protection, IRR (внутренняя норма доходности)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Открытый вторичный рынок (Открытый вторичный рынок)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 (Сохранение контроля), drag-along terms (условия принудительной продажи)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 РЕКОМЕНДАЦИЯ (РЕКОМЕНДАЦИЯ)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(Релиз) 2027Q3 — 300 млн ₽). Waterfall (Каскад) DEFAULT (ПО УМОЛЧАНИЮ) = W₃ (1× Liq Pref (Ликвидационная привилегия) + 8% coupon (купон) + 60/40): Base (Базовый) IRR (внутренняя норма доходности) 18.04% = hurdle (порог) 18% ровно, MOIC (мультипликатор вложенного капитала) 2.00×, Payback (Окупаемость) 3.75 лет. Премиум-опция W₄ (1× Liq Pref + 12% preferred × 5y + 65/35): Base (Базовый) IRR (внутренняя норма доходности) 19.73%, MOIC (мультипликатор вложенного капитала) 2.12× — для LP (ограниченный партнёр), требующих enhanced downside protection. Выбор W₃ vs W₄ — предмет переговоров; W₃ default (по умолчанию)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(Краткое резюме)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(ГЛОССАРИЙ)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 (прибыль до вычетов)</t>
        </is>
      </c>
      <c r="D6" s="471" t="inlineStr">
        <is>
          <t>Earnings Before Interest (Проценты), Taxes (Налоги), Depreciation (Амортизация), Amortization (Амортизация) — прибыль до вычета процентов, налогов и амортизации. В этой модели — GAAP (стандарты бухучёта) EBITDA (прибыль до вычетов),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(стандарты бухучёта) EBITDA (прибыль до вычетов)</t>
        </is>
      </c>
      <c r="D7" s="471" t="inlineStr">
        <is>
          <t>EBITDA (прибыль до вычетов),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 (чистые распределяемые поступления)</t>
        </is>
      </c>
      <c r="D8" s="471" t="inlineStr">
        <is>
          <t>Non-Discounted Profit (Прибыль) — недисконтированная прибыль холдинга, внутренний якорь финмодели. В ТрендСтудио = 3 000 млн ₽ (legacy (базовый вариант) anchor (якорь)).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 (Выручка)</t>
        </is>
      </c>
      <c r="D9" s="471" t="inlineStr">
        <is>
          <t>Выручка — совокупные денежные поступления от реализации (прокат, TV/OTT (онлайн-платформа)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 (себестоимость)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(Операционные расходы)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 (Капзатраты)</t>
        </is>
      </c>
      <c r="D12" s="471" t="inlineStr">
        <is>
          <t>Capital (Капитал)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 (Чистая прибыль)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(Денежные средства) Flow (FCF)</t>
        </is>
      </c>
      <c r="D14" s="471" t="inlineStr">
        <is>
          <t>Свободный денежный поток = Operating CF − CAPEX (Капзатраты). Ключевая метрика для DCF (дисконтированный денежный поток)-оценки.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 (Оборотный капитал)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 (средневзвешенная стоимость капитала)</t>
        </is>
      </c>
      <c r="D16" s="471" t="inlineStr">
        <is>
          <t>Weighted Average Cost of Capital (Капитал)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 (дисконтированный денежный поток)</t>
        </is>
      </c>
      <c r="D17" s="471" t="inlineStr">
        <is>
          <t>Discounted Cash Flow (Дисконтированный денежный поток) — метод оценки через дисконтирование будущих денежных потоков по WACC (средневзвешенная стоимость капитала).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 (чистая приведённая стоимость)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 (внутренняя норма доходности)</t>
        </is>
      </c>
      <c r="D19" s="471" t="inlineStr">
        <is>
          <t>Internal (Внутренний) Rate of Return — внутренняя норма доходности. Ставка, при которой NPV (чистая приведённая стоимость) = 0. Hurdle (Порог)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(Мультипликатор) of Invested Capital (Капитал) — множитель на вложенный капитал = Exit value / Investment (Инвестиция).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(Окупаемость) Period</t>
        </is>
      </c>
      <c r="D21" s="471" t="inlineStr">
        <is>
          <t>Срок окупаемости — количество периодов до возврата инвестиции. В ТрендСтудио Base (Базовый)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 (стоимость предприятия)</t>
        </is>
      </c>
      <c r="D22" s="471" t="inlineStr">
        <is>
          <t>Enterprise Value (Стоимость предприятия) — стоимость бизнеса = Equity (Собственный капитал) Value + Net Debt (Долг). Используется в multiples (EV (стоимость предприятия)/EBITDA (прибыль до вычетов), EV (стоимость предприятия)/Revenue (Выручка)).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 (стоимость предприятия)/EBITDA (прибыль до вычетов)</t>
        </is>
      </c>
      <c r="D23" s="471" t="inlineStr">
        <is>
          <t>Мультипликатор оценки: EV (стоимость предприятия) делённый на EBITDA (прибыль до вычетов).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(Модель Гордона) TV</t>
        </is>
      </c>
      <c r="D24" s="471" t="inlineStr">
        <is>
          <t>Модель терминальной стоимости при постоянном росте g. TV = FCF_last × (1 + g) / (WACC (средневзвешенная стоимость капитала)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(Мультипликатор выхода) TV</t>
        </is>
      </c>
      <c r="D25" s="471" t="inlineStr">
        <is>
          <t>Альтернативная TV через множитель на EBITDA (прибыль до вычетов) последнего года прогноза. В модели 6.5× EBITDA (EBITDA).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(Монте-Карло) Simulation (Симуляция)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 (РИСК)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(Риск)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 (РИСК)</t>
        </is>
      </c>
      <c r="N27" s="187" t="n"/>
    </row>
    <row r="28" ht="58" customHeight="1">
      <c r="B28" s="484" t="n">
        <v>23</v>
      </c>
      <c r="C28" s="485" t="inlineStr">
        <is>
          <t>CVaR (условный VaR)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 (РИСК)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 (РИСК)</t>
        </is>
      </c>
      <c r="N29" s="187" t="n"/>
    </row>
    <row r="30" ht="63" customHeight="1">
      <c r="B30" s="484" t="n">
        <v>25</v>
      </c>
      <c r="C30" s="485" t="inlineStr">
        <is>
          <t>Tornado Analysis (Торнадо-анализ)</t>
        </is>
      </c>
      <c r="D30" s="471" t="inlineStr">
        <is>
          <t>Sensitivity (Чувствительность)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 (РИСК)</t>
        </is>
      </c>
      <c r="N30" s="187" t="n"/>
    </row>
    <row r="31" ht="58" customHeight="1">
      <c r="B31" s="484" t="n">
        <v>26</v>
      </c>
      <c r="C31" s="485" t="inlineStr">
        <is>
          <t>Risk (Риск) Score (Балл)</t>
        </is>
      </c>
      <c r="D31" s="471" t="inlineStr">
        <is>
          <t>Severity (Серьёзность) × Likelihood (Вероятность)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 (РИСК)</t>
        </is>
      </c>
      <c r="N31" s="187" t="n"/>
    </row>
    <row r="32" ht="59" customHeight="1">
      <c r="B32" s="484" t="n">
        <v>27</v>
      </c>
      <c r="C32" s="485" t="inlineStr">
        <is>
          <t>Тепловая карта (Тепловая карта)</t>
        </is>
      </c>
      <c r="D32" s="471" t="inlineStr">
        <is>
          <t>Визуализация рисков в матрице 5×5 (Severity (Серьёзность) × Likelihood (Вероятность))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 (РИСК)</t>
        </is>
      </c>
      <c r="N32" s="187" t="n"/>
    </row>
    <row r="33" ht="54" customHeight="1">
      <c r="B33" s="484" t="n">
        <v>28</v>
      </c>
      <c r="C33" s="485" t="inlineStr">
        <is>
          <t>Hurdle (Порог)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 (РИСК)</t>
        </is>
      </c>
      <c r="N33" s="187" t="n"/>
    </row>
    <row r="34" ht="56" customHeight="1">
      <c r="B34" s="484" t="n">
        <v>29</v>
      </c>
      <c r="C34" s="485" t="inlineStr">
        <is>
          <t>LP (ограниченный партнёр) (Limited Partner)</t>
        </is>
      </c>
      <c r="D34" s="471" t="inlineStr">
        <is>
          <t>Инвестор-участник фонда / JV (совместное предприятие)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 (СДЕЛКА)</t>
        </is>
      </c>
      <c r="N34" s="187" t="n"/>
    </row>
    <row r="35" ht="54" customHeight="1">
      <c r="B35" s="484" t="n">
        <v>30</v>
      </c>
      <c r="C35" s="485" t="inlineStr">
        <is>
          <t>GP (генеральный партнёр)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 (СДЕЛКА)</t>
        </is>
      </c>
      <c r="N35" s="187" t="n"/>
    </row>
    <row r="36" ht="48" customHeight="1">
      <c r="B36" s="484" t="n">
        <v>31</v>
      </c>
      <c r="C36" s="485" t="inlineStr">
        <is>
          <t>Preferred Return (Привилегированный доход)</t>
        </is>
      </c>
      <c r="D36" s="471" t="inlineStr">
        <is>
          <t>Минимальная гарантированная доходность LP (ограниченный партнёр) до выплаты GP (генеральный партнёр).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 (СДЕЛКА)</t>
        </is>
      </c>
      <c r="N36" s="187" t="n"/>
    </row>
    <row r="37" ht="55" customHeight="1">
      <c r="B37" s="484" t="n">
        <v>32</v>
      </c>
      <c r="C37" s="485" t="inlineStr">
        <is>
          <t>Waterfall (Каскад)</t>
        </is>
      </c>
      <c r="D37" s="471" t="inlineStr">
        <is>
          <t>Структура распределения cash flow между LP (ограниченный партнёр) / GP (генеральный партнёр)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 (СДЕЛКА)</t>
        </is>
      </c>
      <c r="N37" s="187" t="n"/>
    </row>
    <row r="38" ht="55" customHeight="1">
      <c r="B38" s="484" t="n">
        <v>33</v>
      </c>
      <c r="C38" s="485" t="inlineStr">
        <is>
          <t>Оговорка о полной компенсации (Оговорка о полной компенсации)</t>
        </is>
      </c>
      <c r="D38" s="471" t="inlineStr">
        <is>
          <t>Защитная оговорка: при досрочном выходе эмитент компенсирует LP (ограниченный партнёр)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 (СДЕЛКА)</t>
        </is>
      </c>
      <c r="N38" s="187" t="n"/>
    </row>
    <row r="39" ht="56" customHeight="1">
      <c r="B39" s="484" t="n">
        <v>34</v>
      </c>
      <c r="C39" s="485" t="inlineStr">
        <is>
          <t>Cap Table (Таблица капитализации)</t>
        </is>
      </c>
      <c r="D39" s="471" t="inlineStr">
        <is>
          <t>Таблица капитализации — распределение долей между всеми акционерами/LP (ограниченный партнёр).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 (СДЕЛКА)</t>
        </is>
      </c>
      <c r="N39" s="187" t="n"/>
    </row>
    <row r="40" ht="55" customHeight="1">
      <c r="B40" s="484" t="n">
        <v>35</v>
      </c>
      <c r="C40" s="485" t="inlineStr">
        <is>
          <t>Drag-Along (Право принудительной продажи)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 (СДЕЛКА)</t>
        </is>
      </c>
      <c r="N40" s="187" t="n"/>
    </row>
    <row r="41" ht="49" customHeight="1">
      <c r="B41" s="484" t="n">
        <v>36</v>
      </c>
      <c r="C41" s="485" t="inlineStr">
        <is>
          <t>Tag-Along (Право присоединения к продаже)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 (СДЕЛКА)</t>
        </is>
      </c>
      <c r="N41" s="187" t="n"/>
    </row>
    <row r="42" ht="58" customHeight="1">
      <c r="B42" s="484" t="n">
        <v>37</v>
      </c>
      <c r="C42" s="485" t="inlineStr">
        <is>
          <t>ESOP (Программа акций)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 (СДЕЛКА)</t>
        </is>
      </c>
      <c r="N42" s="187" t="n"/>
    </row>
    <row r="43" ht="48" customHeight="1">
      <c r="B43" s="484" t="n">
        <v>38</v>
      </c>
      <c r="C43" s="485" t="inlineStr">
        <is>
          <t>Term Sheet (Условия сделки)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 (СДЕЛКА)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(Доля)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 (СДЕЛКА)</t>
        </is>
      </c>
      <c r="N44" s="187" t="n"/>
    </row>
    <row r="45" ht="60" customHeight="1">
      <c r="B45" s="484" t="n">
        <v>40</v>
      </c>
      <c r="C45" s="485" t="inlineStr">
        <is>
          <t>Tranche (Транш)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 (СДЕЛКА)</t>
        </is>
      </c>
      <c r="N45" s="187" t="n"/>
    </row>
    <row r="46" ht="40" customHeight="1">
      <c r="B46" s="484" t="n">
        <v>41</v>
      </c>
      <c r="C46" s="485" t="inlineStr">
        <is>
          <t>Box Office (Кассовые сборы)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КИНО (КИНО)</t>
        </is>
      </c>
      <c r="N46" s="187" t="n"/>
    </row>
    <row r="47" ht="55" customHeight="1">
      <c r="B47" s="484" t="n">
        <v>42</v>
      </c>
      <c r="C47" s="485" t="inlineStr">
        <is>
          <t>P&amp;A (тиражирование и реклама)</t>
        </is>
      </c>
      <c r="D47" s="471" t="inlineStr">
        <is>
          <t>Prints &amp; Advertising (Тиражирование и реклама)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КИНО (КИНО)</t>
        </is>
      </c>
      <c r="N47" s="187" t="n"/>
    </row>
    <row r="48" ht="51" customHeight="1">
      <c r="B48" s="484" t="n">
        <v>43</v>
      </c>
      <c r="C48" s="485" t="inlineStr">
        <is>
          <t>Theatrical Window (Кинотеатральное окно)</t>
        </is>
      </c>
      <c r="D48" s="471" t="inlineStr">
        <is>
          <t>Эксклюзивный кинотеатральный релиз (обычно 45–90 дней) до выхода на VOD / OTT (онлайн-платформа).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КИНО (КИНО)</t>
        </is>
      </c>
      <c r="N48" s="187" t="n"/>
    </row>
    <row r="49" ht="53" customHeight="1">
      <c r="B49" s="484" t="n">
        <v>44</v>
      </c>
      <c r="C49" s="485" t="inlineStr">
        <is>
          <t>VOD / OTT (онлайн-платформа)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КИНО (КИНО)</t>
        </is>
      </c>
      <c r="N49" s="187" t="n"/>
    </row>
    <row r="50" ht="63" customHeight="1">
      <c r="B50" s="484" t="n">
        <v>45</v>
      </c>
      <c r="C50" s="485" t="inlineStr">
        <is>
          <t>Slate Financing (Пакетное финансирование)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КИНО (КИНО)</t>
        </is>
      </c>
      <c r="N50" s="187" t="n"/>
    </row>
    <row r="51" ht="57" customHeight="1">
      <c r="B51" s="484" t="n">
        <v>46</v>
      </c>
      <c r="C51" s="485" t="inlineStr">
        <is>
          <t>Разработка (Разработка)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КИНО (КИНО)</t>
        </is>
      </c>
      <c r="N51" s="187" t="n"/>
    </row>
    <row r="52" ht="51" customHeight="1">
      <c r="B52" s="484" t="n">
        <v>47</v>
      </c>
      <c r="C52" s="485" t="inlineStr">
        <is>
          <t>Principal Photography (Основные съёмки)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КИНО (КИНО)</t>
        </is>
      </c>
      <c r="N52" s="187" t="n"/>
    </row>
    <row r="53" ht="43" customHeight="1">
      <c r="B53" s="484" t="n">
        <v>48</v>
      </c>
      <c r="C53" s="485" t="inlineStr">
        <is>
          <t>Post-Production (Постпродакшн)</t>
        </is>
      </c>
      <c r="D53" s="471" t="inlineStr">
        <is>
          <t>Монтаж, VFX (визуальные эффекты),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КИНО (КИНО)</t>
        </is>
      </c>
      <c r="N53" s="187" t="n"/>
    </row>
    <row r="54" ht="55" customHeight="1">
      <c r="B54" s="484" t="n">
        <v>49</v>
      </c>
      <c r="C54" s="485" t="inlineStr">
        <is>
          <t>Producer (Продюсер) Equity (Собственный капитал)</t>
        </is>
      </c>
      <c r="D54" s="471" t="inlineStr">
        <is>
          <t>Капитал продюсеров в JV (совместное предприятие)-структуре.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КИНО (КИНО)</t>
        </is>
      </c>
      <c r="N54" s="187" t="n"/>
    </row>
    <row r="55" ht="56" customHeight="1">
      <c r="B55" s="484" t="n">
        <v>50</v>
      </c>
      <c r="C55" s="485" t="inlineStr">
        <is>
          <t>Library Value (Стоимость библиотеки)</t>
        </is>
      </c>
      <c r="D55" s="471" t="inlineStr">
        <is>
          <t>Стоимость накопленного каталога фильмов — источник tail (хвостовой период)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КИНО (КИНО)</t>
        </is>
      </c>
      <c r="N55" s="187" t="n"/>
    </row>
    <row r="56" ht="54" customHeight="1">
      <c r="B56" s="484" t="n">
        <v>51</v>
      </c>
      <c r="C56" s="485" t="inlineStr">
        <is>
          <t>Sequel Rights (Права на сиквел)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КИНО (КИНО)</t>
        </is>
      </c>
      <c r="N56" s="187" t="n"/>
    </row>
    <row r="57" ht="61" customHeight="1">
      <c r="B57" s="484" t="n">
        <v>52</v>
      </c>
      <c r="C57" s="485" t="inlineStr">
        <is>
          <t>Co-Production (Копродукция)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КИНО (КИНО)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КИНО (КИНО)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ПРИМЕЧАНИЯ И ИСТОЧНИКИ (ПРИМЕЧАНИЯ И ИСТОЧНИКИ)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и A2 (JV (совместное предприятие)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(себестоимость) включает прямые производственные + прокатные + маркетинг. Split (Разделение) по категориям: производство 72%, прокат/P&amp;A (тиражирование и реклама)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(Кассовые сборы) 55%, TV/OTT (онлайн-платформа)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(стандарты бухучёта) EBITDA (прибыль до вычетов) 2 152 + legacy (базовый вариант) NDP (чистые распределяемые поступления) 3 000. Reconciliation bridge в нижней части листа показывает 848 млн ₽ разницы через: (+) JV (совместное предприятие) equity (доля в капитале), (−) D&amp;A (амортизация),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method. Working capital (капитал)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(капитал продюсера) 600 млн ₽ — off-P&amp;L JV (совместное предприятие) capital (капитал),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(ограниченный партнёр) return of capital (капитал), (2) LP preferred 12%, (3) GP (генеральный партнёр) catch-up 20%, (4) 80/20 split (разделение).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 (Мультипликатор выхода). g=3%, exit mult 6.5×, WACC (средневзвешенная стоимость капитала) 19%. Quick note «Why DCF (дисконтированный денежный поток)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 (стоимость предприятия)/EBITDA (прибыль до вычетов)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(стоимость предприятия)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(Кассовые сборы) revenue (±420 на EBITDA (прибыль до вычетов)).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(Базовый)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 (Финансовый), Regulatory (Регуляторный), Operational (Операционный)).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(ключевые показатели)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(ключевые показатели)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 (хвостовой период).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(Кассовые сборы)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ГЛОБАЛЬНЫЙ (ГЛОБАЛЬНЫЙ)</t>
        </is>
      </c>
      <c r="C46" s="493" t="inlineStr">
        <is>
          <t>Box Office (Кассовые сборы) Mojo / IMDb Pro</t>
        </is>
      </c>
      <c r="D46" s="187" t="n"/>
      <c r="E46" s="471" t="inlineStr">
        <is>
          <t>Global benchmarks (мировые бенчмарки), кастинг, продакшн-кредиты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ГЛОБАЛЬНЫЙ (ГЛОБАЛЬНЫЙ)</t>
        </is>
      </c>
      <c r="C47" s="493" t="inlineStr">
        <is>
          <t>Variety Intelligence Platform (Аналитическая платформа Variety)</t>
        </is>
      </c>
      <c r="D47" s="187" t="n"/>
      <c r="E47" s="471" t="inlineStr">
        <is>
          <t>Industry analytics (Отраслевая аналитика), deal tracking (отслеживание сделок)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ГЛОБАЛЬНЫЙ (ГЛОБАЛЬНЫЙ)</t>
        </is>
      </c>
      <c r="C48" s="493" t="inlineStr">
        <is>
          <t>S&amp;P Capital (Капитал) IQ</t>
        </is>
      </c>
      <c r="D48" s="187" t="n"/>
      <c r="E48" s="471" t="inlineStr">
        <is>
          <t>EV (стоимость предприятия)/EBITDA (прибыль до вычетов)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ГЛОБАЛЬНЫЙ (ГЛОБАЛЬНЫЙ)</t>
        </is>
      </c>
      <c r="C49" s="493" t="inlineStr">
        <is>
          <t>Mergermarket / PitchBook</t>
        </is>
      </c>
      <c r="D49" s="187" t="n"/>
      <c r="E49" s="471" t="inlineStr">
        <is>
          <t>M&amp;A (слияния и поглощения)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АКАДЕМИЧЕСКИЙ (АКАДЕМИЧЕСКИЙ)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ВНУТРЕННИЙ (ВНУТРЕННИЙ)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(чистые распределяемые поступления)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 ОТКАЗ ОТ ОТВЕТСТВЕННОСТИ (ОТКАЗ ОТ ОТВЕТСТВЕННОСТИ)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(Инвестиционный пакет)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 (стоимость предприятия),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(дисконтированный денежный поток)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(Капитал)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 ИСТОРИЯ ВЕРСИЙ (ИСТОРИЯ ВЕРСИЙ)</t>
        </is>
      </c>
    </row>
    <row r="63" ht="22" customHeight="1">
      <c r="B63" s="321" t="inlineStr">
        <is>
          <t>Version (Версия)</t>
        </is>
      </c>
      <c r="C63" s="186" t="n"/>
      <c r="D63" s="187" t="n"/>
      <c r="E63" s="321" t="inlineStr">
        <is>
          <t>Date (Дата)</t>
        </is>
      </c>
      <c r="F63" s="186" t="n"/>
      <c r="G63" s="187" t="n"/>
      <c r="H63" s="321" t="inlineStr">
        <is>
          <t>Changes (Изменения)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(Инвестиционный пакет)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(СОДЕРЖАНИЕ) / СОДЕРЖАНИЕ</t>
        </is>
      </c>
    </row>
    <row r="3" ht="18" customHeight="1">
      <c r="B3" s="457" t="inlineStr">
        <is>
          <t>Investor Package (Инвестиционный пакет) v1.0 Public — 42 листа — hyperlinks</t>
        </is>
      </c>
    </row>
    <row r="5" ht="22" customHeight="1">
      <c r="B5" s="458" t="inlineStr">
        <is>
          <t>A. TITLE &amp; META (ТИТУЛ И МЕТА)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 (СТРУКТУРА ЗАТРАТ)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(совместное предприятие)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(себестоимость)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(ВЫРУЧКА) &amp; PIPELINE (ВЫРУЧКА И ПОРТФЕЛЬ)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 (ФИНАНСЫ)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(стандарты бухучёта) EBITDA (прибыль до вычетов) 2 152 + NDP (чистые распределяемые поступления)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(Отчёт о движении денежных средств)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 (ИНВЕСТИЦИИ)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 (Капзатраты)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(совместное предприятие) + Producer equity (капитал продюсера)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(ограниченный партнёр)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 (ключевые показатели)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 (ОЦЕНКА)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(дисконтированный денежный поток)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 (стоимость предприятия)/EBITDA (прибыль до вычетов)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(внутренняя норма доходности) для LP (ограниченный партнёр)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(стоимость предприятия)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 (РИСКИ И ЧУВСТВИТЕЛЬНОСТЬ)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 РЫНОК И БЕНЧМАРКИ (РЫНОК И БЕНЧМАРКИ)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(ключевые показатели)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 (мировых прецедентов)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 (УПРАВЛЕНИЕ, НАЛОГИ, ДОРОЖНАЯ КАРТА)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(ключевые показатели)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(фандрайзинг) + exit (выход)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 (РЕЗЮМЕ И ГЛОССАРИЙ)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 (СЕРВИС)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(Содержание)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(Области печати) + page breaks (разрывы страниц)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 (ограниченный партнёр)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ref="C8" r:id="rId1"/>
    <hyperlink ref="C9" r:id="rId2"/>
    <hyperlink ref="C10" r:id="rId3"/>
    <hyperlink ref="C15" r:id="rId4"/>
    <hyperlink ref="C16" r:id="rId5"/>
    <hyperlink ref="C17" r:id="rId6"/>
    <hyperlink ref="C22" r:id="rId7"/>
    <hyperlink ref="C23" r:id="rId8"/>
    <hyperlink ref="C28" r:id="rId9"/>
    <hyperlink ref="C29" r:id="rId10"/>
    <hyperlink ref="C30" r:id="rId11"/>
    <hyperlink ref="C31" r:id="rId12"/>
    <hyperlink ref="C32" r:id="rId13"/>
    <hyperlink ref="C37" r:id="rId14"/>
    <hyperlink ref="C38" r:id="rId15"/>
    <hyperlink ref="C39" r:id="rId16"/>
    <hyperlink ref="C40" r:id="rId17"/>
    <hyperlink ref="C41" r:id="rId18"/>
    <hyperlink ref="C42" r:id="rId19"/>
    <hyperlink ref="C47" r:id="rId20"/>
    <hyperlink ref="C48" r:id="rId21"/>
    <hyperlink ref="C53" r:id="rId22"/>
    <hyperlink ref="C54" r:id="rId23"/>
    <hyperlink ref="C55" r:id="rId24"/>
    <hyperlink ref="C56" r:id="rId25"/>
    <hyperlink ref="C61" r:id="rId26"/>
    <hyperlink ref="C62" r:id="rId27"/>
    <hyperlink ref="C63" r:id="rId28"/>
    <hyperlink ref="C64" r:id="rId29"/>
    <hyperlink ref="C69" r:id="rId30"/>
    <hyperlink ref="C70" r:id="rId31"/>
    <hyperlink ref="C71" r:id="rId32"/>
    <hyperlink ref="C76" r:id="rId33"/>
    <hyperlink ref="C77" r:id="rId34"/>
    <hyperlink ref="C78" r:id="rId35"/>
    <hyperlink ref="C83" r:id="rId36"/>
    <hyperlink ref="C84" r:id="rId37"/>
    <hyperlink ref="C85" r:id="rId38"/>
    <hyperlink ref="C90" r:id="rId39"/>
    <hyperlink ref="C91" r:id="rId40"/>
    <hyperlink ref="C92" r:id="rId41"/>
    <hyperlink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ИНВЕСТОР (ИНВЕСТОР) DUE DILIGENCE CHECKLIST (ЧЕК-ЛИСТ КОМПЛЕКСНОЙ ПРОВЕРКИ)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(стандарты бухучёта) EBITDA (прибыль до вычетов) 2 152 vs NDP (чистые распределяемые поступления)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(Выручка) split (разделение) (Box Office (Кассовые сборы) 55% / OTT (онлайн-платформа)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(себестоимость)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(хвостовой период)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(капитал продюсера) 600 млн ₽ — подтвердить off-P&amp;L статус (JV (совместное предприятие) capital (капитал))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(Таблица капитализации)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(Каскад) W₅ V-D ★ default (по умолчанию) v1.0.1 (1× Liq Pref (Ликвидационная привилегия) + 12% pref × 5y + catch-up 70/30 + carry 60/40); legacy (базовый вариант) W₃ (8% coupon (купон)) и W₄ premium (премия) (12% pref + 65/35) доступны как опции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(Использование средств)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(Капзатраты)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(дисконтированный денежный поток) blend 40% Gordon + 60% Exit Multiple (Мультипликатор выхода)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(средневзвешенная стоимость капитала)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 (стоимость предприятия)/EBITDA (прибыль до вычетов)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(стоимость предприятия)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 (Доходность инвестора): MOIC (мультипликатор вложенного капитала) 2.13× (W₅ V-D ★) / 2.00× (W₃ legacy (базовый вариант)) / 2.12× (W₄), IRR (внутренняя норма доходности) 24.75% (W₅ V-D vs hurdle (порог) 18%, margin (маржа) +6.75pp)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W₅ V-D Base (Базовый) = 24.75% (margin (маржа) к hurdle (порог)), Bear (Пессимистичный)=10.70% (структурный downside))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 (Монте-Карло) v1.0.1: N=5000, W₅ V-D ★ + A+C pattern (паттерн) 33/45/9/13, P(IRR (внутренняя норма доходности)&gt;18%) = 32.7%, VaR 95% NDP (чистые распределяемые поступления) shortfall, sensitivity grid 5×5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 (прибыль до вычетов)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 (Базовый)/Opt/Best)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289,8 / SAM 118 / SOM 4,545 — обоснование определения SAM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 (Бенчмарк): ТрендСтудио EBITDA (прибыль до вычетов) margin (маржа)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 (стоимость предприятия)/EBITDA (прибыль до вычетов)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(мир. прецедентов) — 9,8× медиана, blend 8,9×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(среднегодовой темп роста)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(Выручка)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(контрольных точек соответствия)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 (Релиз))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(направления корпоративного управления) (Совет директоров,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(Критический)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(Стратегический)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(ограниченный партнёр)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Совет директоров composition: 2 LP (ограниченный партнёр)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НАСТРОЙКИ ПЕЧАТИ (НАСТРОЙКИ ПЕЧАТИ)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 (Область печати)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(Области печати)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ИНВЕСТОР (ИНВЕСТОР) PACKAGE v1.0</t>
        </is>
      </c>
    </row>
    <row r="11" ht="22" customHeight="1">
      <c r="B11" s="515" t="inlineStr">
        <is>
          <t>Уважаемый LP (ограниченный партнёр),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(хвостовой период) 2029–2032
• 12 премиальных фильмов со средним бюджетом 154 млн ₽
• Совокупная выручка 4 545 млн ₽ (Base (Базовый) сценарий)
• GAAP (стандарты бухучёта) EBITDA (прибыль до вычетов) 2 152 млн ₽ (margin (маржа) 47.3% — 2.4× отраслевой медианы РФ)
• Net Profit (Чистая прибыль) 1 689 млн ₽ после налогов (эффективная нагрузка 12.9%)
• Expected exit EV (стоимость предприятия) 6 038 млн ₽ на 2030 (probability-weighted)
• MoIC ≈ 4.8× / IRR (внутренняя норма доходности) 38%+ при Base (Базовый) сценарии
• Payback (Окупаемость)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Разработка (Разработка) gate 2026Q1
(2) 350 млн ₽ — Production gate 2026Q3
(3) 350 млн ₽ — Release (Релиз) gate 2027Q2
(4) 300 млн ₽ — Library gate 2028Q1
Дополнительно Producer equity (капитал продюсера) 600 млн ₽ предоставляется продюсерским пулом как off-P&amp;L JV (совместное предприятие)-капитал (minority interest).</t>
        </is>
      </c>
    </row>
    <row r="19" ht="128" customHeight="1">
      <c r="B19" s="516" t="inlineStr">
        <is>
          <t>ЗАЩИТА ИНВЕСТОРА:
• Waterfall (Каскад) W₅ V-D ★ DEFAULT (ПО УМОЛЧАНИЮ) v1.0.1 (1× Liq Pref (Ликвидационная привилегия) + 12% pref × 5y + catch-up 70/30 + carry 60/40) — IRR (внутренняя норма доходности) 24.75% (margin (маржа) +6.75pp к hurdle (порог) 18%); legacy (базовый вариант) W₃ (18.04%) и W₄ premium (премия) доступны%
• Waterfall (Каскад) W₄ PREMIUM опция (1× Liq Pref + 12% preferred × 5y + 65/35) — IRR 19.73%
• Makewhole clause для защиты от dilution
• 7 маршрутов выхода (strategic / IPO (первичное размещение) / secondary / ESOP / buyback / mgmt / открытый рынок)
• Downside (Нижний сценарий) benchmark (DCF (дисконтированный денежный поток) floor) = 1 815 млн ₽
• Risk (Риск) register: 30 рисков с митигациями, Monte Carlo (Монте-Карло)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(Инвестиционный пакет) v1.0 Public — investor_model_v1.0_Public.xlsx (42 листа)</t>
        </is>
      </c>
    </row>
    <row r="37" ht="18" customHeight="1">
      <c r="B37" s="477" t="inlineStr">
        <is>
          <t>2. Executive Summary (Краткое резюме) — см. лист 36</t>
        </is>
      </c>
    </row>
    <row r="38" ht="18" customHeight="1">
      <c r="B38" s="477" t="inlineStr">
        <is>
          <t>3. Due Diligence (Комплексная проверка) Checklist — см. лист 40 (62 пункта)</t>
        </is>
      </c>
    </row>
    <row r="39" ht="18" customHeight="1">
      <c r="B39" s="477" t="inlineStr">
        <is>
          <t>4. Risk Register (Реестр рисков)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2026-04-12T00:24:22Z</dcterms:modified>
  <cp:keywords>investor, financial model, L3, pre-IPO, cinema</cp:keywords>
</cp:coreProperties>
</file>