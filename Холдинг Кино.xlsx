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 defaultThemeVersion="166925"/>
  <xr:revisionPtr revIDLastSave="0" documentId="8_{79B9286F-5415-0642-8AE1-27CEF8DA8712}" xr6:coauthVersionLast="47" xr6:coauthVersionMax="47" xr10:uidLastSave="{00000000-0000-0000-0000-000000000000}"/>
  <bookViews>
    <workbookView xWindow="4140" yWindow="1640" windowWidth="28040" windowHeight="17360" xr2:uid="{13747EE7-D471-834F-9798-67679177B44B}"/>
  </bookViews>
  <sheets>
    <sheet name="PnL" sheetId="2" r:id="rId1"/>
    <sheet name="Расходы" sheetId="3" r:id="rId2"/>
    <sheet name="Доходы" sheetId="4" r:id="rId3"/>
    <sheet name="модель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C29" i="1"/>
  <c r="C22" i="1"/>
  <c r="C4" i="1"/>
  <c r="C6" i="1"/>
  <c r="C7" i="1"/>
  <c r="C11" i="1"/>
  <c r="C10" i="1"/>
  <c r="C3" i="1"/>
</calcChain>
</file>

<file path=xl/sharedStrings.xml><?xml version="1.0" encoding="utf-8"?>
<sst xmlns="http://schemas.openxmlformats.org/spreadsheetml/2006/main" count="224" uniqueCount="204">
  <si>
    <t>Параметр</t>
  </si>
  <si>
    <t>Комментарий</t>
  </si>
  <si>
    <t>Общий бюджет проекта</t>
  </si>
  <si>
    <t>Прибыль инвестора</t>
  </si>
  <si>
    <t>Предполагаемый срок окупаемости</t>
  </si>
  <si>
    <t>ДОХОДЫ ОТ ПРОЕКТА (разбивка):</t>
  </si>
  <si>
    <t>Источник дохода</t>
  </si>
  <si>
    <t>Сумма (руб.)</t>
  </si>
  <si>
    <t>Примечание</t>
  </si>
  <si>
    <t>Цифровые платформы РФ (пакет)</t>
  </si>
  <si>
    <t>ТВ-права РФ (пакет)</t>
  </si>
  <si>
    <t>Международные права</t>
  </si>
  <si>
    <t>Итого доходов</t>
  </si>
  <si>
    <t>Этап</t>
  </si>
  <si>
    <t>% от инвестиций</t>
  </si>
  <si>
    <t>Подписание контракта</t>
  </si>
  <si>
    <t>Всего инвестиций</t>
  </si>
  <si>
    <t>Итоговая прибыль инвестора за проект:</t>
  </si>
  <si>
    <t>Основная прибыль: 61 500 000 руб.</t>
  </si>
  <si>
    <t>Ежегодная выплата через 5 лет: 1 500 000 руб./год (пролонгация прав)</t>
  </si>
  <si>
    <t>ВЫВОД ДЛЯ ИНВЕСТОРА:</t>
  </si>
  <si>
    <r>
      <t>Срок окупаемости:</t>
    </r>
    <r>
      <rPr>
        <sz val="16"/>
        <color rgb="FF0F1115"/>
        <rFont val="Helvetica Neue"/>
        <family val="2"/>
      </rPr>
      <t> 16 месяцев</t>
    </r>
  </si>
  <si>
    <r>
      <t>Общая доходность проекта для инвестора:</t>
    </r>
    <r>
      <rPr>
        <sz val="16"/>
        <color rgb="FF0F1115"/>
        <rFont val="Helvetica Neue"/>
        <family val="2"/>
      </rPr>
      <t> 61 500 000 руб. + ежегодные выплаты</t>
    </r>
  </si>
  <si>
    <r>
      <t>Риски минимизированы</t>
    </r>
    <r>
      <rPr>
        <sz val="16"/>
        <color rgb="FF0F1115"/>
        <rFont val="Helvetica Neue"/>
        <family val="2"/>
      </rPr>
      <t> за счёт поэтапного финансирования и предварительных договорённостей с партнёрами (прокатчики, платформы, ТВ).</t>
    </r>
  </si>
  <si>
    <t>Месяц</t>
  </si>
  <si>
    <t>Инвестиции, руб.</t>
  </si>
  <si>
    <t>Доход инвестора, руб.</t>
  </si>
  <si>
    <t>...</t>
  </si>
  <si>
    <t>8 124 999.9</t>
  </si>
  <si>
    <t>28-59</t>
  </si>
  <si>
    <t>1.</t>
  </si>
  <si>
    <t>1.1.</t>
  </si>
  <si>
    <t>1.2.</t>
  </si>
  <si>
    <t>1.4.</t>
  </si>
  <si>
    <t>1.5.</t>
  </si>
  <si>
    <t>1.6.</t>
  </si>
  <si>
    <t>1.7.</t>
  </si>
  <si>
    <t>2.</t>
  </si>
  <si>
    <t>2.1.</t>
  </si>
  <si>
    <t>2.2.</t>
  </si>
  <si>
    <t>2.3.</t>
  </si>
  <si>
    <t>2.4.</t>
  </si>
  <si>
    <t>2.5.</t>
  </si>
  <si>
    <t>3.</t>
  </si>
  <si>
    <t>3.1.</t>
  </si>
  <si>
    <t>3.2.</t>
  </si>
  <si>
    <t>3.3.</t>
  </si>
  <si>
    <t>3.4.</t>
  </si>
  <si>
    <t>1.8.</t>
  </si>
  <si>
    <t>50% инвестор / 50% продюсеры</t>
  </si>
  <si>
    <t>ПАРТНЕРЫ</t>
  </si>
  <si>
    <r>
      <t>Прокатчики (РФ)</t>
    </r>
    <r>
      <rPr>
        <sz val="12"/>
        <color theme="1"/>
        <rFont val="Arial"/>
        <family val="2"/>
      </rPr>
      <t xml:space="preserve">: </t>
    </r>
  </si>
  <si>
    <r>
      <t>Платформенный дистрибьютор</t>
    </r>
    <r>
      <rPr>
        <sz val="12"/>
        <color theme="1"/>
        <rFont val="Arial"/>
        <family val="2"/>
      </rPr>
      <t xml:space="preserve">: </t>
    </r>
  </si>
  <si>
    <r>
      <t>ТВ-права</t>
    </r>
    <r>
      <rPr>
        <sz val="12"/>
        <color theme="1"/>
        <rFont val="Arial"/>
        <family val="2"/>
      </rPr>
      <t xml:space="preserve">: </t>
    </r>
  </si>
  <si>
    <r>
      <t>Международные права (дистрибьюция)</t>
    </r>
    <r>
      <rPr>
        <sz val="12"/>
        <color theme="1"/>
        <rFont val="Arial"/>
        <family val="2"/>
      </rPr>
      <t xml:space="preserve">: </t>
    </r>
  </si>
  <si>
    <t>ЦПШ, ВОЛЬГА, Международный партнер.</t>
  </si>
  <si>
    <t>1.9.</t>
  </si>
  <si>
    <r>
      <t>Срок окупаемости:</t>
    </r>
    <r>
      <rPr>
        <sz val="16"/>
        <color rgb="FF0F1115"/>
        <rFont val="Helvetica Neue"/>
        <family val="2"/>
      </rPr>
      <t> </t>
    </r>
  </si>
  <si>
    <t>4.</t>
  </si>
  <si>
    <t>4.1.</t>
  </si>
  <si>
    <t>4.2.</t>
  </si>
  <si>
    <t>3.5.</t>
  </si>
  <si>
    <t xml:space="preserve">Риски: </t>
  </si>
  <si>
    <t>Минимизированы за счёт поэтапного финансирования и предварительных договорённостей с партнёрами (прокатчики, платформы, ТВ).</t>
  </si>
  <si>
    <r>
      <t>Общая доходность проекта для инвестора:</t>
    </r>
    <r>
      <rPr>
        <sz val="16"/>
        <color rgb="FF0F1115"/>
        <rFont val="Helvetica Neue"/>
        <family val="2"/>
      </rPr>
      <t> </t>
    </r>
  </si>
  <si>
    <t>ВЫВОД ДЛЯ ИНВЕСТОРА</t>
  </si>
  <si>
    <t>1.10.</t>
  </si>
  <si>
    <t>Доп.доход инвестора от пролоннгации прав в течении 5 лет</t>
  </si>
  <si>
    <t>Итого прибыль инвестора</t>
  </si>
  <si>
    <t>1.3.</t>
  </si>
  <si>
    <t xml:space="preserve">Вложения инвестор </t>
  </si>
  <si>
    <t>Вложения продюсеры</t>
  </si>
  <si>
    <t>1.11.</t>
  </si>
  <si>
    <t>Прибыль продюсеры</t>
  </si>
  <si>
    <t>Доп.доход продюсеры от пролоннгации прав в течении 5 лет</t>
  </si>
  <si>
    <t>Итого прибыль продюсеры</t>
  </si>
  <si>
    <t>Значение, руб.</t>
  </si>
  <si>
    <t>5.</t>
  </si>
  <si>
    <t>5.1.</t>
  </si>
  <si>
    <t>5.2.</t>
  </si>
  <si>
    <t>Расчитоно без учета доходов от пролонгации прав</t>
  </si>
  <si>
    <t>ГРАФИК ИНВЕСТИЦИЙ (поэтапное финансирование инвестора):</t>
  </si>
  <si>
    <t>Распределение прибыли до окупаемости</t>
  </si>
  <si>
    <t>Распределение прибыли после окупаемости</t>
  </si>
  <si>
    <t>Прибыль от проекта (всего)</t>
  </si>
  <si>
    <t>Второй транш после аудита о проделанной работе</t>
  </si>
  <si>
    <t>Третий транш после аудита о проделанной работе</t>
  </si>
  <si>
    <t>Первый транш после подписания устава новым советом учредителей</t>
  </si>
  <si>
    <t>Вольга, Централ Партнершип, Наше Кино</t>
  </si>
  <si>
    <t>Телеканал ТНТ, ТВ3, Россия 1, Рен-ТВ.</t>
  </si>
  <si>
    <t>Премьер (ГПМ), ОлМедиа (YBW), Корневая платформа - ИВИ, Винк (НМГ).</t>
  </si>
  <si>
    <t>36-48 месяцев</t>
  </si>
  <si>
    <t>Прокаты в РФ</t>
  </si>
  <si>
    <t>60% инвестор / 40% продюсеры</t>
  </si>
  <si>
    <t xml:space="preserve">Рассчитано: инвестиции инвестор и продюсеры. В стоимость не включены налоги </t>
  </si>
  <si>
    <t>Правами и имеющимися проектами.</t>
  </si>
  <si>
    <t>После вычета кинотеатров и прокатчика (прокат в РФ: 50% кинотеатры - 25% прокатчик)</t>
  </si>
  <si>
    <t>Диджитал платформы РФ за пакеты</t>
  </si>
  <si>
    <t>ТВ-права РФ за пакеты</t>
  </si>
  <si>
    <t>После вычета дистрибьютора 25% (международные права, 25% дистрибьютора)</t>
  </si>
  <si>
    <t>3 465 000 000 (без учета продажи холдинга в будущем)</t>
  </si>
  <si>
    <t>Квартал</t>
  </si>
  <si>
    <t>Производственные инв.</t>
  </si>
  <si>
    <t>Операционные расходы</t>
  </si>
  <si>
    <t>Доходы</t>
  </si>
  <si>
    <t>Чистый поток</t>
  </si>
  <si>
    <t>Кумулятивный поток</t>
  </si>
  <si>
    <t>Таблица денежных потоков (млн руб.)</t>
  </si>
  <si>
    <t>Инвестиции в производство</t>
  </si>
  <si>
    <t>-0,04 ≈ 0</t>
  </si>
  <si>
    <t>Пример структуры доходов для целевого показателя (млн руб.)</t>
  </si>
  <si>
    <t>Источник</t>
  </si>
  <si>
    <t>Нижняя граница</t>
  </si>
  <si>
    <t>Верхняя граница</t>
  </si>
  <si>
    <t>Реалистичный целевой вклад</t>
  </si>
  <si>
    <t>Кинотеатральный прокат</t>
  </si>
  <si>
    <t>Онлайн-кинотеатры (SVOD)</t>
  </si>
  <si>
    <t>ТВ-права</t>
  </si>
  <si>
    <t>Международные продажи</t>
  </si>
  <si>
    <t>VOD / TVOD</t>
  </si>
  <si>
    <t>Спонсорство / product placement</t>
  </si>
  <si>
    <t>Сопутствующие права</t>
  </si>
  <si>
    <t>ИТОГО</t>
  </si>
  <si>
    <t>~1 515</t>
  </si>
  <si>
    <t>Примечание: Если проект является сериалом (например, 8–12 серий), доходы от стримингов и ТВ могут быть значительно выше (до 800–1 000 млн руб.), а кинотеатральный прокат отсутствует.</t>
  </si>
  <si>
    <t>Как доходы распределяются во времени (cash flow)</t>
  </si>
  <si>
    <t xml:space="preserve">	• Предпродажи / спонсорство: часть средств поступает до или во время производства → улучшает график финансирования.</t>
  </si>
  <si>
    <t xml:space="preserve">	• Кинотеатральный прокат: основной поток в первые 3–6 месяцев после релиза (обычно 5–8 квартал в нашей модели).</t>
  </si>
  <si>
    <t xml:space="preserve">	• Продажи стримингам и ТВ: могут иметь авансы на этапе производства, финальный платёж – при передаче прав (часто после окончания производства).</t>
  </si>
  <si>
    <t xml:space="preserve">	• Международные продажи: распределены во времени (сделки могут закрываться в течение 1–2 лет после премьеры).</t>
  </si>
  <si>
    <t>Вывод</t>
  </si>
  <si>
    <t>Для покрытия совокупных затрат (производство 1 250 млн руб. + операционные расходы ~265 млн руб. за 3 года) и выхода на окупаемость за 3 года компании необходимо реализовать комплексную монетизацию, ориентированную в первую очередь на сочетание кинотеатрального проката и продажи прав ведущим стримингам. При грамотной стратегии продаж и успешном проекте целевой уровень доходов (1,5–1,9 млрд руб.) достижим даже в текущих рыночных условиях.</t>
  </si>
  <si>
    <t>1. Аренда помещения</t>
  </si>
  <si>
    <t>Значение</t>
  </si>
  <si>
    <t>Площадь</t>
  </si>
  <si>
    <t>275 м²</t>
  </si>
  <si>
    <t>Ставка аренды (включена эксплуатация)</t>
  </si>
  <si>
    <t>2 500 руб./м² в месяц</t>
  </si>
  <si>
    <t>Аренда в месяц</t>
  </si>
  <si>
    <t>687 500 руб.</t>
  </si>
  <si>
    <t>Аренда в год</t>
  </si>
  <si>
    <t>8 250 000 руб.</t>
  </si>
  <si>
    <t>Аренда за 3 года</t>
  </si>
  <si>
    <t>24 750 000 руб.</t>
  </si>
  <si>
    <t>2. Фонд оплаты труда (ФОТ) с налогами</t>
  </si>
  <si>
    <t>Штатное расписание (50 человек):</t>
  </si>
  <si>
    <t>Должность</t>
  </si>
  <si>
    <t>Кол-во</t>
  </si>
  <si>
    <t>Средняя з/п (гросс), руб./мес.</t>
  </si>
  <si>
    <t>ФОТ в месяц, руб.</t>
  </si>
  <si>
    <t>Продюсеры</t>
  </si>
  <si>
    <t>Юристы</t>
  </si>
  <si>
    <t>Аналитики</t>
  </si>
  <si>
    <t>Бухгалтеры</t>
  </si>
  <si>
    <t>Водитель</t>
  </si>
  <si>
    <t>Административный / IT-персонал</t>
  </si>
  <si>
    <t>Итого</t>
  </si>
  <si>
    <t>Страховые взносы (30% от ФОТ, усреднённо):</t>
  </si>
  <si>
    <t>4 740 000 × 30% = 1 422 000 руб./мес.</t>
  </si>
  <si>
    <t>Общий ФОТ с налогами в месяц:</t>
  </si>
  <si>
    <t>4 740 000 + 1 422 000 = 6 162 000 руб.</t>
  </si>
  <si>
    <t>За год: 6 162 000 × 12 = 73 944 000 руб.</t>
  </si>
  <si>
    <t>За 3 года: 73 944 000 × 3 = 221 832 000 руб.</t>
  </si>
  <si>
    <t>3. Коммунальные и эксплуатационные расходы</t>
  </si>
  <si>
    <t>(электричество, вода, отопление, вывоз мусора)</t>
  </si>
  <si>
    <t>Ставка: 120 руб./м² в месяц</t>
  </si>
  <si>
    <t>275 м² × 120 = 33 000 руб./мес.</t>
  </si>
  <si>
    <t>За год: 396 000 руб.</t>
  </si>
  <si>
    <t>За 3 года: 1 188 000 руб.</t>
  </si>
  <si>
    <t>4. Прочие операционные расходы</t>
  </si>
  <si>
    <t>(интернет, телефония, канцелярия, хозтовары, лицензии на ПО, обслуживание техники)</t>
  </si>
  <si>
    <t>Принимаем как 8% от ФОТ с налогами (или ~500 000 руб./мес. по факту).</t>
  </si>
  <si>
    <t>8% × 6 162 000 = 492 960 руб./мес.</t>
  </si>
  <si>
    <t>За год: 5 915 520 руб.</t>
  </si>
  <si>
    <t>За 3 года: 17 746 560 руб.</t>
  </si>
  <si>
    <t>5. Сводная таблица расходов на 3 года</t>
  </si>
  <si>
    <t>Статья расходов</t>
  </si>
  <si>
    <t>В месяц, руб.</t>
  </si>
  <si>
    <t>В год, руб.</t>
  </si>
  <si>
    <t>За 3 года, руб.</t>
  </si>
  <si>
    <t>Аренда</t>
  </si>
  <si>
    <t>ФОТ (с налогами)</t>
  </si>
  <si>
    <t>Коммунальные</t>
  </si>
  <si>
    <t>Прочие операционные</t>
  </si>
  <si>
    <t>Средние расходы в разбивке по годам (для включения в общую модель)</t>
  </si>
  <si>
    <t>Год</t>
  </si>
  <si>
    <t>Прочие</t>
  </si>
  <si>
    <t>Всего за год</t>
  </si>
  <si>
    <t>1-й</t>
  </si>
  <si>
    <t>2-й</t>
  </si>
  <si>
    <t>3-й</t>
  </si>
  <si>
    <t>Примечания</t>
  </si>
  <si>
    <t xml:space="preserve">	1. Аренда может варьироваться в зависимости от класса помещения и включения коммунальных услуг. В расчёте принята ставка для офиса класса B в Москве или крупном региональном центре.</t>
  </si>
  <si>
    <t xml:space="preserve">	2. Страховые взносы рассчитаны по ставке 30% (ОПС, ОМС, ВНиМ). Для отдельных категорий (например, IT-компании) возможны льготы, но в кинопроизводстве обычно применяется общий тариф.</t>
  </si>
  <si>
    <t xml:space="preserve">	3. Прочие расходы включают связь, интернет, канцелярию, ПО, юридические услуги (если сверх штата), командировочные и пр. Процент может быть скорректирован в зависимости от специфики.</t>
  </si>
  <si>
    <t xml:space="preserve">	4. Если компания ведёт несколько проектов одновременно, часть затрат может быть отнесена на себестоимость конкретных фильмов, но в данном расчёте показаны постоянные административно-хозяйственные расходы без учёта прямых производственных затрат (съёмки, постпродакшн, маркетинг).</t>
  </si>
  <si>
    <t xml:space="preserve">Как обеспечить такие поступления							
	1. Кинотеатральный прокат – основной драйвер в первые кварталы после выхода (5–8). При бюджете 1,25 млрд руб. фильм должен собрать в России и СНГ 2,8–3,5 млрд руб., чтобы принести компании 1,2–1,5 млрд руб. (с учётом доли 45–55%).							
	2. Продажа прав стримингам и ТВ – заключение сделок с предоплатой и пост-релизными платежами. Для выхода на доходы 522 млн руб./квартал потребуются либо многопроектный портфель (несколько релизов в год), либо экспортные продажи, либо сериал с несколькими сезонами.							
	3. Международные продажи и спонсорство – могут обеспечить дополнительный приток во 2‑й и 3‑й годы. Для достижения целевых 522 млн руб./квартал необходимы либо крупные сделки с зарубежными платформами (например, продажа прав на адаптацию или глобальный стриминг), либо последовательный выпуск нового контента.							
Ключевые условия							
	• Необходимо не менее двух крупных проектов в портфеле либо один мега‑проект с длительным жизненным циклом (сериал, франшиза).							
	• Доходы должны поступать равномерно или с нарастанием, что требует гибкой стратегии продаж (предпродажи, поэтапные лицензионные платежи, распределение релизов во времени).							
	• Операционные расходы должны оставаться в пределах 88,5 млн руб./год (контроль накладных издержек).							
Такая модель позволяет не только окупить вложения за 2 года, но и получить значительную чистую прибыль к концу 3‑го года.							</t>
  </si>
  <si>
    <t>в 9-12 кварталах чистый поток каждого квартала = 522,12625 – 22,12625 = 500,0 млн руб. ровно. За 4 квартала – 2000 млн руб.
Таким образом, для достижения поставленной цели необходимо обеспечить ежеквартальные поступления от реализации контента в размере:
	• 356,75 млн руб. в квартал в первый год после выхода (кварталы 5–8),
	• 522,13 млн руб. в квартал во второй год после выхода (кварталы 9–12).
Такая динамика может быть реализована,  за счёт:
	• первого года – кинотеатральный прокат и начальные продажи стримингам,
	• второго года – международные продажи, телевизионные права, расширение на новые платформы.
В случае если проект является сериалом с несколькими сезонами, можно выстроить выпуск сезонов так, чтобы доходы нарастали.
Также можно варьировать распределение доходов, но главное – суммарный доход за 8 кварталов должен быть не менее ~3515 млн руб.
Данная модель показывает количественные ориентиры для планирования продаж и заключения контрактов.
Для достижения окупаемости за 2 года и получения 2 млрд руб. чистой прибыли за 3‑й год необходимо сформировать следующие ежеквартальные доходы:
	• 5–8 кварталы (1‑й год после производства):
356,75 млн руб./квартал
	• 9–12 кварталы (2‑й год после производства):
522,13 млн руб./квартал
Общий объём доходов за 8 кварталов должен составить ~3 515,5 млн руб., что при суммарных расходах (производство 1 250 млн руб. + операционные расходы 265,5 млн руб.) даёт чистый результат +2 000 млн руб. к концу 3‑го года.</t>
  </si>
  <si>
    <t>Примем:
	• Производственные инвестиции: 312,5 млн руб. в квартал в течение 4 кварталов (1-4).
	• Операционные расходы: 22,12625 млн руб. в квартал (постоянно, с 1 по 12 квартал).
	• Доходы начинаются с 5 квартала и идут по 12 квартал включительно (8 кварталов). Обозначим X – ежеквартальный доход (одинаковый для упрощения, но можно и неравномерный; для расчёта среднего достаточно).
Тогда кумулятивный чистый поток на конец 8 кварталов (2 года) должен быть равен 0.
На конец 8 кварталов:
	• Суммарные инвестиции в производство: 4 * 312,5 = 1250 млн руб.
	• Суммарные операционные расходы за 8 кварталов: 8 * 22,12625 = 177,01 млн руб.
	• Суммарные доходы за 5-8 кварталы: 4 * X (доходы поступают только 4 квартала к концу 2-го года).
Чистый поток = Доходы – Расходы (производственные + операционные) = 4X – (1250 + 177,01) = 0.
=&gt; 4X = 1427,01 =&gt; X = 356,7525 млн руб. в квартал.
Теперь проверим, что на конец 3-го года (12 кварталов) кумулятивный поток станет +2000 млн руб. (сверх окупаемости). К концу 12 кварталов:
	• Производственные инвестиции: 1250 млн руб. (уже учтены)
	• Операционные расходы за 12 кварталов: 12 * 22,12625 = 265,515 млн руб.
	• Доходы за 5-12 кварталы: 8 * X = 8 * 356,7525 = 2854,02 млн руб.
Чистый поток = 2854,02 – (1250 + 265,515) = 2854,02 – 1515,515 = 1338,505 млн руб.
Это не 2000, а 1338,5. Значит, если окупаемость ровно в конце 8 квартала, то к концу 12 квартала накопленный чистый поток будет около 1338,5 млн руб. Нам же нужно 2000 млн руб. на конец 12 квартала.
Значит, требуется либо увеличить ежеквартальные доходы (чтобы и к 8 кварталу был ноль, и к 12-му больше), либо перераспределить доходы (например, сделать их выше в последние кварталы). В модели с равномерными доходами можно подобрать X так, чтобы выполнялись оба условия одновременно? Невозможно, так как два условия: 4X – (1250+8*22,12625)=0 и 8X – (1250+12*22,12625)=2000. Эти уравнения несовместны. Поэтому нужно либо изменить форму доходов (например, не равномерные, а с нарастанием), либо пересмотреть условие окупаемости за 2 года как момент, когда кумулятивный поток становится положительным, а не точно ноль в конце 8 квартала. Однако в условии сказано «выйти на окупаемость за 2 года и на 3 год заработать еще 2 миллиарда рублей». Это может означать, что окупаемость (возврат инвестиций) достигается к концу 2-го года, а за третий год чистая прибыль составляет 2 млрд руб. (т.е. за период с 9 по 12 квартал чистый доход = 2000 млн руб.). Тогда это возможно.
Примем вторую интерпретацию: к концу 8 кварталов кумулятивный поток = 0 (окупаемость). За 3-й год (кварталы 9-12) чистый поток должен составить 2000 млн руб. То есть за 4 квартала 3-го года нужно получить 2000 млн руб. чистого дохода после вычета операционных расходов. Операционные расходы в год – 88,505 млн руб., за 4 квартала – 88,505 млн руб. (или ровно за год). Значит, за 3-й год доходы должны быть: 2000 + 88,505 = 2088,505 млн руб. Если доходы поступают равномерно по кварталам 3-го года, то ежеквартально это 522,12625 млн руб.
Но при этом в первые два года доходы были меньше, чтобы обеспечить окупаемость к концу 2-го года. Рассчитаем отдельно для 1-го и 2-го годов.
Сделаем более общий расчёт: пусть ежеквартальные доходы не обязательно равномерны, но для простоты разделим на два периода: первые два года (кварталы 5-8) – доход Y в квартал; третий год (кварталы 9-12) – доход Z в квартал. Нам нужно:
	1. К концу 8 квартала кумулятивный поток = 0.
	2. Чистый поток за 3-й год (9-12 кварталы) = 2000 млн руб. (чистый, т.е. доходы минус операционные расходы за эти 4 квартала).
Операционные расходы за 8 кварталов: 8 * 22,12625 = 177,01 млн руб.
Производственные инвестиции за 4 квартала: 1250 млн руб.
Доходы за кварталы 5-8: 4Y.
Уравнение окупаемости к концу 8 квартала:
4Y – (1250 + 177,01) = 0 =&gt; 4Y = 1427,01 =&gt; Y = 356,7525 млн руб.
Третий год:
Операционные расходы за 4 квартала: 4 * 22,12625 = 88,505 млн руб.
Доходы за 9-12 кварталы: 4Z.
Чистый поток за 3-й год: 4Z – 88,505 = 2000 =&gt; 4Z = 2088,505 =&gt; Z = 522,12625 млн руб.
Таким образом, чтобы окупиться за 2 года и заработать за 3-й год 2 млрд руб. чистыми, необходимо:
	• В течение первого года после производства (5-8 кварталы) получать ежеквартальные доходы около 356,75 млн руб.
	• В течение третьего года (9-12 кварталы) – ежеквартальные доходы около 522,13 млн руб.
Суммарные доходы за 3 года (8 кварталов поступлений) составят:
4*356,75 + 4*522,13 = 1427,01 + 2088,52 = 3515,53 млн руб.
Суммарные расходы (производство + операционные за 3 года): 1250 + 265,515 = 1515,515 млн руб.
Чистый результат: 3515,53 – 1515,515 = 2000,015 млн руб.</t>
  </si>
  <si>
    <t>Мы имеем интегральную модель: производственные инвестиции 1250 млн руб., операционные расходы 88,505 млн руб. в год (22,12625 млн руб. в квартал). Доходы начинаются с 5-го квартала (после завершения производства), они могут быть распределены по кварталам.
Нужно: окупаемость за 2 года (8 кварталов) и на 3-й год заработать еще 2 млрд руб. (сверх окупаемости). То есть к концу 3-го года (12 кварталов) чистый накопленный доход должен быть +2000 млн руб.
имеется в виду чистая прибыль (или кумулятивный поток) на конец третьего года должна быть на 2 млрд больше, чем нулевая точка окупаемости. Поскольку окупаемость за 2 года – это к концу 8 кварталов кумулятивный поток = 0. И к концу 12 кварталов он должен стать +2000 млн руб.
необходимые ежеквартальные доходы, которые обеспечат такой график.</t>
  </si>
  <si>
    <t>Производственный цех</t>
  </si>
  <si>
    <t>Эксперты (творческая группа)</t>
  </si>
  <si>
    <t>ФИНАНСОВАЯ МОДЕЛЬ: ФИЛЬМЫ, ДИСТРИБУЦИЯ, ГРАНТЫ - Верхнеуровневая.</t>
  </si>
  <si>
    <t>1. Кинотеатральный прокат (Box Office)
	• Для релиза в России и странах СНГ.
	• Компания получает долю от кассовых сборов (обычно 45–55% после вычета налогов).
	• При бюджете производства 1,25 млрд руб. фильм должен собрать в прокате 2,5–3 млрд руб., чтобы окупить производство и маркетинг. При успешном старте сборы могут принести 500–800 млн руб. в течение первых 3–6 месяцев.
	• Потенциал: до 1 000 млн руб. и выше для блокбастера.
2. Продажа прав онлайн-кинотеатрам (SVOD, AVOD)
	• Эксклюзивные лицензии на определённый срок (обычно 3–5 лет) для крупных платформ (IVI, Okko, Kinopoisk, Wink и др.).
	• Стоимость прав для высокобюджетного проекта может составлять 200–500 млн руб. в зависимости от количества серий и эксклюзивности.
	• Возможна сделка с предоплатой ещё до завершения производства (pre-sale), что улучшает cash flow.
3. Телевизионные права (FTA, Pay TV)
	• Продажа прав федеральным каналам (Первый, Россия 1, СТС, ТНТ и др.) на ограниченное число показов.
	• Для премьерного сериала или фильма сумма может достигать 50–200 млн руб.
	• Часто комбинируется с продажей прав стримингам в пакете.
4. Международные продажи (World Sales)
	• Продажа прав дистрибьюторам за рубежом (кинотеатры, ТВ, VOD).
	• Для локального российского контента суммы варьируются от 10–50 млн руб. (некоторые европейские страны) до 200–500 млн руб. при успешных продажах в Китай, США, Латинскую Америку.
	• Зависит от жанра, звёзд, фестивального успеха.
5. VOD/Transactional (TVOD, EST)
	• Доходы от платных скачиваний и просмотров на цифровых платформах (например, в период после кинотеатрального окна).
	• Может принести дополнительно 20–100 млн руб. в зависимости от популярности.
6. Спонсорство и продакт-плейсмент
	• Интеграция брендов в контент: от 10 млн руб. до 100–150 млн руб. для крупных проектов.
	• Часть спонсорских средств может поступать ещё на этапе производства, снижая потребность в инвестициях.
7. Государственная поддержка (Фонд кино, Минкульт)
	• Безвозвратные субсидии или возвратные инвестиции (в т.ч. на безвозмездной основе).
	• Могут составлять 30–50% от бюджета (до 500–700 млн руб.).
	• В модели это уменьшает объём привлекаемых инвестиций, но не увеличивает выручку напрямую; влияет на структуру капитала.
8. Налоговые льготы (рибейты)
	• В ряде регионов РФ (Москва, Калининградская область и др.) возможен возврат части затрат (до 30% от потраченного в регионе).
	• Не увеличивает выручку, но снижает фактические расходы.
9. Сопутствующие права (мерчандайзинг, музыка, издание)
	• Для семейных и анимационных проектов – продажа лицензий на игрушки, одежду, издание книг.
	• Может дать 20–100 млн руб. в течение нескольких лет.
10. Продажа прав на ремейки / адаптации
	• Если проект имеет успех, можно продать права на адаптацию зарубежным студиям.
	• Сумма от 50 млн руб. до нескольких сотен миллионов для громких хитов.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</si>
</sst>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b/>
      <sz val="13.5"/>
      <color rgb="FF0F1115"/>
      <name val="Helvetica Neue"/>
      <family val="2"/>
    </font>
    <font>
      <b/>
      <sz val="16"/>
      <color rgb="FF0F1115"/>
      <name val="Helvetica Neue"/>
      <family val="2"/>
    </font>
    <font>
      <sz val="16"/>
      <color rgb="FF0F1115"/>
      <name val="Helvetica Neue"/>
      <family val="2"/>
    </font>
    <font>
      <sz val="16"/>
      <color rgb="FF0F1115"/>
      <name val="Helvetica Neue"/>
      <family val="2"/>
    </font>
    <font>
      <b/>
      <sz val="14"/>
      <color rgb="FF61666B"/>
      <name val="Helvetica Neue"/>
      <family val="2"/>
    </font>
    <font>
      <sz val="14"/>
      <color rgb="FF61666B"/>
      <name val="Helvetica Neue"/>
      <family val="2"/>
    </font>
    <font>
      <b/>
      <sz val="14"/>
      <color rgb="FF0F1115"/>
      <name val="Helvetica Neue"/>
      <family val="2"/>
    </font>
    <font>
      <sz val="14"/>
      <color theme="1"/>
      <name val="Calibri"/>
      <family val="2"/>
      <charset val="204"/>
      <scheme val="minor"/>
    </font>
    <font>
      <b/>
      <sz val="18"/>
      <color theme="0"/>
      <name val="Helvetica Neue"/>
      <family val="2"/>
    </font>
    <font>
      <sz val="14"/>
      <color rgb="FF0F1115"/>
      <name val="Helvetica Neue"/>
      <family val="2"/>
    </font>
    <font>
      <i/>
      <sz val="14"/>
      <color rgb="FF0F1115"/>
      <name val="Helvetica Neue"/>
      <family val="2"/>
    </font>
    <font>
      <sz val="14"/>
      <color theme="4" tint="-0.249977111117893"/>
      <name val="Helvetica Neue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8"/>
      <name val="Calibri"/>
      <family val="2"/>
      <charset val="204"/>
      <scheme val="minor"/>
    </font>
    <font>
      <b/>
      <sz val="12"/>
      <color theme="1"/>
      <name val="Arial"/>
      <family val="2"/>
    </font>
    <font>
      <sz val="14"/>
      <color theme="1"/>
      <name val="Helvetica Neue"/>
      <family val="2"/>
    </font>
    <font>
      <sz val="12"/>
      <name val="quote-cjk-patch"/>
    </font>
    <font>
      <sz val="12"/>
      <color rgb="FFF9FAFB"/>
      <name val="Calibri"/>
    </font>
    <font>
      <sz val="12"/>
      <color rgb="FFF9FAFB"/>
      <name val="quote-cjk-patch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51517"/>
      </patternFill>
    </fill>
  </fills>
  <borders count="35">
    <border>
      <left/>
      <right/>
      <top/>
      <bottom/>
      <diagonal/>
    </border>
    <border>
      <left style="dashed">
        <color indexed="64"/>
      </left>
      <right/>
      <top/>
      <bottom/>
      <diagonal/>
    </border>
    <border>
      <left style="hair">
        <color theme="2" tint="-0.249977111117893"/>
      </left>
      <right style="hair">
        <color theme="2" tint="-0.249977111117893"/>
      </right>
      <top style="hair">
        <color theme="2" tint="-0.249977111117893"/>
      </top>
      <bottom style="hair">
        <color theme="2" tint="-0.249977111117893"/>
      </bottom>
      <diagonal/>
    </border>
    <border>
      <left style="hair">
        <color theme="2" tint="-0.249977111117893"/>
      </left>
      <right/>
      <top style="hair">
        <color theme="2" tint="-0.249977111117893"/>
      </top>
      <bottom style="hair">
        <color theme="2" tint="-0.249977111117893"/>
      </bottom>
      <diagonal/>
    </border>
    <border>
      <left/>
      <right style="hair">
        <color theme="2" tint="-0.249977111117893"/>
      </right>
      <top style="hair">
        <color theme="2" tint="-0.249977111117893"/>
      </top>
      <bottom style="hair">
        <color theme="2" tint="-0.249977111117893"/>
      </bottom>
      <diagonal/>
    </border>
    <border>
      <left style="hair">
        <color theme="2" tint="-0.249977111117893"/>
      </left>
      <right/>
      <top style="hair">
        <color theme="2" tint="-0.249977111117893"/>
      </top>
      <bottom/>
      <diagonal/>
    </border>
    <border>
      <left/>
      <right style="hair">
        <color theme="2" tint="-0.249977111117893"/>
      </right>
      <top style="hair">
        <color theme="2" tint="-0.249977111117893"/>
      </top>
      <bottom/>
      <diagonal/>
    </border>
    <border>
      <left style="hair">
        <color theme="2" tint="-0.249977111117893"/>
      </left>
      <right style="hair">
        <color theme="2" tint="-0.249977111117893"/>
      </right>
      <top style="hair">
        <color theme="2" tint="-0.249977111117893"/>
      </top>
      <bottom/>
      <diagonal/>
    </border>
    <border>
      <left style="hair">
        <color theme="2" tint="-0.249977111117893"/>
      </left>
      <right/>
      <top/>
      <bottom style="hair">
        <color theme="2" tint="-0.249977111117893"/>
      </bottom>
      <diagonal/>
    </border>
    <border>
      <left/>
      <right style="hair">
        <color theme="2" tint="-0.249977111117893"/>
      </right>
      <top/>
      <bottom style="hair">
        <color theme="2" tint="-0.249977111117893"/>
      </bottom>
      <diagonal/>
    </border>
    <border>
      <left/>
      <right/>
      <top style="hair">
        <color theme="2" tint="-0.249977111117893"/>
      </top>
      <bottom style="hair">
        <color theme="2" tint="-0.249977111117893"/>
      </bottom>
      <diagonal/>
    </border>
    <border>
      <left style="hair">
        <color theme="2" tint="-0.249977111117893"/>
      </left>
      <right style="dashed">
        <color indexed="64"/>
      </right>
      <top/>
      <bottom/>
      <diagonal/>
    </border>
    <border>
      <left style="hair">
        <color theme="2" tint="-0.249977111117893"/>
      </left>
      <right style="hair">
        <color theme="2" tint="-0.249977111117893"/>
      </right>
      <top/>
      <bottom/>
      <diagonal/>
    </border>
    <border>
      <left style="hair">
        <color theme="2" tint="-0.249977111117893"/>
      </left>
      <right style="dashed">
        <color indexed="64"/>
      </right>
      <top/>
      <bottom style="hair">
        <color theme="2" tint="-0.249977111117893"/>
      </bottom>
      <diagonal/>
    </border>
    <border>
      <left/>
      <right style="hair">
        <color theme="2" tint="-0.249977111117893"/>
      </right>
      <top/>
      <bottom/>
      <diagonal/>
    </border>
    <border>
      <left style="hair">
        <color theme="2" tint="-0.249977111117893"/>
      </left>
      <right style="hair">
        <color theme="2" tint="-0.249977111117893"/>
      </right>
      <top/>
      <bottom style="hair">
        <color theme="2" tint="-0.249977111117893"/>
      </bottom>
      <diagonal/>
    </border>
    <border>
      <left style="hair">
        <color theme="2" tint="-0.249977111117893"/>
      </left>
      <right/>
      <top/>
      <bottom/>
      <diagonal/>
    </border>
    <border>
      <left/>
      <right/>
      <top style="hair">
        <color theme="2" tint="-0.249977111117893"/>
      </top>
      <bottom/>
      <diagonal/>
    </border>
    <border>
      <left/>
      <right/>
      <top/>
      <bottom style="hair">
        <color theme="2" tint="-0.249977111117893"/>
      </bottom>
      <diagonal/>
    </border>
    <border>
      <left/>
      <right style="thin">
        <color auto="1"/>
      </right>
      <top style="hair">
        <color theme="2" tint="-0.24997711111789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theme="2" tint="-0.249977111117893"/>
      </left>
      <right style="thin">
        <color auto="1"/>
      </right>
      <top style="hair">
        <color theme="2" tint="-0.249977111117893"/>
      </top>
      <bottom style="hair">
        <color theme="2" tint="-0.249977111117893"/>
      </bottom>
      <diagonal/>
    </border>
    <border>
      <left style="thin">
        <color auto="1"/>
      </left>
      <right style="thin">
        <color auto="1"/>
      </right>
      <top style="hair">
        <color theme="2" tint="-0.249977111117893"/>
      </top>
      <bottom style="hair">
        <color theme="2" tint="-0.249977111117893"/>
      </bottom>
      <diagonal/>
    </border>
    <border>
      <left style="thin">
        <color auto="1"/>
      </left>
      <right style="hair">
        <color theme="2" tint="-0.249977111117893"/>
      </right>
      <top style="hair">
        <color theme="2" tint="-0.249977111117893"/>
      </top>
      <bottom style="hair">
        <color theme="2" tint="-0.249977111117893"/>
      </bottom>
      <diagonal/>
    </border>
    <border>
      <left style="hair">
        <color theme="2" tint="-0.249977111117893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theme="2" tint="-0.249977111117893"/>
      </top>
      <bottom style="thin">
        <color auto="1"/>
      </bottom>
      <diagonal/>
    </border>
    <border>
      <left style="thin">
        <color auto="1"/>
      </left>
      <right style="hair">
        <color theme="2" tint="-0.249977111117893"/>
      </right>
      <top style="hair">
        <color theme="2" tint="-0.24997711111789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2" tint="-0.249977111117893"/>
      </left>
      <right/>
      <top style="hair">
        <color theme="2" tint="-0.249977111117893"/>
      </top>
      <bottom style="thin">
        <color auto="1"/>
      </bottom>
      <diagonal/>
    </border>
    <border>
      <left style="hair">
        <color theme="2" tint="-0.249977111117893"/>
      </left>
      <right style="thin">
        <color auto="1"/>
      </right>
      <top/>
      <bottom style="hair">
        <color theme="2" tint="-0.24997711111789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3" fontId="5" fillId="0" borderId="4" xfId="0" applyNumberFormat="1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4" xfId="0" applyBorder="1"/>
    <xf numFmtId="0" fontId="0" fillId="0" borderId="13" xfId="0" applyBorder="1" applyAlignment="1">
      <alignment horizontal="left"/>
    </xf>
    <xf numFmtId="0" fontId="0" fillId="0" borderId="9" xfId="0" applyBorder="1"/>
    <xf numFmtId="0" fontId="4" fillId="0" borderId="2" xfId="0" applyFont="1" applyBorder="1"/>
    <xf numFmtId="0" fontId="0" fillId="0" borderId="17" xfId="0" applyBorder="1"/>
    <xf numFmtId="0" fontId="5" fillId="0" borderId="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3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3" fontId="13" fillId="0" borderId="4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9" fillId="0" borderId="4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0" fontId="1" fillId="3" borderId="0" xfId="0" applyFont="1" applyFill="1" applyAlignment="1">
      <alignment vertical="center"/>
    </xf>
    <xf numFmtId="0" fontId="11" fillId="0" borderId="9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4" fillId="0" borderId="16" xfId="0" applyFont="1" applyBorder="1" applyAlignment="1">
      <alignment horizontal="left" vertical="center"/>
    </xf>
    <xf numFmtId="9" fontId="4" fillId="0" borderId="5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0" fontId="0" fillId="0" borderId="2" xfId="0" applyNumberFormat="1" applyBorder="1" applyAlignment="1">
      <alignment vertical="center" wrapText="1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9" fillId="0" borderId="12" xfId="0" applyFont="1" applyBorder="1" applyAlignment="1">
      <alignment horizontal="center"/>
    </xf>
    <xf numFmtId="0" fontId="0" fillId="0" borderId="2" xfId="0" applyBorder="1" applyAlignment="1">
      <alignment horizontal="center"/>
    </xf>
    <xf numFmtId="3" fontId="3" fillId="0" borderId="14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vertical="center" wrapText="1"/>
    </xf>
    <xf numFmtId="9" fontId="4" fillId="0" borderId="16" xfId="0" applyNumberFormat="1" applyFont="1" applyBorder="1" applyAlignment="1">
      <alignment horizontal="center" vertical="center"/>
    </xf>
    <xf numFmtId="0" fontId="4" fillId="0" borderId="15" xfId="0" applyFont="1" applyBorder="1"/>
    <xf numFmtId="3" fontId="0" fillId="0" borderId="7" xfId="0" applyNumberFormat="1" applyBorder="1" applyAlignment="1">
      <alignment vertical="center" wrapText="1"/>
    </xf>
    <xf numFmtId="4" fontId="0" fillId="0" borderId="0" xfId="0" applyNumberFormat="1" applyAlignment="1">
      <alignment vertical="center"/>
    </xf>
    <xf numFmtId="3" fontId="0" fillId="0" borderId="7" xfId="0" applyNumberFormat="1" applyBorder="1" applyAlignment="1">
      <alignment horizontal="right" vertical="center" wrapText="1"/>
    </xf>
    <xf numFmtId="0" fontId="11" fillId="0" borderId="7" xfId="0" applyFont="1" applyBorder="1" applyAlignment="1">
      <alignment horizontal="left" vertical="center" wrapText="1"/>
    </xf>
    <xf numFmtId="3" fontId="11" fillId="0" borderId="6" xfId="0" applyNumberFormat="1" applyFont="1" applyBorder="1" applyAlignment="1">
      <alignment horizontal="center" vertical="center"/>
    </xf>
    <xf numFmtId="3" fontId="13" fillId="4" borderId="6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3" fontId="11" fillId="0" borderId="2" xfId="0" applyNumberFormat="1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0" fillId="2" borderId="0" xfId="0" applyFont="1" applyFill="1" applyBorder="1" applyAlignment="1">
      <alignment vertical="center"/>
    </xf>
    <xf numFmtId="3" fontId="13" fillId="4" borderId="4" xfId="0" applyNumberFormat="1" applyFont="1" applyFill="1" applyBorder="1" applyAlignment="1">
      <alignment horizontal="center" vertical="center"/>
    </xf>
    <xf numFmtId="3" fontId="11" fillId="4" borderId="4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3" fontId="11" fillId="3" borderId="4" xfId="0" applyNumberFormat="1" applyFont="1" applyFill="1" applyBorder="1" applyAlignment="1">
      <alignment horizontal="center" vertical="center"/>
    </xf>
    <xf numFmtId="3" fontId="11" fillId="3" borderId="6" xfId="0" applyNumberFormat="1" applyFont="1" applyFill="1" applyBorder="1" applyAlignment="1">
      <alignment horizontal="center" vertical="center"/>
    </xf>
    <xf numFmtId="3" fontId="18" fillId="3" borderId="6" xfId="0" applyNumberFormat="1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/>
    </xf>
    <xf numFmtId="9" fontId="11" fillId="0" borderId="22" xfId="0" applyNumberFormat="1" applyFont="1" applyBorder="1" applyAlignment="1">
      <alignment horizontal="center" vertical="center"/>
    </xf>
    <xf numFmtId="3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9" fontId="11" fillId="0" borderId="25" xfId="0" applyNumberFormat="1" applyFont="1" applyBorder="1" applyAlignment="1">
      <alignment horizontal="center" vertical="center"/>
    </xf>
    <xf numFmtId="9" fontId="11" fillId="0" borderId="26" xfId="0" applyNumberFormat="1" applyFont="1" applyBorder="1" applyAlignment="1">
      <alignment horizontal="center" vertical="center"/>
    </xf>
    <xf numFmtId="3" fontId="8" fillId="0" borderId="23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0" fillId="0" borderId="27" xfId="0" applyBorder="1" applyAlignment="1">
      <alignment vertical="center" wrapText="1"/>
    </xf>
    <xf numFmtId="0" fontId="17" fillId="0" borderId="28" xfId="0" applyFont="1" applyBorder="1" applyAlignment="1">
      <alignment vertical="center"/>
    </xf>
    <xf numFmtId="0" fontId="4" fillId="0" borderId="30" xfId="0" applyFont="1" applyBorder="1" applyAlignment="1">
      <alignment wrapText="1"/>
    </xf>
    <xf numFmtId="0" fontId="0" fillId="0" borderId="31" xfId="0" applyBorder="1" applyAlignment="1">
      <alignment horizontal="center"/>
    </xf>
    <xf numFmtId="0" fontId="4" fillId="0" borderId="29" xfId="0" applyFont="1" applyBorder="1" applyAlignment="1">
      <alignment horizontal="left" vertical="center" wrapText="1"/>
    </xf>
    <xf numFmtId="0" fontId="19" fillId="0" borderId="32" xfId="0" applyFont="1" applyBorder="1" applyAlignment="1">
      <alignment horizontal="left"/>
    </xf>
    <xf numFmtId="0" fontId="20" fillId="5" borderId="0" xfId="0" applyFont="1" applyFill="1" applyAlignment="1">
      <alignment horizontal="left"/>
    </xf>
    <xf numFmtId="0" fontId="21" fillId="5" borderId="33" xfId="0" applyFont="1" applyFill="1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8" xfId="0" applyBorder="1"/>
    <xf numFmtId="0" fontId="0" fillId="0" borderId="28" xfId="0" applyBorder="1" applyAlignment="1">
      <alignment horizontal="left" wrapText="1"/>
    </xf>
    <xf numFmtId="0" fontId="0" fillId="0" borderId="28" xfId="0" applyBorder="1" applyAlignment="1">
      <alignment wrapText="1"/>
    </xf>
    <xf numFmtId="4" fontId="0" fillId="0" borderId="28" xfId="0" applyNumberFormat="1" applyBorder="1" applyAlignment="1">
      <alignment wrapText="1"/>
    </xf>
    <xf numFmtId="0" fontId="0" fillId="0" borderId="28" xfId="0" applyBorder="1" applyAlignment="1">
      <alignment horizontal="center" wrapText="1"/>
    </xf>
    <xf numFmtId="0" fontId="20" fillId="5" borderId="28" xfId="0" applyFont="1" applyFill="1" applyBorder="1" applyAlignment="1">
      <alignment horizontal="left"/>
    </xf>
    <xf numFmtId="0" fontId="21" fillId="5" borderId="28" xfId="0" applyFont="1" applyFill="1" applyBorder="1" applyAlignment="1">
      <alignment horizontal="left"/>
    </xf>
    <xf numFmtId="3" fontId="0" fillId="0" borderId="28" xfId="0" applyNumberFormat="1" applyBorder="1"/>
    <xf numFmtId="0" fontId="0" fillId="0" borderId="28" xfId="0" applyBorder="1"/>
    <xf numFmtId="0" fontId="19" fillId="0" borderId="28" xfId="0" applyFont="1" applyBorder="1" applyAlignment="1">
      <alignment horizontal="left"/>
    </xf>
    <xf numFmtId="3" fontId="0" fillId="0" borderId="28" xfId="0" applyNumberFormat="1" applyBorder="1" applyAlignment="1">
      <alignment wrapText="1"/>
    </xf>
    <xf numFmtId="0" fontId="0" fillId="0" borderId="28" xfId="0" applyBorder="1" applyAlignment="1">
      <alignment horizontal="center"/>
    </xf>
    <xf numFmtId="0" fontId="0" fillId="0" borderId="0" xfId="0" applyAlignment="1">
      <alignment wrapText="1"/>
    </xf>
    <xf numFmtId="0" fontId="0" fillId="0" borderId="34" xfId="0" applyBorder="1" applyAlignment="1">
      <alignment wrapText="1"/>
    </xf>
    <xf numFmtId="0" fontId="10" fillId="2" borderId="18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left"/>
    </xf>
    <xf numFmtId="0" fontId="9" fillId="0" borderId="6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topLeftCell="A51" workbookViewId="0"/>
  </sheetViews>
  <sheetFormatPr defaultColWidth="13.4375" defaultRowHeight="14.25" customHeight="1" x14ac:dyDescent="0.2"/>
  <cols>
    <col min="1" max="1" width="191.875" customWidth="1"/>
    <col min="2" max="2" width="12.69921875" customWidth="1"/>
    <col min="3" max="3" width="13.80859375" customWidth="1"/>
  </cols>
  <sheetData>
    <row r="1" spans="1:1" ht="40.5" customHeight="1" x14ac:dyDescent="0.2">
      <c r="A1" s="114" t="s">
        <v>199</v>
      </c>
    </row>
    <row r="2" spans="1:1" ht="15" x14ac:dyDescent="0.2">
      <c r="A2" s="114"/>
    </row>
    <row r="3" spans="1:1" ht="15" x14ac:dyDescent="0.2">
      <c r="A3" s="114"/>
    </row>
    <row r="4" spans="1:1" ht="15" x14ac:dyDescent="0.2">
      <c r="A4" s="114"/>
    </row>
    <row r="5" spans="1:1" ht="27.75" customHeight="1" x14ac:dyDescent="0.2">
      <c r="A5" s="114" t="s">
        <v>198</v>
      </c>
    </row>
    <row r="6" spans="1:1" ht="15" x14ac:dyDescent="0.2">
      <c r="A6" s="114"/>
    </row>
    <row r="7" spans="1:1" ht="15" x14ac:dyDescent="0.2">
      <c r="A7" s="114"/>
    </row>
    <row r="8" spans="1:1" ht="15" x14ac:dyDescent="0.2">
      <c r="A8" s="114"/>
    </row>
    <row r="9" spans="1:1" ht="15" x14ac:dyDescent="0.2">
      <c r="A9" s="114"/>
    </row>
    <row r="10" spans="1:1" ht="15" x14ac:dyDescent="0.2">
      <c r="A10" s="114"/>
    </row>
    <row r="11" spans="1:1" ht="15" x14ac:dyDescent="0.2">
      <c r="A11" s="114"/>
    </row>
    <row r="12" spans="1:1" ht="15" x14ac:dyDescent="0.2">
      <c r="A12" s="114"/>
    </row>
    <row r="13" spans="1:1" ht="15" x14ac:dyDescent="0.2">
      <c r="A13" s="114"/>
    </row>
    <row r="14" spans="1:1" ht="15" x14ac:dyDescent="0.2">
      <c r="A14" s="114"/>
    </row>
    <row r="15" spans="1:1" ht="15" x14ac:dyDescent="0.2">
      <c r="A15" s="114"/>
    </row>
    <row r="16" spans="1:1" ht="15" x14ac:dyDescent="0.2">
      <c r="A16" s="114"/>
    </row>
    <row r="17" spans="1:1" ht="15" x14ac:dyDescent="0.2">
      <c r="A17" s="114"/>
    </row>
    <row r="18" spans="1:1" ht="15" x14ac:dyDescent="0.2">
      <c r="A18" s="114"/>
    </row>
    <row r="19" spans="1:1" ht="15" x14ac:dyDescent="0.2">
      <c r="A19" s="114"/>
    </row>
    <row r="20" spans="1:1" ht="15" x14ac:dyDescent="0.2">
      <c r="A20" s="114"/>
    </row>
    <row r="21" spans="1:1" ht="15" x14ac:dyDescent="0.2">
      <c r="A21" s="114"/>
    </row>
    <row r="22" spans="1:1" ht="15" x14ac:dyDescent="0.2">
      <c r="A22" s="114"/>
    </row>
    <row r="23" spans="1:1" ht="15" x14ac:dyDescent="0.2">
      <c r="A23" s="114"/>
    </row>
    <row r="24" spans="1:1" ht="15" x14ac:dyDescent="0.2">
      <c r="A24" s="114"/>
    </row>
    <row r="25" spans="1:1" ht="15" x14ac:dyDescent="0.2">
      <c r="A25" s="114"/>
    </row>
    <row r="26" spans="1:1" ht="15" x14ac:dyDescent="0.2">
      <c r="A26" s="114"/>
    </row>
    <row r="27" spans="1:1" ht="15" x14ac:dyDescent="0.2">
      <c r="A27" s="114"/>
    </row>
    <row r="28" spans="1:1" ht="15" x14ac:dyDescent="0.2">
      <c r="A28" s="114"/>
    </row>
    <row r="29" spans="1:1" ht="15" x14ac:dyDescent="0.2">
      <c r="A29" s="114"/>
    </row>
    <row r="30" spans="1:1" ht="15" x14ac:dyDescent="0.2">
      <c r="A30" s="114"/>
    </row>
    <row r="31" spans="1:1" ht="15" x14ac:dyDescent="0.2">
      <c r="A31" s="114"/>
    </row>
    <row r="32" spans="1:1" ht="15" x14ac:dyDescent="0.2">
      <c r="A32" s="114"/>
    </row>
    <row r="33" spans="1:6" ht="15" x14ac:dyDescent="0.2">
      <c r="A33" s="114"/>
    </row>
    <row r="34" spans="1:6" ht="15" x14ac:dyDescent="0.2">
      <c r="A34" s="114"/>
    </row>
    <row r="35" spans="1:6" ht="15" x14ac:dyDescent="0.2">
      <c r="A35" s="114"/>
    </row>
    <row r="36" spans="1:6" ht="15" x14ac:dyDescent="0.2">
      <c r="A36" s="114"/>
    </row>
    <row r="37" spans="1:6" ht="15" x14ac:dyDescent="0.2">
      <c r="A37" s="114"/>
    </row>
    <row r="38" spans="1:6" ht="15" x14ac:dyDescent="0.2">
      <c r="A38" s="114"/>
    </row>
    <row r="39" spans="1:6" ht="15" x14ac:dyDescent="0.2">
      <c r="A39" s="114"/>
    </row>
    <row r="40" spans="1:6" ht="15" x14ac:dyDescent="0.2">
      <c r="A40" s="114"/>
    </row>
    <row r="41" spans="1:6" ht="15" x14ac:dyDescent="0.2">
      <c r="A41" s="114"/>
    </row>
    <row r="42" spans="1:6" ht="15" x14ac:dyDescent="0.2">
      <c r="A42" s="114"/>
    </row>
    <row r="43" spans="1:6" ht="15" x14ac:dyDescent="0.2">
      <c r="A43" s="114"/>
    </row>
    <row r="44" spans="1:6" ht="30" x14ac:dyDescent="0.2">
      <c r="A44" s="106" t="s">
        <v>101</v>
      </c>
      <c r="B44" s="106" t="s">
        <v>102</v>
      </c>
      <c r="C44" s="106" t="s">
        <v>103</v>
      </c>
      <c r="D44" s="106" t="s">
        <v>104</v>
      </c>
      <c r="E44" s="106" t="s">
        <v>105</v>
      </c>
      <c r="F44" s="106" t="s">
        <v>106</v>
      </c>
    </row>
    <row r="45" spans="1:6" ht="15" x14ac:dyDescent="0.2">
      <c r="A45" s="106">
        <v>1</v>
      </c>
      <c r="B45" s="104">
        <v>-312.5</v>
      </c>
      <c r="C45" s="104">
        <v>-22.126249999999999</v>
      </c>
      <c r="D45" s="104">
        <v>0</v>
      </c>
      <c r="E45" s="104">
        <v>-334.62625000000003</v>
      </c>
      <c r="F45" s="104">
        <v>-334.62625000000003</v>
      </c>
    </row>
    <row r="46" spans="1:6" ht="15" x14ac:dyDescent="0.2">
      <c r="A46" s="106">
        <v>2</v>
      </c>
      <c r="B46" s="104">
        <v>-312.5</v>
      </c>
      <c r="C46" s="104">
        <v>-22.126249999999999</v>
      </c>
      <c r="D46" s="104">
        <v>0</v>
      </c>
      <c r="E46" s="104">
        <v>-334.62625000000003</v>
      </c>
      <c r="F46" s="104">
        <v>-669.25250000000005</v>
      </c>
    </row>
    <row r="47" spans="1:6" ht="15" x14ac:dyDescent="0.2">
      <c r="A47" s="106">
        <v>3</v>
      </c>
      <c r="B47" s="104">
        <v>-312.5</v>
      </c>
      <c r="C47" s="104">
        <v>-22.126249999999999</v>
      </c>
      <c r="D47" s="104">
        <v>0</v>
      </c>
      <c r="E47" s="104">
        <v>-334.62625000000003</v>
      </c>
      <c r="F47" s="105">
        <v>-1003.87875</v>
      </c>
    </row>
    <row r="48" spans="1:6" ht="15" x14ac:dyDescent="0.2">
      <c r="A48" s="106">
        <v>4</v>
      </c>
      <c r="B48" s="104">
        <v>-312.5</v>
      </c>
      <c r="C48" s="104">
        <v>-22.126249999999999</v>
      </c>
      <c r="D48" s="104">
        <v>0</v>
      </c>
      <c r="E48" s="104">
        <v>-334.62625000000003</v>
      </c>
      <c r="F48" s="105">
        <v>-1338.5050000000001</v>
      </c>
    </row>
    <row r="49" spans="1:6" ht="15" x14ac:dyDescent="0.2">
      <c r="A49" s="106">
        <v>5</v>
      </c>
      <c r="B49" s="104">
        <v>0</v>
      </c>
      <c r="C49" s="104">
        <v>-22.126249999999999</v>
      </c>
      <c r="D49" s="104">
        <v>356.7525</v>
      </c>
      <c r="E49" s="104">
        <v>334.62625000000003</v>
      </c>
      <c r="F49" s="105">
        <v>-1003.87875</v>
      </c>
    </row>
    <row r="50" spans="1:6" ht="15" x14ac:dyDescent="0.2">
      <c r="A50" s="106">
        <v>6</v>
      </c>
      <c r="B50" s="104">
        <v>0</v>
      </c>
      <c r="C50" s="104">
        <v>-22.126249999999999</v>
      </c>
      <c r="D50" s="104">
        <v>356.7525</v>
      </c>
      <c r="E50" s="104">
        <v>334.62625000000003</v>
      </c>
      <c r="F50" s="104">
        <v>-669.25250000000005</v>
      </c>
    </row>
    <row r="51" spans="1:6" ht="15" x14ac:dyDescent="0.2">
      <c r="A51" s="106">
        <v>7</v>
      </c>
      <c r="B51" s="104">
        <v>0</v>
      </c>
      <c r="C51" s="104">
        <v>-22.126249999999999</v>
      </c>
      <c r="D51" s="104">
        <v>356.7525</v>
      </c>
      <c r="E51" s="104">
        <v>334.62625000000003</v>
      </c>
      <c r="F51" s="104">
        <v>-334.62625000000003</v>
      </c>
    </row>
    <row r="52" spans="1:6" ht="15" x14ac:dyDescent="0.2">
      <c r="A52" s="106">
        <v>8</v>
      </c>
      <c r="B52" s="104">
        <v>0</v>
      </c>
      <c r="C52" s="104">
        <v>-22.126249999999999</v>
      </c>
      <c r="D52" s="104">
        <v>356.7525</v>
      </c>
      <c r="E52" s="104">
        <v>334.62625000000003</v>
      </c>
      <c r="F52" s="104">
        <v>0</v>
      </c>
    </row>
    <row r="53" spans="1:6" ht="15" x14ac:dyDescent="0.2">
      <c r="A53" s="106">
        <v>9</v>
      </c>
      <c r="B53" s="104">
        <v>0</v>
      </c>
      <c r="C53" s="104">
        <v>-22.126249999999999</v>
      </c>
      <c r="D53" s="104">
        <v>522.12625000000003</v>
      </c>
      <c r="E53" s="104">
        <v>500</v>
      </c>
      <c r="F53" s="104">
        <v>500</v>
      </c>
    </row>
    <row r="54" spans="1:6" ht="15" x14ac:dyDescent="0.2">
      <c r="A54" s="106">
        <v>10</v>
      </c>
      <c r="B54" s="104">
        <v>0</v>
      </c>
      <c r="C54" s="104">
        <v>-22.126249999999999</v>
      </c>
      <c r="D54" s="104">
        <v>522.12625000000003</v>
      </c>
      <c r="E54" s="104">
        <v>500</v>
      </c>
      <c r="F54" s="104">
        <v>1000</v>
      </c>
    </row>
    <row r="55" spans="1:6" ht="15" x14ac:dyDescent="0.2">
      <c r="A55" s="106">
        <v>11</v>
      </c>
      <c r="B55" s="104">
        <v>0</v>
      </c>
      <c r="C55" s="104">
        <v>-22.126249999999999</v>
      </c>
      <c r="D55" s="104">
        <v>522.12625000000003</v>
      </c>
      <c r="E55" s="104">
        <v>500</v>
      </c>
      <c r="F55" s="104">
        <v>1500</v>
      </c>
    </row>
    <row r="56" spans="1:6" ht="15" x14ac:dyDescent="0.2">
      <c r="A56" s="106">
        <v>12</v>
      </c>
      <c r="B56" s="104">
        <v>0</v>
      </c>
      <c r="C56" s="104">
        <v>-22.126249999999999</v>
      </c>
      <c r="D56" s="104">
        <v>522.12625000000003</v>
      </c>
      <c r="E56" s="104">
        <v>500</v>
      </c>
      <c r="F56" s="104">
        <v>2000</v>
      </c>
    </row>
    <row r="57" spans="1:6" ht="15" x14ac:dyDescent="0.2">
      <c r="A57" s="114" t="s">
        <v>197</v>
      </c>
    </row>
    <row r="58" spans="1:6" ht="15" x14ac:dyDescent="0.2">
      <c r="A58" s="114"/>
    </row>
    <row r="59" spans="1:6" ht="15" x14ac:dyDescent="0.2">
      <c r="A59" s="114"/>
    </row>
    <row r="60" spans="1:6" ht="15" x14ac:dyDescent="0.2">
      <c r="A60" s="114"/>
    </row>
    <row r="61" spans="1:6" ht="15" x14ac:dyDescent="0.2">
      <c r="A61" s="114"/>
    </row>
    <row r="62" spans="1:6" ht="15" x14ac:dyDescent="0.2">
      <c r="A62" s="114"/>
    </row>
    <row r="63" spans="1:6" ht="15" x14ac:dyDescent="0.2">
      <c r="A63" s="114"/>
    </row>
    <row r="64" spans="1:6" ht="15" x14ac:dyDescent="0.2">
      <c r="A64" s="114"/>
    </row>
    <row r="65" spans="1:6" ht="15" x14ac:dyDescent="0.2">
      <c r="A65" s="114"/>
    </row>
    <row r="66" spans="1:6" ht="15" x14ac:dyDescent="0.2">
      <c r="A66" s="114"/>
    </row>
    <row r="67" spans="1:6" ht="15" x14ac:dyDescent="0.2">
      <c r="A67" s="114"/>
    </row>
    <row r="68" spans="1:6" ht="15" x14ac:dyDescent="0.2">
      <c r="A68" s="114"/>
    </row>
    <row r="69" spans="1:6" ht="15" x14ac:dyDescent="0.2">
      <c r="A69" s="114"/>
    </row>
    <row r="70" spans="1:6" ht="15" x14ac:dyDescent="0.2">
      <c r="A70" s="114"/>
    </row>
    <row r="71" spans="1:6" ht="15" x14ac:dyDescent="0.2">
      <c r="A71" s="114"/>
    </row>
    <row r="72" spans="1:6" ht="15" x14ac:dyDescent="0.2">
      <c r="A72" s="114"/>
    </row>
    <row r="73" spans="1:6" ht="15" x14ac:dyDescent="0.2">
      <c r="A73" t="s">
        <v>107</v>
      </c>
    </row>
    <row r="74" spans="1:6" ht="30" x14ac:dyDescent="0.2">
      <c r="A74" s="103" t="s">
        <v>101</v>
      </c>
      <c r="B74" s="103" t="s">
        <v>108</v>
      </c>
      <c r="C74" s="103" t="s">
        <v>103</v>
      </c>
      <c r="D74" s="103" t="s">
        <v>104</v>
      </c>
      <c r="E74" s="103" t="s">
        <v>105</v>
      </c>
      <c r="F74" s="103" t="s">
        <v>106</v>
      </c>
    </row>
    <row r="75" spans="1:6" ht="15" x14ac:dyDescent="0.2">
      <c r="A75" s="106">
        <v>1</v>
      </c>
      <c r="B75" s="104">
        <v>-312.5</v>
      </c>
      <c r="C75" s="104">
        <v>-22.13</v>
      </c>
      <c r="D75" s="104">
        <v>0</v>
      </c>
      <c r="E75" s="104">
        <v>-334.63</v>
      </c>
      <c r="F75" s="104">
        <v>-334.63</v>
      </c>
    </row>
    <row r="76" spans="1:6" ht="15" x14ac:dyDescent="0.2">
      <c r="A76" s="106">
        <v>2</v>
      </c>
      <c r="B76" s="104">
        <v>-312.5</v>
      </c>
      <c r="C76" s="104">
        <v>-22.13</v>
      </c>
      <c r="D76" s="104">
        <v>0</v>
      </c>
      <c r="E76" s="104">
        <v>-334.63</v>
      </c>
      <c r="F76" s="104">
        <v>-669.26</v>
      </c>
    </row>
    <row r="77" spans="1:6" ht="15" x14ac:dyDescent="0.2">
      <c r="A77" s="106">
        <v>3</v>
      </c>
      <c r="B77" s="104">
        <v>-312.5</v>
      </c>
      <c r="C77" s="104">
        <v>-22.13</v>
      </c>
      <c r="D77" s="104">
        <v>0</v>
      </c>
      <c r="E77" s="104">
        <v>-334.63</v>
      </c>
      <c r="F77" s="105">
        <v>-1003.89</v>
      </c>
    </row>
    <row r="78" spans="1:6" ht="15" x14ac:dyDescent="0.2">
      <c r="A78" s="106">
        <v>4</v>
      </c>
      <c r="B78" s="104">
        <v>-312.5</v>
      </c>
      <c r="C78" s="104">
        <v>-22.13</v>
      </c>
      <c r="D78" s="104">
        <v>0</v>
      </c>
      <c r="E78" s="104">
        <v>-334.63</v>
      </c>
      <c r="F78" s="105">
        <v>-1338.52</v>
      </c>
    </row>
    <row r="79" spans="1:6" ht="15" x14ac:dyDescent="0.2">
      <c r="A79" s="106">
        <v>5</v>
      </c>
      <c r="B79" s="104">
        <v>0</v>
      </c>
      <c r="C79" s="104">
        <v>-22.13</v>
      </c>
      <c r="D79" s="104">
        <v>356.75</v>
      </c>
      <c r="E79" s="104">
        <v>334.62</v>
      </c>
      <c r="F79" s="105">
        <v>-1003.9</v>
      </c>
    </row>
    <row r="80" spans="1:6" ht="15" x14ac:dyDescent="0.2">
      <c r="A80" s="106">
        <v>6</v>
      </c>
      <c r="B80" s="104">
        <v>0</v>
      </c>
      <c r="C80" s="104">
        <v>-22.13</v>
      </c>
      <c r="D80" s="104">
        <v>356.75</v>
      </c>
      <c r="E80" s="104">
        <v>334.62</v>
      </c>
      <c r="F80" s="104">
        <v>-669.28</v>
      </c>
    </row>
    <row r="81" spans="1:8" ht="15" x14ac:dyDescent="0.2">
      <c r="A81" s="106">
        <v>7</v>
      </c>
      <c r="B81" s="104">
        <v>0</v>
      </c>
      <c r="C81" s="104">
        <v>-22.13</v>
      </c>
      <c r="D81" s="104">
        <v>356.75</v>
      </c>
      <c r="E81" s="104">
        <v>334.62</v>
      </c>
      <c r="F81" s="104">
        <v>-334.66</v>
      </c>
    </row>
    <row r="82" spans="1:8" ht="15.75" x14ac:dyDescent="0.2">
      <c r="A82" s="106">
        <v>8</v>
      </c>
      <c r="B82" s="104">
        <v>0</v>
      </c>
      <c r="C82" s="104">
        <v>-22.13</v>
      </c>
      <c r="D82" s="104">
        <v>356.75</v>
      </c>
      <c r="E82" s="104">
        <v>334.62</v>
      </c>
      <c r="F82" s="104" t="s">
        <v>109</v>
      </c>
    </row>
    <row r="83" spans="1:8" ht="15" x14ac:dyDescent="0.2">
      <c r="A83" s="106">
        <v>9</v>
      </c>
      <c r="B83" s="104">
        <v>0</v>
      </c>
      <c r="C83" s="104">
        <v>-22.13</v>
      </c>
      <c r="D83" s="104">
        <v>522.13</v>
      </c>
      <c r="E83" s="104">
        <v>500</v>
      </c>
      <c r="F83" s="104">
        <v>500</v>
      </c>
    </row>
    <row r="84" spans="1:8" ht="15" x14ac:dyDescent="0.2">
      <c r="A84" s="106">
        <v>10</v>
      </c>
      <c r="B84" s="104">
        <v>0</v>
      </c>
      <c r="C84" s="104">
        <v>-22.13</v>
      </c>
      <c r="D84" s="104">
        <v>522.13</v>
      </c>
      <c r="E84" s="104">
        <v>500</v>
      </c>
      <c r="F84" s="105">
        <v>1000</v>
      </c>
    </row>
    <row r="85" spans="1:8" ht="15" x14ac:dyDescent="0.2">
      <c r="A85" s="106">
        <v>11</v>
      </c>
      <c r="B85" s="104">
        <v>0</v>
      </c>
      <c r="C85" s="104">
        <v>-22.13</v>
      </c>
      <c r="D85" s="104">
        <v>522.13</v>
      </c>
      <c r="E85" s="104">
        <v>500</v>
      </c>
      <c r="F85" s="105">
        <v>1500</v>
      </c>
    </row>
    <row r="86" spans="1:8" ht="15" x14ac:dyDescent="0.2">
      <c r="A86" s="106">
        <v>12</v>
      </c>
      <c r="B86" s="104">
        <v>0</v>
      </c>
      <c r="C86" s="104">
        <v>-22.13</v>
      </c>
      <c r="D86" s="104">
        <v>522.13</v>
      </c>
      <c r="E86" s="104">
        <v>500</v>
      </c>
      <c r="F86" s="105">
        <v>2000</v>
      </c>
    </row>
    <row r="87" spans="1:8" ht="2.25" customHeight="1" x14ac:dyDescent="0.2">
      <c r="A87" s="113" t="s">
        <v>196</v>
      </c>
      <c r="B87" s="113"/>
      <c r="C87" s="113"/>
      <c r="D87" s="113"/>
      <c r="E87" s="113"/>
      <c r="F87" s="113"/>
      <c r="G87" s="113"/>
      <c r="H87" s="113"/>
    </row>
    <row r="88" spans="1:8" ht="15" x14ac:dyDescent="0.2">
      <c r="A88" s="113"/>
      <c r="B88" s="113"/>
      <c r="C88" s="113"/>
      <c r="D88" s="113"/>
      <c r="E88" s="113"/>
      <c r="F88" s="113"/>
      <c r="G88" s="113"/>
      <c r="H88" s="113"/>
    </row>
    <row r="89" spans="1:8" ht="15" x14ac:dyDescent="0.2">
      <c r="A89" s="113"/>
      <c r="B89" s="113"/>
      <c r="C89" s="113"/>
      <c r="D89" s="113"/>
      <c r="E89" s="113"/>
      <c r="F89" s="113"/>
      <c r="G89" s="113"/>
      <c r="H89" s="113"/>
    </row>
    <row r="90" spans="1:8" ht="15" x14ac:dyDescent="0.2">
      <c r="A90" s="113"/>
      <c r="B90" s="113"/>
      <c r="C90" s="113"/>
      <c r="D90" s="113"/>
      <c r="E90" s="113"/>
      <c r="F90" s="113"/>
      <c r="G90" s="113"/>
      <c r="H90" s="113"/>
    </row>
    <row r="91" spans="1:8" ht="15" x14ac:dyDescent="0.2">
      <c r="A91" s="113"/>
      <c r="B91" s="113"/>
      <c r="C91" s="113"/>
      <c r="D91" s="113"/>
      <c r="E91" s="113"/>
      <c r="F91" s="113"/>
      <c r="G91" s="113"/>
      <c r="H91" s="113"/>
    </row>
    <row r="92" spans="1:8" ht="15" x14ac:dyDescent="0.2">
      <c r="A92" s="113"/>
      <c r="B92" s="113"/>
      <c r="C92" s="113"/>
      <c r="D92" s="113"/>
      <c r="E92" s="113"/>
      <c r="F92" s="113"/>
      <c r="G92" s="113"/>
      <c r="H92" s="113"/>
    </row>
    <row r="93" spans="1:8" ht="15" x14ac:dyDescent="0.2">
      <c r="A93" s="113"/>
      <c r="B93" s="113"/>
      <c r="C93" s="113"/>
      <c r="D93" s="113"/>
      <c r="E93" s="113"/>
      <c r="F93" s="113"/>
      <c r="G93" s="113"/>
      <c r="H93" s="113"/>
    </row>
    <row r="94" spans="1:8" ht="15" x14ac:dyDescent="0.2">
      <c r="A94" s="113"/>
      <c r="B94" s="113"/>
      <c r="C94" s="113"/>
      <c r="D94" s="113"/>
      <c r="E94" s="113"/>
      <c r="F94" s="113"/>
      <c r="G94" s="113"/>
      <c r="H94" s="113"/>
    </row>
    <row r="95" spans="1:8" ht="15" x14ac:dyDescent="0.2">
      <c r="A95" s="113"/>
      <c r="B95" s="113"/>
      <c r="C95" s="113"/>
      <c r="D95" s="113"/>
      <c r="E95" s="113"/>
      <c r="F95" s="113"/>
      <c r="G95" s="113"/>
      <c r="H95" s="113"/>
    </row>
  </sheetData>
  <mergeCells count="4">
    <mergeCell ref="A87:H95"/>
    <mergeCell ref="A57:A72"/>
    <mergeCell ref="A5:A43"/>
    <mergeCell ref="A1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workbookViewId="0"/>
  </sheetViews>
  <sheetFormatPr defaultColWidth="13.4375" defaultRowHeight="14.25" customHeight="1" x14ac:dyDescent="0.2"/>
  <cols>
    <col min="1" max="1" width="193.84765625" customWidth="1"/>
    <col min="2" max="2" width="18.98828125" customWidth="1"/>
    <col min="3" max="3" width="25.89453125" customWidth="1"/>
    <col min="4" max="4" width="16.02734375" customWidth="1"/>
    <col min="5" max="5" width="8.75390625" customWidth="1"/>
    <col min="6" max="6" width="10.97265625" customWidth="1"/>
  </cols>
  <sheetData>
    <row r="1" spans="1:6" x14ac:dyDescent="0.2">
      <c r="A1" s="107" t="s">
        <v>132</v>
      </c>
      <c r="B1" s="102"/>
      <c r="C1" s="102"/>
      <c r="D1" s="102"/>
      <c r="E1" s="102"/>
      <c r="F1" s="102"/>
    </row>
    <row r="2" spans="1:6" x14ac:dyDescent="0.2">
      <c r="A2" s="101" t="s">
        <v>0</v>
      </c>
      <c r="B2" s="101" t="s">
        <v>133</v>
      </c>
      <c r="C2" s="102"/>
      <c r="D2" s="102"/>
      <c r="E2" s="102"/>
      <c r="F2" s="102"/>
    </row>
    <row r="3" spans="1:6" x14ac:dyDescent="0.2">
      <c r="A3" s="102" t="s">
        <v>134</v>
      </c>
      <c r="B3" s="102" t="s">
        <v>135</v>
      </c>
      <c r="C3" s="102"/>
      <c r="D3" s="102"/>
      <c r="E3" s="102"/>
      <c r="F3" s="102"/>
    </row>
    <row r="4" spans="1:6" x14ac:dyDescent="0.2">
      <c r="A4" s="102" t="s">
        <v>136</v>
      </c>
      <c r="B4" s="102" t="s">
        <v>137</v>
      </c>
      <c r="C4" s="102"/>
      <c r="D4" s="102"/>
      <c r="E4" s="102"/>
      <c r="F4" s="102"/>
    </row>
    <row r="5" spans="1:6" x14ac:dyDescent="0.2">
      <c r="A5" s="102" t="s">
        <v>138</v>
      </c>
      <c r="B5" s="102" t="s">
        <v>139</v>
      </c>
      <c r="C5" s="102"/>
      <c r="D5" s="102"/>
      <c r="E5" s="102"/>
      <c r="F5" s="102"/>
    </row>
    <row r="6" spans="1:6" x14ac:dyDescent="0.2">
      <c r="A6" s="102" t="s">
        <v>140</v>
      </c>
      <c r="B6" s="102" t="s">
        <v>141</v>
      </c>
      <c r="C6" s="102"/>
      <c r="D6" s="102"/>
      <c r="E6" s="102"/>
      <c r="F6" s="102"/>
    </row>
    <row r="7" spans="1:6" x14ac:dyDescent="0.2">
      <c r="A7" s="102" t="s">
        <v>142</v>
      </c>
      <c r="B7" s="102" t="s">
        <v>143</v>
      </c>
      <c r="C7" s="102"/>
      <c r="D7" s="102"/>
      <c r="E7" s="102"/>
      <c r="F7" s="102"/>
    </row>
    <row r="8" spans="1:6" x14ac:dyDescent="0.2">
      <c r="A8" s="107" t="s">
        <v>144</v>
      </c>
      <c r="B8" s="102"/>
      <c r="C8" s="102"/>
      <c r="D8" s="102"/>
      <c r="E8" s="102"/>
      <c r="F8" s="102"/>
    </row>
    <row r="9" spans="1:6" x14ac:dyDescent="0.2">
      <c r="A9" s="108" t="s">
        <v>145</v>
      </c>
      <c r="B9" s="102"/>
      <c r="C9" s="102"/>
      <c r="D9" s="102"/>
      <c r="E9" s="102"/>
      <c r="F9" s="102"/>
    </row>
    <row r="10" spans="1:6" x14ac:dyDescent="0.2">
      <c r="A10" s="101" t="s">
        <v>146</v>
      </c>
      <c r="B10" s="101" t="s">
        <v>147</v>
      </c>
      <c r="C10" s="101" t="s">
        <v>148</v>
      </c>
      <c r="D10" s="101" t="s">
        <v>149</v>
      </c>
      <c r="E10" s="102"/>
      <c r="F10" s="102"/>
    </row>
    <row r="11" spans="1:6" x14ac:dyDescent="0.2">
      <c r="A11" s="102" t="s">
        <v>150</v>
      </c>
      <c r="B11" s="102">
        <v>5</v>
      </c>
      <c r="C11" s="109">
        <v>200000</v>
      </c>
      <c r="D11" s="109">
        <v>1000000</v>
      </c>
      <c r="E11" s="102"/>
      <c r="F11" s="102"/>
    </row>
    <row r="12" spans="1:6" x14ac:dyDescent="0.2">
      <c r="A12" s="102" t="s">
        <v>151</v>
      </c>
      <c r="B12" s="102">
        <v>3</v>
      </c>
      <c r="C12" s="109">
        <v>150000</v>
      </c>
      <c r="D12" s="109">
        <v>450000</v>
      </c>
      <c r="E12" s="102"/>
      <c r="F12" s="102"/>
    </row>
    <row r="13" spans="1:6" x14ac:dyDescent="0.2">
      <c r="A13" s="102" t="s">
        <v>200</v>
      </c>
      <c r="B13" s="102">
        <v>5</v>
      </c>
      <c r="C13" s="109">
        <v>120000</v>
      </c>
      <c r="D13" s="109">
        <v>600000</v>
      </c>
      <c r="E13" s="102"/>
      <c r="F13" s="102"/>
    </row>
    <row r="14" spans="1:6" x14ac:dyDescent="0.2">
      <c r="A14" s="102" t="s">
        <v>152</v>
      </c>
      <c r="B14" s="102">
        <v>7</v>
      </c>
      <c r="C14" s="109">
        <v>100000</v>
      </c>
      <c r="D14" s="109">
        <v>700000</v>
      </c>
      <c r="E14" s="102"/>
      <c r="F14" s="102"/>
    </row>
    <row r="15" spans="1:6" x14ac:dyDescent="0.2">
      <c r="A15" s="102" t="s">
        <v>153</v>
      </c>
      <c r="B15" s="102">
        <v>4</v>
      </c>
      <c r="C15" s="109">
        <v>80000</v>
      </c>
      <c r="D15" s="109">
        <v>320000</v>
      </c>
      <c r="E15" s="102"/>
      <c r="F15" s="102"/>
    </row>
    <row r="16" spans="1:6" x14ac:dyDescent="0.2">
      <c r="A16" s="102" t="s">
        <v>201</v>
      </c>
      <c r="B16" s="102">
        <v>15</v>
      </c>
      <c r="C16" s="109">
        <v>60000</v>
      </c>
      <c r="D16" s="109">
        <v>900000</v>
      </c>
      <c r="E16" s="102"/>
      <c r="F16" s="102"/>
    </row>
    <row r="17" spans="1:6" x14ac:dyDescent="0.2">
      <c r="A17" s="102" t="s">
        <v>154</v>
      </c>
      <c r="B17" s="102">
        <v>1</v>
      </c>
      <c r="C17" s="109">
        <v>70000</v>
      </c>
      <c r="D17" s="109">
        <v>70000</v>
      </c>
      <c r="E17" s="102"/>
      <c r="F17" s="102"/>
    </row>
    <row r="18" spans="1:6" x14ac:dyDescent="0.2">
      <c r="A18" s="102" t="s">
        <v>155</v>
      </c>
      <c r="B18" s="102">
        <v>10</v>
      </c>
      <c r="C18" s="109">
        <v>70000</v>
      </c>
      <c r="D18" s="109">
        <v>700000</v>
      </c>
      <c r="E18" s="102"/>
      <c r="F18" s="102"/>
    </row>
    <row r="19" spans="1:6" x14ac:dyDescent="0.2">
      <c r="A19" s="102" t="s">
        <v>156</v>
      </c>
      <c r="B19" s="102">
        <v>50</v>
      </c>
      <c r="C19" s="102"/>
      <c r="D19" s="109">
        <v>4740000</v>
      </c>
      <c r="E19" s="102"/>
      <c r="F19" s="102"/>
    </row>
    <row r="20" spans="1:6" x14ac:dyDescent="0.2">
      <c r="A20" s="108" t="s">
        <v>157</v>
      </c>
      <c r="B20" s="102"/>
      <c r="C20" s="102"/>
      <c r="D20" s="102"/>
      <c r="E20" s="102"/>
      <c r="F20" s="102"/>
    </row>
    <row r="21" spans="1:6" x14ac:dyDescent="0.2">
      <c r="A21" s="110" t="s">
        <v>158</v>
      </c>
      <c r="B21" s="102"/>
      <c r="C21" s="102"/>
      <c r="D21" s="102"/>
      <c r="E21" s="102"/>
      <c r="F21" s="102"/>
    </row>
    <row r="22" spans="1:6" x14ac:dyDescent="0.2">
      <c r="A22" s="108" t="s">
        <v>159</v>
      </c>
      <c r="B22" s="102"/>
      <c r="C22" s="102"/>
      <c r="D22" s="102"/>
      <c r="E22" s="102"/>
      <c r="F22" s="102"/>
    </row>
    <row r="23" spans="1:6" x14ac:dyDescent="0.2">
      <c r="A23" s="110" t="s">
        <v>160</v>
      </c>
      <c r="B23" s="102"/>
      <c r="C23" s="102"/>
      <c r="D23" s="102"/>
      <c r="E23" s="102"/>
      <c r="F23" s="102"/>
    </row>
    <row r="24" spans="1:6" x14ac:dyDescent="0.2">
      <c r="A24" s="108" t="s">
        <v>161</v>
      </c>
      <c r="B24" s="102"/>
      <c r="C24" s="102"/>
      <c r="D24" s="102"/>
      <c r="E24" s="102"/>
      <c r="F24" s="102"/>
    </row>
    <row r="25" spans="1:6" x14ac:dyDescent="0.2">
      <c r="A25" s="108" t="s">
        <v>162</v>
      </c>
      <c r="B25" s="102"/>
      <c r="C25" s="102"/>
      <c r="D25" s="102"/>
      <c r="E25" s="102"/>
      <c r="F25" s="102"/>
    </row>
    <row r="26" spans="1:6" x14ac:dyDescent="0.2">
      <c r="A26" s="111"/>
      <c r="B26" s="102"/>
      <c r="C26" s="102"/>
      <c r="D26" s="102"/>
      <c r="E26" s="102"/>
      <c r="F26" s="102"/>
    </row>
    <row r="27" spans="1:6" x14ac:dyDescent="0.2">
      <c r="A27" s="107" t="s">
        <v>163</v>
      </c>
      <c r="B27" s="102"/>
      <c r="C27" s="102"/>
      <c r="D27" s="102"/>
      <c r="E27" s="102"/>
      <c r="F27" s="102"/>
    </row>
    <row r="28" spans="1:6" x14ac:dyDescent="0.2">
      <c r="A28" s="108" t="s">
        <v>164</v>
      </c>
      <c r="B28" s="102"/>
      <c r="C28" s="102"/>
      <c r="D28" s="102"/>
      <c r="E28" s="102"/>
      <c r="F28" s="102"/>
    </row>
    <row r="29" spans="1:6" x14ac:dyDescent="0.2">
      <c r="A29" s="108" t="s">
        <v>165</v>
      </c>
      <c r="B29" s="102"/>
      <c r="C29" s="102"/>
      <c r="D29" s="102"/>
      <c r="E29" s="102"/>
      <c r="F29" s="102"/>
    </row>
    <row r="30" spans="1:6" x14ac:dyDescent="0.2">
      <c r="A30" s="110" t="s">
        <v>166</v>
      </c>
      <c r="B30" s="102"/>
      <c r="C30" s="102"/>
      <c r="D30" s="102"/>
      <c r="E30" s="102"/>
      <c r="F30" s="102"/>
    </row>
    <row r="31" spans="1:6" x14ac:dyDescent="0.2">
      <c r="A31" s="108" t="s">
        <v>167</v>
      </c>
      <c r="B31" s="102"/>
      <c r="C31" s="102"/>
      <c r="D31" s="102"/>
      <c r="E31" s="102"/>
      <c r="F31" s="102"/>
    </row>
    <row r="32" spans="1:6" x14ac:dyDescent="0.2">
      <c r="A32" s="108" t="s">
        <v>168</v>
      </c>
      <c r="B32" s="102"/>
      <c r="C32" s="102"/>
      <c r="D32" s="102"/>
      <c r="E32" s="102"/>
      <c r="F32" s="102"/>
    </row>
    <row r="33" spans="1:6" x14ac:dyDescent="0.2">
      <c r="A33" s="111"/>
      <c r="B33" s="102"/>
      <c r="C33" s="102"/>
      <c r="D33" s="102"/>
      <c r="E33" s="102"/>
      <c r="F33" s="102"/>
    </row>
    <row r="34" spans="1:6" x14ac:dyDescent="0.2">
      <c r="A34" s="107" t="s">
        <v>169</v>
      </c>
      <c r="B34" s="102"/>
      <c r="C34" s="102"/>
      <c r="D34" s="102"/>
      <c r="E34" s="102"/>
      <c r="F34" s="102"/>
    </row>
    <row r="35" spans="1:6" x14ac:dyDescent="0.2">
      <c r="A35" s="108" t="s">
        <v>170</v>
      </c>
      <c r="B35" s="102"/>
      <c r="C35" s="102"/>
      <c r="D35" s="102"/>
      <c r="E35" s="102"/>
      <c r="F35" s="102"/>
    </row>
    <row r="36" spans="1:6" x14ac:dyDescent="0.2">
      <c r="A36" s="110" t="s">
        <v>171</v>
      </c>
      <c r="B36" s="102"/>
      <c r="C36" s="102"/>
      <c r="D36" s="102"/>
      <c r="E36" s="102"/>
      <c r="F36" s="102"/>
    </row>
    <row r="37" spans="1:6" x14ac:dyDescent="0.2">
      <c r="A37" s="110" t="s">
        <v>172</v>
      </c>
      <c r="B37" s="102"/>
      <c r="C37" s="102"/>
      <c r="D37" s="102"/>
      <c r="E37" s="102"/>
      <c r="F37" s="102"/>
    </row>
    <row r="38" spans="1:6" x14ac:dyDescent="0.2">
      <c r="A38" s="108" t="s">
        <v>173</v>
      </c>
      <c r="B38" s="102"/>
      <c r="C38" s="102"/>
      <c r="D38" s="102"/>
      <c r="E38" s="102"/>
      <c r="F38" s="102"/>
    </row>
    <row r="39" spans="1:6" x14ac:dyDescent="0.2">
      <c r="A39" s="108" t="s">
        <v>174</v>
      </c>
      <c r="B39" s="102"/>
      <c r="C39" s="102"/>
      <c r="D39" s="102"/>
      <c r="E39" s="102"/>
      <c r="F39" s="102"/>
    </row>
    <row r="40" spans="1:6" x14ac:dyDescent="0.2">
      <c r="A40" s="111"/>
      <c r="B40" s="102"/>
      <c r="C40" s="102"/>
      <c r="D40" s="102"/>
      <c r="E40" s="102"/>
      <c r="F40" s="102"/>
    </row>
    <row r="41" spans="1:6" x14ac:dyDescent="0.2">
      <c r="A41" s="107" t="s">
        <v>175</v>
      </c>
      <c r="B41" s="102"/>
      <c r="C41" s="102"/>
      <c r="D41" s="102"/>
      <c r="E41" s="102"/>
      <c r="F41" s="102"/>
    </row>
    <row r="42" spans="1:6" x14ac:dyDescent="0.2">
      <c r="A42" s="101" t="s">
        <v>176</v>
      </c>
      <c r="B42" s="101" t="s">
        <v>177</v>
      </c>
      <c r="C42" s="101" t="s">
        <v>178</v>
      </c>
      <c r="D42" s="101" t="s">
        <v>179</v>
      </c>
      <c r="E42" s="102"/>
      <c r="F42" s="102"/>
    </row>
    <row r="43" spans="1:6" x14ac:dyDescent="0.2">
      <c r="A43" s="102" t="s">
        <v>180</v>
      </c>
      <c r="B43" s="109">
        <v>687500</v>
      </c>
      <c r="C43" s="109">
        <v>8250000</v>
      </c>
      <c r="D43" s="109">
        <v>24750000</v>
      </c>
      <c r="E43" s="102"/>
      <c r="F43" s="102"/>
    </row>
    <row r="44" spans="1:6" x14ac:dyDescent="0.2">
      <c r="A44" s="102" t="s">
        <v>181</v>
      </c>
      <c r="B44" s="109">
        <v>6162000</v>
      </c>
      <c r="C44" s="109">
        <v>73944000</v>
      </c>
      <c r="D44" s="109">
        <v>221832000</v>
      </c>
      <c r="E44" s="102"/>
      <c r="F44" s="102"/>
    </row>
    <row r="45" spans="1:6" x14ac:dyDescent="0.2">
      <c r="A45" s="102" t="s">
        <v>182</v>
      </c>
      <c r="B45" s="109">
        <v>33000</v>
      </c>
      <c r="C45" s="109">
        <v>396000</v>
      </c>
      <c r="D45" s="109">
        <v>1188000</v>
      </c>
      <c r="E45" s="102"/>
      <c r="F45" s="102"/>
    </row>
    <row r="46" spans="1:6" x14ac:dyDescent="0.2">
      <c r="A46" s="102" t="s">
        <v>183</v>
      </c>
      <c r="B46" s="109">
        <v>492960</v>
      </c>
      <c r="C46" s="109">
        <v>5915520</v>
      </c>
      <c r="D46" s="109">
        <v>17746560</v>
      </c>
      <c r="E46" s="102"/>
      <c r="F46" s="102"/>
    </row>
    <row r="47" spans="1:6" x14ac:dyDescent="0.2">
      <c r="A47" s="102" t="s">
        <v>122</v>
      </c>
      <c r="B47" s="109">
        <v>7375460</v>
      </c>
      <c r="C47" s="109">
        <v>88505520</v>
      </c>
      <c r="D47" s="109">
        <v>265516560</v>
      </c>
      <c r="E47" s="102"/>
      <c r="F47" s="102"/>
    </row>
    <row r="48" spans="1:6" x14ac:dyDescent="0.2">
      <c r="A48" s="107" t="s">
        <v>184</v>
      </c>
      <c r="B48" s="102"/>
      <c r="C48" s="102"/>
      <c r="D48" s="102"/>
      <c r="E48" s="102"/>
      <c r="F48" s="102"/>
    </row>
    <row r="49" spans="1:6" x14ac:dyDescent="0.2">
      <c r="A49" s="101" t="s">
        <v>185</v>
      </c>
      <c r="B49" s="101" t="s">
        <v>180</v>
      </c>
      <c r="C49" s="101" t="s">
        <v>181</v>
      </c>
      <c r="D49" s="101" t="s">
        <v>182</v>
      </c>
      <c r="E49" s="101" t="s">
        <v>186</v>
      </c>
      <c r="F49" s="101" t="s">
        <v>187</v>
      </c>
    </row>
    <row r="50" spans="1:6" x14ac:dyDescent="0.2">
      <c r="A50" s="102" t="s">
        <v>188</v>
      </c>
      <c r="B50" s="109">
        <v>8250000</v>
      </c>
      <c r="C50" s="109">
        <v>73944000</v>
      </c>
      <c r="D50" s="109">
        <v>396000</v>
      </c>
      <c r="E50" s="109">
        <v>5915520</v>
      </c>
      <c r="F50" s="109">
        <v>88505520</v>
      </c>
    </row>
    <row r="51" spans="1:6" x14ac:dyDescent="0.2">
      <c r="A51" s="102" t="s">
        <v>189</v>
      </c>
      <c r="B51" s="109">
        <v>8250000</v>
      </c>
      <c r="C51" s="109">
        <v>73944000</v>
      </c>
      <c r="D51" s="109">
        <v>396000</v>
      </c>
      <c r="E51" s="109">
        <v>5915520</v>
      </c>
      <c r="F51" s="109">
        <v>88505520</v>
      </c>
    </row>
    <row r="52" spans="1:6" x14ac:dyDescent="0.2">
      <c r="A52" s="102" t="s">
        <v>190</v>
      </c>
      <c r="B52" s="109">
        <v>8250000</v>
      </c>
      <c r="C52" s="109">
        <v>73944000</v>
      </c>
      <c r="D52" s="109">
        <v>396000</v>
      </c>
      <c r="E52" s="109">
        <v>5915520</v>
      </c>
      <c r="F52" s="109">
        <v>88505520</v>
      </c>
    </row>
    <row r="53" spans="1:6" x14ac:dyDescent="0.2">
      <c r="A53" s="99" t="s">
        <v>191</v>
      </c>
    </row>
    <row r="54" spans="1:6" x14ac:dyDescent="0.2">
      <c r="A54" t="s">
        <v>192</v>
      </c>
    </row>
    <row r="55" spans="1:6" x14ac:dyDescent="0.2">
      <c r="A55" t="s">
        <v>193</v>
      </c>
    </row>
    <row r="56" spans="1:6" x14ac:dyDescent="0.2">
      <c r="A56" t="s">
        <v>194</v>
      </c>
    </row>
    <row r="57" spans="1:6" x14ac:dyDescent="0.2">
      <c r="A57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9"/>
  <sheetViews>
    <sheetView workbookViewId="0"/>
  </sheetViews>
  <sheetFormatPr defaultColWidth="13.4375" defaultRowHeight="14.25" customHeight="1" x14ac:dyDescent="0.2"/>
  <cols>
    <col min="1" max="1" width="182.625" customWidth="1"/>
  </cols>
  <sheetData>
    <row r="1" spans="1:1" ht="15" x14ac:dyDescent="0.2">
      <c r="A1" s="114" t="s">
        <v>203</v>
      </c>
    </row>
    <row r="2" spans="1:1" ht="15" x14ac:dyDescent="0.2">
      <c r="A2" s="114"/>
    </row>
    <row r="3" spans="1:1" ht="15" x14ac:dyDescent="0.2">
      <c r="A3" s="114"/>
    </row>
    <row r="4" spans="1:1" ht="15" x14ac:dyDescent="0.2">
      <c r="A4" s="114"/>
    </row>
    <row r="5" spans="1:1" ht="15" x14ac:dyDescent="0.2">
      <c r="A5" s="114"/>
    </row>
    <row r="6" spans="1:1" ht="15" x14ac:dyDescent="0.2">
      <c r="A6" s="115"/>
    </row>
    <row r="7" spans="1:1" ht="15" x14ac:dyDescent="0.2">
      <c r="A7" s="114"/>
    </row>
    <row r="8" spans="1:1" ht="15" x14ac:dyDescent="0.2">
      <c r="A8" s="114"/>
    </row>
    <row r="9" spans="1:1" ht="15" x14ac:dyDescent="0.2">
      <c r="A9" s="114"/>
    </row>
    <row r="10" spans="1:1" ht="15" x14ac:dyDescent="0.2">
      <c r="A10" s="114"/>
    </row>
    <row r="11" spans="1:1" ht="15" x14ac:dyDescent="0.2">
      <c r="A11" s="115"/>
    </row>
    <row r="12" spans="1:1" ht="15" x14ac:dyDescent="0.2">
      <c r="A12" s="114"/>
    </row>
    <row r="13" spans="1:1" ht="15" x14ac:dyDescent="0.2">
      <c r="A13" s="114"/>
    </row>
    <row r="14" spans="1:1" ht="15" x14ac:dyDescent="0.2">
      <c r="A14" s="114"/>
    </row>
    <row r="15" spans="1:1" ht="15" x14ac:dyDescent="0.2">
      <c r="A15" s="114"/>
    </row>
    <row r="16" spans="1:1" ht="15" x14ac:dyDescent="0.2">
      <c r="A16" s="115"/>
    </row>
    <row r="17" spans="1:1" ht="15" x14ac:dyDescent="0.2">
      <c r="A17" s="114"/>
    </row>
    <row r="18" spans="1:1" ht="15" x14ac:dyDescent="0.2">
      <c r="A18" s="114"/>
    </row>
    <row r="19" spans="1:1" ht="15" x14ac:dyDescent="0.2">
      <c r="A19" s="114"/>
    </row>
    <row r="20" spans="1:1" ht="15" x14ac:dyDescent="0.2">
      <c r="A20" s="114"/>
    </row>
    <row r="21" spans="1:1" ht="15" x14ac:dyDescent="0.2">
      <c r="A21" s="115"/>
    </row>
    <row r="22" spans="1:1" ht="15" x14ac:dyDescent="0.2">
      <c r="A22" s="114"/>
    </row>
    <row r="23" spans="1:1" ht="15" x14ac:dyDescent="0.2">
      <c r="A23" s="114"/>
    </row>
    <row r="24" spans="1:1" ht="15" x14ac:dyDescent="0.2">
      <c r="A24" s="114"/>
    </row>
    <row r="25" spans="1:1" ht="15" x14ac:dyDescent="0.2">
      <c r="A25" s="115"/>
    </row>
    <row r="26" spans="1:1" ht="15" x14ac:dyDescent="0.2">
      <c r="A26" s="114"/>
    </row>
    <row r="27" spans="1:1" ht="15" x14ac:dyDescent="0.2">
      <c r="A27" s="114"/>
    </row>
    <row r="28" spans="1:1" ht="15" x14ac:dyDescent="0.2">
      <c r="A28" s="114"/>
    </row>
    <row r="29" spans="1:1" ht="15" x14ac:dyDescent="0.2">
      <c r="A29" s="115"/>
    </row>
    <row r="30" spans="1:1" ht="15" x14ac:dyDescent="0.2">
      <c r="A30" s="114"/>
    </row>
    <row r="31" spans="1:1" ht="15" x14ac:dyDescent="0.2">
      <c r="A31" s="114"/>
    </row>
    <row r="32" spans="1:1" ht="15" x14ac:dyDescent="0.2">
      <c r="A32" s="114"/>
    </row>
    <row r="33" spans="1:4" ht="15" x14ac:dyDescent="0.2">
      <c r="A33" s="114"/>
    </row>
    <row r="34" spans="1:4" ht="15" x14ac:dyDescent="0.2">
      <c r="A34" s="115"/>
    </row>
    <row r="35" spans="1:4" ht="15" x14ac:dyDescent="0.2">
      <c r="A35" s="114"/>
    </row>
    <row r="36" spans="1:4" ht="15" x14ac:dyDescent="0.2">
      <c r="A36" s="114"/>
    </row>
    <row r="37" spans="1:4" ht="15" x14ac:dyDescent="0.2">
      <c r="A37" s="114"/>
    </row>
    <row r="38" spans="1:4" ht="15" x14ac:dyDescent="0.2">
      <c r="A38" s="115"/>
    </row>
    <row r="39" spans="1:4" ht="15" x14ac:dyDescent="0.2">
      <c r="A39" s="114"/>
    </row>
    <row r="40" spans="1:4" ht="15" x14ac:dyDescent="0.2">
      <c r="A40" s="114"/>
    </row>
    <row r="41" spans="1:4" ht="15" x14ac:dyDescent="0.2">
      <c r="A41" s="114"/>
    </row>
    <row r="42" spans="1:4" ht="15" x14ac:dyDescent="0.2">
      <c r="A42" s="115"/>
    </row>
    <row r="43" spans="1:4" ht="15" x14ac:dyDescent="0.2">
      <c r="A43" s="114"/>
    </row>
    <row r="44" spans="1:4" ht="15" x14ac:dyDescent="0.2">
      <c r="A44" s="114"/>
    </row>
    <row r="45" spans="1:4" ht="15" x14ac:dyDescent="0.2">
      <c r="A45" s="114"/>
    </row>
    <row r="46" spans="1:4" ht="15" x14ac:dyDescent="0.2">
      <c r="A46" s="98"/>
    </row>
    <row r="47" spans="1:4" ht="15" x14ac:dyDescent="0.2">
      <c r="A47" s="99" t="s">
        <v>110</v>
      </c>
    </row>
    <row r="48" spans="1:4" ht="30" x14ac:dyDescent="0.2">
      <c r="A48" s="103" t="s">
        <v>111</v>
      </c>
      <c r="B48" s="103" t="s">
        <v>112</v>
      </c>
      <c r="C48" s="103" t="s">
        <v>113</v>
      </c>
      <c r="D48" s="103" t="s">
        <v>114</v>
      </c>
    </row>
    <row r="49" spans="1:4" ht="15.75" x14ac:dyDescent="0.2">
      <c r="A49" s="104" t="s">
        <v>115</v>
      </c>
      <c r="B49" s="104">
        <v>400</v>
      </c>
      <c r="C49" s="112">
        <v>1200</v>
      </c>
      <c r="D49" s="104">
        <v>800</v>
      </c>
    </row>
    <row r="50" spans="1:4" ht="15.75" x14ac:dyDescent="0.2">
      <c r="A50" s="104" t="s">
        <v>116</v>
      </c>
      <c r="B50" s="104">
        <v>150</v>
      </c>
      <c r="C50" s="104">
        <v>500</v>
      </c>
      <c r="D50" s="104">
        <v>300</v>
      </c>
    </row>
    <row r="51" spans="1:4" ht="15.75" x14ac:dyDescent="0.2">
      <c r="A51" s="104" t="s">
        <v>117</v>
      </c>
      <c r="B51" s="104">
        <v>50</v>
      </c>
      <c r="C51" s="104">
        <v>200</v>
      </c>
      <c r="D51" s="104">
        <v>100</v>
      </c>
    </row>
    <row r="52" spans="1:4" ht="15.75" x14ac:dyDescent="0.2">
      <c r="A52" s="104" t="s">
        <v>118</v>
      </c>
      <c r="B52" s="104">
        <v>30</v>
      </c>
      <c r="C52" s="104">
        <v>500</v>
      </c>
      <c r="D52" s="104">
        <v>150</v>
      </c>
    </row>
    <row r="53" spans="1:4" ht="15" x14ac:dyDescent="0.2">
      <c r="A53" s="104" t="s">
        <v>119</v>
      </c>
      <c r="B53" s="104">
        <v>20</v>
      </c>
      <c r="C53" s="104">
        <v>100</v>
      </c>
      <c r="D53" s="104">
        <v>50</v>
      </c>
    </row>
    <row r="54" spans="1:4" ht="15.75" x14ac:dyDescent="0.2">
      <c r="A54" s="104" t="s">
        <v>120</v>
      </c>
      <c r="B54" s="104">
        <v>20</v>
      </c>
      <c r="C54" s="104">
        <v>150</v>
      </c>
      <c r="D54" s="104">
        <v>80</v>
      </c>
    </row>
    <row r="55" spans="1:4" ht="15.75" x14ac:dyDescent="0.2">
      <c r="A55" s="104" t="s">
        <v>121</v>
      </c>
      <c r="B55" s="104">
        <v>10</v>
      </c>
      <c r="C55" s="104">
        <v>100</v>
      </c>
      <c r="D55" s="104">
        <v>35</v>
      </c>
    </row>
    <row r="56" spans="1:4" ht="15.75" x14ac:dyDescent="0.2">
      <c r="A56" s="104" t="s">
        <v>122</v>
      </c>
      <c r="B56" s="104">
        <v>680</v>
      </c>
      <c r="C56" s="112">
        <v>2750</v>
      </c>
      <c r="D56" s="104" t="s">
        <v>123</v>
      </c>
    </row>
    <row r="57" spans="1:4" ht="15" x14ac:dyDescent="0.2">
      <c r="A57" s="100" t="s">
        <v>124</v>
      </c>
    </row>
    <row r="58" spans="1:4" ht="15" x14ac:dyDescent="0.2">
      <c r="A58" s="98"/>
    </row>
    <row r="59" spans="1:4" ht="15" x14ac:dyDescent="0.2">
      <c r="A59" s="99" t="s">
        <v>125</v>
      </c>
    </row>
    <row r="60" spans="1:4" ht="15" x14ac:dyDescent="0.2">
      <c r="A60" t="s">
        <v>126</v>
      </c>
    </row>
    <row r="61" spans="1:4" ht="15" x14ac:dyDescent="0.2">
      <c r="A61" t="s">
        <v>127</v>
      </c>
    </row>
    <row r="62" spans="1:4" ht="15" x14ac:dyDescent="0.2">
      <c r="A62" t="s">
        <v>128</v>
      </c>
    </row>
    <row r="63" spans="1:4" ht="15" x14ac:dyDescent="0.2">
      <c r="A63" t="s">
        <v>129</v>
      </c>
    </row>
    <row r="64" spans="1:4" ht="15" x14ac:dyDescent="0.2">
      <c r="A64" s="98"/>
    </row>
    <row r="65" spans="1:1" ht="15" x14ac:dyDescent="0.2">
      <c r="A65" s="99" t="s">
        <v>130</v>
      </c>
    </row>
    <row r="66" spans="1:1" ht="15" x14ac:dyDescent="0.2">
      <c r="A66" s="114" t="s">
        <v>131</v>
      </c>
    </row>
    <row r="67" spans="1:1" ht="15" x14ac:dyDescent="0.2">
      <c r="A67" s="114"/>
    </row>
    <row r="68" spans="1:1" ht="15" x14ac:dyDescent="0.2">
      <c r="A68" s="114"/>
    </row>
    <row r="69" spans="1:1" ht="15" x14ac:dyDescent="0.2">
      <c r="A69" s="114"/>
    </row>
  </sheetData>
  <mergeCells count="2">
    <mergeCell ref="A1:A45"/>
    <mergeCell ref="A66:A6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8990-352B-2849-A2C1-60F44F1E4A7F}">
  <dimension ref="A1:F121"/>
  <sheetViews>
    <sheetView topLeftCell="A24" zoomScale="75" workbookViewId="0">
      <selection activeCell="C18" sqref="C18"/>
    </sheetView>
  </sheetViews>
  <sheetFormatPr defaultColWidth="9.98828125" defaultRowHeight="15" x14ac:dyDescent="0.2"/>
  <cols>
    <col min="1" max="1" width="10.8515625" style="5"/>
    <col min="2" max="2" width="70.1640625" customWidth="1"/>
    <col min="3" max="3" width="30.33203125" style="1" customWidth="1"/>
    <col min="4" max="4" width="51.296875" customWidth="1"/>
    <col min="5" max="5" width="55.859375" style="49" customWidth="1"/>
    <col min="6" max="6" width="14.0546875" bestFit="1" customWidth="1"/>
  </cols>
  <sheetData>
    <row r="1" spans="1:6" s="7" customFormat="1" ht="41.1" customHeight="1" x14ac:dyDescent="0.2">
      <c r="A1" s="116" t="s">
        <v>202</v>
      </c>
      <c r="B1" s="116"/>
      <c r="C1" s="116"/>
      <c r="D1" s="116"/>
      <c r="E1" s="116"/>
      <c r="F1" s="8"/>
    </row>
    <row r="2" spans="1:6" ht="33" customHeight="1" x14ac:dyDescent="0.25">
      <c r="A2" s="71" t="s">
        <v>30</v>
      </c>
      <c r="B2" s="76" t="s">
        <v>0</v>
      </c>
      <c r="C2" s="77" t="s">
        <v>76</v>
      </c>
      <c r="D2" s="76" t="s">
        <v>1</v>
      </c>
      <c r="E2" s="44"/>
    </row>
    <row r="3" spans="1:6" s="7" customFormat="1" ht="62.1" customHeight="1" x14ac:dyDescent="0.2">
      <c r="A3" s="41" t="s">
        <v>31</v>
      </c>
      <c r="B3" s="32" t="s">
        <v>2</v>
      </c>
      <c r="C3" s="78">
        <f>C4+C5</f>
        <v>1850000000</v>
      </c>
      <c r="D3" s="82" t="s">
        <v>94</v>
      </c>
      <c r="E3" s="50"/>
    </row>
    <row r="4" spans="1:6" s="7" customFormat="1" ht="27.95" customHeight="1" x14ac:dyDescent="0.2">
      <c r="A4" s="5" t="s">
        <v>32</v>
      </c>
      <c r="B4" s="32" t="s">
        <v>70</v>
      </c>
      <c r="C4" s="74">
        <f>D29</f>
        <v>1250000000</v>
      </c>
      <c r="D4" s="43"/>
      <c r="E4" s="50"/>
    </row>
    <row r="5" spans="1:6" s="7" customFormat="1" ht="27.95" customHeight="1" x14ac:dyDescent="0.2">
      <c r="A5" s="5" t="s">
        <v>69</v>
      </c>
      <c r="B5" s="32" t="s">
        <v>71</v>
      </c>
      <c r="C5" s="74">
        <v>600000000</v>
      </c>
      <c r="D5" s="43" t="s">
        <v>95</v>
      </c>
      <c r="E5" s="50"/>
    </row>
    <row r="6" spans="1:6" s="7" customFormat="1" ht="48.95" customHeight="1" x14ac:dyDescent="0.2">
      <c r="A6" s="5" t="s">
        <v>33</v>
      </c>
      <c r="B6" s="32" t="s">
        <v>3</v>
      </c>
      <c r="C6" s="78">
        <f>(C22-120000000)*50%</f>
        <v>2215000000</v>
      </c>
      <c r="D6" s="35"/>
      <c r="E6" s="44"/>
    </row>
    <row r="7" spans="1:6" s="7" customFormat="1" ht="48.95" customHeight="1" x14ac:dyDescent="0.2">
      <c r="A7" s="5" t="s">
        <v>34</v>
      </c>
      <c r="B7" s="33" t="s">
        <v>73</v>
      </c>
      <c r="C7" s="79">
        <f>C13-C4-C5-C6</f>
        <v>785000000</v>
      </c>
      <c r="D7" s="35"/>
      <c r="E7" s="44"/>
    </row>
    <row r="8" spans="1:6" s="7" customFormat="1" ht="47.1" customHeight="1" x14ac:dyDescent="0.2">
      <c r="A8" s="5" t="s">
        <v>35</v>
      </c>
      <c r="B8" s="64" t="s">
        <v>67</v>
      </c>
      <c r="C8" s="80"/>
      <c r="D8" s="37"/>
      <c r="E8" s="44"/>
    </row>
    <row r="9" spans="1:6" s="7" customFormat="1" ht="47.1" customHeight="1" x14ac:dyDescent="0.2">
      <c r="A9" s="5"/>
      <c r="B9" s="64" t="s">
        <v>74</v>
      </c>
      <c r="C9" s="80"/>
      <c r="D9" s="37"/>
      <c r="E9" s="44"/>
    </row>
    <row r="10" spans="1:6" s="7" customFormat="1" ht="47.1" customHeight="1" x14ac:dyDescent="0.2">
      <c r="A10" s="5" t="s">
        <v>36</v>
      </c>
      <c r="B10" s="64" t="s">
        <v>68</v>
      </c>
      <c r="C10" s="66">
        <f>C8+C6</f>
        <v>2215000000</v>
      </c>
      <c r="D10" s="37"/>
      <c r="E10" s="44"/>
    </row>
    <row r="11" spans="1:6" s="7" customFormat="1" ht="47.1" customHeight="1" x14ac:dyDescent="0.2">
      <c r="A11" s="5"/>
      <c r="B11" s="64" t="s">
        <v>75</v>
      </c>
      <c r="C11" s="66">
        <f>C7+C9</f>
        <v>785000000</v>
      </c>
      <c r="D11" s="37"/>
      <c r="E11" s="44"/>
    </row>
    <row r="12" spans="1:6" s="7" customFormat="1" ht="38.1" customHeight="1" x14ac:dyDescent="0.2">
      <c r="A12" s="39" t="s">
        <v>48</v>
      </c>
      <c r="B12" s="32" t="s">
        <v>4</v>
      </c>
      <c r="C12" s="74" t="s">
        <v>91</v>
      </c>
      <c r="D12" s="35"/>
      <c r="E12" s="44"/>
    </row>
    <row r="13" spans="1:6" s="7" customFormat="1" ht="47.1" customHeight="1" x14ac:dyDescent="0.2">
      <c r="A13" s="39" t="s">
        <v>56</v>
      </c>
      <c r="B13" s="32" t="s">
        <v>84</v>
      </c>
      <c r="C13" s="73">
        <v>4850000000</v>
      </c>
      <c r="D13" s="35" t="s">
        <v>80</v>
      </c>
      <c r="E13" s="53"/>
    </row>
    <row r="14" spans="1:6" s="7" customFormat="1" ht="54" customHeight="1" x14ac:dyDescent="0.2">
      <c r="A14" s="39" t="s">
        <v>66</v>
      </c>
      <c r="B14" s="33" t="s">
        <v>82</v>
      </c>
      <c r="C14" s="81" t="s">
        <v>93</v>
      </c>
      <c r="D14" s="37"/>
      <c r="E14" s="44"/>
    </row>
    <row r="15" spans="1:6" s="7" customFormat="1" ht="51" customHeight="1" x14ac:dyDescent="0.2">
      <c r="A15" s="39" t="s">
        <v>72</v>
      </c>
      <c r="B15" s="32" t="s">
        <v>83</v>
      </c>
      <c r="C15" s="81" t="s">
        <v>49</v>
      </c>
      <c r="D15" s="38"/>
      <c r="E15" s="44"/>
    </row>
    <row r="16" spans="1:6" s="7" customFormat="1" ht="38.1" customHeight="1" x14ac:dyDescent="0.2">
      <c r="A16" s="117" t="s">
        <v>5</v>
      </c>
      <c r="B16" s="117"/>
      <c r="C16" s="117"/>
      <c r="D16" s="117"/>
      <c r="E16" s="118"/>
    </row>
    <row r="17" spans="1:5" s="7" customFormat="1" ht="27.95" customHeight="1" x14ac:dyDescent="0.25">
      <c r="A17" s="71" t="s">
        <v>37</v>
      </c>
      <c r="B17" s="67" t="s">
        <v>6</v>
      </c>
      <c r="C17" s="75" t="s">
        <v>7</v>
      </c>
      <c r="D17" s="75" t="s">
        <v>8</v>
      </c>
      <c r="E17" s="44"/>
    </row>
    <row r="18" spans="1:5" s="7" customFormat="1" ht="63.95" customHeight="1" x14ac:dyDescent="0.2">
      <c r="A18" s="5" t="s">
        <v>38</v>
      </c>
      <c r="B18" s="32" t="s">
        <v>92</v>
      </c>
      <c r="C18" s="34">
        <v>2950000000</v>
      </c>
      <c r="D18" s="35" t="s">
        <v>96</v>
      </c>
      <c r="E18" s="44"/>
    </row>
    <row r="19" spans="1:5" s="7" customFormat="1" ht="30.95" customHeight="1" x14ac:dyDescent="0.2">
      <c r="A19" s="5" t="s">
        <v>39</v>
      </c>
      <c r="B19" s="32" t="s">
        <v>9</v>
      </c>
      <c r="C19" s="34">
        <v>600000000</v>
      </c>
      <c r="D19" s="35" t="s">
        <v>97</v>
      </c>
      <c r="E19" s="44"/>
    </row>
    <row r="20" spans="1:5" s="7" customFormat="1" ht="33" customHeight="1" x14ac:dyDescent="0.2">
      <c r="A20" s="5" t="s">
        <v>40</v>
      </c>
      <c r="B20" s="32" t="s">
        <v>10</v>
      </c>
      <c r="C20" s="34">
        <v>400000000</v>
      </c>
      <c r="D20" s="35" t="s">
        <v>98</v>
      </c>
      <c r="E20" s="44"/>
    </row>
    <row r="21" spans="1:5" s="7" customFormat="1" ht="60" customHeight="1" x14ac:dyDescent="0.2">
      <c r="A21" s="5" t="s">
        <v>41</v>
      </c>
      <c r="B21" s="32" t="s">
        <v>11</v>
      </c>
      <c r="C21" s="34">
        <v>600000000</v>
      </c>
      <c r="D21" s="35" t="s">
        <v>99</v>
      </c>
      <c r="E21" s="44"/>
    </row>
    <row r="22" spans="1:5" s="7" customFormat="1" ht="27.95" customHeight="1" x14ac:dyDescent="0.2">
      <c r="A22" s="5" t="s">
        <v>42</v>
      </c>
      <c r="B22" s="32" t="s">
        <v>12</v>
      </c>
      <c r="C22" s="36">
        <f>SUM(C18:C21)</f>
        <v>4550000000</v>
      </c>
      <c r="D22" s="35"/>
      <c r="E22" s="44"/>
    </row>
    <row r="23" spans="1:5" s="7" customFormat="1" ht="38.1" customHeight="1" x14ac:dyDescent="0.2">
      <c r="A23" s="40"/>
      <c r="B23" s="117" t="s">
        <v>81</v>
      </c>
      <c r="C23" s="117"/>
      <c r="D23" s="117"/>
      <c r="E23" s="72"/>
    </row>
    <row r="24" spans="1:5" s="7" customFormat="1" ht="30.95" customHeight="1" x14ac:dyDescent="0.25">
      <c r="A24" s="71" t="s">
        <v>43</v>
      </c>
      <c r="B24" s="83" t="s">
        <v>13</v>
      </c>
      <c r="C24" s="84" t="s">
        <v>14</v>
      </c>
      <c r="D24" s="30" t="s">
        <v>7</v>
      </c>
      <c r="E24" s="30"/>
    </row>
    <row r="25" spans="1:5" s="7" customFormat="1" ht="27" customHeight="1" x14ac:dyDescent="0.2">
      <c r="A25" s="5" t="s">
        <v>44</v>
      </c>
      <c r="B25" s="85" t="s">
        <v>15</v>
      </c>
      <c r="C25" s="86">
        <v>0.2</v>
      </c>
      <c r="D25" s="87">
        <v>250000000</v>
      </c>
      <c r="E25" s="69"/>
    </row>
    <row r="26" spans="1:5" s="7" customFormat="1" ht="42" customHeight="1" x14ac:dyDescent="0.2">
      <c r="A26" s="5" t="s">
        <v>45</v>
      </c>
      <c r="B26" s="85" t="s">
        <v>87</v>
      </c>
      <c r="C26" s="86">
        <v>0.28000000000000003</v>
      </c>
      <c r="D26" s="65">
        <v>350000000</v>
      </c>
      <c r="E26" s="69"/>
    </row>
    <row r="27" spans="1:5" s="7" customFormat="1" ht="35.1" customHeight="1" x14ac:dyDescent="0.2">
      <c r="A27" s="5" t="s">
        <v>46</v>
      </c>
      <c r="B27" s="85" t="s">
        <v>85</v>
      </c>
      <c r="C27" s="86">
        <v>0.28000000000000003</v>
      </c>
      <c r="D27" s="87">
        <v>350000000</v>
      </c>
      <c r="E27" s="69"/>
    </row>
    <row r="28" spans="1:5" s="7" customFormat="1" ht="42.95" customHeight="1" x14ac:dyDescent="0.2">
      <c r="A28" s="5" t="s">
        <v>47</v>
      </c>
      <c r="B28" s="88" t="s">
        <v>86</v>
      </c>
      <c r="C28" s="89">
        <v>0.24</v>
      </c>
      <c r="D28" s="65">
        <v>300000000</v>
      </c>
      <c r="E28" s="69"/>
    </row>
    <row r="29" spans="1:5" s="7" customFormat="1" ht="35.1" customHeight="1" x14ac:dyDescent="0.2">
      <c r="A29" s="5" t="s">
        <v>61</v>
      </c>
      <c r="B29" s="68" t="s">
        <v>16</v>
      </c>
      <c r="C29" s="90">
        <f>SUM(C25:C28)</f>
        <v>1</v>
      </c>
      <c r="D29" s="91">
        <f>SUM(D25:D28)</f>
        <v>1250000000</v>
      </c>
      <c r="E29" s="70"/>
    </row>
    <row r="30" spans="1:5" s="7" customFormat="1" ht="35.1" customHeight="1" x14ac:dyDescent="0.2">
      <c r="A30" s="117" t="s">
        <v>50</v>
      </c>
      <c r="B30" s="117"/>
      <c r="C30" s="117"/>
      <c r="D30" s="117"/>
      <c r="E30" s="118"/>
    </row>
    <row r="31" spans="1:5" s="7" customFormat="1" ht="42.95" customHeight="1" x14ac:dyDescent="0.25">
      <c r="A31" s="92" t="s">
        <v>58</v>
      </c>
      <c r="B31" s="94" t="s">
        <v>51</v>
      </c>
      <c r="C31" s="122" t="s">
        <v>88</v>
      </c>
      <c r="D31" s="123"/>
      <c r="E31" s="93"/>
    </row>
    <row r="32" spans="1:5" s="7" customFormat="1" ht="42.95" customHeight="1" x14ac:dyDescent="0.2">
      <c r="A32" s="5" t="s">
        <v>59</v>
      </c>
      <c r="B32" s="94" t="s">
        <v>52</v>
      </c>
      <c r="C32" s="120" t="s">
        <v>90</v>
      </c>
      <c r="D32" s="121"/>
      <c r="E32" s="93"/>
    </row>
    <row r="33" spans="1:5" s="7" customFormat="1" ht="39.950000000000003" customHeight="1" x14ac:dyDescent="0.2">
      <c r="A33" s="5" t="s">
        <v>60</v>
      </c>
      <c r="B33" s="94" t="s">
        <v>53</v>
      </c>
      <c r="C33" s="122" t="s">
        <v>89</v>
      </c>
      <c r="D33" s="123"/>
      <c r="E33" s="93"/>
    </row>
    <row r="34" spans="1:5" s="7" customFormat="1" ht="54" customHeight="1" x14ac:dyDescent="0.2">
      <c r="A34" s="5" t="s">
        <v>59</v>
      </c>
      <c r="B34" s="94" t="s">
        <v>54</v>
      </c>
      <c r="C34" s="120" t="s">
        <v>55</v>
      </c>
      <c r="D34" s="121"/>
      <c r="E34" s="93"/>
    </row>
    <row r="35" spans="1:5" s="7" customFormat="1" ht="35.1" customHeight="1" x14ac:dyDescent="0.2">
      <c r="A35" s="117" t="s">
        <v>65</v>
      </c>
      <c r="B35" s="117"/>
      <c r="C35" s="117"/>
      <c r="D35" s="117"/>
      <c r="E35" s="118"/>
    </row>
    <row r="36" spans="1:5" s="7" customFormat="1" ht="35.1" customHeight="1" x14ac:dyDescent="0.25">
      <c r="A36" s="71" t="s">
        <v>77</v>
      </c>
      <c r="B36" s="60" t="s">
        <v>57</v>
      </c>
      <c r="C36" s="54" t="s">
        <v>91</v>
      </c>
      <c r="D36" s="18"/>
      <c r="E36" s="47"/>
    </row>
    <row r="37" spans="1:5" s="7" customFormat="1" ht="19.5" x14ac:dyDescent="0.25">
      <c r="A37" s="55" t="s">
        <v>78</v>
      </c>
      <c r="B37" s="95" t="s">
        <v>64</v>
      </c>
      <c r="C37" s="124" t="s">
        <v>100</v>
      </c>
      <c r="D37" s="125"/>
      <c r="E37" s="47"/>
    </row>
    <row r="38" spans="1:5" s="7" customFormat="1" ht="81.95" customHeight="1" x14ac:dyDescent="0.25">
      <c r="A38" s="96" t="s">
        <v>79</v>
      </c>
      <c r="B38" s="97" t="s">
        <v>62</v>
      </c>
      <c r="C38" s="119" t="s">
        <v>63</v>
      </c>
      <c r="D38" s="119"/>
      <c r="E38" s="93"/>
    </row>
    <row r="39" spans="1:5" s="7" customFormat="1" ht="35.1" customHeight="1" x14ac:dyDescent="0.2">
      <c r="A39" s="57"/>
      <c r="B39" s="51"/>
      <c r="C39" s="52"/>
      <c r="D39" s="56"/>
      <c r="E39" s="47"/>
    </row>
    <row r="40" spans="1:5" s="7" customFormat="1" ht="47.1" customHeight="1" x14ac:dyDescent="0.2">
      <c r="E40" s="47"/>
    </row>
    <row r="41" spans="1:5" s="42" customFormat="1" x14ac:dyDescent="0.2">
      <c r="E41" s="47"/>
    </row>
    <row r="42" spans="1:5" s="7" customFormat="1" x14ac:dyDescent="0.2">
      <c r="E42" s="47"/>
    </row>
    <row r="43" spans="1:5" s="7" customFormat="1" ht="35.1" customHeight="1" x14ac:dyDescent="0.2">
      <c r="E43" s="58"/>
    </row>
    <row r="44" spans="1:5" s="7" customFormat="1" ht="35.1" customHeight="1" x14ac:dyDescent="0.2">
      <c r="E44" s="58"/>
    </row>
    <row r="45" spans="1:5" s="7" customFormat="1" ht="35.1" customHeight="1" x14ac:dyDescent="0.2">
      <c r="E45" s="58"/>
    </row>
    <row r="46" spans="1:5" s="7" customFormat="1" ht="35.1" customHeight="1" x14ac:dyDescent="0.2">
      <c r="E46" s="58"/>
    </row>
    <row r="47" spans="1:5" s="7" customFormat="1" ht="35.1" customHeight="1" x14ac:dyDescent="0.2">
      <c r="E47" s="58"/>
    </row>
    <row r="48" spans="1:5" s="7" customFormat="1" ht="38.1" customHeight="1" x14ac:dyDescent="0.2">
      <c r="E48" s="58"/>
    </row>
    <row r="49" spans="5:6" s="7" customFormat="1" ht="35.1" customHeight="1" x14ac:dyDescent="0.2"/>
    <row r="50" spans="5:6" s="7" customFormat="1" ht="35.1" customHeight="1" x14ac:dyDescent="0.2"/>
    <row r="51" spans="5:6" s="7" customFormat="1" ht="35.1" customHeight="1" x14ac:dyDescent="0.2">
      <c r="E51" s="61"/>
      <c r="F51" s="62"/>
    </row>
    <row r="52" spans="5:6" s="7" customFormat="1" ht="35.1" customHeight="1" x14ac:dyDescent="0.2">
      <c r="E52" s="63"/>
      <c r="F52" s="62"/>
    </row>
    <row r="53" spans="5:6" s="7" customFormat="1" ht="35.1" customHeight="1" x14ac:dyDescent="0.2">
      <c r="E53" s="61"/>
      <c r="F53" s="62"/>
    </row>
    <row r="54" spans="5:6" s="7" customFormat="1" ht="35.1" customHeight="1" x14ac:dyDescent="0.2">
      <c r="E54" s="61"/>
      <c r="F54" s="62"/>
    </row>
    <row r="55" spans="5:6" s="7" customFormat="1" ht="35.1" customHeight="1" x14ac:dyDescent="0.2">
      <c r="E55" s="61"/>
      <c r="F55" s="62"/>
    </row>
    <row r="56" spans="5:6" s="7" customFormat="1" ht="35.1" customHeight="1" x14ac:dyDescent="0.2">
      <c r="E56" s="47"/>
      <c r="F56" s="62"/>
    </row>
    <row r="57" spans="5:6" s="7" customFormat="1" ht="35.1" customHeight="1" x14ac:dyDescent="0.2">
      <c r="E57" s="47"/>
      <c r="F57" s="62"/>
    </row>
    <row r="58" spans="5:6" s="7" customFormat="1" ht="35.1" customHeight="1" x14ac:dyDescent="0.2">
      <c r="E58" s="47"/>
      <c r="F58" s="62"/>
    </row>
    <row r="59" spans="5:6" s="7" customFormat="1" ht="35.1" customHeight="1" x14ac:dyDescent="0.2">
      <c r="E59" s="47"/>
      <c r="F59" s="62"/>
    </row>
    <row r="60" spans="5:6" s="7" customFormat="1" ht="35.1" customHeight="1" x14ac:dyDescent="0.2">
      <c r="E60" s="47"/>
      <c r="F60" s="62"/>
    </row>
    <row r="61" spans="5:6" s="7" customFormat="1" ht="35.1" customHeight="1" x14ac:dyDescent="0.2">
      <c r="E61" s="47"/>
      <c r="F61" s="62"/>
    </row>
    <row r="62" spans="5:6" s="7" customFormat="1" ht="35.1" customHeight="1" x14ac:dyDescent="0.2">
      <c r="E62" s="47"/>
      <c r="F62" s="62"/>
    </row>
    <row r="63" spans="5:6" s="7" customFormat="1" ht="35.1" customHeight="1" x14ac:dyDescent="0.2">
      <c r="E63" s="47"/>
      <c r="F63" s="62"/>
    </row>
    <row r="64" spans="5:6" s="7" customFormat="1" ht="35.1" customHeight="1" x14ac:dyDescent="0.2">
      <c r="E64" s="47"/>
      <c r="F64" s="62"/>
    </row>
    <row r="65" spans="1:6" s="7" customFormat="1" ht="35.1" customHeight="1" x14ac:dyDescent="0.2">
      <c r="E65" s="47"/>
      <c r="F65" s="62"/>
    </row>
    <row r="66" spans="1:6" s="7" customFormat="1" ht="32.1" customHeight="1" x14ac:dyDescent="0.2">
      <c r="E66" s="47"/>
    </row>
    <row r="67" spans="1:6" s="7" customFormat="1" ht="32.1" customHeight="1" x14ac:dyDescent="0.2">
      <c r="E67" s="47"/>
    </row>
    <row r="68" spans="1:6" s="7" customFormat="1" ht="35.1" customHeight="1" x14ac:dyDescent="0.2">
      <c r="E68" s="47"/>
    </row>
    <row r="69" spans="1:6" s="7" customFormat="1" ht="35.1" customHeight="1" x14ac:dyDescent="0.2">
      <c r="E69" s="47"/>
    </row>
    <row r="70" spans="1:6" s="7" customFormat="1" ht="35.1" customHeight="1" x14ac:dyDescent="0.2">
      <c r="E70" s="47"/>
    </row>
    <row r="71" spans="1:6" s="7" customFormat="1" ht="35.1" customHeight="1" x14ac:dyDescent="0.2">
      <c r="E71" s="47"/>
    </row>
    <row r="72" spans="1:6" s="7" customFormat="1" ht="35.1" customHeight="1" x14ac:dyDescent="0.2">
      <c r="A72" s="5"/>
      <c r="B72" s="45"/>
      <c r="C72" s="59"/>
      <c r="D72" s="56"/>
      <c r="E72" s="47"/>
    </row>
    <row r="73" spans="1:6" s="7" customFormat="1" ht="35.1" customHeight="1" x14ac:dyDescent="0.2">
      <c r="A73" s="5"/>
      <c r="B73" s="45"/>
      <c r="C73" s="46"/>
      <c r="D73" s="31"/>
      <c r="E73" s="47"/>
    </row>
    <row r="74" spans="1:6" s="7" customFormat="1" ht="35.1" customHeight="1" x14ac:dyDescent="0.2">
      <c r="A74" s="5"/>
      <c r="B74" s="45"/>
      <c r="C74" s="46"/>
      <c r="D74" s="31"/>
      <c r="E74" s="47"/>
    </row>
    <row r="75" spans="1:6" s="7" customFormat="1" ht="35.1" customHeight="1" x14ac:dyDescent="0.2">
      <c r="A75" s="5"/>
      <c r="B75" s="45"/>
      <c r="C75" s="46"/>
      <c r="D75" s="31"/>
      <c r="E75" s="47"/>
    </row>
    <row r="76" spans="1:6" s="7" customFormat="1" ht="35.1" customHeight="1" x14ac:dyDescent="0.2">
      <c r="A76" s="5"/>
      <c r="B76" s="45"/>
      <c r="C76" s="46"/>
      <c r="D76" s="31"/>
      <c r="E76" s="47"/>
    </row>
    <row r="77" spans="1:6" s="7" customFormat="1" ht="35.1" customHeight="1" x14ac:dyDescent="0.2">
      <c r="A77" s="5"/>
      <c r="B77" s="45"/>
      <c r="C77" s="46"/>
      <c r="D77" s="31"/>
      <c r="E77" s="47"/>
    </row>
    <row r="78" spans="1:6" s="7" customFormat="1" ht="35.1" customHeight="1" x14ac:dyDescent="0.2">
      <c r="A78" s="5"/>
      <c r="B78" s="45"/>
      <c r="C78" s="46"/>
      <c r="D78" s="31"/>
      <c r="E78" s="47"/>
    </row>
    <row r="79" spans="1:6" s="7" customFormat="1" ht="35.1" customHeight="1" x14ac:dyDescent="0.2">
      <c r="A79" s="5"/>
      <c r="B79" s="45"/>
      <c r="C79" s="46"/>
      <c r="D79" s="31"/>
      <c r="E79" s="47"/>
    </row>
    <row r="80" spans="1:6" s="7" customFormat="1" ht="35.1" customHeight="1" x14ac:dyDescent="0.2">
      <c r="A80" s="5"/>
      <c r="B80" s="45"/>
      <c r="C80" s="46"/>
      <c r="D80" s="31"/>
      <c r="E80" s="47"/>
    </row>
    <row r="81" spans="1:5" s="7" customFormat="1" ht="35.1" customHeight="1" x14ac:dyDescent="0.2">
      <c r="A81" s="5"/>
      <c r="B81" s="45"/>
      <c r="C81" s="46"/>
      <c r="D81" s="31"/>
      <c r="E81" s="47"/>
    </row>
    <row r="82" spans="1:5" s="7" customFormat="1" ht="35.1" customHeight="1" x14ac:dyDescent="0.2">
      <c r="A82" s="5"/>
      <c r="B82" s="45"/>
      <c r="C82" s="46"/>
      <c r="D82" s="31"/>
      <c r="E82" s="47"/>
    </row>
    <row r="86" spans="1:5" s="7" customFormat="1" ht="20.25" x14ac:dyDescent="0.2">
      <c r="A86" s="5"/>
      <c r="B86" s="13"/>
      <c r="C86" s="26"/>
      <c r="D86" s="11"/>
      <c r="E86" s="44"/>
    </row>
    <row r="87" spans="1:5" s="7" customFormat="1" ht="20.25" x14ac:dyDescent="0.2">
      <c r="A87" s="5"/>
      <c r="B87" s="14" t="s">
        <v>17</v>
      </c>
      <c r="C87" s="27"/>
      <c r="D87" s="10"/>
      <c r="E87" s="44"/>
    </row>
    <row r="88" spans="1:5" s="7" customFormat="1" ht="20.25" x14ac:dyDescent="0.2">
      <c r="A88" s="5"/>
      <c r="B88" s="23" t="s">
        <v>18</v>
      </c>
      <c r="C88" s="25"/>
      <c r="D88" s="11"/>
      <c r="E88" s="44"/>
    </row>
    <row r="89" spans="1:5" s="7" customFormat="1" ht="20.25" x14ac:dyDescent="0.2">
      <c r="A89" s="5"/>
      <c r="B89" s="24" t="s">
        <v>19</v>
      </c>
      <c r="C89" s="26"/>
      <c r="D89" s="9"/>
      <c r="E89" s="44"/>
    </row>
    <row r="90" spans="1:5" s="7" customFormat="1" x14ac:dyDescent="0.2">
      <c r="A90" s="5"/>
      <c r="B90" s="12"/>
      <c r="C90" s="28"/>
      <c r="D90" s="16"/>
      <c r="E90" s="44"/>
    </row>
    <row r="91" spans="1:5" s="7" customFormat="1" ht="18" x14ac:dyDescent="0.2">
      <c r="A91" s="5"/>
      <c r="B91" s="15" t="s">
        <v>20</v>
      </c>
      <c r="C91" s="28"/>
      <c r="D91" s="16"/>
      <c r="E91" s="48"/>
    </row>
    <row r="92" spans="1:5" ht="20.25" x14ac:dyDescent="0.25">
      <c r="B92" s="6" t="s">
        <v>21</v>
      </c>
      <c r="C92" s="29"/>
      <c r="D92" s="18"/>
    </row>
    <row r="93" spans="1:5" ht="20.25" x14ac:dyDescent="0.25">
      <c r="B93" s="6" t="s">
        <v>22</v>
      </c>
      <c r="C93" s="17"/>
      <c r="D93" s="18"/>
    </row>
    <row r="94" spans="1:5" ht="20.25" x14ac:dyDescent="0.25">
      <c r="B94" s="21" t="s">
        <v>23</v>
      </c>
      <c r="C94" s="19"/>
      <c r="D94" s="20"/>
    </row>
    <row r="95" spans="1:5" x14ac:dyDescent="0.2">
      <c r="B95" s="22"/>
    </row>
    <row r="99" spans="2:4" ht="17.25" x14ac:dyDescent="0.2">
      <c r="B99" s="2" t="s">
        <v>24</v>
      </c>
      <c r="C99" s="2" t="s">
        <v>25</v>
      </c>
      <c r="D99" s="2" t="s">
        <v>26</v>
      </c>
    </row>
    <row r="100" spans="2:4" ht="18" x14ac:dyDescent="0.2">
      <c r="B100" s="3">
        <v>0</v>
      </c>
      <c r="C100" s="4">
        <v>-24000000</v>
      </c>
      <c r="D100" s="3">
        <v>0</v>
      </c>
    </row>
    <row r="101" spans="2:4" ht="18" x14ac:dyDescent="0.2">
      <c r="B101" s="3">
        <v>1</v>
      </c>
      <c r="C101" s="3">
        <v>0</v>
      </c>
      <c r="D101" s="3">
        <v>0</v>
      </c>
    </row>
    <row r="102" spans="2:4" ht="18" x14ac:dyDescent="0.2">
      <c r="B102" s="3" t="s">
        <v>27</v>
      </c>
      <c r="C102" s="3" t="s">
        <v>27</v>
      </c>
      <c r="D102" s="3" t="s">
        <v>27</v>
      </c>
    </row>
    <row r="103" spans="2:4" ht="18" x14ac:dyDescent="0.2">
      <c r="B103" s="3">
        <v>4</v>
      </c>
      <c r="C103" s="4">
        <v>-36000000</v>
      </c>
      <c r="D103" s="3">
        <v>0</v>
      </c>
    </row>
    <row r="104" spans="2:4" ht="18" x14ac:dyDescent="0.2">
      <c r="B104" s="3">
        <v>8</v>
      </c>
      <c r="C104" s="4">
        <v>-36000000</v>
      </c>
      <c r="D104" s="3">
        <v>0</v>
      </c>
    </row>
    <row r="105" spans="2:4" ht="18" x14ac:dyDescent="0.2">
      <c r="B105" s="3">
        <v>12</v>
      </c>
      <c r="C105" s="4">
        <v>-24000000</v>
      </c>
      <c r="D105" s="3">
        <v>0</v>
      </c>
    </row>
    <row r="106" spans="2:4" ht="18" x14ac:dyDescent="0.2">
      <c r="B106" s="3">
        <v>16</v>
      </c>
      <c r="C106" s="3">
        <v>0</v>
      </c>
      <c r="D106" s="4">
        <v>21666666</v>
      </c>
    </row>
    <row r="107" spans="2:4" ht="18" x14ac:dyDescent="0.2">
      <c r="B107" s="3">
        <v>17</v>
      </c>
      <c r="C107" s="3">
        <v>0</v>
      </c>
      <c r="D107" s="4">
        <v>21666666</v>
      </c>
    </row>
    <row r="108" spans="2:4" ht="18" x14ac:dyDescent="0.2">
      <c r="B108" s="3">
        <v>18</v>
      </c>
      <c r="C108" s="3">
        <v>0</v>
      </c>
      <c r="D108" s="4">
        <v>21666666</v>
      </c>
    </row>
    <row r="109" spans="2:4" ht="18" x14ac:dyDescent="0.2">
      <c r="B109" s="3">
        <v>19</v>
      </c>
      <c r="C109" s="3">
        <v>0</v>
      </c>
      <c r="D109" s="4">
        <v>21666666</v>
      </c>
    </row>
    <row r="110" spans="2:4" ht="18" x14ac:dyDescent="0.2">
      <c r="B110" s="3">
        <v>20</v>
      </c>
      <c r="C110" s="3">
        <v>0</v>
      </c>
      <c r="D110" s="4">
        <v>21666666</v>
      </c>
    </row>
    <row r="111" spans="2:4" ht="18" x14ac:dyDescent="0.2">
      <c r="B111" s="3">
        <v>21</v>
      </c>
      <c r="C111" s="3">
        <v>0</v>
      </c>
      <c r="D111" s="3" t="s">
        <v>28</v>
      </c>
    </row>
    <row r="112" spans="2:4" ht="18" x14ac:dyDescent="0.2">
      <c r="B112" s="3">
        <v>22</v>
      </c>
      <c r="C112" s="3">
        <v>0</v>
      </c>
      <c r="D112" s="3" t="s">
        <v>28</v>
      </c>
    </row>
    <row r="113" spans="2:4" ht="18" x14ac:dyDescent="0.2">
      <c r="B113" s="3" t="s">
        <v>27</v>
      </c>
      <c r="C113" s="3" t="s">
        <v>27</v>
      </c>
      <c r="D113" s="3" t="s">
        <v>27</v>
      </c>
    </row>
    <row r="114" spans="2:4" ht="18" x14ac:dyDescent="0.2">
      <c r="B114" s="3">
        <v>27</v>
      </c>
      <c r="C114" s="3">
        <v>0</v>
      </c>
      <c r="D114" s="3" t="s">
        <v>28</v>
      </c>
    </row>
    <row r="115" spans="2:4" ht="18" x14ac:dyDescent="0.2">
      <c r="B115" s="3" t="s">
        <v>29</v>
      </c>
      <c r="C115" s="3">
        <v>0</v>
      </c>
      <c r="D115" s="3">
        <v>0</v>
      </c>
    </row>
    <row r="116" spans="2:4" ht="18" x14ac:dyDescent="0.2">
      <c r="B116" s="3">
        <v>60</v>
      </c>
      <c r="C116" s="3">
        <v>0</v>
      </c>
      <c r="D116" s="4">
        <v>1500000</v>
      </c>
    </row>
    <row r="117" spans="2:4" ht="18" x14ac:dyDescent="0.2">
      <c r="B117" s="3">
        <v>72</v>
      </c>
      <c r="C117" s="3">
        <v>0</v>
      </c>
      <c r="D117" s="4">
        <v>1500000</v>
      </c>
    </row>
    <row r="118" spans="2:4" ht="18" x14ac:dyDescent="0.2">
      <c r="B118" s="3">
        <v>84</v>
      </c>
      <c r="C118" s="3">
        <v>0</v>
      </c>
      <c r="D118" s="4">
        <v>1500000</v>
      </c>
    </row>
    <row r="119" spans="2:4" ht="18" x14ac:dyDescent="0.2">
      <c r="B119" s="3">
        <v>96</v>
      </c>
      <c r="C119" s="3">
        <v>0</v>
      </c>
      <c r="D119" s="4">
        <v>1500000</v>
      </c>
    </row>
    <row r="120" spans="2:4" ht="18" x14ac:dyDescent="0.2">
      <c r="B120" s="3">
        <v>108</v>
      </c>
      <c r="C120" s="3">
        <v>0</v>
      </c>
      <c r="D120" s="4">
        <v>1500000</v>
      </c>
    </row>
    <row r="121" spans="2:4" ht="18" x14ac:dyDescent="0.2">
      <c r="B121" s="3">
        <v>120</v>
      </c>
      <c r="C121" s="3">
        <v>0</v>
      </c>
      <c r="D121" s="4">
        <v>1500000</v>
      </c>
    </row>
  </sheetData>
  <mergeCells count="11">
    <mergeCell ref="A1:E1"/>
    <mergeCell ref="A16:E16"/>
    <mergeCell ref="A30:E30"/>
    <mergeCell ref="A35:E35"/>
    <mergeCell ref="C38:D38"/>
    <mergeCell ref="C34:D34"/>
    <mergeCell ref="C33:D33"/>
    <mergeCell ref="C32:D32"/>
    <mergeCell ref="C31:D31"/>
    <mergeCell ref="C37:D37"/>
    <mergeCell ref="B23:D23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PnL</vt:lpstr>
      <vt:lpstr>Расходы</vt:lpstr>
      <vt:lpstr>Доходы</vt:lpstr>
      <vt:lpstr>модель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</dc:creator>
  <cp:lastModifiedBy>Роман</cp:lastModifiedBy>
  <dcterms:created xsi:type="dcterms:W3CDTF">2026-01-21T09:15:54Z</dcterms:created>
  <dcterms:modified xsi:type="dcterms:W3CDTF">2026-02-26T12:56:27Z</dcterms:modified>
</cp:coreProperties>
</file>