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3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9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  <xf numFmtId="186" fontId="107" fillId="17" borderId="15" applyAlignment="1" pivotButton="0" quotePrefix="0" xfId="0">
      <alignment horizontal="right" vertical="center"/>
    </xf>
    <xf numFmtId="0" fontId="107" fillId="0" borderId="0" applyAlignment="1" pivotButton="0" quotePrefix="0" xfId="0">
      <alignment vertical="top" wrapText="1"/>
    </xf>
    <xf numFmtId="0" fontId="76" fillId="38" borderId="0" pivotButton="0" quotePrefix="0" xfId="0"/>
    <xf numFmtId="0" fontId="61" fillId="38" borderId="15" applyAlignment="1" pivotButton="0" quotePrefix="0" xfId="0">
      <alignment horizontal="left" vertical="center" wrapText="1"/>
    </xf>
    <xf numFmtId="49" fontId="59" fillId="38" borderId="15" applyAlignment="1" pivotButton="0" quotePrefix="0" xfId="0">
      <alignment horizontal="right" vertical="center"/>
    </xf>
    <xf numFmtId="0" fontId="61" fillId="38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>
        <f> 2700×0.20 + 270 + 180</f>
        <v/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>
        <f> 2700×0.50</f>
        <v/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>
        <f> 2700×0.15 − 135</f>
        <v/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>
        <f> 2700×0.15 − 135 + 120</f>
        <v/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W₅ V-D ★ default v1.0.1 (1× Liq Pref 1 250 + 12% pref × 5y + catch-up 70/30 + carry 60/40, base IRR 24.75%, MoIC 2.13×, см. 19_Waterfall + 24_Investor_Returns Section II); legacy W₃ остался опцией (8%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(W₅ V-D ★ default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W₅ V-D ★ v1.0.1 (legacy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(заменён W₅ V-D в v1.0.1)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v1.0.1)  |  IRR cash-on-cash: см. 24_Investor_Returns Matrix 3×5</t>
        </is>
      </c>
    </row>
    <row r="40">
      <c r="B40" s="569" t="inlineStr">
        <is>
          <t>W₅  ·  L8+L4 V-D  ·  1× + 12% × 5y + Catch-up 70/30 + Carry 60/40  ·  ★ DEFAULT v1.0.1</t>
        </is>
      </c>
    </row>
    <row r="41">
      <c r="B41" s="571" t="inlineStr">
        <is>
          <t>#</t>
        </is>
      </c>
      <c r="C41" s="571" t="inlineStr">
        <is>
          <t>Stage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1: 1× Liquidation Preference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recoups 1× principal = 1 250 (Tranche 1, T₁)</t>
        </is>
      </c>
    </row>
    <row r="43">
      <c r="B43" s="572" t="inlineStr">
        <is>
          <t>2</t>
        </is>
      </c>
      <c r="C43" s="572" t="inlineStr">
        <is>
          <t>Stage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preferred: 1 250 × 12% × 5 ≈ 750 (Tranche 2)</t>
        </is>
      </c>
    </row>
    <row r="44">
      <c r="B44" s="572" t="inlineStr">
        <is>
          <t>3</t>
        </is>
      </c>
      <c r="C44" s="572" t="inlineStr">
        <is>
          <t>Stage 3: Catch-up 70/30 до hurdle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tranche: pool 574 = 2402 − (1250+750+pre-hurdle), 70% LP / 30% Producer until LP IRR hits 18% hurdle</t>
        </is>
      </c>
    </row>
    <row r="45">
      <c r="B45" s="572" t="inlineStr">
        <is>
          <t>4</t>
        </is>
      </c>
      <c r="C45" s="572" t="inlineStr">
        <is>
          <t>Stage 4: Carry 60/40 на residual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Residual: 3000 − 2402 = 426. Carry split 60% LP / 40% Producer</t>
        </is>
      </c>
    </row>
    <row r="46">
      <c r="B46" s="357" t="inlineStr">
        <is>
          <t>Σ</t>
        </is>
      </c>
      <c r="C46" s="357" t="inlineStr">
        <is>
          <t>TOTAL W₅ ★ DEFAULT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88.6% / Producer 11.4% · LP MoIC 2.13× · Hurdle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593" t="inlineStr">
        <is>
          <t>IRR investor T₁ (W₅ V-D ★ default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W₅ V-D (margin +6.75pp к hurdle)</t>
        </is>
      </c>
    </row>
    <row r="24">
      <c r="B24" s="205" t="inlineStr">
        <is>
          <t>3.4</t>
        </is>
      </c>
      <c r="C24" s="593" t="inlineStr">
        <is>
          <t>MOIC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</t>
        </is>
      </c>
    </row>
    <row r="25">
      <c r="B25" s="205" t="inlineStr">
        <is>
          <t>3.5</t>
        </is>
      </c>
      <c r="C25" s="593" t="inlineStr">
        <is>
          <t>Payback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577" t="inlineStr">
        <is>
          <t>I. T₁ INVESTOR CASHFLOW SCHEDULE (Base case · W₅ V-D ★ DEFAULT v1.0.1 · L8+L4 Liq Pref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12% + T3 catch-up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/ MOIC) — W₅ V-D ★ DEFAULT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78" t="inlineStr">
        <is>
          <t>W₅ IRR</t>
        </is>
      </c>
      <c r="M19" s="578" t="inlineStr">
        <is>
          <t>W₅ MOIC</t>
        </is>
      </c>
      <c r="N19" s="571" t="inlineStr">
        <is>
          <t>Best</t>
        </is>
      </c>
      <c r="O19" s="571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case · W₅ V-D ★ DEFAULT v1.0.1)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LP+750 Pref+402 Cu+256 Carry ≈ 2657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= 2657 − 1250 = 1407 (W₅ V-D)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return % (net gain / invest) — W₅ V-D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= 2657/1250 ≈ 2.13× (W₅ V-D institutional)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fully realized to 2032 (W₅ V-D)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>
        <f> DPI (no NAV residual)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18%, PASS — W₅ V-D LP IRR ≈ 24.75%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full draw 1 250 (unchanged)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~Q1'30 — A+C pattern accelerates recovery vs W₃ 3.75y</t>
        </is>
      </c>
      <c r="J35" s="186" t="n"/>
      <c r="K35" s="187" t="n"/>
    </row>
    <row r="38">
      <c r="B38" s="577" t="inlineStr">
        <is>
          <t>IV. RETURN ATTRIBUTION — РАЗБИВКА ROI (Base W₅ V-D ★ DEFAULT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1× = 1 250</t>
        </is>
      </c>
      <c r="K40" s="187" t="n"/>
    </row>
    <row r="41">
      <c r="B41" s="205" t="n">
        <v>2</v>
      </c>
      <c r="C41" s="206" t="inlineStr">
        <is>
          <t>Preferred Return Coupon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(W₅ T3 — 70% LP / 30% Producer to hurdle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= 402; aligns IRR to 18% hurdle</t>
        </is>
      </c>
      <c r="K42" s="187" t="n"/>
    </row>
    <row r="43">
      <c r="B43" s="179" t="n">
        <v>4</v>
      </c>
      <c r="C43" s="180" t="inlineStr">
        <is>
          <t>Carry Residual (W₅ T4 — 60% LP / 40% Producer)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426 × 60% LP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(W₅ V-D ★ DEFAULT v1.0.1)</t>
        </is>
      </c>
      <c r="H44" s="357" t="n">
        <v>2657</v>
      </c>
      <c r="I44" s="357" t="n">
        <v>99.90000000000001</v>
      </c>
      <c r="J44" s="357">
        <f> 1250 + 750 + 402 + 256 ≈ 2 657 (W₅ V-D · NDP 3000 · MoIC 2.13×)</f>
        <v/>
      </c>
    </row>
    <row r="46">
      <c r="B46" s="585" t="inlineStr">
        <is>
          <t>V. STRUCTURAL DISCLAIMERS — W₅ V-D LIMITATIONS &amp; DESIGN CHOICES (v1.0.1)</t>
        </is>
      </c>
    </row>
    <row r="47" ht="45" customHeight="1">
      <c r="B47" s="586" t="inlineStr">
        <is>
          <t>V.1 BEAR SCENARIO IRR &lt; HURDLE: Под Stress Bear (NDP=1800) Investor IRR W₅ V-D = 10.70% (vs hurdle 18%). Под Downside (NDP=2400) IRR = 18.87% (margin к hurdle). Hurdle break-even target NDP ≥ 2 402 млн ₽. Capital protection: Liq Pref 1× = 1250 (MoIC ≥ 1.44× в Bear). См. 27_Scenario_Analysis r15.</t>
        </is>
      </c>
      <c r="C47" s="587" t="inlineStr">
        <is>
          <t>Bear scenario IRR &lt; 18% hurdle (структурное) — Под Bear NDP=2250 LP IRR=17.12% (W₅), что НИЖЕ 18% hurdle. Это НЕ дефект waterfall — это арифметика: hurdle target=2402, при NDP&lt;2402 целевой IRR недостижим никаким распределением. Downside protection обеспечивается T1 Liq Pref 1× (LP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W₄ MoIC 2.51 &gt; W₅ MoIC 2.49 (industry tradeoff) — Под Bull NDP=3750 W₄ даёт LP 0.02× больше MoIC чем W₅. Разница 0.8%, в пределах MC σ ~0.3-0.4. W₅ V-D выбран как DEFAULT по причине: (1) catch-up до hurdle защищает Producer alignment, (2) carry 60/40 — industry standard для venture/film finance, (3) institutional LP-investors ожидают именно такую структуру. Перекалибровка carry на 70/30 дала бы MoIC 2.58 в Bull, но создала бы misalignment incentives для Producer и сигнализировала «жадный waterfall».</t>
        </is>
      </c>
    </row>
    <row r="49" ht="45" customHeight="1">
      <c r="B49" s="586" t="inlineStr">
        <is>
          <t>V.3</t>
        </is>
      </c>
      <c r="C49" s="587" t="inlineStr">
        <is>
          <t>Revenue pattern A+C 33/45/9/13 (зависимость) — Метрики выше рассчитаны под A+C fast pattern (Domestic 2700 + SVoD presell 270 + International 300). Под slower B pattern (60/30/8/2) LP IRR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target 2402 vs scenario NDP — Hurdle 2402 = INVEST/Σ(pattern×discount@18%). NDP scenarios: Bear 2250 (&lt; hurdle), Base 3000 (&gt; hurdle), Bull 3750 (&gt;&gt; hurdle). P(NDP &gt; hurdle) = ключевая Monte Carlo метрика, которая отвечает на вопрос «какова вероятность достижения 18% IRR»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 (этап А.19).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W₅ V-D ★ default Base MOIC = 2.13× (legacy W₃ = 2.00×)).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(W₅ V-D ★ (v1.0.1 default; legacy W₃))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драйверам) · EBITDA 3Y и IRR T₁ W₅ V-D ★ default v1.0.1 · A+C pattern 33/45/9/13</t>
        </is>
      </c>
    </row>
    <row r="3"/>
    <row r="4">
      <c r="B4" s="189" t="inlineStr">
        <is>
          <t>Ранжирование ключевых драйверов по влиянию на EBITDA 3Y (база 2 152 млн ₽) и IRR T₁ под W₅ V-D + A+C pattern (база 24.75%).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W₅ V-D ★ (база 24.75%)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EBITDA: Revenue, Attendance и EBITDA margin (эквивалентные, ±430 млн ₽ при ±20%).</t>
        </is>
      </c>
    </row>
    <row r="43">
      <c r="B43" s="246" t="inlineStr">
        <is>
          <t>• Production CAPEX — 4th critical driver EBITDA (range ±240 млн ₽ при ±20%).</t>
        </is>
      </c>
    </row>
    <row r="44">
      <c r="B44" s="246" t="inlineStr">
        <is>
          <t>• IRR T₁ W₅ V-D имеет ВЫСОКУЮ чувствительность к Revenue/Attendance (range ~10.9pp), значительно выше чем под W₃ (~8.3pp). Причина: catch-up 70/30 «впитывает» upside в LP,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hurdle: при NDP&lt;2402 IRR &lt; 18% (см. 27_Scenario_Analysis Bear=10.70%). Liq Pref 1× защищает капитал, но не IRR. Hedge: scenario diversification, milestone-based tranches.</t>
        </is>
      </c>
    </row>
    <row r="46">
      <c r="B46" s="246" t="inlineStr">
        <is>
          <t>• Рекомендация: фокус на Box Office revenue (attendance × ticket price), маркетинг premium-фильмов, контроль CAPEX overrun. Exit Multiple под W₅ V-D НЕ влияет на LP IRR (NDP-based waterfall).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 · W₅ V-D ★ default v1.0.1 · A+C pattern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(W₅ V-D ★ default)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LP distribution W₅ V-D (млн ₽)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 W₅ V-D</t>
        </is>
      </c>
      <c r="C37" s="186" t="n"/>
      <c r="D37" s="186" t="n"/>
      <c r="E37" s="186" t="n"/>
      <c r="F37" s="187" t="n"/>
      <c r="G37" s="176" t="n">
        <v>25.14</v>
      </c>
      <c r="H37" s="187" t="n"/>
      <c r="I37" s="159" t="inlineStr">
        <is>
          <t>%</t>
        </is>
      </c>
    </row>
    <row r="39" ht="50" customHeight="1">
      <c r="B39" s="591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5 000 ИТЕРАЦИЙ · 5 СТОХАСТИЧЕСКИХ ПЕРЕМЕННЫХ · W₅ V-D ★ DEFAULT v1.0.1 · A+C PATTERN 33/45/9/13</t>
        </is>
      </c>
    </row>
    <row r="3"/>
    <row r="4">
      <c r="B4" s="189" t="inlineStr">
        <is>
          <t>Распределения NDP, EBITDA, IRR, MOIC, EV под Waterfall W₅ V-D + sensitivity grid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5 000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</t>
        </is>
      </c>
      <c r="C18" s="187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(W₅ V-D)</t>
        </is>
      </c>
      <c r="C19" s="187" t="n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(W₅ V-D)</t>
        </is>
      </c>
      <c r="C20" s="187" t="n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</t>
        </is>
      </c>
      <c r="C21" s="187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32.7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63.2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77.59999999999999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13.6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2104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1.609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7327</v>
      </c>
      <c r="H34" s="186" t="n"/>
      <c r="I34" s="187" t="n"/>
    </row>
    <row r="37">
      <c r="B37" s="244" t="inlineStr">
        <is>
          <t>IV. NDP DISTRIBUTION HISTOGRAM (5 000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527 − 955</t>
        </is>
      </c>
      <c r="D39" s="187" t="n"/>
      <c r="E39" s="205" t="n">
        <v>45</v>
      </c>
      <c r="F39" s="236" t="n">
        <v>0.9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955 − 1383</t>
        </is>
      </c>
      <c r="D40" s="187" t="n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1383 − 1811</t>
        </is>
      </c>
      <c r="D41" s="187" t="n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1811 − 2239</t>
        </is>
      </c>
      <c r="D42" s="187" t="n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2239 − 2667</t>
        </is>
      </c>
      <c r="D43" s="187" t="n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2667 − 3095</t>
        </is>
      </c>
      <c r="D44" s="187" t="n"/>
      <c r="E44" s="205" t="n">
        <v>522</v>
      </c>
      <c r="F44" s="236" t="n">
        <v>10.4</v>
      </c>
      <c r="G44" s="206" t="inlineStr">
        <is>
          <t>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3095 − 3523</t>
        </is>
      </c>
      <c r="D45" s="187" t="n"/>
      <c r="E45" s="205" t="n">
        <v>200</v>
      </c>
      <c r="F45" s="236" t="n">
        <v>4</v>
      </c>
      <c r="G45" s="206" t="inlineStr">
        <is>
          <t>████</t>
        </is>
      </c>
      <c r="H45" s="186" t="n"/>
      <c r="I45" s="187" t="n"/>
    </row>
    <row r="46">
      <c r="B46" s="205" t="n">
        <v>8</v>
      </c>
      <c r="C46" s="206" t="inlineStr">
        <is>
          <t>3523 − 3952</t>
        </is>
      </c>
      <c r="D46" s="187" t="n"/>
      <c r="E46" s="205" t="n">
        <v>58</v>
      </c>
      <c r="F46" s="236" t="n">
        <v>1.2</v>
      </c>
      <c r="G46" s="206" t="inlineStr">
        <is>
          <t>█</t>
        </is>
      </c>
      <c r="H46" s="186" t="n"/>
      <c r="I46" s="187" t="n"/>
    </row>
    <row r="47">
      <c r="B47" s="205" t="n">
        <v>9</v>
      </c>
      <c r="C47" s="206" t="inlineStr">
        <is>
          <t>3952 − 4380</t>
        </is>
      </c>
      <c r="D47" s="187" t="n"/>
      <c r="E47" s="205" t="n">
        <v>11</v>
      </c>
      <c r="F47" s="236" t="n">
        <v>0.2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4380 − 4808</t>
        </is>
      </c>
      <c r="D48" s="187" t="n"/>
      <c r="E48" s="205" t="n">
        <v>5</v>
      </c>
      <c r="F48" s="236" t="n">
        <v>0.1</v>
      </c>
      <c r="G48" s="206" t="inlineStr">
        <is>
          <t>█</t>
        </is>
      </c>
      <c r="H48" s="186" t="n"/>
      <c r="I48" s="187" t="n"/>
    </row>
    <row r="51">
      <c r="B51" s="577" t="inlineStr">
        <is>
          <t>V. SENSITIVITY GRID — A+C PATTERN VARIATIONS (W₅ V-D fixed)</t>
        </is>
      </c>
    </row>
    <row r="53">
      <c r="B53" s="571" t="inlineStr">
        <is>
          <t>#</t>
        </is>
      </c>
      <c r="C53" s="571" t="inlineStr">
        <is>
          <t>Pattern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IRR %</t>
        </is>
      </c>
      <c r="J53" s="571" t="inlineStr">
        <is>
          <t>LP MoIC</t>
        </is>
      </c>
      <c r="K53" s="571" t="inlineStr">
        <is>
          <t>vs Base</t>
        </is>
      </c>
    </row>
    <row r="54">
      <c r="B54" t="n">
        <v>1</v>
      </c>
      <c r="C54" t="inlineStr">
        <is>
          <t>Slow A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A+C (33/45/9/13) ★</t>
        </is>
      </c>
      <c r="D56" s="588" t="n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NDP=3000)</t>
        </is>
      </c>
    </row>
    <row r="61">
      <c r="B61" s="571" t="inlineStr">
        <is>
          <t>Catch-up LP %↓</t>
        </is>
      </c>
      <c r="C61" s="571" t="inlineStr">
        <is>
          <t>Carry LP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W₅ V-D SPECIFIC STATS — confidence &amp; calibration</t>
        </is>
      </c>
    </row>
    <row r="70">
      <c r="B70" s="357" t="inlineStr">
        <is>
          <t>P(LP IRR &gt; 18% hurdle)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IRR &gt; 24.75% base)</t>
        </is>
      </c>
      <c r="G71" s="357" t="inlineStr">
        <is>
          <t>7.0%</t>
        </is>
      </c>
      <c r="I71" s="574" t="inlineStr">
        <is>
          <t>Probability of beating Base case</t>
        </is>
      </c>
    </row>
    <row r="72">
      <c r="B72" s="357" t="inlineStr">
        <is>
          <t>P(LP MoIC &gt; 2.13× base)</t>
        </is>
      </c>
      <c r="G72" s="357" t="inlineStr">
        <is>
          <t>6.8%</t>
        </is>
      </c>
      <c r="I72" s="574" t="inlineStr">
        <is>
          <t>Probability of beating Base MoIC</t>
        </is>
      </c>
    </row>
    <row r="73">
      <c r="B73" s="357" t="inlineStr">
        <is>
          <t>P(LP MoIC &gt; 2.5× upside)</t>
        </is>
      </c>
      <c r="G73" s="357" t="inlineStr">
        <is>
          <t>0.6%</t>
        </is>
      </c>
      <c r="I73" s="574" t="inlineStr">
        <is>
          <t>Bull-case probability</t>
        </is>
      </c>
    </row>
    <row r="74">
      <c r="B74" s="357" t="inlineStr">
        <is>
          <t>Median LP IRR</t>
        </is>
      </c>
      <c r="G74" s="357" t="inlineStr">
        <is>
          <t>14.80%</t>
        </is>
      </c>
      <c r="I74" s="574" t="inlineStr">
        <is>
          <t>P50 percentile</t>
        </is>
      </c>
    </row>
    <row r="75">
      <c r="B75" s="357" t="inlineStr">
        <is>
          <t>Mean LP IRR (computed)</t>
        </is>
      </c>
      <c r="G75" s="357" t="inlineStr">
        <is>
          <t>13.95%</t>
        </is>
      </c>
      <c r="I75" s="574" t="inlineStr">
        <is>
          <t>vs deterministic 24.75%</t>
        </is>
      </c>
    </row>
    <row r="76">
      <c r="B76" s="357" t="inlineStr">
        <is>
          <t>LP IRR StDev</t>
        </is>
      </c>
      <c r="G76" s="357" t="inlineStr">
        <is>
          <t>8.05%</t>
        </is>
      </c>
      <c r="I76" s="574" t="inlineStr">
        <is>
          <t>Risk dispersion</t>
        </is>
      </c>
    </row>
    <row r="77">
      <c r="B77" s="357" t="inlineStr">
        <is>
          <t>Producer Mean Share</t>
        </is>
      </c>
      <c r="G77" s="357" t="inlineStr">
        <is>
          <t>93 млн ₽</t>
        </is>
      </c>
      <c r="I77" s="574" t="inlineStr">
        <is>
          <t>Avg producer payout</t>
        </is>
      </c>
    </row>
    <row r="78">
      <c r="B78" s="571" t="inlineStr">
        <is>
          <t>ПОЯСНЕНИЕ: разница MC mean (13.95%) vs Base deterministic (24.75%)</t>
        </is>
      </c>
    </row>
    <row r="79" ht="60" customHeight="1">
      <c r="B79" s="587" t="inlineStr">
        <is>
          <t>Base 24.75% = «если всё пойдёт по плану» (NDP=3000, все 12 фильмов хиты, exit ×5). MC mean 13.95% = «честный прогноз с учётом рисков»: hit_rate ~ Bin(12, 0.7)/12 даёт в среднем 8.4 хита из 12, rev_mult Triangular(0.6/1.0/1.4), CAPEX overrun, EBITDA shock. Mean NDP падает 3000→2104. Median MC IRR = 14.80% ближе к реалистичному ожиданию для инвестора. P(IRR &gt; 18% hurdle)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W₅ V-D Base IRR = 24.75% (margin к hurdle), но Bear=10.70%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W₅ V-D 1× Liq Pref floor (1250) + 12% pref × 5y + catch-up 70/30 + carry 60/40; legacy W₃/W₄ доступны как опции; exit stratagem backup; milestone-based tranches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W₅ V-D Base IRR = 24.75%, Bear=10.70% (NDP=1800), Down=18.87% (NDP=2400)</t>
        </is>
      </c>
      <c r="E54" s="350" t="n">
        <v>12</v>
      </c>
      <c r="F54" s="349" t="inlineStr">
        <is>
          <t>Базовый IRR T₁ под Waterfall W₅ V-D ★ default v1.0.1 составляет 24.75% (vs hurdle 18%, margin +6.75pp). Однако в downside-сценариях: Bear (NDP=1800) даёт IRR 10.70% (значительно ниже hurdle), Downside (NDP=2400) — 18.87% (margin к hurdle). Hurdle break-even target NDP ≥ 2 402 млн ₽. Capital protection обеспечивается Liq Pref 1× = 1250 (MoIC ≥ 1.44× даже в Bear).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 W₅ V-D: (1) Liq Pref 1× гарантирует возврат principal; (2) 12% pref × 5y создаёт priority claim на NDP сверх 1250; (3) catch-up 70/30 ускоряет accrual в среднем диапазоне; (4) carry 60/40 обеспечивает upside participation. Дополнительно: scenario diversification, milestone-based tranches, W₃/W₄ как fallback.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W₅ V-D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C-02 структурный bug фиксирован через переход на W₅ V-D ★ default. Базовый IRR T₁ W₅ V-D = 24.75% (margin +6.75pp к hurdle), но Bear=10.70% (NDP=1800) остаётся структурным риском. Legacy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W₅ V-D ★ activation (default v1.0.1) / W₄ premium upgrade decision / W₃ legacy fallback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B27" s="588" t="n"/>
      <c r="C27" s="592" t="inlineStr">
        <is>
          <t>Investor Returns T₁ (W₅ V-D ★ default v1.0.1)</t>
        </is>
      </c>
      <c r="D27" s="588" t="n"/>
      <c r="E27" s="588" t="inlineStr">
        <is>
          <t>IRR 24.75% · MOIC 2.13× · Payback 3.21y</t>
        </is>
      </c>
      <c r="F27" s="588" t="n"/>
      <c r="G27" s="588" t="inlineStr">
        <is>
          <t>24_Investor_Returns</t>
        </is>
      </c>
      <c r="H27" s="588" t="n"/>
      <c r="I27" s="588" t="inlineStr">
        <is>
          <t>W₅ V-D + A+C 33/45/9/13; MC N=5 000 sims (см. 28_Monte_Carlo_Summary); дислеймер V.1-V.4</t>
        </is>
      </c>
      <c r="J27" s="588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— Bear NDP=1800 даёт W₅ V-D IRR 10.70% &lt;&lt; 18% hurdle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Hurdle target NDP ≥ 2 402 (W₅ V-D break-even @18%); Liq Pref 1×=1250 защищает капитал; downside scenarios см. 27_Scenario_Analysis + 24_IR Section V.1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D23:N23"/>
    <mergeCell ref="D89:N89"/>
    <mergeCell ref="D29:N29"/>
    <mergeCell ref="D85:N85"/>
    <mergeCell ref="B19:N19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W₅ V-D ★ default v1.0.1 (1× Liq Pref + 12% pref × 5y + catch-up 70/30 + carry 60/40); legacy W₃ (8% coupon) и W₄ premium (12% pref + 65/35) доступны как опции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2.13× (W₅ V-D ★) / 2.00× (W₃ legacy) / 2.12× (W₄), IRR 24.75% (W₅ V-D vs hurdle 18%, margin +6.75pp)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= 24.75% (margin к hurdle), Bear=10.70% (структурный downside))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v1.0.1: N=5000, W₅ V-D ★ + A+C pattern 33/45/9/13, P(IRR&gt;18%) = 32.7%, VaR 95% NDP shortfall, sensitivity grid 5×5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W₅ V-D ★ DEFAULT v1.0.1 (1× Liq Pref + 12% pref × 5y + catch-up 70/30 + carry 60/40) — IRR 24.75% (margin +6.75pp к hurdle 18%); legacy W₃ (18.04%) и W₄ premium доступны%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2026-04-12T00:23:25Z</dcterms:modified>
  <cp:keywords>investor, financial model, L3, pre-IPO, cinema</cp:keywords>
</cp:coreProperties>
</file>