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rix27" sheetId="2" state="visible" r:id="rId2"/>
    <sheet xmlns:r="http://schemas.openxmlformats.org/officeDocument/2006/relationships" name="StageGate" sheetId="3" state="visible" r:id="rId3"/>
    <sheet xmlns:r="http://schemas.openxmlformats.org/officeDocument/2006/relationships" name="LHSCopu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5">
    <font>
      <name val="Calibri"/>
      <family val="2"/>
      <color theme="1"/>
      <sz val="11"/>
      <scheme val="minor"/>
    </font>
    <font>
      <b val="1"/>
      <color rgb="000070C0"/>
      <sz val="14"/>
    </font>
    <font>
      <i val="1"/>
      <color rgb="006B728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EBITDA по движкам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'Summary'!$A$5:$A$8</f>
            </numRef>
          </cat>
          <val>
            <numRef>
              <f>'Summary'!$B$5:$B$8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Engine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млн ₽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B1 Dashboard — Финмодель «ТрендСтудио»</t>
        </is>
      </c>
    </row>
    <row r="2">
      <c r="A2" s="2" t="inlineStr">
        <is>
          <t>Версия v1.4.2  ·  11 апреля 2026  ·  Anchor: 3000 млн ₽ ± 1%</t>
        </is>
      </c>
    </row>
    <row r="4">
      <c r="A4" s="3" t="inlineStr">
        <is>
          <t>Engine</t>
        </is>
      </c>
      <c r="B4" s="3" t="inlineStr">
        <is>
          <t>Mean</t>
        </is>
      </c>
      <c r="C4" s="3" t="inlineStr">
        <is>
          <t>Std</t>
        </is>
      </c>
      <c r="D4" s="3" t="inlineStr">
        <is>
          <t>p5</t>
        </is>
      </c>
      <c r="E4" s="3" t="inlineStr">
        <is>
          <t>p50</t>
        </is>
      </c>
      <c r="F4" s="3" t="inlineStr">
        <is>
          <t>p95</t>
        </is>
      </c>
      <c r="G4" s="3" t="inlineStr">
        <is>
          <t>VaR95</t>
        </is>
      </c>
      <c r="H4" s="3" t="inlineStr">
        <is>
          <t>Breach %</t>
        </is>
      </c>
      <c r="I4" s="4" t="inlineStr">
        <is>
          <t>Δ Anchor</t>
        </is>
      </c>
    </row>
    <row r="5">
      <c r="A5" s="5" t="inlineStr">
        <is>
          <t>Naive MC</t>
        </is>
      </c>
      <c r="B5" s="6" t="n">
        <v>2951.65</v>
      </c>
      <c r="C5" s="6" t="n">
        <v>150.39</v>
      </c>
      <c r="D5" s="6" t="n">
        <v>2691.15</v>
      </c>
      <c r="E5" s="6" t="n">
        <v>2956.68</v>
      </c>
      <c r="F5" s="6" t="n">
        <v>3188.73</v>
      </c>
      <c r="G5" s="6" t="n">
        <v>309.5</v>
      </c>
      <c r="H5" s="7" t="n">
        <v>0.0555</v>
      </c>
      <c r="I5" s="8">
        <f>B5-3000</f>
        <v/>
      </c>
    </row>
    <row r="6">
      <c r="A6" s="5" t="inlineStr">
        <is>
          <t>Block Bootstrap</t>
        </is>
      </c>
      <c r="B6" s="6" t="n">
        <v>3438.1</v>
      </c>
      <c r="C6" s="6" t="n">
        <v>573.77</v>
      </c>
      <c r="D6" s="6" t="n">
        <v>2632.57</v>
      </c>
      <c r="E6" s="6" t="n">
        <v>3431.55</v>
      </c>
      <c r="F6" s="6" t="n">
        <v>4368.75</v>
      </c>
      <c r="G6" s="6" t="n">
        <v>368.08</v>
      </c>
      <c r="H6" s="7" t="n">
        <v>0.06850000000000001</v>
      </c>
      <c r="I6" s="8">
        <f>B6-3000</f>
        <v/>
      </c>
    </row>
    <row r="7">
      <c r="A7" s="5" t="inlineStr">
        <is>
          <t>Stage-Gate</t>
        </is>
      </c>
      <c r="B7" s="6" t="n">
        <v>2037.3</v>
      </c>
      <c r="C7" s="6" t="n">
        <v>533.46</v>
      </c>
      <c r="D7" s="6" t="n">
        <v>1091.05</v>
      </c>
      <c r="E7" s="6" t="n">
        <v>2076.65</v>
      </c>
      <c r="F7" s="6" t="n">
        <v>2847.25</v>
      </c>
      <c r="G7" s="6" t="n">
        <v>1909.6</v>
      </c>
      <c r="H7" s="7" t="n">
        <v>0.907</v>
      </c>
      <c r="I7" s="8">
        <f>B7-3000</f>
        <v/>
      </c>
    </row>
    <row r="8">
      <c r="A8" s="5" t="inlineStr">
        <is>
          <t>LHS+Copula</t>
        </is>
      </c>
      <c r="B8" s="6" t="n">
        <v>2952.24</v>
      </c>
      <c r="C8" s="6" t="n">
        <v>144.62</v>
      </c>
      <c r="D8" s="6" t="n">
        <v>2702.61</v>
      </c>
      <c r="E8" s="6" t="n">
        <v>2961.16</v>
      </c>
      <c r="F8" s="6" t="n">
        <v>3184.42</v>
      </c>
      <c r="G8" s="6" t="n">
        <v>298.04</v>
      </c>
      <c r="H8" s="7" t="n">
        <v>0.0485</v>
      </c>
      <c r="I8" s="8">
        <f>B8-3000</f>
        <v/>
      </c>
    </row>
    <row r="9">
      <c r="A9" s="9" t="inlineStr">
        <is>
          <t>Δ от Anchor</t>
        </is>
      </c>
    </row>
    <row r="10">
      <c r="A10" t="inlineStr">
        <is>
          <t>Delta (mean − 3000):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scenario_id</t>
        </is>
      </c>
      <c r="B1" s="4" t="inlineStr">
        <is>
          <t>fx_shock_pct</t>
        </is>
      </c>
      <c r="C1" s="4" t="inlineStr">
        <is>
          <t>inflation_pct</t>
        </is>
      </c>
      <c r="D1" s="4" t="inlineStr">
        <is>
          <t>delay_months</t>
        </is>
      </c>
      <c r="E1" s="4" t="inlineStr">
        <is>
          <t>ebitda</t>
        </is>
      </c>
      <c r="F1" s="4" t="inlineStr">
        <is>
          <t>Δ от base</t>
        </is>
      </c>
      <c r="G1" s="4" t="inlineStr">
        <is>
          <t>breach?</t>
        </is>
      </c>
    </row>
    <row r="2">
      <c r="A2" t="inlineStr">
        <is>
          <t>FX0_I0_D0</t>
        </is>
      </c>
      <c r="B2" t="n">
        <v>0</v>
      </c>
      <c r="C2" t="n">
        <v>0</v>
      </c>
      <c r="D2" t="n">
        <v>0</v>
      </c>
      <c r="E2" t="n">
        <v>3000.65</v>
      </c>
      <c r="F2" t="n">
        <v>0</v>
      </c>
      <c r="G2" t="inlineStr"/>
    </row>
    <row r="3">
      <c r="A3" t="inlineStr">
        <is>
          <t>FX0_I0_D3</t>
        </is>
      </c>
      <c r="B3" t="n">
        <v>0</v>
      </c>
      <c r="C3" t="n">
        <v>0</v>
      </c>
      <c r="D3" t="n">
        <v>3</v>
      </c>
      <c r="E3" t="n">
        <v>3035.52</v>
      </c>
      <c r="F3" t="n">
        <v>34.87</v>
      </c>
      <c r="G3" t="inlineStr"/>
    </row>
    <row r="4">
      <c r="A4" t="inlineStr">
        <is>
          <t>FX0_I0_D6</t>
        </is>
      </c>
      <c r="B4" t="n">
        <v>0</v>
      </c>
      <c r="C4" t="n">
        <v>0</v>
      </c>
      <c r="D4" t="n">
        <v>6</v>
      </c>
      <c r="E4" t="n">
        <v>3070.4</v>
      </c>
      <c r="F4" t="n">
        <v>69.75</v>
      </c>
      <c r="G4" t="inlineStr"/>
    </row>
    <row r="5">
      <c r="A5" t="inlineStr">
        <is>
          <t>FX0_I3_D0</t>
        </is>
      </c>
      <c r="B5" t="n">
        <v>0</v>
      </c>
      <c r="C5" t="n">
        <v>0.03</v>
      </c>
      <c r="D5" t="n">
        <v>0</v>
      </c>
      <c r="E5" t="n">
        <v>2902.68</v>
      </c>
      <c r="F5" t="n">
        <v>-97.97</v>
      </c>
      <c r="G5" t="inlineStr"/>
    </row>
    <row r="6">
      <c r="A6" t="inlineStr">
        <is>
          <t>FX0_I3_D3</t>
        </is>
      </c>
      <c r="B6" t="n">
        <v>0</v>
      </c>
      <c r="C6" t="n">
        <v>0.03</v>
      </c>
      <c r="D6" t="n">
        <v>3</v>
      </c>
      <c r="E6" t="n">
        <v>2937.55</v>
      </c>
      <c r="F6" t="n">
        <v>-63.1</v>
      </c>
      <c r="G6" t="inlineStr"/>
    </row>
    <row r="7">
      <c r="A7" t="inlineStr">
        <is>
          <t>FX0_I3_D6</t>
        </is>
      </c>
      <c r="B7" t="n">
        <v>0</v>
      </c>
      <c r="C7" t="n">
        <v>0.03</v>
      </c>
      <c r="D7" t="n">
        <v>6</v>
      </c>
      <c r="E7" t="n">
        <v>2972.43</v>
      </c>
      <c r="F7" t="n">
        <v>-28.22</v>
      </c>
      <c r="G7" t="inlineStr"/>
    </row>
    <row r="8">
      <c r="A8" t="inlineStr">
        <is>
          <t>FX0_I6_D0</t>
        </is>
      </c>
      <c r="B8" t="n">
        <v>0</v>
      </c>
      <c r="C8" t="n">
        <v>0.06</v>
      </c>
      <c r="D8" t="n">
        <v>0</v>
      </c>
      <c r="E8" t="n">
        <v>2804.7</v>
      </c>
      <c r="F8" t="n">
        <v>-195.95</v>
      </c>
      <c r="G8" t="inlineStr"/>
    </row>
    <row r="9">
      <c r="A9" t="inlineStr">
        <is>
          <t>FX0_I6_D3</t>
        </is>
      </c>
      <c r="B9" t="n">
        <v>0</v>
      </c>
      <c r="C9" t="n">
        <v>0.06</v>
      </c>
      <c r="D9" t="n">
        <v>3</v>
      </c>
      <c r="E9" t="n">
        <v>2839.58</v>
      </c>
      <c r="F9" t="n">
        <v>-161.07</v>
      </c>
      <c r="G9" t="inlineStr"/>
    </row>
    <row r="10">
      <c r="A10" t="inlineStr">
        <is>
          <t>FX0_I6_D6</t>
        </is>
      </c>
      <c r="B10" t="n">
        <v>0</v>
      </c>
      <c r="C10" t="n">
        <v>0.06</v>
      </c>
      <c r="D10" t="n">
        <v>6</v>
      </c>
      <c r="E10" t="n">
        <v>2874.45</v>
      </c>
      <c r="F10" t="n">
        <v>-126.2</v>
      </c>
      <c r="G10" t="inlineStr"/>
    </row>
    <row r="11">
      <c r="A11" t="inlineStr">
        <is>
          <t>FX10_I0_D0</t>
        </is>
      </c>
      <c r="B11" t="n">
        <v>0.1</v>
      </c>
      <c r="C11" t="n">
        <v>0</v>
      </c>
      <c r="D11" t="n">
        <v>0</v>
      </c>
      <c r="E11" t="n">
        <v>2877.08</v>
      </c>
      <c r="F11" t="n">
        <v>-123.57</v>
      </c>
      <c r="G11" t="inlineStr"/>
    </row>
    <row r="12">
      <c r="A12" t="inlineStr">
        <is>
          <t>FX10_I0_D3</t>
        </is>
      </c>
      <c r="B12" t="n">
        <v>0.1</v>
      </c>
      <c r="C12" t="n">
        <v>0</v>
      </c>
      <c r="D12" t="n">
        <v>3</v>
      </c>
      <c r="E12" t="n">
        <v>2924.84</v>
      </c>
      <c r="F12" t="n">
        <v>-75.81</v>
      </c>
      <c r="G12" t="inlineStr"/>
    </row>
    <row r="13">
      <c r="A13" t="inlineStr">
        <is>
          <t>FX10_I0_D6</t>
        </is>
      </c>
      <c r="B13" t="n">
        <v>0.1</v>
      </c>
      <c r="C13" t="n">
        <v>0</v>
      </c>
      <c r="D13" t="n">
        <v>6</v>
      </c>
      <c r="E13" t="n">
        <v>2972.59</v>
      </c>
      <c r="F13" t="n">
        <v>-28.06</v>
      </c>
      <c r="G13" t="inlineStr"/>
    </row>
    <row r="14">
      <c r="A14" t="inlineStr">
        <is>
          <t>FX10_I3_D0</t>
        </is>
      </c>
      <c r="B14" t="n">
        <v>0.1</v>
      </c>
      <c r="C14" t="n">
        <v>0.03</v>
      </c>
      <c r="D14" t="n">
        <v>0</v>
      </c>
      <c r="E14" t="n">
        <v>2779.1</v>
      </c>
      <c r="F14" t="n">
        <v>-221.55</v>
      </c>
      <c r="G14" t="inlineStr"/>
    </row>
    <row r="15">
      <c r="A15" t="inlineStr">
        <is>
          <t>FX10_I3_D3</t>
        </is>
      </c>
      <c r="B15" t="n">
        <v>0.1</v>
      </c>
      <c r="C15" t="n">
        <v>0.03</v>
      </c>
      <c r="D15" t="n">
        <v>3</v>
      </c>
      <c r="E15" t="n">
        <v>2826.86</v>
      </c>
      <c r="F15" t="n">
        <v>-173.79</v>
      </c>
      <c r="G15" t="inlineStr"/>
    </row>
    <row r="16">
      <c r="A16" t="inlineStr">
        <is>
          <t>FX10_I3_D6</t>
        </is>
      </c>
      <c r="B16" t="n">
        <v>0.1</v>
      </c>
      <c r="C16" t="n">
        <v>0.03</v>
      </c>
      <c r="D16" t="n">
        <v>6</v>
      </c>
      <c r="E16" t="n">
        <v>2874.62</v>
      </c>
      <c r="F16" t="n">
        <v>-126.03</v>
      </c>
      <c r="G16" t="inlineStr"/>
    </row>
    <row r="17">
      <c r="A17" t="inlineStr">
        <is>
          <t>FX10_I6_D0</t>
        </is>
      </c>
      <c r="B17" t="n">
        <v>0.1</v>
      </c>
      <c r="C17" t="n">
        <v>0.06</v>
      </c>
      <c r="D17" t="n">
        <v>0</v>
      </c>
      <c r="E17" t="n">
        <v>2681.13</v>
      </c>
      <c r="F17" t="n">
        <v>-319.52</v>
      </c>
      <c r="G17" t="inlineStr">
        <is>
          <t>Y</t>
        </is>
      </c>
    </row>
    <row r="18">
      <c r="A18" t="inlineStr">
        <is>
          <t>FX10_I6_D3</t>
        </is>
      </c>
      <c r="B18" t="n">
        <v>0.1</v>
      </c>
      <c r="C18" t="n">
        <v>0.06</v>
      </c>
      <c r="D18" t="n">
        <v>3</v>
      </c>
      <c r="E18" t="n">
        <v>2728.89</v>
      </c>
      <c r="F18" t="n">
        <v>-271.76</v>
      </c>
      <c r="G18" t="inlineStr"/>
    </row>
    <row r="19">
      <c r="A19" t="inlineStr">
        <is>
          <t>FX10_I6_D6</t>
        </is>
      </c>
      <c r="B19" t="n">
        <v>0.1</v>
      </c>
      <c r="C19" t="n">
        <v>0.06</v>
      </c>
      <c r="D19" t="n">
        <v>6</v>
      </c>
      <c r="E19" t="n">
        <v>2776.65</v>
      </c>
      <c r="F19" t="n">
        <v>-224</v>
      </c>
      <c r="G19" t="inlineStr"/>
    </row>
    <row r="20">
      <c r="A20" t="inlineStr">
        <is>
          <t>FX20_I0_D0</t>
        </is>
      </c>
      <c r="B20" t="n">
        <v>0.2</v>
      </c>
      <c r="C20" t="n">
        <v>0</v>
      </c>
      <c r="D20" t="n">
        <v>0</v>
      </c>
      <c r="E20" t="n">
        <v>2753.51</v>
      </c>
      <c r="F20" t="n">
        <v>-247.14</v>
      </c>
      <c r="G20" t="inlineStr"/>
    </row>
    <row r="21">
      <c r="A21" t="inlineStr">
        <is>
          <t>FX20_I0_D3</t>
        </is>
      </c>
      <c r="B21" t="n">
        <v>0.2</v>
      </c>
      <c r="C21" t="n">
        <v>0</v>
      </c>
      <c r="D21" t="n">
        <v>3</v>
      </c>
      <c r="E21" t="n">
        <v>2814.15</v>
      </c>
      <c r="F21" t="n">
        <v>-186.5</v>
      </c>
      <c r="G21" t="inlineStr"/>
    </row>
    <row r="22">
      <c r="A22" t="inlineStr">
        <is>
          <t>FX20_I0_D6</t>
        </is>
      </c>
      <c r="B22" t="n">
        <v>0.2</v>
      </c>
      <c r="C22" t="n">
        <v>0</v>
      </c>
      <c r="D22" t="n">
        <v>6</v>
      </c>
      <c r="E22" t="n">
        <v>2874.79</v>
      </c>
      <c r="F22" t="n">
        <v>-125.86</v>
      </c>
      <c r="G22" t="inlineStr"/>
    </row>
    <row r="23">
      <c r="A23" t="inlineStr">
        <is>
          <t>FX20_I3_D0</t>
        </is>
      </c>
      <c r="B23" t="n">
        <v>0.2</v>
      </c>
      <c r="C23" t="n">
        <v>0.03</v>
      </c>
      <c r="D23" t="n">
        <v>0</v>
      </c>
      <c r="E23" t="n">
        <v>2655.53</v>
      </c>
      <c r="F23" t="n">
        <v>-345.12</v>
      </c>
      <c r="G23" t="inlineStr">
        <is>
          <t>Y</t>
        </is>
      </c>
    </row>
    <row r="24">
      <c r="A24" t="inlineStr">
        <is>
          <t>FX20_I3_D3</t>
        </is>
      </c>
      <c r="B24" t="n">
        <v>0.2</v>
      </c>
      <c r="C24" t="n">
        <v>0.03</v>
      </c>
      <c r="D24" t="n">
        <v>3</v>
      </c>
      <c r="E24" t="n">
        <v>2716.17</v>
      </c>
      <c r="F24" t="n">
        <v>-284.48</v>
      </c>
      <c r="G24" t="inlineStr"/>
    </row>
    <row r="25">
      <c r="A25" t="inlineStr">
        <is>
          <t>FX20_I3_D6</t>
        </is>
      </c>
      <c r="B25" t="n">
        <v>0.2</v>
      </c>
      <c r="C25" t="n">
        <v>0.03</v>
      </c>
      <c r="D25" t="n">
        <v>6</v>
      </c>
      <c r="E25" t="n">
        <v>2776.82</v>
      </c>
      <c r="F25" t="n">
        <v>-223.83</v>
      </c>
      <c r="G25" t="inlineStr"/>
    </row>
    <row r="26">
      <c r="A26" t="inlineStr">
        <is>
          <t>FX20_I6_D0</t>
        </is>
      </c>
      <c r="B26" t="n">
        <v>0.2</v>
      </c>
      <c r="C26" t="n">
        <v>0.06</v>
      </c>
      <c r="D26" t="n">
        <v>0</v>
      </c>
      <c r="E26" t="n">
        <v>2557.56</v>
      </c>
      <c r="F26" t="n">
        <v>-443.09</v>
      </c>
      <c r="G26" t="inlineStr">
        <is>
          <t>Y</t>
        </is>
      </c>
    </row>
    <row r="27">
      <c r="A27" t="inlineStr">
        <is>
          <t>FX20_I6_D3</t>
        </is>
      </c>
      <c r="B27" t="n">
        <v>0.2</v>
      </c>
      <c r="C27" t="n">
        <v>0.06</v>
      </c>
      <c r="D27" t="n">
        <v>3</v>
      </c>
      <c r="E27" t="n">
        <v>2618.2</v>
      </c>
      <c r="F27" t="n">
        <v>-382.45</v>
      </c>
      <c r="G27" t="inlineStr">
        <is>
          <t>Y</t>
        </is>
      </c>
    </row>
    <row r="28">
      <c r="A28" t="inlineStr">
        <is>
          <t>FX20_I6_D6</t>
        </is>
      </c>
      <c r="B28" t="n">
        <v>0.2</v>
      </c>
      <c r="C28" t="n">
        <v>0.06</v>
      </c>
      <c r="D28" t="n">
        <v>6</v>
      </c>
      <c r="E28" t="n">
        <v>2678.84</v>
      </c>
      <c r="F28" t="n">
        <v>-321.81</v>
      </c>
      <c r="G28" t="inlineStr">
        <is>
          <t>Y</t>
        </is>
      </c>
    </row>
    <row r="30">
      <c r="A30" s="9" t="inlineStr">
        <is>
          <t>Breach count:</t>
        </is>
      </c>
      <c r="B30">
        <f>COUNTIF(G2:G28,"Y")</f>
        <v/>
      </c>
    </row>
    <row r="31">
      <c r="A31" s="9" t="inlineStr">
        <is>
          <t>Total:</t>
        </is>
      </c>
      <c r="B31" t="n">
        <v>27</v>
      </c>
    </row>
    <row r="32">
      <c r="A32" s="9" t="inlineStr">
        <is>
          <t>Breach %:</t>
        </is>
      </c>
      <c r="B32" s="10">
        <f>B30/B31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4" t="inlineStr">
        <is>
          <t>Stage</t>
        </is>
      </c>
      <c r="B1" s="4" t="inlineStr">
        <is>
          <t>Expected count</t>
        </is>
      </c>
      <c r="C1" s="4" t="inlineStr">
        <is>
          <t>% of cohort</t>
        </is>
      </c>
    </row>
    <row r="2">
      <c r="A2" t="inlineStr">
        <is>
          <t>Dev</t>
        </is>
      </c>
      <c r="B2" t="n">
        <v>12</v>
      </c>
      <c r="C2" s="10">
        <f>B2/B2</f>
        <v/>
      </c>
    </row>
    <row r="3">
      <c r="A3" t="inlineStr">
        <is>
          <t>Greenlight</t>
        </is>
      </c>
      <c r="B3" t="n">
        <v>10.2</v>
      </c>
      <c r="C3" s="10">
        <f>B3/B2</f>
        <v/>
      </c>
    </row>
    <row r="4">
      <c r="A4" t="inlineStr">
        <is>
          <t>Production</t>
        </is>
      </c>
      <c r="B4" t="n">
        <v>9.384</v>
      </c>
      <c r="C4" s="10">
        <f>B4/B2</f>
        <v/>
      </c>
    </row>
    <row r="5">
      <c r="A5" t="inlineStr">
        <is>
          <t>Post-prod</t>
        </is>
      </c>
      <c r="B5" t="n">
        <v>8.914999999999999</v>
      </c>
      <c r="C5" s="10">
        <f>B5/B2</f>
        <v/>
      </c>
    </row>
    <row r="6">
      <c r="A6" t="inlineStr">
        <is>
          <t>Release</t>
        </is>
      </c>
      <c r="B6" t="n">
        <v>8.647</v>
      </c>
      <c r="C6" s="10">
        <f>B6/B2</f>
        <v/>
      </c>
    </row>
    <row r="8">
      <c r="A8" t="inlineStr">
        <is>
          <t>P(reach release)</t>
        </is>
      </c>
      <c r="B8" t="n">
        <v>0.7206</v>
      </c>
    </row>
    <row r="9">
      <c r="A9" t="inlineStr">
        <is>
          <t>Mean released</t>
        </is>
      </c>
      <c r="B9" t="n">
        <v>8.606999999999999</v>
      </c>
    </row>
    <row r="10">
      <c r="A10" t="inlineStr">
        <is>
          <t>Std released</t>
        </is>
      </c>
      <c r="B10" t="n">
        <v>1.613</v>
      </c>
    </row>
    <row r="11">
      <c r="A11" t="inlineStr">
        <is>
          <t>Mean sunk cost</t>
        </is>
      </c>
      <c r="B11" t="n">
        <v>302.6</v>
      </c>
    </row>
    <row r="12">
      <c r="A12" t="inlineStr">
        <is>
          <t>p95 sunk cost</t>
        </is>
      </c>
      <c r="B12" t="n">
        <v>830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4" t="inlineStr">
        <is>
          <t>Percentile</t>
        </is>
      </c>
      <c r="B1" s="4" t="inlineStr">
        <is>
          <t>EBITDA, млн ₽</t>
        </is>
      </c>
    </row>
    <row r="2">
      <c r="A2" t="inlineStr">
        <is>
          <t>p1</t>
        </is>
      </c>
      <c r="B2" t="n">
        <v>2595.92</v>
      </c>
    </row>
    <row r="3">
      <c r="A3" t="inlineStr">
        <is>
          <t>p5</t>
        </is>
      </c>
      <c r="B3" t="n">
        <v>2702.61</v>
      </c>
    </row>
    <row r="4">
      <c r="A4" t="inlineStr">
        <is>
          <t>p25</t>
        </is>
      </c>
      <c r="B4" t="n">
        <v>2858.97</v>
      </c>
    </row>
    <row r="5">
      <c r="A5" t="inlineStr">
        <is>
          <t>p50</t>
        </is>
      </c>
      <c r="B5" t="n">
        <v>2961.16</v>
      </c>
    </row>
    <row r="6">
      <c r="A6" t="inlineStr">
        <is>
          <t>p75</t>
        </is>
      </c>
      <c r="B6" t="n">
        <v>3051.29</v>
      </c>
    </row>
    <row r="7">
      <c r="A7" t="inlineStr">
        <is>
          <t>p95</t>
        </is>
      </c>
      <c r="B7" t="n">
        <v>3184.42</v>
      </c>
    </row>
    <row r="8">
      <c r="A8" t="inlineStr">
        <is>
          <t>p99</t>
        </is>
      </c>
      <c r="B8" t="n">
        <v>3281.11</v>
      </c>
    </row>
    <row r="10">
      <c r="A10" t="inlineStr">
        <is>
          <t>Mean</t>
        </is>
      </c>
      <c r="B10" t="n">
        <v>2952.24</v>
      </c>
    </row>
    <row r="11">
      <c r="A11" t="inlineStr">
        <is>
          <t>Std</t>
        </is>
      </c>
      <c r="B11" t="n">
        <v>144.62</v>
      </c>
    </row>
    <row r="12">
      <c r="A12" t="inlineStr">
        <is>
          <t>VaR95</t>
        </is>
      </c>
      <c r="B12" t="n">
        <v>298.04</v>
      </c>
    </row>
    <row r="13">
      <c r="A13" t="inlineStr">
        <is>
          <t>VaR99</t>
        </is>
      </c>
      <c r="B13" t="n">
        <v>404.73</v>
      </c>
    </row>
    <row r="14">
      <c r="A14" t="inlineStr">
        <is>
          <t>Breach p</t>
        </is>
      </c>
      <c r="B14" s="10" t="n">
        <v>0.0485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2026-04-11T16:42:13Z</dcterms:created>
  <dcterms:modified xmlns:dcterms="http://purl.org/dc/terms/" xmlns:xsi="http://www.w3.org/2001/XMLSchema-instance" xsi:type="dcterms:W3CDTF">2026-04-11T16:42:13Z</dcterms:modified>
</cp:coreProperties>
</file>