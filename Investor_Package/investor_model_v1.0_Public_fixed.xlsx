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0" yWindow="660" windowWidth="30200" windowHeight="21680" tabRatio="600" firstSheet="23" activeTab="31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91029" fullCalcOnLoad="1"/>
</workbook>
</file>

<file path=xl/styles.xml><?xml version="1.0" encoding="utf-8"?>
<styleSheet xmlns="http://schemas.openxmlformats.org/spreadsheetml/2006/main">
  <numFmts count="32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0.00&quot;×&quot;"/>
    <numFmt numFmtId="177" formatCode="\+0%;\-0%"/>
    <numFmt numFmtId="178" formatCode="0&quot; мес&quot;"/>
    <numFmt numFmtId="179" formatCode="#,##0&quot; млн&quot;"/>
    <numFmt numFmtId="180" formatCode="0&quot; шт&quot;"/>
    <numFmt numFmtId="181" formatCode="#,##0.0;[Red]\-#,##0.0"/>
    <numFmt numFmtId="182" formatCode="0.0&quot;%&quot;;[Red]\-0.0&quot;%&quot;"/>
    <numFmt numFmtId="183" formatCode="0.0&quot;%&quot;"/>
    <numFmt numFmtId="184" formatCode="0.0&quot; Q&quot;"/>
    <numFmt numFmtId="185" formatCode="0.0"/>
    <numFmt numFmtId="186" formatCode="0&quot;%&quot;"/>
    <numFmt numFmtId="187" formatCode="0.0&quot;×&quot;"/>
    <numFmt numFmtId="188" formatCode="0.000&quot;×&quot;"/>
    <numFmt numFmtId="189" formatCode="0.00&quot;%&quot;"/>
    <numFmt numFmtId="190" formatCode="\+0.0&quot; pp&quot;;\-0.0&quot; pp&quot;"/>
    <numFmt numFmtId="191" formatCode="#,##0.00&quot; млн ₽&quot;"/>
    <numFmt numFmtId="192" formatCode="\+#,##0.00;\-#,##0.00;&quot;0.00&quot;"/>
    <numFmt numFmtId="193" formatCode="0.0&quot; years&quot;"/>
    <numFmt numFmtId="194" formatCode="+#,##0.000;-#,##0.000"/>
    <numFmt numFmtId="195" formatCode="+0.0%;-0.0%"/>
  </numFmts>
  <fonts count="119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2060"/>
      <sz val="22"/>
    </font>
    <font>
      <name val="Arial"/>
      <family val="2"/>
      <i val="1"/>
      <color rgb="FF595959"/>
      <sz val="14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rgb="FF0070C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548235"/>
      <sz val="11"/>
    </font>
    <font>
      <name val="Arial"/>
      <family val="2"/>
      <b val="1"/>
      <color rgb="FFFFFFFF"/>
      <sz val="11"/>
    </font>
    <font>
      <name val="Arial"/>
      <family val="2"/>
      <color rgb="FF00206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color rgb="FF595959"/>
      <sz val="9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9"/>
    </font>
    <font>
      <name val="Arial"/>
      <family val="2"/>
      <sz val="9"/>
    </font>
    <font>
      <name val="Arial"/>
      <family val="2"/>
      <b val="1"/>
      <color rgb="FF54823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color rgb="FF006100"/>
      <sz val="10"/>
    </font>
    <font>
      <name val="Arial"/>
      <family val="2"/>
      <color rgb="FFC000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48235"/>
      <sz val="9"/>
    </font>
    <font>
      <name val="Arial"/>
      <family val="2"/>
      <color rgb="FF548235"/>
      <sz val="10"/>
    </font>
    <font>
      <name val="Arial"/>
      <family val="2"/>
      <b val="1"/>
      <color rgb="FF002060"/>
      <sz val="13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548235"/>
      <sz val="12"/>
    </font>
    <font>
      <name val="Arial"/>
      <family val="2"/>
      <color rgb="FF0000FF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BF8F00"/>
      <sz val="10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3864"/>
      <sz val="22"/>
    </font>
    <font>
      <name val="Calibri"/>
      <family val="2"/>
      <b val="1"/>
      <color rgb="FF1F3864"/>
      <sz val="12"/>
    </font>
    <font>
      <name val="Calibri"/>
      <family val="2"/>
      <color rgb="FF595959"/>
      <sz val="10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1F3864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0"/>
    </font>
    <font>
      <name val="Calibri"/>
      <family val="2"/>
      <color rgb="FF000000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2060"/>
      <sz val="16"/>
    </font>
    <font>
      <name val="Calibri"/>
      <family val="2"/>
      <i val="1"/>
      <color rgb="FF808080"/>
      <sz val="10"/>
    </font>
    <font>
      <name val="Calibri"/>
      <family val="2"/>
      <b val="1"/>
      <color rgb="FF0070C0"/>
      <sz val="12"/>
    </font>
    <font>
      <name val="Calibri"/>
      <family val="2"/>
      <sz val="9"/>
    </font>
    <font>
      <name val="Calibri"/>
      <family val="2"/>
      <b val="1"/>
      <sz val="10"/>
    </font>
    <font>
      <name val="Calibri"/>
      <family val="2"/>
      <b val="1"/>
      <sz val="9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808080"/>
      <sz val="12"/>
    </font>
    <font>
      <name val="Calibri"/>
      <family val="2"/>
      <b val="1"/>
      <color rgb="FF00B050"/>
      <sz val="11"/>
    </font>
    <font>
      <name val="Calibri"/>
      <family val="2"/>
      <b val="1"/>
      <color rgb="FFED7D31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i val="1"/>
      <color rgb="FF0070C0"/>
      <sz val="9"/>
    </font>
    <font>
      <name val="Calibri"/>
      <family val="2"/>
      <sz val="7"/>
    </font>
    <font>
      <name val="Calibri"/>
      <family val="2"/>
      <b val="1"/>
      <color rgb="FF006100"/>
      <sz val="7"/>
    </font>
    <font>
      <name val="Calibri"/>
      <family val="2"/>
      <b val="1"/>
      <sz val="7"/>
    </font>
    <font>
      <name val="Calibri"/>
      <family val="2"/>
      <b val="1"/>
      <color rgb="FFC00000"/>
      <sz val="7"/>
    </font>
    <font>
      <name val="Calibri"/>
      <family val="2"/>
      <b val="1"/>
      <color rgb="FF823B0B"/>
      <sz val="7"/>
    </font>
    <font>
      <name val="Calibri"/>
      <family val="2"/>
      <b val="1"/>
      <color rgb="FF002060"/>
      <sz val="7"/>
    </font>
    <font>
      <name val="Calibri"/>
      <family val="2"/>
      <b val="1"/>
      <color rgb="FFC00000"/>
      <sz val="12"/>
    </font>
    <font>
      <name val="Calibri"/>
      <family val="2"/>
      <b val="1"/>
      <color rgb="FF0070C0"/>
      <sz val="18"/>
    </font>
    <font>
      <name val="Calibri"/>
      <family val="2"/>
      <i val="1"/>
      <color rgb="FF808080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0070C0"/>
      <sz val="11"/>
    </font>
    <font>
      <name val="Calibri"/>
      <family val="2"/>
      <sz val="11"/>
    </font>
    <font>
      <name val="Calibri"/>
      <family val="2"/>
      <i val="1"/>
      <color rgb="FF002060"/>
      <sz val="11"/>
    </font>
    <font>
      <name val="Calibri"/>
      <family val="2"/>
      <b val="1"/>
      <color rgb="FF002060"/>
      <sz val="11"/>
    </font>
    <font>
      <name val="Calibri"/>
      <family val="2"/>
      <b val="1"/>
      <color rgb="FF002060"/>
      <sz val="10"/>
    </font>
    <font>
      <name val="Calibri"/>
      <family val="2"/>
      <i val="1"/>
      <color rgb="FF002060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70C0"/>
      <sz val="10"/>
      <u val="single"/>
    </font>
    <font>
      <name val="Calibri"/>
      <family val="2"/>
      <b val="1"/>
      <color rgb="FF002060"/>
      <sz val="12"/>
    </font>
    <font>
      <name val="Calibri"/>
      <family val="2"/>
      <i val="1"/>
      <color rgb="FF000000"/>
      <sz val="10"/>
    </font>
    <font>
      <name val="Calibri"/>
      <family val="2"/>
      <b val="1"/>
      <color rgb="FF002060"/>
      <sz val="14"/>
    </font>
    <font>
      <name val="Calibri"/>
      <family val="2"/>
      <b val="1"/>
      <color rgb="FF0070C0"/>
      <sz val="16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548235"/>
      <sz val="10"/>
    </font>
    <font>
      <name val="Times New Roman"/>
      <family val="1"/>
      <sz val="12"/>
    </font>
    <font>
      <name val="Times New Roman"/>
      <family val="1"/>
      <b val="1"/>
      <color rgb="FF0070C0"/>
      <sz val="14"/>
    </font>
    <font>
      <name val="Times New Roman"/>
      <family val="1"/>
      <b val="1"/>
      <sz val="12"/>
    </font>
    <font>
      <name val="Times New Roman"/>
      <family val="1"/>
      <i val="1"/>
      <color rgb="FFCC0000"/>
      <sz val="12"/>
    </font>
    <font>
      <name val="Times New Roman"/>
      <family val="1"/>
      <color rgb="FFCC0000"/>
      <sz val="12"/>
    </font>
    <font>
      <name val="Times New Roman"/>
      <family val="1"/>
      <b val="1"/>
      <color theme="0"/>
      <sz val="14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595959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6100"/>
      <sz val="10"/>
    </font>
    <font>
      <name val="Arial"/>
      <color rgb="00C00000"/>
      <sz val="10"/>
    </font>
  </fonts>
  <fills count="4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000070C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5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9"/>
  </cellStyleXfs>
  <cellXfs count="864">
    <xf numFmtId="0" fontId="0" fillId="0" borderId="0" pivotButton="0" quotePrefix="0" xfId="0"/>
    <xf numFmtId="0" fontId="9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wrapText="1" indent="1"/>
    </xf>
    <xf numFmtId="165" fontId="16" fillId="0" borderId="3" applyAlignment="1" pivotButton="0" quotePrefix="0" xfId="0">
      <alignment horizontal="right" vertical="center" indent="1"/>
    </xf>
    <xf numFmtId="3" fontId="16" fillId="0" borderId="3" applyAlignment="1" pivotButton="0" quotePrefix="0" xfId="0">
      <alignment horizontal="right" vertical="center" indent="1"/>
    </xf>
    <xf numFmtId="166" fontId="16" fillId="0" borderId="3" applyAlignment="1" pivotButton="0" quotePrefix="0" xfId="0">
      <alignment horizontal="right" vertical="center" indent="1"/>
    </xf>
    <xf numFmtId="167" fontId="16" fillId="0" borderId="3" applyAlignment="1" pivotButton="0" quotePrefix="0" xfId="0">
      <alignment horizontal="right" vertical="center" indent="1"/>
    </xf>
    <xf numFmtId="0" fontId="17" fillId="5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21" fillId="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168" fontId="16" fillId="0" borderId="3" applyAlignment="1" pivotButton="0" quotePrefix="0" xfId="0">
      <alignment horizontal="right" vertical="center" indent="1"/>
    </xf>
    <xf numFmtId="168" fontId="22" fillId="0" borderId="3" applyAlignment="1" pivotButton="0" quotePrefix="0" xfId="0">
      <alignment horizontal="right" vertical="center" indent="1"/>
    </xf>
    <xf numFmtId="168" fontId="23" fillId="7" borderId="3" applyAlignment="1" pivotButton="0" quotePrefix="0" xfId="0">
      <alignment horizontal="right" vertical="center" indent="1"/>
    </xf>
    <xf numFmtId="0" fontId="0" fillId="0" borderId="3" pivotButton="0" quotePrefix="0" xfId="0"/>
    <xf numFmtId="0" fontId="9" fillId="3" borderId="3" applyAlignment="1" pivotButton="0" quotePrefix="0" xfId="0">
      <alignment horizontal="left" vertical="center" indent="1"/>
    </xf>
    <xf numFmtId="3" fontId="9" fillId="3" borderId="3" applyAlignment="1" pivotButton="0" quotePrefix="0" xfId="0">
      <alignment horizontal="center" vertical="center" indent="1"/>
    </xf>
    <xf numFmtId="168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center" vertical="center"/>
    </xf>
    <xf numFmtId="3" fontId="22" fillId="0" borderId="3" applyAlignment="1" pivotButton="0" quotePrefix="0" xfId="0">
      <alignment horizontal="center" vertical="center"/>
    </xf>
    <xf numFmtId="168" fontId="15" fillId="0" borderId="3" applyAlignment="1" pivotButton="0" quotePrefix="0" xfId="0">
      <alignment horizontal="right" vertical="center" indent="1"/>
    </xf>
    <xf numFmtId="169" fontId="24" fillId="4" borderId="3" applyAlignment="1" pivotButton="0" quotePrefix="0" xfId="0">
      <alignment horizontal="right" vertical="center" indent="1"/>
    </xf>
    <xf numFmtId="169" fontId="4" fillId="0" borderId="3" applyAlignment="1" pivotButton="0" quotePrefix="0" xfId="0">
      <alignment horizontal="right" vertical="center" indent="1"/>
    </xf>
    <xf numFmtId="0" fontId="13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169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left" vertical="center" indent="1"/>
    </xf>
    <xf numFmtId="170" fontId="22" fillId="0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171" fontId="22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1" fontId="9" fillId="3" borderId="3" applyAlignment="1" pivotButton="0" quotePrefix="0" xfId="0">
      <alignment horizontal="right" vertical="center" indent="1"/>
    </xf>
    <xf numFmtId="171" fontId="25" fillId="0" borderId="3" applyAlignment="1" pivotButton="0" quotePrefix="0" xfId="0">
      <alignment horizontal="right" vertical="center" indent="1"/>
    </xf>
    <xf numFmtId="172" fontId="26" fillId="0" borderId="3" applyAlignment="1" pivotButton="0" quotePrefix="0" xfId="0">
      <alignment horizontal="right" vertical="center" indent="1"/>
    </xf>
    <xf numFmtId="173" fontId="26" fillId="0" borderId="3" applyAlignment="1" pivotButton="0" quotePrefix="0" xfId="0">
      <alignment horizontal="right" vertical="center" indent="1"/>
    </xf>
    <xf numFmtId="172" fontId="9" fillId="3" borderId="3" applyAlignment="1" pivotButton="0" quotePrefix="0" xfId="0">
      <alignment horizontal="right" vertical="center" indent="1"/>
    </xf>
    <xf numFmtId="173" fontId="9" fillId="3" borderId="3" applyAlignment="1" pivotButton="0" quotePrefix="0" xfId="0">
      <alignment horizontal="right" vertical="center" indent="1"/>
    </xf>
    <xf numFmtId="171" fontId="27" fillId="0" borderId="3" applyAlignment="1" pivotButton="0" quotePrefix="0" xfId="0">
      <alignment horizontal="right" vertical="center" indent="1"/>
    </xf>
    <xf numFmtId="169" fontId="23" fillId="4" borderId="3" applyAlignment="1" pivotButton="0" quotePrefix="0" xfId="0">
      <alignment horizontal="right" vertical="center" indent="1"/>
    </xf>
    <xf numFmtId="0" fontId="28" fillId="3" borderId="3" applyAlignment="1" pivotButton="0" quotePrefix="0" xfId="0">
      <alignment horizontal="left" vertical="center" indent="1"/>
    </xf>
    <xf numFmtId="169" fontId="28" fillId="3" borderId="3" applyAlignment="1" pivotButton="0" quotePrefix="0" xfId="0">
      <alignment horizontal="right" vertical="center" indent="1"/>
    </xf>
    <xf numFmtId="169" fontId="23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indent="1"/>
    </xf>
    <xf numFmtId="0" fontId="17" fillId="5" borderId="3" applyAlignment="1" pivotButton="0" quotePrefix="0" xfId="0">
      <alignment horizontal="left" vertical="center" indent="1"/>
    </xf>
    <xf numFmtId="169" fontId="17" fillId="5" borderId="3" applyAlignment="1" pivotButton="0" quotePrefix="0" xfId="0">
      <alignment horizontal="right" vertical="center" indent="1"/>
    </xf>
    <xf numFmtId="164" fontId="17" fillId="5" borderId="3" applyAlignment="1" pivotButton="0" quotePrefix="0" xfId="0">
      <alignment horizontal="right" vertical="center" indent="1"/>
    </xf>
    <xf numFmtId="174" fontId="16" fillId="0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center" vertical="center"/>
    </xf>
    <xf numFmtId="4" fontId="22" fillId="0" borderId="3" applyAlignment="1" pivotButton="0" quotePrefix="0" xfId="0">
      <alignment horizontal="right" vertical="center" indent="1"/>
    </xf>
    <xf numFmtId="175" fontId="23" fillId="4" borderId="3" applyAlignment="1" pivotButton="0" quotePrefix="0" xfId="0">
      <alignment horizontal="right" vertical="center" indent="1"/>
    </xf>
    <xf numFmtId="173" fontId="30" fillId="0" borderId="3" applyAlignment="1" pivotButton="0" quotePrefix="0" xfId="0">
      <alignment horizontal="center" vertical="center"/>
    </xf>
    <xf numFmtId="164" fontId="28" fillId="3" borderId="3" applyAlignment="1" pivotButton="0" quotePrefix="0" xfId="0">
      <alignment horizontal="center" vertical="center"/>
    </xf>
    <xf numFmtId="175" fontId="28" fillId="3" borderId="3" applyAlignment="1" pivotButton="0" quotePrefix="0" xfId="0">
      <alignment horizontal="right" vertical="center" indent="1"/>
    </xf>
    <xf numFmtId="175" fontId="31" fillId="4" borderId="8" applyAlignment="1" pivotButton="0" quotePrefix="0" xfId="0">
      <alignment horizontal="right" vertical="center" indent="1"/>
    </xf>
    <xf numFmtId="173" fontId="28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176" fontId="36" fillId="7" borderId="3" applyAlignment="1" pivotButton="0" quotePrefix="0" xfId="0">
      <alignment horizontal="center" vertical="center"/>
    </xf>
    <xf numFmtId="4" fontId="15" fillId="7" borderId="3" applyAlignment="1" pivotButton="0" quotePrefix="0" xfId="0">
      <alignment horizontal="right" vertical="center" indent="1"/>
    </xf>
    <xf numFmtId="3" fontId="15" fillId="7" borderId="3" applyAlignment="1" pivotButton="0" quotePrefix="0" xfId="0">
      <alignment horizontal="right" vertical="center" indent="1"/>
    </xf>
    <xf numFmtId="164" fontId="30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 indent="1"/>
    </xf>
    <xf numFmtId="0" fontId="18" fillId="4" borderId="3" applyAlignment="1" pivotButton="0" quotePrefix="0" xfId="0">
      <alignment horizontal="left" vertical="center" indent="1"/>
    </xf>
    <xf numFmtId="176" fontId="36" fillId="4" borderId="3" applyAlignment="1" pivotButton="0" quotePrefix="0" xfId="0">
      <alignment horizontal="center" vertical="center"/>
    </xf>
    <xf numFmtId="4" fontId="24" fillId="4" borderId="3" applyAlignment="1" pivotButton="0" quotePrefix="0" xfId="0">
      <alignment horizontal="right" vertical="center" indent="1"/>
    </xf>
    <xf numFmtId="3" fontId="24" fillId="4" borderId="3" applyAlignment="1" pivotButton="0" quotePrefix="0" xfId="0">
      <alignment horizontal="right" vertical="center" indent="1"/>
    </xf>
    <xf numFmtId="164" fontId="1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36" fillId="0" borderId="3" applyAlignment="1" pivotButton="0" quotePrefix="0" xfId="0">
      <alignment horizontal="center" vertical="center"/>
    </xf>
    <xf numFmtId="174" fontId="22" fillId="0" borderId="3" applyAlignment="1" pivotButton="0" quotePrefix="0" xfId="0">
      <alignment horizontal="right" vertical="center" indent="1"/>
    </xf>
    <xf numFmtId="174" fontId="23" fillId="0" borderId="3" applyAlignment="1" pivotButton="0" quotePrefix="0" xfId="0">
      <alignment horizontal="right" vertical="center" indent="1"/>
    </xf>
    <xf numFmtId="3" fontId="16" fillId="4" borderId="3" applyAlignment="1" pivotButton="0" quotePrefix="0" xfId="0">
      <alignment horizontal="right" vertical="center" indent="1"/>
    </xf>
    <xf numFmtId="177" fontId="30" fillId="0" borderId="3" applyAlignment="1" pivotButton="0" quotePrefix="0" xfId="0">
      <alignment horizontal="center" vertical="center"/>
    </xf>
    <xf numFmtId="164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0" fontId="37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8" fillId="4" borderId="3" applyAlignment="1" pivotButton="0" quotePrefix="0" xfId="0">
      <alignment horizontal="center" vertical="center"/>
    </xf>
    <xf numFmtId="3" fontId="28" fillId="3" borderId="3" applyAlignment="1" pivotButton="0" quotePrefix="0" xfId="0">
      <alignment horizontal="right" vertical="center" indent="1"/>
    </xf>
    <xf numFmtId="174" fontId="28" fillId="3" borderId="3" applyAlignment="1" pivotButton="0" quotePrefix="0" xfId="0">
      <alignment horizontal="right" vertical="center" indent="1"/>
    </xf>
    <xf numFmtId="179" fontId="31" fillId="4" borderId="8" applyAlignment="1" pivotButton="0" quotePrefix="0" xfId="0">
      <alignment horizontal="right" vertical="center" indent="1"/>
    </xf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right" vertical="center" indent="1"/>
    </xf>
    <xf numFmtId="4" fontId="16" fillId="0" borderId="3" applyAlignment="1" pivotButton="0" quotePrefix="0" xfId="0">
      <alignment horizontal="right" vertical="center" indent="1"/>
    </xf>
    <xf numFmtId="4" fontId="23" fillId="0" borderId="3" applyAlignment="1" pivotButton="0" quotePrefix="0" xfId="0">
      <alignment horizontal="right" vertical="center" indent="1"/>
    </xf>
    <xf numFmtId="180" fontId="15" fillId="0" borderId="3" applyAlignment="1" pivotButton="0" quotePrefix="0" xfId="0">
      <alignment horizontal="center" vertical="center"/>
    </xf>
    <xf numFmtId="3" fontId="15" fillId="0" borderId="3" applyAlignment="1" pivotButton="0" quotePrefix="0" xfId="0">
      <alignment horizontal="right" vertical="center" indent="1"/>
    </xf>
    <xf numFmtId="0" fontId="39" fillId="0" borderId="9" pivotButton="0" quotePrefix="0" xfId="0"/>
    <xf numFmtId="0" fontId="45" fillId="12" borderId="10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46" fillId="0" borderId="10" applyAlignment="1" pivotButton="0" quotePrefix="0" xfId="0">
      <alignment horizontal="center" vertical="center" wrapText="1"/>
    </xf>
    <xf numFmtId="0" fontId="40" fillId="3" borderId="1" applyAlignment="1" pivotButton="0" quotePrefix="0" xfId="0">
      <alignment horizontal="center" vertical="center" wrapText="1"/>
    </xf>
    <xf numFmtId="0" fontId="44" fillId="10" borderId="0" applyAlignment="1" pivotButton="0" quotePrefix="0" xfId="0">
      <alignment horizontal="left" vertical="top" wrapText="1"/>
    </xf>
    <xf numFmtId="38" fontId="46" fillId="0" borderId="10" applyAlignment="1" pivotButton="0" quotePrefix="0" xfId="0">
      <alignment horizontal="right" vertical="center"/>
    </xf>
    <xf numFmtId="0" fontId="44" fillId="0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0" fontId="47" fillId="4" borderId="10" applyAlignment="1" pivotButton="0" quotePrefix="0" xfId="0">
      <alignment horizontal="left" vertical="center" wrapText="1"/>
    </xf>
    <xf numFmtId="38" fontId="47" fillId="4" borderId="10" applyAlignment="1" pivotButton="0" quotePrefix="0" xfId="0">
      <alignment horizontal="right" vertical="center"/>
    </xf>
    <xf numFmtId="0" fontId="44" fillId="4" borderId="1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left" vertical="center" wrapText="1"/>
    </xf>
    <xf numFmtId="3" fontId="48" fillId="0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left" vertical="center" wrapText="1"/>
    </xf>
    <xf numFmtId="174" fontId="48" fillId="0" borderId="10" applyAlignment="1" pivotButton="0" quotePrefix="0" xfId="0">
      <alignment horizontal="right" vertical="center"/>
    </xf>
    <xf numFmtId="0" fontId="48" fillId="0" borderId="10" applyAlignment="1" pivotButton="0" quotePrefix="0" xfId="0">
      <alignment horizontal="right" vertical="center"/>
    </xf>
    <xf numFmtId="0" fontId="51" fillId="3" borderId="10" applyAlignment="1" pivotButton="0" quotePrefix="0" xfId="0">
      <alignment horizontal="center" vertical="center" wrapText="1"/>
    </xf>
    <xf numFmtId="0" fontId="51" fillId="3" borderId="10" applyAlignment="1" pivotButton="0" quotePrefix="0" xfId="0">
      <alignment horizontal="left" vertical="center" wrapText="1"/>
    </xf>
    <xf numFmtId="0" fontId="52" fillId="3" borderId="10" applyAlignment="1" pivotButton="0" quotePrefix="0" xfId="0">
      <alignment horizontal="center" vertical="center" wrapText="1"/>
    </xf>
    <xf numFmtId="0" fontId="52" fillId="11" borderId="10" applyAlignment="1" pivotButton="0" quotePrefix="0" xfId="0">
      <alignment horizontal="center" vertical="center" wrapText="1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left" vertical="center" wrapText="1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0" fontId="45" fillId="0" borderId="10" applyAlignment="1" pivotButton="0" quotePrefix="0" xfId="0">
      <alignment horizontal="left" vertical="center" wrapText="1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49" fillId="4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4" pivotButton="0" quotePrefix="0" xfId="0"/>
    <xf numFmtId="0" fontId="52" fillId="3" borderId="10" applyAlignment="1" pivotButton="0" quotePrefix="0" xfId="0">
      <alignment horizontal="left" vertical="center" wrapText="1"/>
    </xf>
    <xf numFmtId="0" fontId="55" fillId="5" borderId="10" applyAlignment="1" pivotButton="0" quotePrefix="0" xfId="0">
      <alignment horizontal="center" vertical="center" wrapText="1"/>
    </xf>
    <xf numFmtId="0" fontId="55" fillId="5" borderId="10" applyAlignment="1" pivotButton="0" quotePrefix="0" xfId="0">
      <alignment horizontal="left" vertical="center" wrapText="1"/>
    </xf>
    <xf numFmtId="181" fontId="55" fillId="5" borderId="10" applyAlignment="1" pivotButton="0" quotePrefix="0" xfId="0">
      <alignment horizontal="right" vertical="center"/>
    </xf>
    <xf numFmtId="181" fontId="56" fillId="5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center" vertical="center" wrapText="1"/>
    </xf>
    <xf numFmtId="0" fontId="56" fillId="13" borderId="10" applyAlignment="1" pivotButton="0" quotePrefix="0" xfId="0">
      <alignment horizontal="left" vertical="center" wrapText="1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49" fillId="13" borderId="10" applyAlignment="1" pivotButton="0" quotePrefix="0" xfId="0">
      <alignment horizontal="left" vertical="center" wrapText="1"/>
    </xf>
    <xf numFmtId="0" fontId="55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left" vertical="center" wrapText="1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0" fontId="49" fillId="14" borderId="10" applyAlignment="1" pivotButton="0" quotePrefix="0" xfId="0">
      <alignment horizontal="left" vertical="center" wrapText="1"/>
    </xf>
    <xf numFmtId="0" fontId="55" fillId="0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0" fontId="56" fillId="5" borderId="10" applyAlignment="1" pivotButton="0" quotePrefix="0" xfId="0">
      <alignment horizontal="center" vertical="center" wrapText="1"/>
    </xf>
    <xf numFmtId="0" fontId="56" fillId="5" borderId="10" applyAlignment="1" pivotButton="0" quotePrefix="0" xfId="0">
      <alignment horizontal="left" vertical="center" wrapText="1"/>
    </xf>
    <xf numFmtId="0" fontId="57" fillId="0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181" fontId="57" fillId="15" borderId="10" applyAlignment="1" pivotButton="0" quotePrefix="0" xfId="0">
      <alignment horizontal="right" vertical="center"/>
    </xf>
    <xf numFmtId="0" fontId="57" fillId="15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center" vertical="center" wrapText="1"/>
    </xf>
    <xf numFmtId="0" fontId="57" fillId="12" borderId="10" applyAlignment="1" pivotButton="0" quotePrefix="0" xfId="0">
      <alignment horizontal="center" vertical="center" wrapText="1"/>
    </xf>
    <xf numFmtId="181" fontId="55" fillId="12" borderId="10" applyAlignment="1" pivotButton="0" quotePrefix="0" xfId="0">
      <alignment horizontal="right" vertical="center"/>
    </xf>
    <xf numFmtId="0" fontId="55" fillId="12" borderId="10" applyAlignment="1" pivotButton="0" quotePrefix="0" xfId="0">
      <alignment horizontal="center" vertical="center" wrapText="1"/>
    </xf>
    <xf numFmtId="0" fontId="55" fillId="4" borderId="10" applyAlignment="1" pivotButton="0" quotePrefix="0" xfId="0">
      <alignment horizontal="center" vertical="center" wrapText="1"/>
    </xf>
    <xf numFmtId="3" fontId="55" fillId="0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3" fontId="56" fillId="4" borderId="10" applyAlignment="1" pivotButton="0" quotePrefix="0" xfId="0">
      <alignment horizontal="right" vertical="center"/>
    </xf>
    <xf numFmtId="181" fontId="55" fillId="4" borderId="10" applyAlignment="1" pivotButton="0" quotePrefix="0" xfId="0">
      <alignment horizontal="right" vertical="center"/>
    </xf>
    <xf numFmtId="0" fontId="57" fillId="5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right" vertical="center"/>
    </xf>
    <xf numFmtId="183" fontId="56" fillId="13" borderId="10" applyAlignment="1" pivotButton="0" quotePrefix="0" xfId="0">
      <alignment horizontal="right" vertical="center"/>
    </xf>
    <xf numFmtId="176" fontId="56" fillId="13" borderId="10" applyAlignment="1" pivotButton="0" quotePrefix="0" xfId="0">
      <alignment horizontal="right" vertical="center"/>
    </xf>
    <xf numFmtId="184" fontId="56" fillId="13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 wrapText="1"/>
    </xf>
    <xf numFmtId="49" fontId="55" fillId="0" borderId="10" applyAlignment="1" pivotButton="0" quotePrefix="0" xfId="0">
      <alignment horizontal="right" vertical="center"/>
    </xf>
    <xf numFmtId="49" fontId="55" fillId="4" borderId="10" applyAlignment="1" pivotButton="0" quotePrefix="0" xfId="0">
      <alignment horizontal="right" vertical="center"/>
    </xf>
    <xf numFmtId="3" fontId="55" fillId="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0" fontId="57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right" vertical="center"/>
    </xf>
    <xf numFmtId="0" fontId="55" fillId="5" borderId="10" applyAlignment="1" pivotButton="0" quotePrefix="0" xfId="0">
      <alignment horizontal="right" vertical="center"/>
    </xf>
    <xf numFmtId="10" fontId="55" fillId="0" borderId="10" applyAlignment="1" pivotButton="0" quotePrefix="0" xfId="0">
      <alignment horizontal="right" vertical="center"/>
    </xf>
    <xf numFmtId="2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left" vertical="center" wrapText="1"/>
    </xf>
    <xf numFmtId="10" fontId="57" fillId="4" borderId="10" applyAlignment="1" pivotButton="0" quotePrefix="0" xfId="0">
      <alignment horizontal="right" vertical="center"/>
    </xf>
    <xf numFmtId="0" fontId="52" fillId="11" borderId="10" applyAlignment="1" pivotButton="0" quotePrefix="0" xfId="0">
      <alignment horizontal="left" vertical="center" wrapText="1"/>
    </xf>
    <xf numFmtId="181" fontId="57" fillId="13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center" vertical="center" wrapText="1"/>
    </xf>
    <xf numFmtId="176" fontId="57" fillId="13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0" fontId="0" fillId="13" borderId="10" pivotButton="0" quotePrefix="0" xfId="0"/>
    <xf numFmtId="183" fontId="57" fillId="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left" vertical="center" wrapText="1"/>
    </xf>
    <xf numFmtId="186" fontId="55" fillId="0" borderId="10" applyAlignment="1" pivotButton="0" quotePrefix="0" xfId="0">
      <alignment horizontal="center" vertical="center" wrapText="1"/>
    </xf>
    <xf numFmtId="0" fontId="47" fillId="13" borderId="10" applyAlignment="1" pivotButton="0" quotePrefix="0" xfId="0">
      <alignment horizontal="right" vertical="center"/>
    </xf>
    <xf numFmtId="186" fontId="47" fillId="13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right" vertical="center"/>
    </xf>
    <xf numFmtId="0" fontId="55" fillId="16" borderId="10" applyAlignment="1" pivotButton="0" quotePrefix="0" xfId="0">
      <alignment horizontal="left" vertical="center" wrapText="1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0" fontId="57" fillId="16" borderId="10" applyAlignment="1" pivotButton="0" quotePrefix="0" xfId="0">
      <alignment horizontal="center" vertical="center" wrapText="1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0" fontId="55" fillId="18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0" fontId="55" fillId="0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6" fontId="55" fillId="14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8" borderId="10" applyAlignment="1" pivotButton="0" quotePrefix="0" xfId="0">
      <alignment horizontal="right" vertical="center"/>
    </xf>
    <xf numFmtId="186" fontId="55" fillId="5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right" vertical="center"/>
    </xf>
    <xf numFmtId="0" fontId="60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left" vertical="center" wrapText="1"/>
    </xf>
    <xf numFmtId="0" fontId="62" fillId="19" borderId="10" applyAlignment="1" pivotButton="0" quotePrefix="0" xfId="0">
      <alignment horizontal="center" vertical="center" wrapText="1"/>
    </xf>
    <xf numFmtId="0" fontId="61" fillId="19" borderId="10" applyAlignment="1" pivotButton="0" quotePrefix="0" xfId="0">
      <alignment horizontal="center" vertical="center" wrapText="1"/>
    </xf>
    <xf numFmtId="0" fontId="62" fillId="20" borderId="10" applyAlignment="1" pivotButton="0" quotePrefix="0" xfId="0">
      <alignment horizontal="center" vertical="center" wrapText="1"/>
    </xf>
    <xf numFmtId="0" fontId="61" fillId="20" borderId="10" applyAlignment="1" pivotButton="0" quotePrefix="0" xfId="0">
      <alignment horizontal="center" vertical="center" wrapText="1"/>
    </xf>
    <xf numFmtId="0" fontId="62" fillId="4" borderId="10" applyAlignment="1" pivotButton="0" quotePrefix="0" xfId="0">
      <alignment horizontal="center" vertical="center" wrapText="1"/>
    </xf>
    <xf numFmtId="0" fontId="61" fillId="4" borderId="10" applyAlignment="1" pivotButton="0" quotePrefix="0" xfId="0">
      <alignment horizontal="center" vertical="center" wrapText="1"/>
    </xf>
    <xf numFmtId="0" fontId="62" fillId="21" borderId="10" applyAlignment="1" pivotButton="0" quotePrefix="0" xfId="0">
      <alignment horizontal="center" vertical="center" wrapText="1"/>
    </xf>
    <xf numFmtId="0" fontId="61" fillId="21" borderId="10" applyAlignment="1" pivotButton="0" quotePrefix="0" xfId="0">
      <alignment horizontal="center" vertical="center" wrapText="1"/>
    </xf>
    <xf numFmtId="0" fontId="63" fillId="7" borderId="10" pivotButton="0" quotePrefix="0" xfId="0"/>
    <xf numFmtId="0" fontId="51" fillId="2" borderId="10" applyAlignment="1" pivotButton="0" quotePrefix="0" xfId="0">
      <alignment horizontal="center" vertical="center"/>
    </xf>
    <xf numFmtId="0" fontId="64" fillId="4" borderId="10" applyAlignment="1" pivotButton="0" quotePrefix="0" xfId="0">
      <alignment horizontal="center" vertical="center" wrapText="1"/>
    </xf>
    <xf numFmtId="0" fontId="65" fillId="20" borderId="10" applyAlignment="1" pivotButton="0" quotePrefix="0" xfId="0">
      <alignment horizontal="center" vertical="center" wrapText="1"/>
    </xf>
    <xf numFmtId="0" fontId="65" fillId="19" borderId="10" applyAlignment="1" pivotButton="0" quotePrefix="0" xfId="0">
      <alignment horizontal="center" vertical="center" wrapText="1"/>
    </xf>
    <xf numFmtId="0" fontId="64" fillId="21" borderId="10" applyAlignment="1" pivotButton="0" quotePrefix="0" xfId="0">
      <alignment horizontal="center" vertical="center" wrapText="1"/>
    </xf>
    <xf numFmtId="0" fontId="64" fillId="5" borderId="10" applyAlignment="1" pivotButton="0" quotePrefix="0" xfId="0">
      <alignment horizontal="center" vertical="center" wrapText="1"/>
    </xf>
    <xf numFmtId="0" fontId="65" fillId="4" borderId="10" applyAlignment="1" pivotButton="0" quotePrefix="0" xfId="0">
      <alignment horizontal="center" vertical="center" wrapText="1"/>
    </xf>
    <xf numFmtId="0" fontId="65" fillId="21" borderId="10" applyAlignment="1" pivotButton="0" quotePrefix="0" xfId="0">
      <alignment horizontal="center" vertical="center" wrapText="1"/>
    </xf>
    <xf numFmtId="0" fontId="64" fillId="20" borderId="10" applyAlignment="1" pivotButton="0" quotePrefix="0" xfId="0">
      <alignment horizontal="center" vertical="center" wrapText="1"/>
    </xf>
    <xf numFmtId="0" fontId="63" fillId="0" borderId="0" pivotButton="0" quotePrefix="0" xfId="0"/>
    <xf numFmtId="0" fontId="61" fillId="5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20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top" wrapText="1"/>
    </xf>
    <xf numFmtId="0" fontId="64" fillId="0" borderId="10" applyAlignment="1" pivotButton="0" quotePrefix="0" xfId="0">
      <alignment horizontal="left" vertical="top" wrapText="1"/>
    </xf>
    <xf numFmtId="0" fontId="62" fillId="21" borderId="10" applyAlignment="1" pivotButton="0" quotePrefix="0" xfId="0">
      <alignment horizontal="center" vertical="top" wrapText="1"/>
    </xf>
    <xf numFmtId="0" fontId="62" fillId="19" borderId="10" applyAlignment="1" pivotButton="0" quotePrefix="0" xfId="0">
      <alignment horizontal="center" vertical="top" wrapText="1"/>
    </xf>
    <xf numFmtId="0" fontId="62" fillId="2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center"/>
    </xf>
    <xf numFmtId="0" fontId="61" fillId="0" borderId="10" applyAlignment="1" pivotButton="0" quotePrefix="0" xfId="0">
      <alignment horizontal="center" vertical="center"/>
    </xf>
    <xf numFmtId="0" fontId="62" fillId="12" borderId="10" pivotButton="0" quotePrefix="0" xfId="0"/>
    <xf numFmtId="0" fontId="62" fillId="12" borderId="10" applyAlignment="1" pivotButton="0" quotePrefix="0" xfId="0">
      <alignment horizontal="center" vertical="center"/>
    </xf>
    <xf numFmtId="0" fontId="62" fillId="0" borderId="0" pivotButton="0" quotePrefix="0" xfId="0"/>
    <xf numFmtId="0" fontId="61" fillId="5" borderId="10" applyAlignment="1" pivotButton="0" quotePrefix="0" xfId="0">
      <alignment horizontal="left" vertical="center"/>
    </xf>
    <xf numFmtId="0" fontId="61" fillId="4" borderId="10" applyAlignment="1" pivotButton="0" quotePrefix="0" xfId="0">
      <alignment horizontal="left" vertical="center"/>
    </xf>
    <xf numFmtId="0" fontId="61" fillId="20" borderId="10" applyAlignment="1" pivotButton="0" quotePrefix="0" xfId="0">
      <alignment horizontal="left" vertical="center"/>
    </xf>
    <xf numFmtId="0" fontId="61" fillId="19" borderId="10" applyAlignment="1" pivotButton="0" quotePrefix="0" xfId="0">
      <alignment horizontal="left" vertical="center"/>
    </xf>
    <xf numFmtId="0" fontId="61" fillId="21" borderId="10" applyAlignment="1" pivotButton="0" quotePrefix="0" xfId="0">
      <alignment horizontal="left" vertical="center"/>
    </xf>
    <xf numFmtId="0" fontId="63" fillId="12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right" vertical="center" wrapText="1"/>
    </xf>
    <xf numFmtId="164" fontId="63" fillId="0" borderId="10" applyAlignment="1" pivotButton="0" quotePrefix="0" xfId="0">
      <alignment horizontal="right" vertical="center" wrapText="1"/>
    </xf>
    <xf numFmtId="0" fontId="63" fillId="5" borderId="1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left" vertical="center" wrapText="1"/>
    </xf>
    <xf numFmtId="0" fontId="63" fillId="4" borderId="10" applyAlignment="1" pivotButton="0" quotePrefix="0" xfId="0">
      <alignment horizontal="left" vertical="center" wrapText="1"/>
    </xf>
    <xf numFmtId="0" fontId="63" fillId="22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right" vertical="center" wrapText="1"/>
    </xf>
    <xf numFmtId="164" fontId="63" fillId="12" borderId="10" applyAlignment="1" pivotButton="0" quotePrefix="0" xfId="0">
      <alignment horizontal="right" vertical="center" wrapText="1"/>
    </xf>
    <xf numFmtId="0" fontId="61" fillId="12" borderId="10" applyAlignment="1" pivotButton="0" quotePrefix="0" xfId="0">
      <alignment horizontal="left" vertical="center" wrapText="1"/>
    </xf>
    <xf numFmtId="174" fontId="61" fillId="12" borderId="10" applyAlignment="1" pivotButton="0" quotePrefix="0" xfId="0">
      <alignment horizontal="right" vertical="center" wrapText="1"/>
    </xf>
    <xf numFmtId="164" fontId="61" fillId="12" borderId="10" applyAlignment="1" pivotButton="0" quotePrefix="0" xfId="0">
      <alignment horizontal="right" vertical="center" wrapText="1"/>
    </xf>
    <xf numFmtId="0" fontId="61" fillId="5" borderId="10" applyAlignment="1" pivotButton="0" quotePrefix="0" xfId="0">
      <alignment horizontal="left" vertical="center" wrapText="1"/>
    </xf>
    <xf numFmtId="174" fontId="61" fillId="5" borderId="10" applyAlignment="1" pivotButton="0" quotePrefix="0" xfId="0">
      <alignment horizontal="right" vertical="center" wrapText="1"/>
    </xf>
    <xf numFmtId="164" fontId="61" fillId="5" borderId="10" applyAlignment="1" pivotButton="0" quotePrefix="0" xfId="0">
      <alignment horizontal="right" vertical="center" wrapText="1"/>
    </xf>
    <xf numFmtId="0" fontId="61" fillId="14" borderId="10" applyAlignment="1" pivotButton="0" quotePrefix="0" xfId="0">
      <alignment horizontal="left" vertical="center" wrapText="1"/>
    </xf>
    <xf numFmtId="174" fontId="61" fillId="14" borderId="10" applyAlignment="1" pivotButton="0" quotePrefix="0" xfId="0">
      <alignment horizontal="right" vertical="center" wrapText="1"/>
    </xf>
    <xf numFmtId="164" fontId="61" fillId="14" borderId="10" applyAlignment="1" pivotButton="0" quotePrefix="0" xfId="0">
      <alignment horizontal="right" vertical="center" wrapText="1"/>
    </xf>
    <xf numFmtId="0" fontId="61" fillId="4" borderId="10" applyAlignment="1" pivotButton="0" quotePrefix="0" xfId="0">
      <alignment horizontal="left" vertical="center" wrapText="1"/>
    </xf>
    <xf numFmtId="174" fontId="61" fillId="4" borderId="10" applyAlignment="1" pivotButton="0" quotePrefix="0" xfId="0">
      <alignment horizontal="right" vertical="center" wrapText="1"/>
    </xf>
    <xf numFmtId="164" fontId="61" fillId="4" borderId="10" applyAlignment="1" pivotButton="0" quotePrefix="0" xfId="0">
      <alignment horizontal="right" vertical="center" wrapText="1"/>
    </xf>
    <xf numFmtId="0" fontId="61" fillId="22" borderId="10" applyAlignment="1" pivotButton="0" quotePrefix="0" xfId="0">
      <alignment horizontal="left" vertical="center" wrapText="1"/>
    </xf>
    <xf numFmtId="174" fontId="61" fillId="22" borderId="10" applyAlignment="1" pivotButton="0" quotePrefix="0" xfId="0">
      <alignment horizontal="right" vertical="center" wrapText="1"/>
    </xf>
    <xf numFmtId="164" fontId="61" fillId="22" borderId="10" applyAlignment="1" pivotButton="0" quotePrefix="0" xfId="0">
      <alignment horizontal="right" vertical="center" wrapText="1"/>
    </xf>
    <xf numFmtId="171" fontId="61" fillId="12" borderId="10" applyAlignment="1" pivotButton="0" quotePrefix="0" xfId="0">
      <alignment horizontal="right" vertical="center" wrapText="1"/>
    </xf>
    <xf numFmtId="10" fontId="61" fillId="12" borderId="10" applyAlignment="1" pivotButton="0" quotePrefix="0" xfId="0">
      <alignment horizontal="right" vertical="center" wrapText="1"/>
    </xf>
    <xf numFmtId="171" fontId="61" fillId="5" borderId="10" applyAlignment="1" pivotButton="0" quotePrefix="0" xfId="0">
      <alignment horizontal="right" vertical="center" wrapText="1"/>
    </xf>
    <xf numFmtId="10" fontId="61" fillId="5" borderId="10" applyAlignment="1" pivotButton="0" quotePrefix="0" xfId="0">
      <alignment horizontal="right" vertical="center" wrapText="1"/>
    </xf>
    <xf numFmtId="171" fontId="61" fillId="14" borderId="10" applyAlignment="1" pivotButton="0" quotePrefix="0" xfId="0">
      <alignment horizontal="right" vertical="center" wrapText="1"/>
    </xf>
    <xf numFmtId="10" fontId="61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center" vertical="center" wrapText="1"/>
    </xf>
    <xf numFmtId="174" fontId="61" fillId="14" borderId="10" applyAlignment="1" pivotButton="0" quotePrefix="0" xfId="0">
      <alignment horizontal="center" vertical="center" wrapText="1"/>
    </xf>
    <xf numFmtId="0" fontId="61" fillId="14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8" fillId="0" borderId="0" pivotButton="0" quotePrefix="0" xfId="0"/>
    <xf numFmtId="0" fontId="61" fillId="12" borderId="10" applyAlignment="1" pivotButton="0" quotePrefix="0" xfId="0">
      <alignment horizontal="center" vertical="center" wrapText="1"/>
    </xf>
    <xf numFmtId="0" fontId="63" fillId="14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left" vertical="center" wrapText="1"/>
    </xf>
    <xf numFmtId="187" fontId="63" fillId="12" borderId="10" applyAlignment="1" pivotButton="0" quotePrefix="0" xfId="0">
      <alignment horizontal="center" vertical="center" wrapText="1"/>
    </xf>
    <xf numFmtId="3" fontId="61" fillId="12" borderId="10" applyAlignment="1" pivotButton="0" quotePrefix="0" xfId="0">
      <alignment horizontal="right" vertical="center" wrapText="1"/>
    </xf>
    <xf numFmtId="3" fontId="63" fillId="14" borderId="10" applyAlignment="1" pivotButton="0" quotePrefix="0" xfId="0">
      <alignment horizontal="right" vertical="center" wrapText="1"/>
    </xf>
    <xf numFmtId="3" fontId="72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top" wrapText="1"/>
    </xf>
    <xf numFmtId="0" fontId="62" fillId="12" borderId="10" applyAlignment="1" pivotButton="0" quotePrefix="0" xfId="0">
      <alignment horizontal="left" vertical="center"/>
    </xf>
    <xf numFmtId="0" fontId="73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center" vertical="center" wrapText="1"/>
    </xf>
    <xf numFmtId="3" fontId="61" fillId="5" borderId="10" applyAlignment="1" pivotButton="0" quotePrefix="0" xfId="0">
      <alignment horizontal="center" vertical="center" wrapText="1"/>
    </xf>
    <xf numFmtId="164" fontId="61" fillId="0" borderId="10" applyAlignment="1" pivotButton="0" quotePrefix="0" xfId="0">
      <alignment horizontal="center" vertical="center" wrapText="1"/>
    </xf>
    <xf numFmtId="0" fontId="63" fillId="12" borderId="10" applyAlignment="1" pivotButton="0" quotePrefix="0" xfId="0">
      <alignment horizontal="center" vertical="center" wrapText="1"/>
    </xf>
    <xf numFmtId="3" fontId="63" fillId="12" borderId="10" applyAlignment="1" pivotButton="0" quotePrefix="0" xfId="0">
      <alignment horizontal="center" vertical="center" wrapText="1"/>
    </xf>
    <xf numFmtId="164" fontId="63" fillId="12" borderId="10" applyAlignment="1" pivotButton="0" quotePrefix="0" xfId="0">
      <alignment horizontal="center" vertical="center" wrapText="1"/>
    </xf>
    <xf numFmtId="0" fontId="61" fillId="5" borderId="10" applyAlignment="1" pivotButton="0" quotePrefix="0" xfId="0">
      <alignment horizontal="center" vertical="center" wrapText="1"/>
    </xf>
    <xf numFmtId="0" fontId="63" fillId="7" borderId="10" applyAlignment="1" pivotButton="0" quotePrefix="0" xfId="0">
      <alignment horizontal="left" vertical="center" wrapText="1"/>
    </xf>
    <xf numFmtId="174" fontId="61" fillId="7" borderId="10" applyAlignment="1" pivotButton="0" quotePrefix="0" xfId="0">
      <alignment horizontal="right" vertical="center" wrapText="1"/>
    </xf>
    <xf numFmtId="0" fontId="51" fillId="2" borderId="10" applyAlignment="1" pivotButton="0" quotePrefix="0" xfId="0">
      <alignment horizontal="left" vertical="center" wrapText="1"/>
    </xf>
    <xf numFmtId="174" fontId="53" fillId="2" borderId="10" applyAlignment="1" pivotButton="0" quotePrefix="0" xfId="0">
      <alignment horizontal="right" vertical="center" wrapText="1"/>
    </xf>
    <xf numFmtId="174" fontId="63" fillId="14" borderId="10" applyAlignment="1" pivotButton="0" quotePrefix="0" xfId="0">
      <alignment horizontal="right" vertical="center" wrapText="1"/>
    </xf>
    <xf numFmtId="174" fontId="51" fillId="2" borderId="10" applyAlignment="1" pivotButton="0" quotePrefix="0" xfId="0">
      <alignment horizontal="right" vertical="center" wrapText="1"/>
    </xf>
    <xf numFmtId="164" fontId="51" fillId="2" borderId="10" applyAlignment="1" pivotButton="0" quotePrefix="0" xfId="0">
      <alignment horizontal="right" vertical="center" wrapText="1"/>
    </xf>
    <xf numFmtId="0" fontId="75" fillId="23" borderId="10" applyAlignment="1" pivotButton="0" quotePrefix="0" xfId="0">
      <alignment horizontal="center" vertical="center"/>
    </xf>
    <xf numFmtId="0" fontId="75" fillId="14" borderId="10" applyAlignment="1" pivotButton="0" quotePrefix="0" xfId="0">
      <alignment horizontal="center" vertical="center"/>
    </xf>
    <xf numFmtId="0" fontId="76" fillId="5" borderId="10" applyAlignment="1" pivotButton="0" quotePrefix="0" xfId="0">
      <alignment horizontal="center" vertical="center"/>
    </xf>
    <xf numFmtId="0" fontId="75" fillId="7" borderId="10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4" borderId="10" applyAlignment="1" pivotButton="0" quotePrefix="0" xfId="0">
      <alignment horizontal="center" vertical="center"/>
    </xf>
    <xf numFmtId="0" fontId="65" fillId="23" borderId="10" applyAlignment="1" pivotButton="0" quotePrefix="0" xfId="0">
      <alignment horizontal="center" vertical="center"/>
    </xf>
    <xf numFmtId="0" fontId="65" fillId="14" borderId="10" applyAlignment="1" pivotButton="0" quotePrefix="0" xfId="0">
      <alignment horizontal="center" vertical="center"/>
    </xf>
    <xf numFmtId="0" fontId="65" fillId="4" borderId="10" applyAlignment="1" pivotButton="0" quotePrefix="0" xfId="0">
      <alignment horizontal="center" vertical="center"/>
    </xf>
    <xf numFmtId="0" fontId="65" fillId="5" borderId="10" applyAlignment="1" pivotButton="0" quotePrefix="0" xfId="0">
      <alignment horizontal="center" vertical="center"/>
    </xf>
    <xf numFmtId="0" fontId="65" fillId="7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left" vertical="center" wrapText="1"/>
    </xf>
    <xf numFmtId="0" fontId="77" fillId="12" borderId="10" applyAlignment="1" pivotButton="0" quotePrefix="0" xfId="0">
      <alignment horizontal="center" vertical="center"/>
    </xf>
    <xf numFmtId="0" fontId="78" fillId="24" borderId="10" applyAlignment="1" pivotButton="0" quotePrefix="0" xfId="0">
      <alignment horizontal="center" vertical="center"/>
    </xf>
    <xf numFmtId="0" fontId="79" fillId="14" borderId="10" applyAlignment="1" pivotButton="0" quotePrefix="0" xfId="0">
      <alignment horizontal="center" vertical="center"/>
    </xf>
    <xf numFmtId="0" fontId="80" fillId="25" borderId="10" applyAlignment="1" pivotButton="0" quotePrefix="0" xfId="0">
      <alignment horizontal="center" vertical="center"/>
    </xf>
    <xf numFmtId="0" fontId="80" fillId="22" borderId="10" applyAlignment="1" pivotButton="0" quotePrefix="0" xfId="0">
      <alignment horizontal="center" vertical="center"/>
    </xf>
    <xf numFmtId="0" fontId="81" fillId="0" borderId="0" pivotButton="0" quotePrefix="0" xfId="0"/>
    <xf numFmtId="0" fontId="61" fillId="24" borderId="1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top"/>
    </xf>
    <xf numFmtId="0" fontId="72" fillId="12" borderId="10" applyAlignment="1" pivotButton="0" quotePrefix="0" xfId="0">
      <alignment horizontal="center" vertical="center"/>
    </xf>
    <xf numFmtId="0" fontId="61" fillId="0" borderId="10" applyAlignment="1" pivotButton="0" quotePrefix="0" xfId="0">
      <alignment horizontal="center" vertical="top" wrapText="1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top"/>
    </xf>
    <xf numFmtId="0" fontId="89" fillId="0" borderId="10" applyAlignment="1" pivotButton="0" quotePrefix="0" xfId="0">
      <alignment horizontal="left" vertical="top" wrapText="1" indent="1"/>
    </xf>
    <xf numFmtId="0" fontId="63" fillId="12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89" fillId="26" borderId="10" applyAlignment="1" pivotButton="0" quotePrefix="0" xfId="0">
      <alignment horizontal="left" vertical="top" wrapText="1" indent="1"/>
    </xf>
    <xf numFmtId="0" fontId="52" fillId="27" borderId="10" applyAlignment="1" pivotButton="0" quotePrefix="0" xfId="0">
      <alignment horizontal="center" vertical="center"/>
    </xf>
    <xf numFmtId="0" fontId="52" fillId="27" borderId="10" applyAlignment="1" pivotButton="0" quotePrefix="0" xfId="0">
      <alignment horizontal="left" vertical="center" indent="1"/>
    </xf>
    <xf numFmtId="0" fontId="92" fillId="0" borderId="10" applyAlignment="1" pivotButton="0" quotePrefix="0" xfId="0">
      <alignment horizontal="left" vertical="center" indent="1"/>
    </xf>
    <xf numFmtId="0" fontId="93" fillId="0" borderId="10" applyAlignment="1" pivotButton="0" quotePrefix="0" xfId="0">
      <alignment horizontal="center" vertical="center"/>
    </xf>
    <xf numFmtId="0" fontId="63" fillId="24" borderId="10" applyAlignment="1" pivotButton="0" quotePrefix="0" xfId="0">
      <alignment horizontal="center" vertical="center"/>
    </xf>
    <xf numFmtId="0" fontId="63" fillId="29" borderId="10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91" fillId="0" borderId="10" applyAlignment="1" pivotButton="0" quotePrefix="0" xfId="0">
      <alignment horizontal="left" vertical="center" indent="1"/>
    </xf>
    <xf numFmtId="187" fontId="55" fillId="0" borderId="10" applyAlignment="1" pivotButton="0" quotePrefix="0" xfId="0">
      <alignment horizontal="left" vertical="center" wrapText="1"/>
    </xf>
    <xf numFmtId="10" fontId="55" fillId="0" borderId="10" applyAlignment="1" pivotButton="0" quotePrefix="0" xfId="0">
      <alignment horizontal="left" vertical="center" wrapText="1"/>
    </xf>
    <xf numFmtId="1" fontId="55" fillId="0" borderId="10" applyAlignment="1" pivotButton="0" quotePrefix="0" xfId="0">
      <alignment horizontal="left" vertical="center" wrapText="1"/>
    </xf>
    <xf numFmtId="0" fontId="51" fillId="32" borderId="10" applyAlignment="1" pivotButton="0" quotePrefix="0" xfId="0">
      <alignment horizontal="center" vertical="center" wrapText="1"/>
    </xf>
    <xf numFmtId="174" fontId="55" fillId="0" borderId="10" applyAlignment="1" pivotButton="0" quotePrefix="0" xfId="0">
      <alignment horizontal="right" vertical="center" wrapText="1"/>
    </xf>
    <xf numFmtId="0" fontId="57" fillId="33" borderId="10" applyAlignment="1" pivotButton="0" quotePrefix="0" xfId="0">
      <alignment horizontal="center" vertical="center" wrapText="1"/>
    </xf>
    <xf numFmtId="0" fontId="57" fillId="33" borderId="10" applyAlignment="1" pivotButton="0" quotePrefix="0" xfId="0">
      <alignment horizontal="left" vertical="center" wrapText="1"/>
    </xf>
    <xf numFmtId="174" fontId="57" fillId="33" borderId="10" applyAlignment="1" pivotButton="0" quotePrefix="0" xfId="0">
      <alignment horizontal="right" vertical="center" wrapText="1"/>
    </xf>
    <xf numFmtId="0" fontId="55" fillId="0" borderId="10" applyAlignment="1" pivotButton="0" quotePrefix="0" xfId="0">
      <alignment horizontal="right" vertical="center" wrapText="1"/>
    </xf>
    <xf numFmtId="0" fontId="57" fillId="35" borderId="10" applyAlignment="1" pivotButton="0" quotePrefix="0" xfId="0">
      <alignment horizontal="center" vertical="center" wrapText="1"/>
    </xf>
    <xf numFmtId="0" fontId="57" fillId="35" borderId="10" applyAlignment="1" pivotButton="0" quotePrefix="0" xfId="0">
      <alignment horizontal="left" vertical="center" wrapText="1"/>
    </xf>
    <xf numFmtId="174" fontId="57" fillId="35" borderId="10" applyAlignment="1" pivotButton="0" quotePrefix="0" xfId="0">
      <alignment horizontal="right" vertical="center" wrapText="1"/>
    </xf>
    <xf numFmtId="0" fontId="0" fillId="35" borderId="0" pivotButton="0" quotePrefix="0" xfId="0"/>
    <xf numFmtId="188" fontId="55" fillId="0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left" vertical="center" wrapText="1"/>
    </xf>
    <xf numFmtId="174" fontId="99" fillId="35" borderId="10" applyAlignment="1" pivotButton="0" quotePrefix="0" xfId="0">
      <alignment horizontal="right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174" fontId="55" fillId="5" borderId="10" applyAlignment="1" pivotButton="0" quotePrefix="0" xfId="0">
      <alignment horizontal="right" vertical="center"/>
    </xf>
    <xf numFmtId="3" fontId="57" fillId="33" borderId="10" applyAlignment="1" pivotButton="0" quotePrefix="0" xfId="0">
      <alignment horizontal="right" vertical="center"/>
    </xf>
    <xf numFmtId="0" fontId="72" fillId="0" borderId="0" pivotButton="0" quotePrefix="0" xfId="0"/>
    <xf numFmtId="0" fontId="100" fillId="14" borderId="15" applyAlignment="1" pivotButton="0" quotePrefix="0" xfId="0">
      <alignment horizontal="center" vertical="center" wrapText="1"/>
    </xf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9" fontId="100" fillId="37" borderId="15" applyAlignment="1" pivotButton="0" quotePrefix="0" xfId="0">
      <alignment horizontal="center" vertical="center" wrapText="1"/>
    </xf>
    <xf numFmtId="188" fontId="100" fillId="37" borderId="15" applyAlignment="1" pivotButton="0" quotePrefix="0" xfId="0">
      <alignment horizontal="center" vertical="center" wrapText="1"/>
    </xf>
    <xf numFmtId="0" fontId="100" fillId="0" borderId="15" applyAlignment="1" pivotButton="0" quotePrefix="0" xfId="0">
      <alignment horizontal="center" vertical="center" wrapText="1"/>
    </xf>
    <xf numFmtId="3" fontId="100" fillId="0" borderId="15" applyAlignment="1" pivotButton="0" quotePrefix="0" xfId="0">
      <alignment horizontal="center" vertical="center" wrapText="1"/>
    </xf>
    <xf numFmtId="0" fontId="100" fillId="4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0" fontId="100" fillId="5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0" fontId="100" fillId="0" borderId="15" pivotButton="0" quotePrefix="0" xfId="0"/>
    <xf numFmtId="0" fontId="100" fillId="0" borderId="10" applyAlignment="1" pivotButton="0" quotePrefix="0" xfId="0">
      <alignment horizontal="left" vertical="center" wrapText="1"/>
    </xf>
    <xf numFmtId="0" fontId="100" fillId="0" borderId="0" pivotButton="0" quotePrefix="0" xfId="0"/>
    <xf numFmtId="0" fontId="102" fillId="0" borderId="0" pivotButton="0" quotePrefix="0" xfId="0"/>
    <xf numFmtId="0" fontId="102" fillId="39" borderId="10" applyAlignment="1" pivotButton="0" quotePrefix="0" xfId="0">
      <alignment horizontal="center" vertical="center" wrapText="1"/>
    </xf>
    <xf numFmtId="3" fontId="102" fillId="39" borderId="10" applyAlignment="1" pivotButton="0" quotePrefix="0" xfId="0">
      <alignment horizontal="right" vertical="center"/>
    </xf>
    <xf numFmtId="183" fontId="102" fillId="39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3" fontId="100" fillId="0" borderId="15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3" fontId="100" fillId="5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0" fontId="101" fillId="0" borderId="0" pivotButton="0" quotePrefix="0" xfId="0"/>
    <xf numFmtId="0" fontId="103" fillId="38" borderId="0" applyAlignment="1" pivotButton="0" quotePrefix="0" xfId="0">
      <alignment horizontal="left" vertical="top" wrapText="1"/>
    </xf>
    <xf numFmtId="0" fontId="100" fillId="16" borderId="15" applyAlignment="1" pivotButton="0" quotePrefix="0" xfId="0">
      <alignment horizontal="left" vertical="center" wrapText="1"/>
    </xf>
    <xf numFmtId="190" fontId="100" fillId="0" borderId="15" applyAlignment="1" pivotButton="0" quotePrefix="0" xfId="0">
      <alignment horizontal="right" vertical="center"/>
    </xf>
    <xf numFmtId="0" fontId="100" fillId="16" borderId="15" applyAlignment="1" pivotButton="0" quotePrefix="0" xfId="0">
      <alignment horizontal="center" vertical="center" wrapText="1"/>
    </xf>
    <xf numFmtId="183" fontId="100" fillId="38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3" fontId="100" fillId="18" borderId="10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center" vertical="center" wrapText="1"/>
    </xf>
    <xf numFmtId="0" fontId="100" fillId="4" borderId="10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left" vertical="top" wrapText="1"/>
    </xf>
    <xf numFmtId="0" fontId="100" fillId="5" borderId="3" applyAlignment="1" pivotButton="0" quotePrefix="0" xfId="0">
      <alignment horizontal="center" vertical="center"/>
    </xf>
    <xf numFmtId="0" fontId="102" fillId="40" borderId="0" applyAlignment="1" pivotButton="0" quotePrefix="0" xfId="0">
      <alignment vertical="top" wrapText="1"/>
    </xf>
    <xf numFmtId="0" fontId="100" fillId="40" borderId="0" applyAlignment="1" pivotButton="0" quotePrefix="0" xfId="0">
      <alignment vertical="top" wrapText="1"/>
    </xf>
    <xf numFmtId="0" fontId="4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6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top" wrapText="1" indent="1"/>
    </xf>
    <xf numFmtId="0" fontId="41" fillId="5" borderId="1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43" fillId="4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 wrapText="1"/>
    </xf>
    <xf numFmtId="0" fontId="45" fillId="4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45" fillId="12" borderId="10" applyAlignment="1" pivotButton="0" quotePrefix="0" xfId="0">
      <alignment horizontal="center" vertical="center" wrapText="1"/>
    </xf>
    <xf numFmtId="0" fontId="40" fillId="3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 wrapText="1"/>
    </xf>
    <xf numFmtId="0" fontId="44" fillId="1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3" fillId="5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indent="1"/>
    </xf>
    <xf numFmtId="0" fontId="20" fillId="0" borderId="3" applyAlignment="1" pivotButton="0" quotePrefix="0" xfId="0">
      <alignment horizontal="left" vertical="center" indent="1"/>
    </xf>
    <xf numFmtId="0" fontId="29" fillId="5" borderId="3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0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left" vertical="center" indent="1"/>
    </xf>
    <xf numFmtId="191" fontId="33" fillId="0" borderId="3" applyAlignment="1" pivotButton="0" quotePrefix="0" xfId="0">
      <alignment horizontal="right" vertical="center" indent="1"/>
    </xf>
    <xf numFmtId="191" fontId="34" fillId="0" borderId="3" applyAlignment="1" pivotButton="0" quotePrefix="0" xfId="0">
      <alignment horizontal="right" vertical="center" indent="1"/>
    </xf>
    <xf numFmtId="0" fontId="32" fillId="0" borderId="3" applyAlignment="1" pivotButton="0" quotePrefix="0" xfId="0">
      <alignment horizontal="left" vertical="center" indent="1"/>
    </xf>
    <xf numFmtId="192" fontId="35" fillId="5" borderId="3" applyAlignment="1" pivotButton="0" quotePrefix="0" xfId="0">
      <alignment horizontal="right" vertical="center" indent="1"/>
    </xf>
    <xf numFmtId="0" fontId="9" fillId="9" borderId="0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wrapText="1" indent="1"/>
    </xf>
    <xf numFmtId="0" fontId="28" fillId="3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77" fontId="30" fillId="0" borderId="3" applyAlignment="1" pivotButton="0" quotePrefix="0" xfId="0">
      <alignment horizontal="center" vertical="center"/>
    </xf>
    <xf numFmtId="0" fontId="54" fillId="5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44" fillId="0" borderId="0" applyAlignment="1" pivotButton="0" quotePrefix="0" xfId="0">
      <alignment horizontal="left" vertical="top" wrapText="1"/>
    </xf>
    <xf numFmtId="0" fontId="45" fillId="12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49" fillId="0" borderId="10" applyAlignment="1" pivotButton="0" quotePrefix="0" xfId="0">
      <alignment horizontal="left" vertical="center" wrapText="1"/>
    </xf>
    <xf numFmtId="38" fontId="46" fillId="0" borderId="10" applyAlignment="1" pivotButton="0" quotePrefix="0" xfId="0">
      <alignment horizontal="right" vertical="center"/>
    </xf>
    <xf numFmtId="0" fontId="49" fillId="4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38" fontId="47" fillId="4" borderId="10" applyAlignment="1" pivotButton="0" quotePrefix="0" xfId="0">
      <alignment horizontal="right" vertical="center"/>
    </xf>
    <xf numFmtId="38" fontId="47" fillId="5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left" vertical="center" wrapText="1"/>
    </xf>
    <xf numFmtId="0" fontId="53" fillId="11" borderId="10" applyAlignment="1" pivotButton="0" quotePrefix="0" xfId="0">
      <alignment horizontal="left" vertical="center" wrapText="1"/>
    </xf>
    <xf numFmtId="0" fontId="40" fillId="3" borderId="1" applyAlignment="1" pivotButton="0" quotePrefix="0" xfId="0">
      <alignment horizontal="center" vertical="center" wrapText="1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50" fillId="11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54" fillId="15" borderId="1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left" vertical="center" wrapText="1"/>
    </xf>
    <xf numFmtId="0" fontId="56" fillId="4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center" vertical="center" wrapText="1"/>
    </xf>
    <xf numFmtId="0" fontId="52" fillId="3" borderId="10" applyAlignment="1" pivotButton="0" quotePrefix="0" xfId="0">
      <alignment horizontal="center" vertical="center" wrapText="1"/>
    </xf>
    <xf numFmtId="183" fontId="56" fillId="4" borderId="10" applyAlignment="1" pivotButton="0" quotePrefix="0" xfId="0">
      <alignment horizontal="center" vertical="center" wrapText="1"/>
    </xf>
    <xf numFmtId="0" fontId="98" fillId="30" borderId="0" applyAlignment="1" pivotButton="0" quotePrefix="0" xfId="0">
      <alignment horizontal="center" vertical="center" wrapText="1"/>
    </xf>
    <xf numFmtId="0" fontId="47" fillId="31" borderId="0" applyAlignment="1" pivotButton="0" quotePrefix="0" xfId="0">
      <alignment horizontal="left" vertical="center" wrapText="1"/>
    </xf>
    <xf numFmtId="0" fontId="49" fillId="33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left" vertical="center" wrapText="1"/>
    </xf>
    <xf numFmtId="0" fontId="47" fillId="34" borderId="0" applyAlignment="1" pivotButton="0" quotePrefix="0" xfId="0">
      <alignment horizontal="left" vertical="center" wrapText="1"/>
    </xf>
    <xf numFmtId="0" fontId="47" fillId="36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50" fillId="3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3" fillId="3" borderId="0" applyAlignment="1" pivotButton="0" quotePrefix="0" xfId="0">
      <alignment horizontal="left" vertical="center" wrapText="1"/>
    </xf>
    <xf numFmtId="0" fontId="56" fillId="13" borderId="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center" vertical="top" wrapText="1"/>
    </xf>
    <xf numFmtId="181" fontId="47" fillId="4" borderId="10" applyAlignment="1" pivotButton="0" quotePrefix="0" xfId="0">
      <alignment horizontal="right" vertical="center"/>
    </xf>
    <xf numFmtId="0" fontId="59" fillId="0" borderId="0" pivotButton="0" quotePrefix="0" xfId="0"/>
    <xf numFmtId="0" fontId="62" fillId="14" borderId="10" applyAlignment="1" pivotButton="0" quotePrefix="0" xfId="0">
      <alignment horizontal="center" vertical="center"/>
    </xf>
    <xf numFmtId="0" fontId="57" fillId="4" borderId="10" applyAlignment="1" pivotButton="0" quotePrefix="0" xfId="0">
      <alignment horizontal="left" vertical="center" wrapText="1"/>
    </xf>
    <xf numFmtId="0" fontId="74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0" fontId="60" fillId="0" borderId="0" pivotButton="0" quotePrefix="0" xfId="0"/>
    <xf numFmtId="0" fontId="61" fillId="0" borderId="0" applyAlignment="1" pivotButton="0" quotePrefix="0" xfId="0">
      <alignment horizontal="left" vertical="top" wrapText="1"/>
    </xf>
    <xf numFmtId="0" fontId="55" fillId="0" borderId="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left" vertical="center" wrapText="1"/>
    </xf>
    <xf numFmtId="0" fontId="52" fillId="11" borderId="10" applyAlignment="1" pivotButton="0" quotePrefix="0" xfId="0">
      <alignment horizontal="center" vertical="center" wrapText="1"/>
    </xf>
    <xf numFmtId="188" fontId="102" fillId="4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left" vertical="center" wrapText="1"/>
    </xf>
    <xf numFmtId="0" fontId="100" fillId="5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189" fontId="102" fillId="4" borderId="10" applyAlignment="1" pivotButton="0" quotePrefix="0" xfId="0">
      <alignment horizontal="right" vertical="center"/>
    </xf>
    <xf numFmtId="0" fontId="100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3" fontId="47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0" fontId="100" fillId="5" borderId="18" applyAlignment="1" pivotButton="0" quotePrefix="0" xfId="0">
      <alignment horizontal="left" vertical="center" wrapText="1"/>
    </xf>
    <xf numFmtId="0" fontId="101" fillId="0" borderId="10" applyAlignment="1" pivotButton="0" quotePrefix="0" xfId="0">
      <alignment horizontal="left" vertical="center" wrapText="1"/>
    </xf>
    <xf numFmtId="0" fontId="102" fillId="39" borderId="10" applyAlignment="1" pivotButton="0" quotePrefix="0" xfId="0">
      <alignment horizontal="left" vertical="center" wrapText="1"/>
    </xf>
    <xf numFmtId="3" fontId="102" fillId="4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0" fontId="47" fillId="13" borderId="10" applyAlignment="1" pivotButton="0" quotePrefix="0" xfId="0">
      <alignment horizontal="left" vertical="center" wrapText="1"/>
    </xf>
    <xf numFmtId="176" fontId="55" fillId="0" borderId="10" applyAlignment="1" pivotButton="0" quotePrefix="0" xfId="0">
      <alignment horizontal="right" vertical="center"/>
    </xf>
    <xf numFmtId="0" fontId="49" fillId="33" borderId="0" applyAlignment="1" pivotButton="0" quotePrefix="0" xfId="0">
      <alignment horizontal="left" vertical="center" wrapText="1"/>
    </xf>
    <xf numFmtId="176" fontId="47" fillId="4" borderId="10" applyAlignment="1" pivotButton="0" quotePrefix="0" xfId="0">
      <alignment horizontal="right" vertical="center"/>
    </xf>
    <xf numFmtId="0" fontId="100" fillId="0" borderId="0" applyAlignment="1" pivotButton="0" quotePrefix="0" xfId="0">
      <alignment horizontal="left" vertical="center" wrapText="1"/>
    </xf>
    <xf numFmtId="183" fontId="47" fillId="4" borderId="10" applyAlignment="1" pivotButton="0" quotePrefix="0" xfId="0">
      <alignment horizontal="right" vertical="center"/>
    </xf>
    <xf numFmtId="0" fontId="101" fillId="3" borderId="0" applyAlignment="1" pivotButton="0" quotePrefix="0" xfId="0">
      <alignment horizontal="left" vertical="center" wrapText="1"/>
    </xf>
    <xf numFmtId="0" fontId="57" fillId="5" borderId="10" applyAlignment="1" pivotButton="0" quotePrefix="0" xfId="0">
      <alignment horizontal="left" vertical="center" wrapText="1"/>
    </xf>
    <xf numFmtId="0" fontId="57" fillId="16" borderId="10" applyAlignment="1" pivotButton="0" quotePrefix="0" xfId="0">
      <alignment horizontal="left" vertical="center" wrapText="1"/>
    </xf>
    <xf numFmtId="0" fontId="57" fillId="14" borderId="10" applyAlignment="1" pivotButton="0" quotePrefix="0" xfId="0">
      <alignment horizontal="left" vertical="center" wrapText="1"/>
    </xf>
    <xf numFmtId="0" fontId="57" fillId="18" borderId="10" applyAlignment="1" pivotButton="0" quotePrefix="0" xfId="0">
      <alignment horizontal="left" vertical="center" wrapText="1"/>
    </xf>
    <xf numFmtId="0" fontId="57" fillId="12" borderId="10" applyAlignment="1" pivotButton="0" quotePrefix="0" xfId="0">
      <alignment horizontal="left" vertical="center" wrapText="1"/>
    </xf>
    <xf numFmtId="0" fontId="100" fillId="4" borderId="10" applyAlignment="1" pivotButton="0" quotePrefix="0" xfId="0">
      <alignment horizontal="left" vertical="center" wrapText="1"/>
    </xf>
    <xf numFmtId="183" fontId="102" fillId="38" borderId="10" applyAlignment="1" pivotButton="0" quotePrefix="0" xfId="0">
      <alignment horizontal="right" vertical="center"/>
    </xf>
    <xf numFmtId="0" fontId="67" fillId="0" borderId="0" pivotButton="0" quotePrefix="0" xfId="0"/>
    <xf numFmtId="0" fontId="66" fillId="0" borderId="0" applyAlignment="1" pivotButton="0" quotePrefix="0" xfId="0">
      <alignment horizontal="left" vertical="top" wrapText="1"/>
    </xf>
    <xf numFmtId="0" fontId="58" fillId="0" borderId="0" pivotButton="0" quotePrefix="0" xfId="0"/>
    <xf numFmtId="0" fontId="61" fillId="0" borderId="10" applyAlignment="1" pivotButton="0" quotePrefix="0" xfId="0">
      <alignment horizontal="left" vertical="center" wrapText="1"/>
    </xf>
    <xf numFmtId="0" fontId="69" fillId="12" borderId="10" applyAlignment="1" pivotButton="0" quotePrefix="0" xfId="0">
      <alignment horizontal="left" vertical="center" wrapText="1"/>
    </xf>
    <xf numFmtId="0" fontId="71" fillId="12" borderId="10" applyAlignment="1" pivotButton="0" quotePrefix="0" xfId="0">
      <alignment horizontal="left" vertical="center" wrapText="1"/>
    </xf>
    <xf numFmtId="0" fontId="70" fillId="12" borderId="10" applyAlignment="1" pivotButton="0" quotePrefix="0" xfId="0">
      <alignment horizontal="left" vertical="center" wrapText="1"/>
    </xf>
    <xf numFmtId="0" fontId="62" fillId="0" borderId="10" applyAlignment="1" pivotButton="0" quotePrefix="0" xfId="0">
      <alignment horizontal="left" vertical="center" wrapText="1"/>
    </xf>
    <xf numFmtId="0" fontId="63" fillId="12" borderId="10" applyAlignment="1" pivotButton="0" quotePrefix="0" xfId="0">
      <alignment horizontal="left" vertical="center" wrapText="1"/>
    </xf>
    <xf numFmtId="0" fontId="61" fillId="0" borderId="10" applyAlignment="1" pivotButton="0" quotePrefix="0" xfId="0">
      <alignment horizontal="left" vertical="center" wrapText="1" indent="1"/>
    </xf>
    <xf numFmtId="0" fontId="66" fillId="0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 indent="1"/>
    </xf>
    <xf numFmtId="0" fontId="61" fillId="0" borderId="10" applyAlignment="1" pivotButton="0" quotePrefix="0" xfId="0">
      <alignment horizontal="left" vertical="top" wrapText="1" indent="1"/>
    </xf>
    <xf numFmtId="0" fontId="63" fillId="24" borderId="10" applyAlignment="1" pivotButton="0" quotePrefix="0" xfId="0">
      <alignment horizontal="center" vertical="top" wrapText="1"/>
    </xf>
    <xf numFmtId="0" fontId="66" fillId="26" borderId="10" applyAlignment="1" pivotButton="0" quotePrefix="0" xfId="0">
      <alignment horizontal="left" vertical="center" wrapText="1" indent="1"/>
    </xf>
    <xf numFmtId="0" fontId="62" fillId="4" borderId="10" applyAlignment="1" pivotButton="0" quotePrefix="0" xfId="0">
      <alignment horizontal="center" vertical="center" wrapText="1"/>
    </xf>
    <xf numFmtId="0" fontId="66" fillId="26" borderId="1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left" vertical="center"/>
    </xf>
    <xf numFmtId="0" fontId="84" fillId="2" borderId="0" applyAlignment="1" pivotButton="0" quotePrefix="0" xfId="0">
      <alignment horizontal="left" vertical="center" indent="1"/>
    </xf>
    <xf numFmtId="0" fontId="8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 vertical="top" wrapText="1"/>
    </xf>
    <xf numFmtId="0" fontId="84" fillId="3" borderId="0" applyAlignment="1" pivotButton="0" quotePrefix="0" xfId="0">
      <alignment horizontal="left" vertical="center" indent="1"/>
    </xf>
    <xf numFmtId="0" fontId="55" fillId="0" borderId="0" applyAlignment="1" pivotButton="0" quotePrefix="0" xfId="0">
      <alignment horizontal="left" vertical="top" wrapText="1"/>
    </xf>
    <xf numFmtId="0" fontId="104" fillId="0" borderId="0" applyAlignment="1" pivotButton="0" quotePrefix="0" xfId="0">
      <alignment horizontal="left" vertical="top" wrapText="1"/>
    </xf>
    <xf numFmtId="0" fontId="83" fillId="0" borderId="0" pivotButton="0" quotePrefix="0" xfId="0"/>
    <xf numFmtId="0" fontId="51" fillId="2" borderId="10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top" wrapText="1" indent="1"/>
    </xf>
    <xf numFmtId="0" fontId="72" fillId="14" borderId="10" applyAlignment="1" pivotButton="0" quotePrefix="0" xfId="0">
      <alignment horizontal="center" vertical="center"/>
    </xf>
    <xf numFmtId="0" fontId="88" fillId="0" borderId="0" applyAlignment="1" pivotButton="0" quotePrefix="0" xfId="0">
      <alignment horizontal="left" vertical="top" wrapText="1"/>
    </xf>
    <xf numFmtId="0" fontId="51" fillId="2" borderId="10" applyAlignment="1" pivotButton="0" quotePrefix="0" xfId="0">
      <alignment horizontal="left" vertical="center" wrapText="1" indent="1"/>
    </xf>
    <xf numFmtId="0" fontId="87" fillId="0" borderId="0" applyAlignment="1" pivotButton="0" quotePrefix="0" xfId="0">
      <alignment horizontal="left" vertical="top" wrapText="1"/>
    </xf>
    <xf numFmtId="0" fontId="63" fillId="4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12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left" vertical="top" wrapText="1" indent="1"/>
    </xf>
    <xf numFmtId="0" fontId="91" fillId="26" borderId="10" applyAlignment="1" pivotButton="0" quotePrefix="0" xfId="0">
      <alignment horizontal="center" vertical="center"/>
    </xf>
    <xf numFmtId="0" fontId="74" fillId="0" borderId="10" applyAlignment="1" pivotButton="0" quotePrefix="0" xfId="0">
      <alignment horizontal="left" vertical="center" indent="1"/>
    </xf>
    <xf numFmtId="0" fontId="90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/>
    </xf>
    <xf numFmtId="0" fontId="84" fillId="28" borderId="0" applyAlignment="1" pivotButton="0" quotePrefix="0" xfId="0">
      <alignment horizontal="left" vertical="center" indent="1"/>
    </xf>
    <xf numFmtId="0" fontId="52" fillId="27" borderId="10" applyAlignment="1" pivotButton="0" quotePrefix="0" xfId="0">
      <alignment horizontal="left" vertical="center" indent="1"/>
    </xf>
    <xf numFmtId="0" fontId="74" fillId="0" borderId="10" applyAlignment="1" pivotButton="0" quotePrefix="0" xfId="0">
      <alignment horizontal="left" vertical="center" wrapText="1" indent="1"/>
    </xf>
    <xf numFmtId="0" fontId="53" fillId="2" borderId="0" applyAlignment="1" pivotButton="0" quotePrefix="0" xfId="0">
      <alignment horizontal="left" vertical="center" indent="1"/>
    </xf>
    <xf numFmtId="0" fontId="73" fillId="0" borderId="10" applyAlignment="1" pivotButton="0" quotePrefix="0" xfId="0">
      <alignment horizontal="center" vertical="center"/>
    </xf>
    <xf numFmtId="0" fontId="94" fillId="0" borderId="0" applyAlignment="1" pivotButton="0" quotePrefix="0" xfId="0">
      <alignment horizontal="left" vertical="top" wrapText="1"/>
    </xf>
    <xf numFmtId="0" fontId="88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/>
    </xf>
    <xf numFmtId="0" fontId="95" fillId="0" borderId="0" applyAlignment="1" pivotButton="0" quotePrefix="0" xfId="0">
      <alignment horizontal="left"/>
    </xf>
    <xf numFmtId="0" fontId="66" fillId="0" borderId="0" applyAlignment="1" pivotButton="0" quotePrefix="0" xfId="0">
      <alignment horizontal="right"/>
    </xf>
    <xf numFmtId="0" fontId="72" fillId="0" borderId="0" applyAlignment="1" pivotButton="0" quotePrefix="0" xfId="0">
      <alignment horizontal="left"/>
    </xf>
    <xf numFmtId="0" fontId="97" fillId="0" borderId="0" applyAlignment="1" pivotButton="0" quotePrefix="0" xfId="0">
      <alignment horizontal="left" vertical="top" wrapText="1"/>
    </xf>
    <xf numFmtId="0" fontId="96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left"/>
    </xf>
    <xf numFmtId="0" fontId="89" fillId="0" borderId="0" applyAlignment="1" pivotButton="0" quotePrefix="0" xfId="0">
      <alignment horizontal="left"/>
    </xf>
    <xf numFmtId="0" fontId="0" fillId="0" borderId="13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05" fillId="11" borderId="10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left" vertical="center" indent="1"/>
    </xf>
    <xf numFmtId="0" fontId="2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left" vertical="center"/>
    </xf>
    <xf numFmtId="0" fontId="1" fillId="6" borderId="9" applyAlignment="1" pivotButton="0" quotePrefix="0" xfId="0">
      <alignment horizontal="left" vertical="center" indent="1"/>
    </xf>
    <xf numFmtId="0" fontId="11" fillId="7" borderId="9" applyAlignment="1" pivotButton="0" quotePrefix="0" xfId="0">
      <alignment horizontal="left" vertical="top" wrapText="1" indent="1"/>
    </xf>
    <xf numFmtId="0" fontId="12" fillId="0" borderId="9" applyAlignment="1" pivotButton="0" quotePrefix="0" xfId="0">
      <alignment horizontal="left" vertical="center" indent="1"/>
    </xf>
    <xf numFmtId="0" fontId="13" fillId="0" borderId="9" applyAlignment="1" pivotButton="0" quotePrefix="0" xfId="0">
      <alignment horizontal="left" indent="1"/>
    </xf>
    <xf numFmtId="0" fontId="9" fillId="3" borderId="9" applyAlignment="1" pivotButton="0" quotePrefix="0" xfId="0">
      <alignment horizontal="left" vertical="center" indent="1"/>
    </xf>
    <xf numFmtId="187" fontId="55" fillId="0" borderId="10" applyAlignment="1" pivotButton="0" quotePrefix="0" xfId="0">
      <alignment horizontal="left" vertical="center" wrapText="1"/>
    </xf>
    <xf numFmtId="0" fontId="0" fillId="0" borderId="9" pivotButton="0" quotePrefix="0" xfId="0"/>
    <xf numFmtId="0" fontId="106" fillId="0" borderId="9" applyAlignment="1" pivotButton="0" quotePrefix="0" xfId="0">
      <alignment horizontal="left" vertical="center" indent="1"/>
    </xf>
    <xf numFmtId="0" fontId="107" fillId="0" borderId="9" applyAlignment="1" pivotButton="0" quotePrefix="0" xfId="0">
      <alignment horizontal="left" indent="1"/>
    </xf>
    <xf numFmtId="0" fontId="108" fillId="41" borderId="33" applyAlignment="1" pivotButton="0" quotePrefix="0" xfId="0">
      <alignment horizontal="center" vertical="center" wrapText="1"/>
    </xf>
    <xf numFmtId="0" fontId="109" fillId="0" borderId="34" applyAlignment="1" pivotButton="0" quotePrefix="0" xfId="0">
      <alignment horizontal="center" vertical="center"/>
    </xf>
    <xf numFmtId="0" fontId="110" fillId="0" borderId="34" applyAlignment="1" pivotButton="0" quotePrefix="0" xfId="0">
      <alignment horizontal="left" vertical="center" indent="1"/>
    </xf>
    <xf numFmtId="3" fontId="111" fillId="0" borderId="34" applyAlignment="1" pivotButton="0" quotePrefix="0" xfId="0">
      <alignment horizontal="center" vertical="center"/>
    </xf>
    <xf numFmtId="168" fontId="111" fillId="0" borderId="34" applyAlignment="1" pivotButton="0" quotePrefix="0" xfId="0">
      <alignment horizontal="right" vertical="center" indent="1"/>
    </xf>
    <xf numFmtId="168" fontId="112" fillId="0" borderId="34" applyAlignment="1" pivotButton="0" quotePrefix="0" xfId="0">
      <alignment horizontal="right" vertical="center" indent="1"/>
    </xf>
    <xf numFmtId="168" fontId="113" fillId="42" borderId="34" applyAlignment="1" pivotButton="0" quotePrefix="0" xfId="0">
      <alignment horizontal="right" vertical="center" indent="1"/>
    </xf>
    <xf numFmtId="0" fontId="0" fillId="0" borderId="34" pivotButton="0" quotePrefix="0" xfId="0"/>
    <xf numFmtId="0" fontId="114" fillId="41" borderId="34" applyAlignment="1" pivotButton="0" quotePrefix="0" xfId="0">
      <alignment horizontal="left" vertical="center" indent="1"/>
    </xf>
    <xf numFmtId="3" fontId="114" fillId="41" borderId="34" applyAlignment="1" pivotButton="0" quotePrefix="0" xfId="0">
      <alignment horizontal="center" vertical="center" indent="1"/>
    </xf>
    <xf numFmtId="168" fontId="114" fillId="41" borderId="34" applyAlignment="1" pivotButton="0" quotePrefix="0" xfId="0">
      <alignment horizontal="right" vertical="center" indent="1"/>
    </xf>
    <xf numFmtId="0" fontId="114" fillId="41" borderId="9" applyAlignment="1" pivotButton="0" quotePrefix="0" xfId="0">
      <alignment horizontal="left" vertical="center" indent="1"/>
    </xf>
    <xf numFmtId="0" fontId="115" fillId="0" borderId="34" applyAlignment="1" pivotButton="0" quotePrefix="0" xfId="0">
      <alignment horizontal="center" vertical="center"/>
    </xf>
    <xf numFmtId="3" fontId="112" fillId="0" borderId="34" applyAlignment="1" pivotButton="0" quotePrefix="0" xfId="0">
      <alignment horizontal="center" vertical="center"/>
    </xf>
    <xf numFmtId="168" fontId="110" fillId="0" borderId="34" applyAlignment="1" pivotButton="0" quotePrefix="0" xfId="0">
      <alignment horizontal="right" vertical="center" indent="1"/>
    </xf>
    <xf numFmtId="169" fontId="115" fillId="43" borderId="34" applyAlignment="1" pivotButton="0" quotePrefix="0" xfId="0">
      <alignment horizontal="right" vertical="center" indent="1"/>
    </xf>
    <xf numFmtId="169" fontId="109" fillId="0" borderId="34" applyAlignment="1" pivotButton="0" quotePrefix="0" xfId="0">
      <alignment horizontal="right" vertical="center" indent="1"/>
    </xf>
    <xf numFmtId="0" fontId="107" fillId="0" borderId="34" applyAlignment="1" pivotButton="0" quotePrefix="0" xfId="0">
      <alignment horizontal="center" vertical="center"/>
    </xf>
    <xf numFmtId="0" fontId="114" fillId="41" borderId="34" applyAlignment="1" pivotButton="0" quotePrefix="0" xfId="0">
      <alignment horizontal="center" vertical="center"/>
    </xf>
    <xf numFmtId="169" fontId="114" fillId="41" borderId="34" applyAlignment="1" pivotButton="0" quotePrefix="0" xfId="0">
      <alignment horizontal="right" vertical="center" indent="1"/>
    </xf>
    <xf numFmtId="0" fontId="116" fillId="42" borderId="9" applyAlignment="1" pivotButton="0" quotePrefix="0" xfId="0">
      <alignment horizontal="left" vertical="top" wrapText="1" indent="1"/>
    </xf>
    <xf numFmtId="0" fontId="115" fillId="0" borderId="34" applyAlignment="1" pivotButton="0" quotePrefix="0" xfId="0">
      <alignment horizontal="left" vertical="center" indent="1"/>
    </xf>
    <xf numFmtId="170" fontId="112" fillId="0" borderId="34" applyAlignment="1" pivotButton="0" quotePrefix="0" xfId="0">
      <alignment horizontal="center" vertical="center"/>
    </xf>
    <xf numFmtId="0" fontId="115" fillId="44" borderId="34" applyAlignment="1" pivotButton="0" quotePrefix="0" xfId="0">
      <alignment horizontal="center" vertical="center"/>
    </xf>
    <xf numFmtId="171" fontId="112" fillId="0" borderId="34" applyAlignment="1" pivotButton="0" quotePrefix="0" xfId="0">
      <alignment horizontal="right" vertical="center" indent="1"/>
    </xf>
    <xf numFmtId="171" fontId="113" fillId="43" borderId="34" applyAlignment="1" pivotButton="0" quotePrefix="0" xfId="0">
      <alignment horizontal="right" vertical="center" indent="1"/>
    </xf>
    <xf numFmtId="171" fontId="114" fillId="41" borderId="34" applyAlignment="1" pivotButton="0" quotePrefix="0" xfId="0">
      <alignment horizontal="right" vertical="center" indent="1"/>
    </xf>
    <xf numFmtId="0" fontId="110" fillId="0" borderId="34" applyAlignment="1" pivotButton="0" quotePrefix="0" xfId="0">
      <alignment horizontal="center" vertical="center"/>
    </xf>
    <xf numFmtId="171" fontId="117" fillId="0" borderId="34" applyAlignment="1" pivotButton="0" quotePrefix="0" xfId="0">
      <alignment horizontal="right" vertical="center" indent="1"/>
    </xf>
    <xf numFmtId="194" fontId="118" fillId="0" borderId="34" applyAlignment="1" pivotButton="0" quotePrefix="0" xfId="0">
      <alignment horizontal="right" vertical="center" indent="1"/>
    </xf>
    <xf numFmtId="195" fontId="118" fillId="0" borderId="34" applyAlignment="1" pivotButton="0" quotePrefix="0" xfId="0">
      <alignment horizontal="right" vertical="center" indent="1"/>
    </xf>
    <xf numFmtId="194" fontId="114" fillId="41" borderId="34" applyAlignment="1" pivotButton="0" quotePrefix="0" xfId="0">
      <alignment horizontal="right" vertical="center" indent="1"/>
    </xf>
    <xf numFmtId="195" fontId="114" fillId="41" borderId="34" applyAlignment="1" pivotButton="0" quotePrefix="0" xfId="0">
      <alignment horizontal="right" vertical="center" indent="1"/>
    </xf>
    <xf numFmtId="0" fontId="9" fillId="9" borderId="9" applyAlignment="1" pivotButton="0" quotePrefix="0" xfId="0">
      <alignment horizontal="left" vertical="center" indent="1"/>
    </xf>
    <xf numFmtId="191" fontId="33" fillId="0" borderId="3" applyAlignment="1" pivotButton="0" quotePrefix="0" xfId="0">
      <alignment horizontal="right" vertical="center" indent="1"/>
    </xf>
    <xf numFmtId="191" fontId="34" fillId="0" borderId="3" applyAlignment="1" pivotButton="0" quotePrefix="0" xfId="0">
      <alignment horizontal="right" vertical="center" indent="1"/>
    </xf>
    <xf numFmtId="192" fontId="35" fillId="5" borderId="3" applyAlignment="1" pivotButton="0" quotePrefix="0" xfId="0">
      <alignment horizontal="right" vertical="center" indent="1"/>
    </xf>
    <xf numFmtId="176" fontId="36" fillId="7" borderId="3" applyAlignment="1" pivotButton="0" quotePrefix="0" xfId="0">
      <alignment horizontal="center" vertical="center"/>
    </xf>
    <xf numFmtId="176" fontId="36" fillId="4" borderId="3" applyAlignment="1" pivotButton="0" quotePrefix="0" xfId="0">
      <alignment horizontal="center" vertical="center"/>
    </xf>
    <xf numFmtId="177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179" fontId="31" fillId="4" borderId="8" applyAlignment="1" pivotButton="0" quotePrefix="0" xfId="0">
      <alignment horizontal="right" vertical="center" indent="1"/>
    </xf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180" fontId="15" fillId="0" borderId="3" applyAlignment="1" pivotButton="0" quotePrefix="0" xfId="0">
      <alignment horizontal="center" vertical="center"/>
    </xf>
    <xf numFmtId="0" fontId="50" fillId="11" borderId="9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0" fontId="44" fillId="0" borderId="9" applyAlignment="1" pivotButton="0" quotePrefix="0" xfId="0">
      <alignment horizontal="left" vertical="top" wrapText="1"/>
    </xf>
    <xf numFmtId="0" fontId="49" fillId="0" borderId="9" applyAlignment="1" pivotButton="0" quotePrefix="0" xfId="0">
      <alignment horizontal="center" vertical="center" wrapText="1"/>
    </xf>
    <xf numFmtId="181" fontId="55" fillId="5" borderId="10" applyAlignment="1" pivotButton="0" quotePrefix="0" xfId="0">
      <alignment horizontal="right" vertical="center"/>
    </xf>
    <xf numFmtId="181" fontId="56" fillId="5" borderId="10" applyAlignment="1" pivotButton="0" quotePrefix="0" xfId="0">
      <alignment horizontal="right" vertical="center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181" fontId="57" fillId="15" borderId="10" applyAlignment="1" pivotButton="0" quotePrefix="0" xfId="0">
      <alignment horizontal="right" vertical="center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0" fontId="0" fillId="0" borderId="28" pivotButton="0" quotePrefix="0" xfId="0"/>
    <xf numFmtId="181" fontId="55" fillId="12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183" fontId="56" fillId="4" borderId="10" applyAlignment="1" pivotButton="0" quotePrefix="0" xfId="0">
      <alignment horizontal="center" vertical="center" wrapText="1"/>
    </xf>
    <xf numFmtId="0" fontId="98" fillId="30" borderId="9" applyAlignment="1" pivotButton="0" quotePrefix="0" xfId="0">
      <alignment horizontal="center" vertical="center" wrapText="1"/>
    </xf>
    <xf numFmtId="0" fontId="49" fillId="0" borderId="9" applyAlignment="1" pivotButton="0" quotePrefix="0" xfId="0">
      <alignment horizontal="left" vertical="center" wrapText="1"/>
    </xf>
    <xf numFmtId="0" fontId="47" fillId="31" borderId="9" applyAlignment="1" pivotButton="0" quotePrefix="0" xfId="0">
      <alignment horizontal="left" vertical="center" wrapText="1"/>
    </xf>
    <xf numFmtId="0" fontId="47" fillId="34" borderId="9" applyAlignment="1" pivotButton="0" quotePrefix="0" xfId="0">
      <alignment horizontal="left" vertical="center" wrapText="1"/>
    </xf>
    <xf numFmtId="0" fontId="47" fillId="36" borderId="9" applyAlignment="1" pivotButton="0" quotePrefix="0" xfId="0">
      <alignment horizontal="left" vertical="center" wrapText="1"/>
    </xf>
    <xf numFmtId="188" fontId="55" fillId="0" borderId="10" applyAlignment="1" pivotButton="0" quotePrefix="0" xfId="0">
      <alignment horizontal="center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0" fontId="49" fillId="33" borderId="9" applyAlignment="1" pivotButton="0" quotePrefix="0" xfId="0">
      <alignment horizontal="center" vertical="center" wrapText="1"/>
    </xf>
    <xf numFmtId="0" fontId="50" fillId="3" borderId="9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0" fontId="56" fillId="13" borderId="9" applyAlignment="1" pivotButton="0" quotePrefix="0" xfId="0">
      <alignment horizontal="left" vertical="center" wrapText="1"/>
    </xf>
    <xf numFmtId="183" fontId="56" fillId="13" borderId="10" applyAlignment="1" pivotButton="0" quotePrefix="0" xfId="0">
      <alignment horizontal="right" vertical="center"/>
    </xf>
    <xf numFmtId="176" fontId="56" fillId="13" borderId="10" applyAlignment="1" pivotButton="0" quotePrefix="0" xfId="0">
      <alignment horizontal="right" vertical="center"/>
    </xf>
    <xf numFmtId="184" fontId="56" fillId="13" borderId="10" applyAlignment="1" pivotButton="0" quotePrefix="0" xfId="0">
      <alignment horizontal="right" vertical="center"/>
    </xf>
    <xf numFmtId="0" fontId="53" fillId="3" borderId="9" applyAlignment="1" pivotButton="0" quotePrefix="0" xfId="0">
      <alignment horizontal="left" vertical="center" wrapText="1"/>
    </xf>
    <xf numFmtId="0" fontId="57" fillId="0" borderId="9" applyAlignment="1" pivotButton="0" quotePrefix="0" xfId="0">
      <alignment horizontal="left" vertical="center" wrapText="1"/>
    </xf>
    <xf numFmtId="0" fontId="55" fillId="0" borderId="9" applyAlignment="1" pivotButton="0" quotePrefix="0" xfId="0">
      <alignment horizontal="left" vertical="center" wrapText="1"/>
    </xf>
    <xf numFmtId="181" fontId="55" fillId="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181" fontId="57" fillId="13" borderId="10" applyAlignment="1" pivotButton="0" quotePrefix="0" xfId="0">
      <alignment horizontal="right" vertical="center"/>
    </xf>
    <xf numFmtId="0" fontId="55" fillId="0" borderId="9" applyAlignment="1" pivotButton="0" quotePrefix="0" xfId="0">
      <alignment horizontal="right" vertical="center"/>
    </xf>
    <xf numFmtId="0" fontId="60" fillId="0" borderId="9" pivotButton="0" quotePrefix="0" xfId="0"/>
    <xf numFmtId="0" fontId="59" fillId="0" borderId="9" pivotButton="0" quotePrefix="0" xfId="0"/>
    <xf numFmtId="0" fontId="61" fillId="0" borderId="9" applyAlignment="1" pivotButton="0" quotePrefix="0" xfId="0">
      <alignment horizontal="left" vertical="top" wrapText="1"/>
    </xf>
    <xf numFmtId="0" fontId="74" fillId="0" borderId="9" pivotButton="0" quotePrefix="0" xfId="0"/>
    <xf numFmtId="176" fontId="55" fillId="0" borderId="10" applyAlignment="1" pivotButton="0" quotePrefix="0" xfId="0">
      <alignment horizontal="center" vertical="center" wrapText="1"/>
    </xf>
    <xf numFmtId="176" fontId="57" fillId="13" borderId="1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9" fontId="100" fillId="37" borderId="15" applyAlignment="1" pivotButton="0" quotePrefix="0" xfId="0">
      <alignment horizontal="center" vertical="center" wrapText="1"/>
    </xf>
    <xf numFmtId="188" fontId="100" fillId="37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189" fontId="102" fillId="4" borderId="10" applyAlignment="1" pivotButton="0" quotePrefix="0" xfId="0">
      <alignment horizontal="right" vertical="center"/>
    </xf>
    <xf numFmtId="188" fontId="102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183" fontId="102" fillId="39" borderId="10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186" fontId="55" fillId="0" borderId="10" applyAlignment="1" pivotButton="0" quotePrefix="0" xfId="0">
      <alignment horizontal="center" vertical="center" wrapText="1"/>
    </xf>
    <xf numFmtId="186" fontId="47" fillId="13" borderId="10" applyAlignment="1" pivotButton="0" quotePrefix="0" xfId="0">
      <alignment horizontal="right" vertical="center"/>
    </xf>
    <xf numFmtId="176" fontId="47" fillId="4" borderId="10" applyAlignment="1" pivotButton="0" quotePrefix="0" xfId="0">
      <alignment horizontal="right" vertical="center"/>
    </xf>
    <xf numFmtId="0" fontId="49" fillId="33" borderId="9" applyAlignment="1" pivotButton="0" quotePrefix="0" xfId="0">
      <alignment horizontal="left" vertical="center" wrapText="1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0" fontId="101" fillId="3" borderId="9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7" fillId="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0" fontId="55" fillId="18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0" fontId="55" fillId="0" borderId="10" applyAlignment="1" pivotButton="0" quotePrefix="0" xfId="0">
      <alignment horizontal="right" vertical="center"/>
    </xf>
    <xf numFmtId="183" fontId="100" fillId="38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3" fontId="100" fillId="18" borderId="10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6" fontId="55" fillId="14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8" borderId="10" applyAlignment="1" pivotButton="0" quotePrefix="0" xfId="0">
      <alignment horizontal="right" vertical="center"/>
    </xf>
    <xf numFmtId="186" fontId="55" fillId="5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183" fontId="102" fillId="38" borderId="10" applyAlignment="1" pivotButton="0" quotePrefix="0" xfId="0">
      <alignment horizontal="right" vertical="center"/>
    </xf>
    <xf numFmtId="0" fontId="58" fillId="0" borderId="9" pivotButton="0" quotePrefix="0" xfId="0"/>
    <xf numFmtId="0" fontId="66" fillId="0" borderId="9" applyAlignment="1" pivotButton="0" quotePrefix="0" xfId="0">
      <alignment horizontal="left" vertical="top" wrapText="1"/>
    </xf>
    <xf numFmtId="0" fontId="67" fillId="0" borderId="9" pivotButton="0" quotePrefix="0" xfId="0"/>
    <xf numFmtId="187" fontId="63" fillId="12" borderId="10" applyAlignment="1" pivotButton="0" quotePrefix="0" xfId="0">
      <alignment horizontal="center" vertical="center" wrapText="1"/>
    </xf>
    <xf numFmtId="0" fontId="82" fillId="0" borderId="9" applyAlignment="1" pivotButton="0" quotePrefix="0" xfId="0">
      <alignment horizontal="left" vertical="center"/>
    </xf>
    <xf numFmtId="0" fontId="83" fillId="0" borderId="9" pivotButton="0" quotePrefix="0" xfId="0"/>
    <xf numFmtId="0" fontId="84" fillId="2" borderId="9" applyAlignment="1" pivotButton="0" quotePrefix="0" xfId="0">
      <alignment horizontal="left" vertical="center" indent="1"/>
    </xf>
    <xf numFmtId="0" fontId="86" fillId="0" borderId="9" applyAlignment="1" pivotButton="0" quotePrefix="0" xfId="0">
      <alignment horizontal="left" vertical="top" wrapText="1"/>
    </xf>
    <xf numFmtId="0" fontId="84" fillId="3" borderId="9" applyAlignment="1" pivotButton="0" quotePrefix="0" xfId="0">
      <alignment horizontal="left" vertical="center" indent="1"/>
    </xf>
    <xf numFmtId="0" fontId="87" fillId="0" borderId="9" applyAlignment="1" pivotButton="0" quotePrefix="0" xfId="0">
      <alignment horizontal="left" vertical="top" wrapText="1"/>
    </xf>
    <xf numFmtId="0" fontId="88" fillId="0" borderId="9" applyAlignment="1" pivotButton="0" quotePrefix="0" xfId="0">
      <alignment horizontal="left" vertical="top" wrapText="1"/>
    </xf>
    <xf numFmtId="0" fontId="104" fillId="0" borderId="9" applyAlignment="1" pivotButton="0" quotePrefix="0" xfId="0">
      <alignment horizontal="left" vertical="top" wrapText="1"/>
    </xf>
    <xf numFmtId="0" fontId="74" fillId="0" borderId="9" applyAlignment="1" pivotButton="0" quotePrefix="0" xfId="0">
      <alignment horizontal="left" vertical="top" wrapText="1"/>
    </xf>
    <xf numFmtId="0" fontId="55" fillId="0" borderId="9" applyAlignment="1" pivotButton="0" quotePrefix="0" xfId="0">
      <alignment horizontal="left" vertical="top" wrapText="1"/>
    </xf>
    <xf numFmtId="0" fontId="67" fillId="0" borderId="9" applyAlignment="1" pivotButton="0" quotePrefix="0" xfId="0">
      <alignment horizontal="left" vertical="top" wrapText="1"/>
    </xf>
    <xf numFmtId="0" fontId="90" fillId="0" borderId="9" applyAlignment="1" pivotButton="0" quotePrefix="0" xfId="0">
      <alignment horizontal="left" vertical="top" wrapText="1"/>
    </xf>
    <xf numFmtId="0" fontId="84" fillId="28" borderId="9" applyAlignment="1" pivotButton="0" quotePrefix="0" xfId="0">
      <alignment horizontal="left" vertical="center" indent="1"/>
    </xf>
    <xf numFmtId="0" fontId="53" fillId="2" borderId="9" applyAlignment="1" pivotButton="0" quotePrefix="0" xfId="0">
      <alignment horizontal="left" vertical="center" indent="1"/>
    </xf>
    <xf numFmtId="0" fontId="94" fillId="0" borderId="9" applyAlignment="1" pivotButton="0" quotePrefix="0" xfId="0">
      <alignment horizontal="left" vertical="top" wrapText="1"/>
    </xf>
    <xf numFmtId="0" fontId="95" fillId="0" borderId="9" applyAlignment="1" pivotButton="0" quotePrefix="0" xfId="0">
      <alignment horizontal="left"/>
    </xf>
    <xf numFmtId="0" fontId="66" fillId="0" borderId="9" applyAlignment="1" pivotButton="0" quotePrefix="0" xfId="0">
      <alignment horizontal="right"/>
    </xf>
    <xf numFmtId="0" fontId="96" fillId="0" borderId="9" applyAlignment="1" pivotButton="0" quotePrefix="0" xfId="0">
      <alignment horizontal="center" vertical="center"/>
    </xf>
    <xf numFmtId="0" fontId="97" fillId="0" borderId="9" applyAlignment="1" pivotButton="0" quotePrefix="0" xfId="0">
      <alignment horizontal="left" vertical="top" wrapText="1"/>
    </xf>
    <xf numFmtId="0" fontId="46" fillId="0" borderId="9" applyAlignment="1" pivotButton="0" quotePrefix="0" xfId="0">
      <alignment horizontal="left" vertical="top" wrapText="1"/>
    </xf>
    <xf numFmtId="0" fontId="72" fillId="0" borderId="9" applyAlignment="1" pivotButton="0" quotePrefix="0" xfId="0">
      <alignment horizontal="left"/>
    </xf>
    <xf numFmtId="0" fontId="88" fillId="0" borderId="9" applyAlignment="1" pivotButton="0" quotePrefix="0" xfId="0">
      <alignment horizontal="left"/>
    </xf>
    <xf numFmtId="0" fontId="86" fillId="0" borderId="9" applyAlignment="1" pivotButton="0" quotePrefix="0" xfId="0">
      <alignment horizontal="left"/>
    </xf>
    <xf numFmtId="0" fontId="67" fillId="0" borderId="9" applyAlignment="1" pivotButton="0" quotePrefix="0" xfId="0">
      <alignment horizontal="left"/>
    </xf>
    <xf numFmtId="0" fontId="89" fillId="0" borderId="9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28" customWidth="1" style="468" min="2" max="2"/>
    <col width="22" customWidth="1" style="468" min="3" max="6"/>
    <col width="2" customWidth="1" style="468" min="7" max="7"/>
  </cols>
  <sheetData>
    <row r="2" ht="22" customHeight="1" s="468">
      <c r="B2" s="655" t="inlineStr">
        <is>
          <t>ТРЕНДСТУДИО</t>
        </is>
      </c>
    </row>
    <row r="4" ht="36" customHeight="1" s="468">
      <c r="B4" s="656" t="inlineStr">
        <is>
          <t>ИНВЕСТИЦИОННАЯ ФИНАНСОВАЯ МОДЕЛЬ</t>
        </is>
      </c>
    </row>
    <row r="5" ht="22" customHeight="1" s="468">
      <c r="B5" s="657" t="inlineStr">
        <is>
          <t>Холдинг кинопроизводства «ТрендСтудио»</t>
        </is>
      </c>
    </row>
    <row r="7" ht="24" customHeight="1" s="468">
      <c r="B7" s="480" t="inlineStr">
        <is>
          <t>КЛЮЧЕВЫЕ МЕТРИКИ  ·  2026–2028  ·  Dual-metric представление</t>
        </is>
      </c>
      <c r="L7" s="106" t="n"/>
    </row>
    <row r="8" ht="36" customHeight="1" s="468">
      <c r="B8" s="463" t="inlineStr">
        <is>
          <t>4 545</t>
        </is>
      </c>
      <c r="C8" s="464" t="n"/>
      <c r="D8" s="463" t="inlineStr">
        <is>
          <t>2 152</t>
        </is>
      </c>
      <c r="E8" s="464" t="n"/>
      <c r="F8" s="471" t="inlineStr">
        <is>
          <t>3 000</t>
        </is>
      </c>
      <c r="G8" s="464" t="n"/>
      <c r="H8" s="463" t="inlineStr">
        <is>
          <t>1 689</t>
        </is>
      </c>
      <c r="I8" s="464" t="n"/>
      <c r="J8" s="463" t="inlineStr">
        <is>
          <t>1 250</t>
        </is>
      </c>
      <c r="K8" s="464" t="n"/>
      <c r="L8" s="106" t="n"/>
    </row>
    <row r="9" ht="20" customHeight="1" s="468">
      <c r="B9" s="475" t="inlineStr">
        <is>
          <t>Revenue (Выручка)  ·  Σ 2026–2028</t>
        </is>
      </c>
      <c r="C9" s="464" t="n"/>
      <c r="D9" s="475" t="inlineStr">
        <is>
          <t xml:space="preserve">EBITDA (прибыль до вычетов) GAAP </t>
        </is>
      </c>
      <c r="E9" s="464" t="n"/>
      <c r="F9" s="476" t="inlineStr">
        <is>
          <t>NDP (чистые распределяемые поступления) (Net Distrib. Proc.)</t>
        </is>
      </c>
      <c r="G9" s="464" t="n"/>
      <c r="H9" s="475" t="inlineStr">
        <is>
          <t>Net Profit (Чистая прибыль)</t>
        </is>
      </c>
      <c r="I9" s="464" t="n"/>
      <c r="J9" s="475" t="inlineStr">
        <is>
          <t>Investment (Инвестиция)  ·  T₁</t>
        </is>
      </c>
      <c r="K9" s="464" t="n"/>
      <c r="L9" s="106" t="n"/>
    </row>
    <row r="10" ht="18" customHeight="1" s="468">
      <c r="B10" s="474" t="inlineStr">
        <is>
          <t>млн ₽</t>
        </is>
      </c>
      <c r="C10" s="464" t="n"/>
      <c r="D10" s="474" t="inlineStr">
        <is>
          <t>млн ₽  ·  стандарт</t>
        </is>
      </c>
      <c r="E10" s="464" t="n"/>
      <c r="F10" s="485" t="inlineStr">
        <is>
          <t>млн ₽  ·  legacy (базовый вариант)</t>
        </is>
      </c>
      <c r="G10" s="464" t="n"/>
      <c r="H10" s="474" t="inlineStr">
        <is>
          <t>млн ₽  ·  после 20% налога</t>
        </is>
      </c>
      <c r="I10" s="464" t="n"/>
      <c r="J10" s="474" t="inlineStr">
        <is>
          <t>млн ₽  ·  4 транша</t>
        </is>
      </c>
      <c r="K10" s="464" t="n"/>
      <c r="L10" s="106" t="n"/>
    </row>
    <row r="11"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</row>
    <row r="12" ht="18" customHeight="1" s="468">
      <c r="B12" s="48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06" t="n"/>
    </row>
    <row r="13" ht="18" customHeight="1" s="468">
      <c r="L13" s="106" t="n"/>
    </row>
    <row r="14" ht="30" customHeight="1" s="468">
      <c r="B14" s="106" t="n"/>
      <c r="C14" s="106" t="n"/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</row>
    <row r="15" ht="22" customHeight="1" s="468">
      <c r="B15" s="482" t="inlineStr">
        <is>
          <t>СЦЕНАРИИ  ·  Bear (Пессимистичный)  /  Base (Базовый)  /  Bull (Оптимистичный)</t>
        </is>
      </c>
      <c r="L15" s="106" t="n"/>
    </row>
    <row r="16">
      <c r="B16" s="479" t="inlineStr">
        <is>
          <t>Показатель</t>
        </is>
      </c>
      <c r="C16" s="473" t="n"/>
      <c r="D16" s="473" t="n"/>
      <c r="E16" s="466" t="n"/>
      <c r="F16" s="479" t="inlineStr">
        <is>
          <t>Bear (Пессимистичный) (0.70×)</t>
        </is>
      </c>
      <c r="G16" s="466" t="n"/>
      <c r="H16" s="477" t="inlineStr">
        <is>
          <t>Base (Базовый) (1.00×)</t>
        </is>
      </c>
      <c r="I16" s="466" t="n"/>
      <c r="J16" s="479" t="inlineStr">
        <is>
          <t>Bull (Оптимистичный) (1.25×)</t>
        </is>
      </c>
      <c r="K16" s="466" t="n"/>
      <c r="L16" s="106" t="n"/>
    </row>
    <row r="17" ht="18" customHeight="1" s="468">
      <c r="B17" s="472" t="inlineStr">
        <is>
          <t>Revenue (Выручка) Σ, млн ₽</t>
        </is>
      </c>
      <c r="C17" s="473" t="n"/>
      <c r="D17" s="473" t="n"/>
      <c r="E17" s="466" t="n"/>
      <c r="F17" s="465" t="inlineStr">
        <is>
          <t>3 181</t>
        </is>
      </c>
      <c r="G17" s="466" t="n"/>
      <c r="H17" s="477" t="inlineStr">
        <is>
          <t>4 545</t>
        </is>
      </c>
      <c r="I17" s="466" t="n"/>
      <c r="J17" s="465" t="inlineStr">
        <is>
          <t>5 681</t>
        </is>
      </c>
      <c r="K17" s="466" t="n"/>
      <c r="L17" s="106" t="n"/>
    </row>
    <row r="18" ht="18" customHeight="1" s="468">
      <c r="B18" s="472" t="inlineStr">
        <is>
          <t>EBITDA (прибыль до вычетов) GAAP, млн ₽</t>
        </is>
      </c>
      <c r="C18" s="473" t="n"/>
      <c r="D18" s="473" t="n"/>
      <c r="E18" s="466" t="n"/>
      <c r="F18" s="465" t="inlineStr">
        <is>
          <t>1 506</t>
        </is>
      </c>
      <c r="G18" s="466" t="n"/>
      <c r="H18" s="477" t="inlineStr">
        <is>
          <t>2 152</t>
        </is>
      </c>
      <c r="I18" s="466" t="n"/>
      <c r="J18" s="465" t="inlineStr">
        <is>
          <t>2 690</t>
        </is>
      </c>
      <c r="K18" s="466" t="n"/>
      <c r="L18" s="106" t="n"/>
    </row>
    <row r="19" ht="18" customHeight="1" s="468">
      <c r="B19" s="472" t="inlineStr">
        <is>
          <t>NDP (чистые распределяемые поступления) Σ, млн ₽</t>
        </is>
      </c>
      <c r="C19" s="473" t="n"/>
      <c r="D19" s="473" t="n"/>
      <c r="E19" s="466" t="n"/>
      <c r="F19" s="465" t="inlineStr">
        <is>
          <t>2 100</t>
        </is>
      </c>
      <c r="G19" s="466" t="n"/>
      <c r="H19" s="477" t="inlineStr">
        <is>
          <t>3 000</t>
        </is>
      </c>
      <c r="I19" s="466" t="n"/>
      <c r="J19" s="465" t="inlineStr">
        <is>
          <t>3 750</t>
        </is>
      </c>
      <c r="K19" s="466" t="n"/>
      <c r="L19" s="106" t="n"/>
    </row>
    <row r="20" ht="18" customHeight="1" s="468">
      <c r="B20" s="472" t="inlineStr">
        <is>
          <t>Net Profit (Чистая прибыль), млн ₽</t>
        </is>
      </c>
      <c r="C20" s="473" t="n"/>
      <c r="D20" s="473" t="n"/>
      <c r="E20" s="466" t="n"/>
      <c r="F20" s="465" t="inlineStr">
        <is>
          <t>1 182</t>
        </is>
      </c>
      <c r="G20" s="466" t="n"/>
      <c r="H20" s="477" t="inlineStr">
        <is>
          <t>1 689</t>
        </is>
      </c>
      <c r="I20" s="466" t="n"/>
      <c r="J20" s="465" t="inlineStr">
        <is>
          <t>2 111</t>
        </is>
      </c>
      <c r="K20" s="466" t="n"/>
      <c r="L20" s="106" t="n"/>
    </row>
    <row r="21" ht="18" customHeight="1" s="468">
      <c r="B21" s="472" t="inlineStr">
        <is>
          <t>IRR (внутренняя норма доходности) (5-year), %</t>
        </is>
      </c>
      <c r="C21" s="473" t="n"/>
      <c r="D21" s="473" t="n"/>
      <c r="E21" s="466" t="n"/>
      <c r="F21" s="465" t="inlineStr">
        <is>
          <t>~14 %</t>
        </is>
      </c>
      <c r="G21" s="466" t="n"/>
      <c r="H21" s="477" t="inlineStr">
        <is>
          <t>~22 %</t>
        </is>
      </c>
      <c r="I21" s="466" t="n"/>
      <c r="J21" s="465" t="inlineStr">
        <is>
          <t>~31 %</t>
        </is>
      </c>
      <c r="K21" s="466" t="n"/>
      <c r="L21" s="106" t="n"/>
    </row>
    <row r="22" ht="20" customHeight="1" s="468">
      <c r="B22" s="106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6" t="n"/>
    </row>
    <row r="23" ht="18" customHeight="1" s="468"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</row>
    <row r="24" ht="18" customHeight="1" s="468"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</row>
    <row r="25" ht="18" customHeight="1" s="468"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  <c r="L25" s="106" t="n"/>
    </row>
    <row r="26" ht="18" customHeight="1" s="468">
      <c r="B26" s="2" t="inlineStr">
        <is>
          <t>Автор:</t>
        </is>
      </c>
      <c r="C26" s="658" t="inlineStr">
        <is>
          <t>Команда ТрендСтудио (подготовлено для инвестора)</t>
        </is>
      </c>
    </row>
    <row r="27" ht="18" customHeight="1" s="468">
      <c r="B27" s="2" t="inlineStr">
        <is>
          <t>Целевая аудитория:</t>
        </is>
      </c>
      <c r="C27" s="658" t="inlineStr">
        <is>
          <t>Государственный сектор (Фонд кино / ВЭБ) + Стратегический медиахолдинг</t>
        </is>
      </c>
    </row>
    <row r="28" ht="18" customHeight="1" s="468">
      <c r="B28" s="2" t="inlineStr">
        <is>
          <t>Базовая дата расчётов:</t>
        </is>
      </c>
      <c r="C28" s="658" t="inlineStr">
        <is>
          <t>01.01.2026</t>
        </is>
      </c>
    </row>
    <row r="29" ht="18" customHeight="1" s="468">
      <c r="B29" s="2" t="inlineStr">
        <is>
          <t>Горизонт прогноза:</t>
        </is>
      </c>
      <c r="C29" s="658" t="inlineStr">
        <is>
          <t>2026–2032 (Q1 2026–Q4 2028 поквартально, 2029–2032 годовые)</t>
        </is>
      </c>
    </row>
    <row r="30" ht="18" customHeight="1" s="468">
      <c r="B30" s="2" t="inlineStr">
        <is>
          <t>Единица измерения:</t>
        </is>
      </c>
      <c r="C30" s="658" t="inlineStr">
        <is>
          <t>млн ₽ (если не указано иное)</t>
        </is>
      </c>
    </row>
    <row r="31" ht="18" customHeight="1" s="468">
      <c r="B31" s="2" t="inlineStr">
        <is>
          <t>Основа:</t>
        </is>
      </c>
      <c r="C31" s="658" t="inlineStr">
        <is>
          <t>v1.4.4 (348 тестов, П5 «Максимум» 32/32) + legacy (базовый вариант) Холдинг Кино.xlsx</t>
        </is>
      </c>
    </row>
    <row r="32" ht="18" customHeight="1" s="468">
      <c r="B32" s="2" t="inlineStr">
        <is>
          <t>Верификация:</t>
        </is>
      </c>
      <c r="C32" s="658" t="inlineStr">
        <is>
          <t>П5 «Максимум» 32/32 механизма</t>
        </is>
      </c>
    </row>
    <row r="33" ht="18" customHeight="1" s="468">
      <c r="B33" s="2" t="inlineStr">
        <is>
          <t>Защита:</t>
        </is>
      </c>
      <c r="C33" s="658" t="inlineStr">
        <is>
          <t>Формулы защищены; допущения — редактируемые (Assumptions)</t>
        </is>
      </c>
    </row>
    <row r="35" ht="18" customHeight="1" s="468">
      <c r="B35" s="659" t="inlineStr">
        <is>
          <t>ДИСКЛЕЙМЕР</t>
        </is>
      </c>
    </row>
    <row r="36" ht="16" customHeight="1" s="468">
      <c r="B36" s="660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 s="468"/>
    <row r="38" ht="16" customHeight="1" s="468"/>
    <row r="39" ht="16" customHeight="1" s="468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H17:I17"/>
    <mergeCell ref="F8:G8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D21" sqref="D2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2" customWidth="1" style="468" min="3" max="3"/>
    <col width="18" customWidth="1" style="468" min="4" max="4"/>
    <col width="10" customWidth="1" style="468" min="5" max="5"/>
    <col width="38" customWidth="1" style="468" min="6" max="6"/>
    <col width="2" customWidth="1" style="468" min="7" max="7"/>
  </cols>
  <sheetData>
    <row r="2" ht="30" customHeight="1" s="468">
      <c r="B2" s="661" t="inlineStr">
        <is>
          <t>ДОПУЩЕНИЯ МОДЕЛИ (Assumptions)</t>
        </is>
      </c>
    </row>
    <row r="3">
      <c r="B3" s="662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 s="468">
      <c r="B5" s="3" t="inlineStr">
        <is>
          <t>#</t>
        </is>
      </c>
      <c r="C5" s="3" t="inlineStr">
        <is>
          <t>Параметр</t>
        </is>
      </c>
      <c r="D5" s="3" t="inlineStr">
        <is>
          <t>Значение</t>
        </is>
      </c>
      <c r="E5" s="3" t="inlineStr">
        <is>
          <t>Ед.изм.</t>
        </is>
      </c>
      <c r="F5" s="3" t="inlineStr">
        <is>
          <t>Примечание / источник</t>
        </is>
      </c>
    </row>
    <row r="6" ht="20" customHeight="1" s="468">
      <c r="B6" s="663" t="inlineStr">
        <is>
          <t>A. МАКРО-ДОПУЩЕНИЯ</t>
        </is>
      </c>
    </row>
    <row r="7" ht="18" customHeight="1" s="468">
      <c r="B7" s="486" t="n">
        <v>1</v>
      </c>
      <c r="C7" s="507" t="inlineStr">
        <is>
          <t>Инфляция РФ (CPI), годовая</t>
        </is>
      </c>
      <c r="D7" s="6" t="n">
        <v>0.065</v>
      </c>
      <c r="E7" s="486" t="inlineStr">
        <is>
          <t>%</t>
        </is>
      </c>
      <c r="F7" s="7" t="inlineStr">
        <is>
          <t>ЦБ РФ прогноз, Base (Базовый) 6.5% 2026–2028</t>
        </is>
      </c>
    </row>
    <row r="8" ht="18" customHeight="1" s="468">
      <c r="B8" s="486" t="n">
        <v>2</v>
      </c>
      <c r="C8" s="507" t="inlineStr">
        <is>
          <t>Ключевая ставка (среднегодовая)</t>
        </is>
      </c>
      <c r="D8" s="6" t="n">
        <v>0.14</v>
      </c>
      <c r="E8" s="486" t="inlineStr">
        <is>
          <t>%</t>
        </is>
      </c>
      <c r="F8" s="7" t="inlineStr">
        <is>
          <t>ЦБ РФ, Base (Базовый) 14% 2026</t>
        </is>
      </c>
    </row>
    <row r="9" ht="18" customHeight="1" s="468">
      <c r="B9" s="486" t="n">
        <v>3</v>
      </c>
      <c r="C9" s="507" t="inlineStr">
        <is>
          <t>WACC (средневзвешенная стоимость капитала) для DCF (дисконтированный денежный поток) (Russian media)</t>
        </is>
      </c>
      <c r="D9" s="6" t="n">
        <v>0.2</v>
      </c>
      <c r="E9" s="486" t="inlineStr">
        <is>
          <t>%</t>
        </is>
      </c>
      <c r="F9" s="7" t="inlineStr">
        <is>
          <t>Бенчмарк рос. медиа 18–22%, Base (Базовый) 20%</t>
        </is>
      </c>
    </row>
    <row r="10" ht="18" customHeight="1" s="468">
      <c r="B10" s="486" t="n">
        <v>4</v>
      </c>
      <c r="C10" s="507" t="inlineStr">
        <is>
          <t>Налог на прибыль РФ</t>
        </is>
      </c>
      <c r="D10" s="6" t="n">
        <v>0.2</v>
      </c>
      <c r="E10" s="486" t="inlineStr">
        <is>
          <t>%</t>
        </is>
      </c>
      <c r="F10" s="7" t="inlineStr">
        <is>
          <t>НК РФ, Глава 25</t>
        </is>
      </c>
    </row>
    <row r="11" ht="18" customHeight="1" s="468">
      <c r="B11" s="486" t="n">
        <v>5</v>
      </c>
      <c r="C11" s="507" t="inlineStr">
        <is>
          <t>Страховые взносы (работодатель)</t>
        </is>
      </c>
      <c r="D11" s="6" t="n">
        <v>0.3</v>
      </c>
      <c r="E11" s="486" t="inlineStr">
        <is>
          <t>%</t>
        </is>
      </c>
      <c r="F11" s="7" t="inlineStr">
        <is>
          <t>ПФР+ФОМС+ФСС, 30% + 0.2% НС (округл. 30%)</t>
        </is>
      </c>
    </row>
    <row r="12" ht="18" customHeight="1" s="468">
      <c r="B12" s="486" t="n">
        <v>6</v>
      </c>
      <c r="C12" s="507" t="inlineStr">
        <is>
          <t>Ставка дисконта для payback (номинальный)</t>
        </is>
      </c>
      <c r="D12" s="6" t="n">
        <v>0.15</v>
      </c>
      <c r="E12" s="486" t="inlineStr">
        <is>
          <t>%</t>
        </is>
      </c>
      <c r="F12" s="7" t="inlineStr">
        <is>
          <t>Инвестор-ориентир, консервативная</t>
        </is>
      </c>
    </row>
    <row r="13" ht="18" customHeight="1" s="468">
      <c r="B13" s="486" t="n">
        <v>7</v>
      </c>
      <c r="C13" s="507" t="inlineStr">
        <is>
          <t>Terminal growth (Терминальный рост) (Gordon)</t>
        </is>
      </c>
      <c r="D13" s="6" t="n">
        <v>0.03</v>
      </c>
      <c r="E13" s="486" t="inlineStr">
        <is>
          <t>%</t>
        </is>
      </c>
      <c r="F13" s="7" t="inlineStr">
        <is>
          <t>Long-run GDP RF, Base (Базовый) 3%</t>
        </is>
      </c>
    </row>
    <row r="14" ht="18" customHeight="1" s="468">
      <c r="B14" s="486" t="n">
        <v>8</v>
      </c>
      <c r="C14" s="507" t="inlineStr">
        <is>
          <t>Курс USD/RUB</t>
        </is>
      </c>
      <c r="D14" s="8" t="n">
        <v>95</v>
      </c>
      <c r="E14" s="486" t="inlineStr">
        <is>
          <t>RUB</t>
        </is>
      </c>
      <c r="F14" s="7" t="inlineStr">
        <is>
          <t>Для международных продаж и лицензий</t>
        </is>
      </c>
    </row>
    <row r="16" ht="20" customHeight="1" s="468">
      <c r="B16" s="663" t="inlineStr">
        <is>
          <t>B. АНКЕТНЫЕ ЯКОРЯ (v1.4.4 + legacy (базовый вариант))</t>
        </is>
      </c>
    </row>
    <row r="17" ht="18" customHeight="1" s="468">
      <c r="B17" s="486" t="n">
        <v>9</v>
      </c>
      <c r="C17" s="507" t="inlineStr">
        <is>
          <t>Cumulative EBITDA (прибыль до вычетов) 2026–2028 Base (Базовый)</t>
        </is>
      </c>
      <c r="D17" s="8" t="n">
        <v>3000</v>
      </c>
      <c r="E17" s="486" t="inlineStr">
        <is>
          <t>млн ₽</t>
        </is>
      </c>
      <c r="F17" s="7" t="inlineStr">
        <is>
          <t>Якорь L4+N3, tolerance ±1%</t>
        </is>
      </c>
    </row>
    <row r="18" ht="18" customHeight="1" s="468">
      <c r="B18" s="486" t="n">
        <v>10</v>
      </c>
      <c r="C18" s="507" t="inlineStr">
        <is>
          <t>Total (Итого) investment</t>
        </is>
      </c>
      <c r="D18" s="8" t="n">
        <v>1250</v>
      </c>
      <c r="E18" s="486" t="inlineStr">
        <is>
          <t>млн ₽</t>
        </is>
      </c>
      <c r="F18" s="7" t="inlineStr">
        <is>
          <t>4 транша 20/28/28/24% (legacy (базовый вариант))</t>
        </is>
      </c>
    </row>
    <row r="19" ht="18" customHeight="1" s="468">
      <c r="B19" s="486" t="n">
        <v>11</v>
      </c>
      <c r="C19" s="507" t="inlineStr">
        <is>
          <t>Total (Итого) content budget (бюджет) (12 films)</t>
        </is>
      </c>
      <c r="D19" s="8" t="n">
        <v>1850</v>
      </c>
      <c r="E19" s="486" t="inlineStr">
        <is>
          <t>млн ₽</t>
        </is>
      </c>
      <c r="F19" s="7" t="inlineStr">
        <is>
          <t>invest 1250 + producer equity (доля в капитале) 600</t>
        </is>
      </c>
    </row>
    <row r="20" ht="18" customHeight="1" s="468">
      <c r="B20" s="486" t="n">
        <v>12</v>
      </c>
      <c r="C20" s="507" t="inlineStr">
        <is>
          <t>Target revenue 2026–2028 Base (Базовый)</t>
        </is>
      </c>
      <c r="D20" s="8" t="n">
        <v>4545</v>
      </c>
      <c r="E20" s="486" t="inlineStr">
        <is>
          <t>млн ₽</t>
        </is>
      </c>
      <c r="F20" s="7" t="inlineStr">
        <is>
          <t>12 фильмов × 378.75 млн средняя</t>
        </is>
      </c>
    </row>
    <row r="21" ht="18" customHeight="1" s="468">
      <c r="B21" s="486" t="n">
        <v>13</v>
      </c>
      <c r="C21" s="507" t="inlineStr">
        <is>
          <t>Target Net Profit (Чистая прибыль) 2026–2028</t>
        </is>
      </c>
      <c r="D21" s="8" t="n">
        <v>2280</v>
      </c>
      <c r="E21" s="486" t="inlineStr">
        <is>
          <t>млн ₽</t>
        </is>
      </c>
      <c r="F21" s="7" t="inlineStr">
        <is>
          <t>после налога 20%</t>
        </is>
      </c>
    </row>
    <row r="22" ht="18" customHeight="1" s="468">
      <c r="B22" s="486" t="n">
        <v>14</v>
      </c>
      <c r="C22" s="507" t="inlineStr">
        <is>
          <t>Количество фильмов в портфеле</t>
        </is>
      </c>
      <c r="D22" s="9" t="n">
        <v>12</v>
      </c>
      <c r="E22" s="486" t="inlineStr">
        <is>
          <t>шт</t>
        </is>
      </c>
      <c r="F22" s="7" t="inlineStr">
        <is>
          <t>Холдинг Кино.xlsx / модель</t>
        </is>
      </c>
    </row>
    <row r="23" ht="18" customHeight="1" s="468">
      <c r="B23" s="486" t="n">
        <v>15</v>
      </c>
      <c r="C23" s="507" t="inlineStr">
        <is>
          <t>Средний бюджет фильма</t>
        </is>
      </c>
      <c r="D23" s="8" t="n">
        <v>154.2</v>
      </c>
      <c r="E23" s="486" t="inlineStr">
        <is>
          <t>млн ₽</t>
        </is>
      </c>
      <c r="F23" s="7" t="inlineStr">
        <is>
          <t>1850 / 12</t>
        </is>
      </c>
    </row>
    <row r="25" ht="20" customHeight="1" s="468">
      <c r="B25" s="663" t="inlineStr">
        <is>
          <t>C. РАСПИСАНИЕ ТРАНШЕЙ (T₁ Legacy (Базовый вариант))</t>
        </is>
      </c>
    </row>
    <row r="26" ht="18" customHeight="1" s="468">
      <c r="B26" s="486" t="n">
        <v>16</v>
      </c>
      <c r="C26" s="507" t="inlineStr">
        <is>
          <t>Транш 1 (Q1 2026), % от total</t>
        </is>
      </c>
      <c r="D26" s="6" t="n">
        <v>0.2</v>
      </c>
      <c r="E26" s="486" t="inlineStr">
        <is>
          <t>%</t>
        </is>
      </c>
      <c r="F26" s="7" t="inlineStr">
        <is>
          <t>250 млн ₽</t>
        </is>
      </c>
    </row>
    <row r="27" ht="18" customHeight="1" s="468">
      <c r="B27" s="486" t="n">
        <v>17</v>
      </c>
      <c r="C27" s="507" t="inlineStr">
        <is>
          <t>Транш 2 (Q2 2026), % от total</t>
        </is>
      </c>
      <c r="D27" s="6" t="n">
        <v>0.28</v>
      </c>
      <c r="E27" s="486" t="inlineStr">
        <is>
          <t>%</t>
        </is>
      </c>
      <c r="F27" s="7" t="inlineStr">
        <is>
          <t>350 млн ₽</t>
        </is>
      </c>
    </row>
    <row r="28" ht="18" customHeight="1" s="468">
      <c r="B28" s="486" t="n">
        <v>18</v>
      </c>
      <c r="C28" s="507" t="inlineStr">
        <is>
          <t>Транш 3 (Q3 2026), % от total</t>
        </is>
      </c>
      <c r="D28" s="6" t="n">
        <v>0.28</v>
      </c>
      <c r="E28" s="486" t="inlineStr">
        <is>
          <t>%</t>
        </is>
      </c>
      <c r="F28" s="7" t="inlineStr">
        <is>
          <t>350 млн ₽</t>
        </is>
      </c>
    </row>
    <row r="29" ht="18" customHeight="1" s="468">
      <c r="B29" s="486" t="n">
        <v>19</v>
      </c>
      <c r="C29" s="507" t="inlineStr">
        <is>
          <t>Транш 4 (Q4 2026), % от total</t>
        </is>
      </c>
      <c r="D29" s="6" t="n">
        <v>0.24</v>
      </c>
      <c r="E29" s="486" t="inlineStr">
        <is>
          <t>%</t>
        </is>
      </c>
      <c r="F29" s="7" t="inlineStr">
        <is>
          <t>300 млн ₽</t>
        </is>
      </c>
    </row>
    <row r="31" ht="20" customHeight="1" s="468">
      <c r="B31" s="663" t="inlineStr">
        <is>
          <t>D. АЛЬТЕРНАТИВНЫЙ ТИКЕТ (T₂ New Deal)</t>
        </is>
      </c>
    </row>
    <row r="32" ht="18" customHeight="1" s="468">
      <c r="B32" s="486" t="n">
        <v>20</v>
      </c>
      <c r="C32" s="507" t="inlineStr">
        <is>
          <t>Базовый тикет (New)</t>
        </is>
      </c>
      <c r="D32" s="8" t="n">
        <v>500</v>
      </c>
      <c r="E32" s="486" t="inlineStr">
        <is>
          <t>млн ₽</t>
        </is>
      </c>
      <c r="F32" s="7" t="inlineStr">
        <is>
          <t>За 20% equity (доля в капитале), диапазон 300–800</t>
        </is>
      </c>
    </row>
    <row r="33" ht="18" customHeight="1" s="468">
      <c r="B33" s="486" t="n">
        <v>21</v>
      </c>
      <c r="C33" s="507" t="inlineStr">
        <is>
          <t>Базовая доля (New)</t>
        </is>
      </c>
      <c r="D33" s="6" t="n">
        <v>0.2</v>
      </c>
      <c r="E33" s="486" t="inlineStr">
        <is>
          <t>%</t>
        </is>
      </c>
      <c r="F33" s="7" t="inlineStr">
        <is>
          <t>20%, диапазон 10–30%</t>
        </is>
      </c>
    </row>
    <row r="34" ht="18" customHeight="1" s="468">
      <c r="B34" s="486" t="n">
        <v>22</v>
      </c>
      <c r="C34" s="507" t="inlineStr">
        <is>
          <t>Pre-money valuation (базовый)</t>
        </is>
      </c>
      <c r="D34" s="8" t="n">
        <v>2000</v>
      </c>
      <c r="E34" s="486" t="inlineStr">
        <is>
          <t>млн ₽</t>
        </is>
      </c>
      <c r="F34" s="7" t="inlineStr">
        <is>
          <t>500 / 20% - 500</t>
        </is>
      </c>
    </row>
    <row r="35" ht="18" customHeight="1" s="468">
      <c r="B35" s="486" t="n">
        <v>23</v>
      </c>
      <c r="C35" s="507" t="inlineStr">
        <is>
          <t>Post-money valuation (базовый)</t>
        </is>
      </c>
      <c r="D35" s="8" t="n">
        <v>2500</v>
      </c>
      <c r="E35" s="486" t="inlineStr">
        <is>
          <t>млн ₽</t>
        </is>
      </c>
      <c r="F35" s="7" t="inlineStr">
        <is>
          <t>pre-money (доинвестиц.) + 500</t>
        </is>
      </c>
    </row>
    <row r="36" ht="18" customHeight="1" s="468">
      <c r="B36" s="486" t="n">
        <v>24</v>
      </c>
      <c r="C36" s="507" t="inlineStr">
        <is>
          <t>Coupon (Купон)</t>
        </is>
      </c>
      <c r="D36" s="6" t="n">
        <v>0.08</v>
      </c>
      <c r="E36" s="486" t="inlineStr">
        <is>
          <t>%</t>
        </is>
      </c>
      <c r="F36" s="7" t="inlineStr">
        <is>
          <t>8% годовых</t>
        </is>
      </c>
    </row>
    <row r="38" ht="20" customHeight="1" s="468">
      <c r="B38" s="663" t="inlineStr">
        <is>
          <t>E. РАСПРЕДЕЛЕНИЕ ПРИБЫЛИ (Waterfall (Каскад) — 4 варианта)</t>
        </is>
      </c>
    </row>
    <row r="39" ht="18" customHeight="1" s="468">
      <c r="B39" s="486" t="n">
        <v>25</v>
      </c>
      <c r="C39" s="507" t="inlineStr">
        <is>
          <t>W₁ Инвестор фаза I</t>
        </is>
      </c>
      <c r="D39" s="6" t="n">
        <v>0.6</v>
      </c>
      <c r="E39" s="486" t="inlineStr">
        <is>
          <t>%</t>
        </is>
      </c>
      <c r="F39" s="7" t="inlineStr">
        <is>
          <t>Legacy (Базовый вариант) 60/40</t>
        </is>
      </c>
    </row>
    <row r="40" ht="18" customHeight="1" s="468">
      <c r="B40" s="486" t="n">
        <v>26</v>
      </c>
      <c r="C40" s="507" t="inlineStr">
        <is>
          <t>W₁ Продюсер фаза I</t>
        </is>
      </c>
      <c r="D40" s="6" t="n">
        <v>0.4</v>
      </c>
      <c r="E40" s="486" t="inlineStr">
        <is>
          <t>%</t>
        </is>
      </c>
      <c r="F40" s="7" t="inlineStr">
        <is>
          <t>Legacy (Базовый вариант) 60/40</t>
        </is>
      </c>
    </row>
    <row r="41" ht="18" customHeight="1" s="468">
      <c r="B41" s="486" t="n">
        <v>27</v>
      </c>
      <c r="C41" s="507" t="inlineStr">
        <is>
          <t>W₁ Инвестор фаза II</t>
        </is>
      </c>
      <c r="D41" s="6" t="n">
        <v>0.5</v>
      </c>
      <c r="E41" s="486" t="inlineStr">
        <is>
          <t>%</t>
        </is>
      </c>
      <c r="F41" s="7" t="inlineStr">
        <is>
          <t>Legacy (Базовый вариант) 50/50</t>
        </is>
      </c>
    </row>
    <row r="42" ht="18" customHeight="1" s="468">
      <c r="B42" s="486" t="n">
        <v>28</v>
      </c>
      <c r="C42" s="507" t="inlineStr">
        <is>
          <t>W₁ Продюсер фаза II</t>
        </is>
      </c>
      <c r="D42" s="6" t="n">
        <v>0.5</v>
      </c>
      <c r="E42" s="486" t="inlineStr">
        <is>
          <t>%</t>
        </is>
      </c>
      <c r="F42" s="7" t="inlineStr">
        <is>
          <t>Legacy (Базовый вариант) 50/50</t>
        </is>
      </c>
    </row>
    <row r="43" ht="18" customHeight="1" s="468">
      <c r="B43" s="486" t="n">
        <v>29</v>
      </c>
      <c r="C43" s="507" t="inlineStr">
        <is>
          <t>W₂ Pro-rata по долям</t>
        </is>
      </c>
      <c r="D43" s="6" t="n">
        <v>0.8</v>
      </c>
      <c r="E43" s="486" t="inlineStr">
        <is>
          <t>%</t>
        </is>
      </c>
      <c r="F43" s="7" t="inlineStr">
        <is>
          <t>Пропорционально equity (доля в капитале) T₂ (инвестор)</t>
        </is>
      </c>
    </row>
    <row r="44" ht="18" customHeight="1" s="468">
      <c r="B44" s="486" t="n">
        <v>30</v>
      </c>
      <c r="C44" s="507" t="inlineStr">
        <is>
          <t>W₃ 1× liquidation preference (ликвидационная привилегия)</t>
        </is>
      </c>
      <c r="D44" s="10" t="n">
        <v>1</v>
      </c>
      <c r="E44" s="486" t="inlineStr">
        <is>
          <t>×</t>
        </is>
      </c>
      <c r="F44" s="7" t="inlineStr">
        <is>
          <t>Возврат инвестиций первыми</t>
        </is>
      </c>
    </row>
    <row r="45" ht="18" customHeight="1" s="468">
      <c r="B45" s="486" t="n">
        <v>31</v>
      </c>
      <c r="C45" s="507" t="inlineStr">
        <is>
          <t>W₃ Доля участия</t>
        </is>
      </c>
      <c r="D45" s="10" t="n">
        <v>1</v>
      </c>
      <c r="E45" s="486" t="inlineStr">
        <is>
          <t>×</t>
        </is>
      </c>
      <c r="F45" s="7" t="inlineStr">
        <is>
          <t>Full participation (Полное участие) after preference</t>
        </is>
      </c>
    </row>
    <row r="46">
      <c r="B46" s="532" t="inlineStr">
        <is>
          <t>31a</t>
        </is>
      </c>
      <c r="C46" s="532" t="inlineStr">
        <is>
          <t>W₄ 1× liquidation preference (ликвидационная привилегия)</t>
        </is>
      </c>
      <c r="D46" s="664" t="n">
        <v>1</v>
      </c>
      <c r="E46" s="532" t="inlineStr">
        <is>
          <t>×</t>
        </is>
      </c>
      <c r="F46" s="514" t="inlineStr">
        <is>
          <t>Возврат инвестиций первыми</t>
        </is>
      </c>
    </row>
    <row r="47" ht="20" customHeight="1" s="468">
      <c r="B47" s="532" t="inlineStr">
        <is>
          <t>31b</t>
        </is>
      </c>
      <c r="C47" s="532" t="inlineStr">
        <is>
          <t>W₄ Preferred return (Привилегированная доходность) rate</t>
        </is>
      </c>
      <c r="D47" s="387" t="n">
        <v>0.12</v>
      </c>
      <c r="E47" s="532" t="inlineStr">
        <is>
          <t>%</t>
        </is>
      </c>
      <c r="F47" s="514" t="inlineStr">
        <is>
          <t>12% annual (годовой) × 5y cumulative</t>
        </is>
      </c>
    </row>
    <row r="48" ht="18" customHeight="1" s="468">
      <c r="B48" s="532" t="inlineStr">
        <is>
          <t>31c</t>
        </is>
      </c>
      <c r="C48" s="532" t="inlineStr">
        <is>
          <t>W₄ Preferred return (Привилегированная доходность) duration (Срок привилегированной доходности)</t>
        </is>
      </c>
      <c r="D48" s="388" t="n">
        <v>5</v>
      </c>
      <c r="E48" s="532" t="inlineStr">
        <is>
          <t>years (лет)</t>
        </is>
      </c>
      <c r="F48" s="514" t="inlineStr">
        <is>
          <t>Накопление купона до exit</t>
        </is>
      </c>
    </row>
    <row r="49" ht="18" customHeight="1" s="468">
      <c r="B49" s="532" t="inlineStr">
        <is>
          <t>31d</t>
        </is>
      </c>
      <c r="C49" s="532" t="inlineStr">
        <is>
          <t>W₄ Carry split (разделение) investor</t>
        </is>
      </c>
      <c r="D49" s="387" t="n">
        <v>0.65</v>
      </c>
      <c r="E49" s="532" t="inlineStr">
        <is>
          <t>%</t>
        </is>
      </c>
      <c r="F49" s="514" t="inlineStr">
        <is>
          <t>65% инвестор после возврата+купона</t>
        </is>
      </c>
    </row>
    <row r="50" ht="18" customHeight="1" s="468">
      <c r="B50" s="532" t="inlineStr">
        <is>
          <t>31e</t>
        </is>
      </c>
      <c r="C50" s="532" t="inlineStr">
        <is>
          <t>W₄ Carry split (разделение) producer</t>
        </is>
      </c>
      <c r="D50" s="387" t="n">
        <v>0.35</v>
      </c>
      <c r="E50" s="532" t="inlineStr">
        <is>
          <t>%</t>
        </is>
      </c>
      <c r="F50" s="514" t="inlineStr">
        <is>
          <t>35% продюсер после возврата+купона</t>
        </is>
      </c>
    </row>
    <row r="51" ht="18" customHeight="1" s="468">
      <c r="B51" s="532" t="inlineStr">
        <is>
          <t>31f</t>
        </is>
      </c>
      <c r="C51" s="532" t="inlineStr">
        <is>
          <t>W₄ Exit multiple (Мультипликатор выхода) (EV/EBITDA)</t>
        </is>
      </c>
      <c r="D51" s="664" t="n">
        <v>6</v>
      </c>
      <c r="E51" s="532" t="inlineStr">
        <is>
          <t>×</t>
        </is>
      </c>
      <c r="F51" s="514" t="inlineStr">
        <is>
          <t>Premium (Премия) к базовым 5×</t>
        </is>
      </c>
    </row>
    <row r="52" ht="18" customHeight="1" s="468">
      <c r="B52" s="532" t="inlineStr">
        <is>
          <t>31g</t>
        </is>
      </c>
      <c r="C52" s="532" t="inlineStr">
        <is>
          <t>W₄ LP (ограниченный партнёр) equity (доля в капитале) allocation</t>
        </is>
      </c>
      <c r="D52" s="387" t="n">
        <v>0.25</v>
      </c>
      <c r="E52" s="532" t="inlineStr">
        <is>
          <t>%</t>
        </is>
      </c>
      <c r="F52" s="514" t="inlineStr">
        <is>
          <t>25% доля LP (ограниченный партнёр) (Только внутреннее)</t>
        </is>
      </c>
    </row>
    <row r="53" ht="18" customHeight="1" s="468">
      <c r="B53" s="532" t="inlineStr">
        <is>
          <t>31h</t>
        </is>
      </c>
      <c r="C53" s="532" t="inlineStr">
        <is>
          <t>Target IRR (внутренняя норма доходности) W₄ Base (Базовый)</t>
        </is>
      </c>
      <c r="D53" s="387" t="n">
        <v>0.198</v>
      </c>
      <c r="E53" s="532" t="inlineStr">
        <is>
          <t>%</t>
        </is>
      </c>
      <c r="F53" s="514" t="inlineStr">
        <is>
          <t>~19.8% (расчёт в 24_Investor_Returns)</t>
        </is>
      </c>
    </row>
    <row r="54" ht="18" customHeight="1" s="468"/>
    <row r="55" ht="18" customHeight="1" s="468">
      <c r="B55" s="663" t="inlineStr">
        <is>
          <t>F. СТРУКТУРА ВЫРУЧКИ (% от average revenue)</t>
        </is>
      </c>
    </row>
    <row r="56">
      <c r="B56" s="486" t="n">
        <v>32</v>
      </c>
      <c r="C56" s="507" t="inlineStr">
        <is>
          <t>Box Office (Кассовые сборы)</t>
        </is>
      </c>
      <c r="D56" s="6" t="n">
        <v>0.48</v>
      </c>
      <c r="E56" s="486" t="inlineStr">
        <is>
          <t>%</t>
        </is>
      </c>
      <c r="F56" s="7" t="inlineStr">
        <is>
          <t>Средневзвешенная доля, 400–1200 млн</t>
        </is>
      </c>
    </row>
    <row r="57" ht="20" customHeight="1" s="468">
      <c r="B57" s="486" t="n">
        <v>33</v>
      </c>
      <c r="C57" s="487" t="n"/>
      <c r="D57" s="487" t="n"/>
      <c r="E57" s="487" t="n"/>
      <c r="F57" s="488" t="n"/>
    </row>
    <row r="58" ht="18" customHeight="1" s="468">
      <c r="B58" s="486" t="n">
        <v>34</v>
      </c>
      <c r="C58" s="507" t="inlineStr">
        <is>
          <t>TV (телевидение) rights</t>
        </is>
      </c>
      <c r="D58" s="6" t="n">
        <v>0.08</v>
      </c>
      <c r="E58" s="486" t="inlineStr">
        <is>
          <t>%</t>
        </is>
      </c>
      <c r="F58" s="7" t="inlineStr">
        <is>
          <t>Первый, Россия-1, ТНТ, 50–200 млн</t>
        </is>
      </c>
    </row>
    <row r="59" ht="18" customHeight="1" s="468">
      <c r="B59" s="486" t="n">
        <v>35</v>
      </c>
      <c r="C59" s="507" t="inlineStr">
        <is>
          <t>Международные продажи (Международные продажи)</t>
        </is>
      </c>
      <c r="D59" s="6" t="n">
        <v>0.1</v>
      </c>
      <c r="E59" s="486" t="inlineStr">
        <is>
          <t>%</t>
        </is>
      </c>
      <c r="F59" s="7" t="inlineStr">
        <is>
          <t>СНГ + BRICS, 30–500 млн</t>
        </is>
      </c>
    </row>
    <row r="60" ht="18" customHeight="1" s="468">
      <c r="B60" s="486" t="n">
        <v>36</v>
      </c>
      <c r="C60" s="507" t="inlineStr">
        <is>
          <t>VOD (транзакционный)</t>
        </is>
      </c>
      <c r="D60" s="6" t="n">
        <v>0.04</v>
      </c>
      <c r="E60" s="486" t="inlineStr">
        <is>
          <t>%</t>
        </is>
      </c>
      <c r="F60" s="7" t="inlineStr">
        <is>
          <t>20–100 млн</t>
        </is>
      </c>
    </row>
    <row r="61" ht="18" customHeight="1" s="468">
      <c r="B61" s="486" t="n">
        <v>37</v>
      </c>
      <c r="C61" s="507" t="inlineStr">
        <is>
          <t>Спонсорство / продакт-плейсмент (Спонсорство / продакт-плейсмент)</t>
        </is>
      </c>
      <c r="D61" s="6" t="n">
        <v>0.05</v>
      </c>
      <c r="E61" s="486" t="inlineStr">
        <is>
          <t>%</t>
        </is>
      </c>
      <c r="F61" s="7" t="inlineStr">
        <is>
          <t>20–150 млн</t>
        </is>
      </c>
    </row>
    <row r="62" ht="18" customHeight="1" s="468">
      <c r="B62" s="486" t="n">
        <v>38</v>
      </c>
      <c r="C62" s="507" t="inlineStr">
        <is>
          <t>Мерчандайзинг (Мерчандайзинг)</t>
        </is>
      </c>
      <c r="D62" s="6" t="n">
        <v>0.02</v>
      </c>
      <c r="E62" s="486" t="inlineStr">
        <is>
          <t>%</t>
        </is>
      </c>
      <c r="F62" s="7" t="inlineStr">
        <is>
          <t>10–100 млн</t>
        </is>
      </c>
    </row>
    <row r="63" ht="18" customHeight="1" s="468">
      <c r="B63" s="486" t="n">
        <v>39</v>
      </c>
      <c r="C63" s="507" t="inlineStr">
        <is>
          <t>Господдержка (грант + невозвр.)</t>
        </is>
      </c>
      <c r="D63" s="6" t="n">
        <v>0.03</v>
      </c>
      <c r="E63" s="486" t="inlineStr">
        <is>
          <t>%</t>
        </is>
      </c>
      <c r="F63" s="7" t="inlineStr">
        <is>
          <t>Фонд кино + Минкульт, 25% бюджета</t>
        </is>
      </c>
    </row>
    <row r="64" ht="18" customHeight="1" s="468"/>
    <row r="65">
      <c r="B65" s="490" t="inlineStr">
        <is>
          <t>G. ГОСПОДДЕРЖКА (State Support, Base (Базовый))</t>
        </is>
      </c>
    </row>
    <row r="66" ht="20" customHeight="1" s="468">
      <c r="B66" s="486" t="n">
        <v>40</v>
      </c>
      <c r="C66" s="487" t="n"/>
      <c r="D66" s="487" t="n"/>
      <c r="E66" s="487" t="n"/>
      <c r="F66" s="488" t="n"/>
    </row>
    <row r="67" ht="18" customHeight="1" s="468">
      <c r="B67" s="486" t="n">
        <v>41</v>
      </c>
      <c r="C67" s="507" t="inlineStr">
        <is>
          <t>Доля господдержки (Min)</t>
        </is>
      </c>
      <c r="D67" s="6" t="n">
        <v>0</v>
      </c>
      <c r="E67" s="486" t="inlineStr">
        <is>
          <t>%</t>
        </is>
      </c>
      <c r="F67" s="7" t="inlineStr">
        <is>
          <t>Sensitivity (Чувствительность) lower bound</t>
        </is>
      </c>
    </row>
    <row r="68" ht="18" customHeight="1" s="468">
      <c r="B68" s="486" t="n">
        <v>42</v>
      </c>
      <c r="C68" s="507" t="inlineStr">
        <is>
          <t>Доля господдержки (Max)</t>
        </is>
      </c>
      <c r="D68" s="6" t="n">
        <v>0.35</v>
      </c>
      <c r="E68" s="486" t="inlineStr">
        <is>
          <t>%</t>
        </is>
      </c>
      <c r="F68" s="7" t="inlineStr">
        <is>
          <t>Sensitivity (Чувствительность) upper bound</t>
        </is>
      </c>
    </row>
    <row r="69" ht="18" customHeight="1" s="468">
      <c r="B69" s="486" t="n">
        <v>43</v>
      </c>
      <c r="C69" s="507" t="inlineStr">
        <is>
          <t>Из них: Фонд кино (%)</t>
        </is>
      </c>
      <c r="D69" s="6" t="n">
        <v>0.6</v>
      </c>
      <c r="E69" s="486" t="inlineStr">
        <is>
          <t>%</t>
        </is>
      </c>
      <c r="F69" s="7" t="inlineStr">
        <is>
          <t>Самый значимый источник</t>
        </is>
      </c>
    </row>
    <row r="70" ht="18" customHeight="1" s="468">
      <c r="B70" s="486" t="n">
        <v>44</v>
      </c>
      <c r="C70" s="507" t="inlineStr">
        <is>
          <t>Из них: Минкульт (%)</t>
        </is>
      </c>
      <c r="D70" s="6" t="n">
        <v>0.25</v>
      </c>
      <c r="E70" s="486" t="inlineStr">
        <is>
          <t>%</t>
        </is>
      </c>
      <c r="F70" s="7" t="inlineStr">
        <is>
          <t>Невозвратные гранты</t>
        </is>
      </c>
    </row>
    <row r="71" ht="18" customHeight="1" s="468">
      <c r="B71" s="486" t="n">
        <v>45</v>
      </c>
      <c r="C71" s="507" t="inlineStr">
        <is>
          <t>Из них: ИРИ (%)</t>
        </is>
      </c>
      <c r="D71" s="6" t="n">
        <v>0.15</v>
      </c>
      <c r="E71" s="486" t="inlineStr">
        <is>
          <t>%</t>
        </is>
      </c>
      <c r="F71" s="7" t="inlineStr">
        <is>
          <t>Интернет-контент/цифровизация</t>
        </is>
      </c>
    </row>
    <row r="72" ht="18" customHeight="1" s="468">
      <c r="B72" s="486" t="n">
        <v>46</v>
      </c>
      <c r="C72" s="507" t="inlineStr">
        <is>
          <t>Безвозвратная часть (% от господдержки)</t>
        </is>
      </c>
      <c r="D72" s="6" t="n">
        <v>0.7</v>
      </c>
      <c r="E72" s="486" t="inlineStr">
        <is>
          <t>%</t>
        </is>
      </c>
      <c r="F72" s="7" t="inlineStr">
        <is>
          <t>Грант или заём</t>
        </is>
      </c>
    </row>
    <row r="74" ht="20" customHeight="1" s="468">
      <c r="B74" s="663" t="inlineStr">
        <is>
          <t>H. FOT (фонд оплаты труда) / ШТАТ (Модель A₁ Fixed (Фиксированный), Холдинг Кино.xlsx)</t>
        </is>
      </c>
    </row>
    <row r="75" ht="18" customHeight="1" s="468">
      <c r="B75" s="486" t="n">
        <v>47</v>
      </c>
      <c r="C75" s="507" t="inlineStr">
        <is>
          <t>Штат (фиксированный)</t>
        </is>
      </c>
      <c r="D75" s="9" t="n">
        <v>50</v>
      </c>
      <c r="E75" s="486" t="inlineStr">
        <is>
          <t>чел</t>
        </is>
      </c>
      <c r="F75" s="7" t="inlineStr">
        <is>
          <t>Оригинальная структура</t>
        </is>
      </c>
    </row>
    <row r="76" ht="18" customHeight="1" s="468">
      <c r="B76" s="486" t="n">
        <v>48</v>
      </c>
      <c r="C76" s="507" t="inlineStr">
        <is>
          <t>ФОТ gross</t>
        </is>
      </c>
      <c r="D76" s="11" t="n">
        <v>4740000</v>
      </c>
      <c r="E76" s="486" t="inlineStr">
        <is>
          <t>₽/мес</t>
        </is>
      </c>
      <c r="F76" s="7" t="inlineStr">
        <is>
          <t>До страховых</t>
        </is>
      </c>
    </row>
    <row r="77" ht="18" customHeight="1" s="468">
      <c r="B77" s="486" t="n">
        <v>49</v>
      </c>
      <c r="C77" s="507" t="inlineStr">
        <is>
          <t>Страховые взносы (30%)</t>
        </is>
      </c>
      <c r="D77" s="11" t="n">
        <v>1422000</v>
      </c>
      <c r="E77" s="486" t="inlineStr">
        <is>
          <t>₽/мес</t>
        </is>
      </c>
      <c r="F77" s="7" t="inlineStr">
        <is>
          <t>ПФР+ФОМС+ФСС</t>
        </is>
      </c>
    </row>
    <row r="78" ht="18" customHeight="1" s="468">
      <c r="B78" s="486" t="n">
        <v>50</v>
      </c>
      <c r="C78" s="507" t="inlineStr">
        <is>
          <t>ФОТ с налогами (месячный)</t>
        </is>
      </c>
      <c r="D78" s="11" t="n">
        <v>6162000</v>
      </c>
      <c r="E78" s="486" t="inlineStr">
        <is>
          <t>₽/мес</t>
        </is>
      </c>
      <c r="F78" s="7" t="inlineStr">
        <is>
          <t>Итоговая стоимость работодателя</t>
        </is>
      </c>
    </row>
    <row r="79" ht="18" customHeight="1" s="468">
      <c r="B79" s="486" t="n">
        <v>51</v>
      </c>
      <c r="C79" s="507" t="inlineStr">
        <is>
          <t>ФОТ годовой (A₁ fixed)</t>
        </is>
      </c>
      <c r="D79" s="8" t="n">
        <v>73.944</v>
      </c>
      <c r="E79" s="486" t="inlineStr">
        <is>
          <t>млн ₽</t>
        </is>
      </c>
      <c r="F79" s="7" t="inlineStr">
        <is>
          <t>× 12 мес</t>
        </is>
      </c>
    </row>
    <row r="80">
      <c r="B80" s="486" t="n">
        <v>52</v>
      </c>
      <c r="C80" s="507" t="inlineStr">
        <is>
          <t>ФОТ за 3 года (A₁ fixed)</t>
        </is>
      </c>
      <c r="D80" s="8" t="n">
        <v>221.832</v>
      </c>
      <c r="E80" s="486" t="inlineStr">
        <is>
          <t>млн ₽</t>
        </is>
      </c>
      <c r="F80" s="7" t="inlineStr">
        <is>
          <t>× 36 мес, без индексации</t>
        </is>
      </c>
    </row>
    <row r="81" ht="20" customHeight="1" s="468">
      <c r="B81" s="665" t="n"/>
    </row>
    <row r="82" ht="18" customHeight="1" s="468">
      <c r="B82" s="490" t="inlineStr">
        <is>
          <t>I. FOT (фонд оплаты труда) / ШТАТ (Модель A₂ Full Dynamic (Динамический))</t>
        </is>
      </c>
    </row>
    <row r="83" ht="18" customHeight="1" s="468">
      <c r="B83" s="486" t="n">
        <v>53</v>
      </c>
      <c r="C83" s="507" t="inlineStr">
        <is>
          <t>Штат 2026</t>
        </is>
      </c>
      <c r="D83" s="9" t="n">
        <v>50</v>
      </c>
      <c r="E83" s="486" t="inlineStr">
        <is>
          <t>чел</t>
        </is>
      </c>
      <c r="F83" s="7" t="inlineStr">
        <is>
          <t>Базовый</t>
        </is>
      </c>
    </row>
    <row r="84" ht="18" customHeight="1" s="468">
      <c r="B84" s="486" t="n">
        <v>54</v>
      </c>
      <c r="C84" s="507" t="inlineStr">
        <is>
          <t>Штат 2027</t>
        </is>
      </c>
      <c r="D84" s="9" t="n">
        <v>60</v>
      </c>
      <c r="E84" s="486" t="inlineStr">
        <is>
          <t>чел</t>
        </is>
      </c>
      <c r="F84" s="7" t="inlineStr">
        <is>
          <t>+10 (расширение)</t>
        </is>
      </c>
    </row>
    <row r="85" ht="18" customHeight="1" s="468">
      <c r="B85" s="486" t="n">
        <v>55</v>
      </c>
      <c r="C85" s="507" t="inlineStr">
        <is>
          <t>Штат 2028</t>
        </is>
      </c>
      <c r="D85" s="9" t="n">
        <v>70</v>
      </c>
      <c r="E85" s="486" t="inlineStr">
        <is>
          <t>чел</t>
        </is>
      </c>
      <c r="F85" s="7" t="inlineStr">
        <is>
          <t>+10 (пре-IPO команда)</t>
        </is>
      </c>
    </row>
    <row r="86" ht="18" customHeight="1" s="468">
      <c r="B86" s="486" t="n">
        <v>56</v>
      </c>
      <c r="C86" s="507" t="inlineStr">
        <is>
          <t>Индексация окладов (годовая)</t>
        </is>
      </c>
      <c r="D86" s="6" t="n">
        <v>0.07000000000000001</v>
      </c>
      <c r="E86" s="486" t="inlineStr">
        <is>
          <t>%</t>
        </is>
      </c>
      <c r="F86" s="7" t="inlineStr">
        <is>
          <t>CPI + премия, 7%</t>
        </is>
      </c>
    </row>
    <row r="87">
      <c r="B87" s="486" t="n">
        <v>57</v>
      </c>
      <c r="C87" s="507" t="inlineStr">
        <is>
          <t>Премиальный фонд (% от ФОТ)</t>
        </is>
      </c>
      <c r="D87" s="6" t="n">
        <v>0.15</v>
      </c>
      <c r="E87" s="486" t="inlineStr">
        <is>
          <t>%</t>
        </is>
      </c>
      <c r="F87" s="7" t="inlineStr">
        <is>
          <t>KPI (ключевые показатели)-bonus</t>
        </is>
      </c>
    </row>
    <row r="88" ht="20" customHeight="1" s="468">
      <c r="B88" s="665" t="n"/>
    </row>
    <row r="89" ht="18" customHeight="1" s="468">
      <c r="B89" s="490" t="inlineStr">
        <is>
          <t>J. OPEX (Операционные расходы)</t>
        </is>
      </c>
    </row>
    <row r="90" ht="18" customHeight="1" s="468">
      <c r="B90" s="486" t="n">
        <v>58</v>
      </c>
      <c r="C90" s="507" t="inlineStr">
        <is>
          <t>Аренда офиса (годовая)</t>
        </is>
      </c>
      <c r="D90" s="8" t="n">
        <v>8.25</v>
      </c>
      <c r="E90" s="486" t="inlineStr">
        <is>
          <t>млн ₽</t>
        </is>
      </c>
      <c r="F90" s="7" t="inlineStr">
        <is>
          <t>750 м² × 11000 × 12 / 12 мес</t>
        </is>
      </c>
    </row>
    <row r="91" ht="18" customHeight="1" s="468">
      <c r="B91" s="486" t="n">
        <v>59</v>
      </c>
      <c r="C91" s="507" t="inlineStr">
        <is>
          <t>Коммунальные платежи</t>
        </is>
      </c>
      <c r="D91" s="8" t="n">
        <v>0.396</v>
      </c>
      <c r="E91" s="486" t="inlineStr">
        <is>
          <t>млн ₽</t>
        </is>
      </c>
      <c r="F91" s="7" t="inlineStr">
        <is>
          <t>33 т.р./мес × 12</t>
        </is>
      </c>
    </row>
    <row r="92" ht="18" customHeight="1" s="468">
      <c r="B92" s="486" t="n">
        <v>60</v>
      </c>
      <c r="C92" s="507" t="inlineStr">
        <is>
          <t>Прочие OPEX (Операционные расходы)</t>
        </is>
      </c>
      <c r="D92" s="8" t="n">
        <v>5.916</v>
      </c>
      <c r="E92" s="486" t="inlineStr">
        <is>
          <t>млн ₽</t>
        </is>
      </c>
      <c r="F92" s="7" t="inlineStr">
        <is>
          <t>Командировки, связь, ПО и пр.</t>
        </is>
      </c>
    </row>
    <row r="93" ht="18" customHeight="1" s="468">
      <c r="B93" s="486" t="n">
        <v>61</v>
      </c>
      <c r="C93" s="507" t="inlineStr">
        <is>
          <t>Итого OPEX (Операционные расходы) без ФОТ (годовой)</t>
        </is>
      </c>
      <c r="D93" s="8" t="n">
        <v>14.562</v>
      </c>
      <c r="E93" s="486" t="inlineStr">
        <is>
          <t>млн ₽</t>
        </is>
      </c>
      <c r="F93" s="7" t="inlineStr">
        <is>
          <t>Аренда + ком + прочие</t>
        </is>
      </c>
    </row>
    <row r="94">
      <c r="B94" s="486" t="n">
        <v>62</v>
      </c>
      <c r="C94" s="507" t="inlineStr">
        <is>
          <t>Итого OPEX (Операционные расходы) с ФОТ A₁ (годовой)</t>
        </is>
      </c>
      <c r="D94" s="8" t="n">
        <v>88.506</v>
      </c>
      <c r="E94" s="486" t="inlineStr">
        <is>
          <t>млн ₽</t>
        </is>
      </c>
      <c r="F94" s="7" t="inlineStr">
        <is>
          <t>Соответствует Холдинг Кино.xlsx</t>
        </is>
      </c>
    </row>
    <row r="95" ht="20" customHeight="1" s="468">
      <c r="B95" s="665" t="n"/>
    </row>
    <row r="96" ht="18" customHeight="1" s="468">
      <c r="B96" s="490" t="inlineStr">
        <is>
          <t>K. COGS (себестоимость) / ПРОИЗВОДСТВО</t>
        </is>
      </c>
    </row>
    <row r="97" ht="18" customHeight="1" s="468">
      <c r="B97" s="486" t="n">
        <v>63</v>
      </c>
      <c r="C97" s="507" t="inlineStr">
        <is>
          <t>Total (Итого) content budget (бюджет)</t>
        </is>
      </c>
      <c r="D97" s="8" t="n">
        <v>1850</v>
      </c>
      <c r="E97" s="486" t="inlineStr">
        <is>
          <t>млн ₽</t>
        </is>
      </c>
      <c r="F97" s="7" t="inlineStr">
        <is>
          <t>Бюджет 12 фильмов</t>
        </is>
      </c>
    </row>
    <row r="98" ht="18" customHeight="1" s="468">
      <c r="B98" s="486" t="n">
        <v>64</v>
      </c>
      <c r="C98" s="507" t="inlineStr">
        <is>
          <t>Средний бюджет 1 фильма</t>
        </is>
      </c>
      <c r="D98" s="8" t="n">
        <v>154.2</v>
      </c>
      <c r="E98" s="486" t="inlineStr">
        <is>
          <t>млн ₽</t>
        </is>
      </c>
      <c r="F98" s="7" t="inlineStr">
        <is>
          <t>1850 / 12</t>
        </is>
      </c>
    </row>
    <row r="99" ht="18" customHeight="1" s="468">
      <c r="B99" s="486" t="n">
        <v>65</v>
      </c>
      <c r="C99" s="507" t="inlineStr">
        <is>
          <t>Производственный цикл (мес)</t>
        </is>
      </c>
      <c r="D99" s="9" t="n">
        <v>18</v>
      </c>
      <c r="E99" s="486" t="inlineStr">
        <is>
          <t>мес</t>
        </is>
      </c>
      <c r="F99" s="7" t="inlineStr">
        <is>
          <t>Предпродакшн 6 + продакшн 6 + постпродакшн 6</t>
        </is>
      </c>
    </row>
    <row r="100" ht="18" customHeight="1" s="468">
      <c r="B100" s="486" t="n">
        <v>66</v>
      </c>
      <c r="C100" s="507" t="inlineStr">
        <is>
          <t>Amortization (Амортизация) пленки (мес после релиза)</t>
        </is>
      </c>
      <c r="D100" s="9" t="n">
        <v>12</v>
      </c>
      <c r="E100" s="486" t="inlineStr">
        <is>
          <t>мес</t>
        </is>
      </c>
      <c r="F100" s="7" t="inlineStr">
        <is>
          <t>Линейная амортизация 12 мес</t>
        </is>
      </c>
    </row>
    <row r="101">
      <c r="B101" s="486" t="n">
        <v>67</v>
      </c>
      <c r="C101" s="507" t="inlineStr">
        <is>
          <t>Маркетинг P&amp;A (тиражирование и реклама) (% от бюджета)</t>
        </is>
      </c>
      <c r="D101" s="6" t="n">
        <v>0.15</v>
      </c>
      <c r="E101" s="486" t="inlineStr">
        <is>
          <t>%</t>
        </is>
      </c>
      <c r="F101" s="7" t="inlineStr">
        <is>
          <t>Prints &amp; Advertising (Тиражирование и реклама)</t>
        </is>
      </c>
    </row>
    <row r="102" ht="20" customHeight="1" s="468">
      <c r="B102" s="665" t="n"/>
    </row>
    <row r="103" ht="18" customHeight="1" s="468">
      <c r="B103" s="490" t="inlineStr">
        <is>
          <t>L. ОБОРОТНЫЙ КАПИТАЛ</t>
        </is>
      </c>
    </row>
    <row r="104" ht="18" customHeight="1" s="468">
      <c r="B104" s="486" t="n">
        <v>68</v>
      </c>
      <c r="C104" s="507" t="inlineStr">
        <is>
          <t>DSO (дни дебиторки)</t>
        </is>
      </c>
      <c r="D104" s="9" t="n">
        <v>45</v>
      </c>
      <c r="E104" s="486" t="inlineStr">
        <is>
          <t>дн</t>
        </is>
      </c>
      <c r="F104" s="7" t="inlineStr">
        <is>
          <t>Дебиторка от прокатчиков/стримингов</t>
        </is>
      </c>
    </row>
    <row r="105" ht="18" customHeight="1" s="468">
      <c r="B105" s="486" t="n">
        <v>69</v>
      </c>
      <c r="C105" s="507" t="inlineStr">
        <is>
          <t>DPO (дни кредиторки)</t>
        </is>
      </c>
      <c r="D105" s="9" t="n">
        <v>30</v>
      </c>
      <c r="E105" s="486" t="inlineStr">
        <is>
          <t>дн</t>
        </is>
      </c>
      <c r="F105" s="7" t="inlineStr">
        <is>
          <t>Кредиторка поставщикам</t>
        </is>
      </c>
    </row>
    <row r="106" ht="18" customHeight="1" s="468">
      <c r="B106" s="486" t="n">
        <v>70</v>
      </c>
      <c r="C106" s="507" t="inlineStr">
        <is>
          <t>DIO (дни запасов)</t>
        </is>
      </c>
      <c r="D106" s="9" t="n">
        <v>60</v>
      </c>
      <c r="E106" s="486" t="inlineStr">
        <is>
          <t>дн</t>
        </is>
      </c>
      <c r="F106" s="7" t="inlineStr">
        <is>
          <t>Незавершённое производство</t>
        </is>
      </c>
    </row>
    <row r="107" ht="18" customHeight="1" s="468">
      <c r="B107" s="486" t="n">
        <v>71</v>
      </c>
      <c r="C107" s="507" t="inlineStr">
        <is>
          <t>Cash (Денежные средства) Conversion Cycle</t>
        </is>
      </c>
      <c r="D107" s="9" t="n">
        <v>75</v>
      </c>
      <c r="E107" s="486" t="inlineStr">
        <is>
          <t>дн</t>
        </is>
      </c>
      <c r="F107" s="7" t="inlineStr">
        <is>
          <t>DSO (дни дебиторки)+DIO (дни запасов)−DPO (дни кредиторки)</t>
        </is>
      </c>
    </row>
    <row r="108" ht="18" customHeight="1" s="468">
      <c r="B108" s="486" t="n">
        <v>72</v>
      </c>
      <c r="C108" s="507" t="inlineStr">
        <is>
          <t>Минимальный кассовый остаток</t>
        </is>
      </c>
      <c r="D108" s="8" t="n">
        <v>50</v>
      </c>
      <c r="E108" s="486" t="inlineStr">
        <is>
          <t>млн ₽</t>
        </is>
      </c>
      <c r="F108" s="7" t="inlineStr">
        <is>
          <t>Подушка безопасности</t>
        </is>
      </c>
    </row>
    <row r="109" ht="18" customHeight="1" s="468"/>
    <row r="110" ht="18" customHeight="1" s="468">
      <c r="B110" s="490" t="inlineStr">
        <is>
          <t>M. ВЫХОД / ОЦЕНКА (ОЦЕНКА)</t>
        </is>
      </c>
    </row>
    <row r="111">
      <c r="B111" s="486" t="n">
        <v>73</v>
      </c>
      <c r="C111" s="507" t="inlineStr">
        <is>
          <t>EV/EBITDA Bear (Пессимистичный)</t>
        </is>
      </c>
      <c r="D111" s="10" t="n">
        <v>3</v>
      </c>
      <c r="E111" s="486" t="inlineStr">
        <is>
          <t>×</t>
        </is>
      </c>
      <c r="F111" s="7" t="inlineStr">
        <is>
          <t>Нижняя граница рос. медиа</t>
        </is>
      </c>
    </row>
    <row r="112" ht="22" customHeight="1" s="468">
      <c r="B112" s="486" t="n">
        <v>74</v>
      </c>
      <c r="C112" s="487" t="n"/>
      <c r="D112" s="487" t="n"/>
      <c r="E112" s="487" t="n"/>
      <c r="F112" s="488" t="n"/>
    </row>
    <row r="113">
      <c r="B113" s="486" t="n">
        <v>75</v>
      </c>
      <c r="C113" s="507" t="inlineStr">
        <is>
          <t>EV/EBITDA Bull (Оптимистичный)</t>
        </is>
      </c>
      <c r="D113" s="10" t="n">
        <v>7</v>
      </c>
      <c r="E113" s="486" t="inlineStr">
        <is>
          <t>×</t>
        </is>
      </c>
      <c r="F113" s="7" t="inlineStr">
        <is>
          <t>Russian media upper bound / premium (премия)</t>
        </is>
      </c>
    </row>
    <row r="114" ht="22" customHeight="1" s="468">
      <c r="B114" s="486" t="n">
        <v>76</v>
      </c>
      <c r="C114" s="487" t="n"/>
      <c r="D114" s="487" t="n"/>
      <c r="E114" s="488" t="n"/>
      <c r="F114" s="7" t="inlineStr">
        <is>
          <t>Q4 2028</t>
        </is>
      </c>
    </row>
    <row r="115" ht="36" customHeight="1" s="468">
      <c r="B115" s="486" t="n">
        <v>77</v>
      </c>
      <c r="C115" s="487" t="n"/>
      <c r="D115" s="487" t="n"/>
      <c r="E115" s="488" t="n"/>
      <c r="F115" s="7" t="inlineStr">
        <is>
          <t>Q4 2030</t>
        </is>
      </c>
    </row>
    <row r="116">
      <c r="B116" s="486" t="n">
        <v>78</v>
      </c>
      <c r="C116" s="507" t="inlineStr">
        <is>
          <t>Горизонт выхода (Горизонт выхода) 3 (Y7)</t>
        </is>
      </c>
      <c r="D116" s="9" t="n">
        <v>2032</v>
      </c>
      <c r="E116" s="486" t="inlineStr">
        <is>
          <t>год</t>
        </is>
      </c>
      <c r="F116" s="7" t="inlineStr">
        <is>
          <t>Q4 2032</t>
        </is>
      </c>
    </row>
    <row r="117" ht="18" customHeight="1" s="468">
      <c r="B117" s="486" t="n">
        <v>79</v>
      </c>
      <c r="C117" s="507" t="inlineStr">
        <is>
          <t>Target IRR (внутренняя норма доходности)</t>
        </is>
      </c>
      <c r="D117" s="6" t="n">
        <v>0.3</v>
      </c>
      <c r="E117" s="486" t="inlineStr">
        <is>
          <t>%</t>
        </is>
      </c>
      <c r="F117" s="7" t="inlineStr">
        <is>
          <t>30% minimum hurdle (порог) rate</t>
        </is>
      </c>
    </row>
    <row r="118" ht="20" customHeight="1" s="468">
      <c r="B118" s="486" t="n">
        <v>80</v>
      </c>
      <c r="C118" s="507" t="inlineStr">
        <is>
          <t>Target MOIC (мультипликатор вложенного капитала)</t>
        </is>
      </c>
      <c r="D118" s="10" t="n">
        <v>2.5</v>
      </c>
      <c r="E118" s="486" t="inlineStr">
        <is>
          <t>×</t>
        </is>
      </c>
      <c r="F118" s="7" t="inlineStr">
        <is>
          <t>Multiple (Мультипликатор) of Invested Capital (Капитал)</t>
        </is>
      </c>
    </row>
    <row r="119" ht="20" customHeight="1" s="468"/>
    <row r="120" ht="20" customHeight="1" s="468">
      <c r="B120" s="12" t="inlineStr">
        <is>
          <t>ВСЕГО ДОПУЩЕНИЙ: 88  ·  Блоков: 13  ·  Якорь EBITDA (прибыль до вычетов) 2026–2028 = 3 000 млн ₽  ·  Waterfall (Каскад): 4 варианта (default (по умолчанию) W₃)</t>
        </is>
      </c>
    </row>
    <row r="121" ht="20" customHeight="1" s="468"/>
    <row r="122" ht="20" customHeight="1" s="468">
      <c r="B122" s="522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510" t="n"/>
      <c r="D122" s="510" t="n"/>
      <c r="E122" s="464" t="n"/>
    </row>
    <row r="123" ht="20" customHeight="1" s="468">
      <c r="B123" s="111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479" t="inlineStr">
        <is>
          <t>#</t>
        </is>
      </c>
      <c r="C125" s="473" t="n"/>
      <c r="D125" s="473" t="n"/>
      <c r="E125" s="466" t="n"/>
    </row>
    <row r="126" ht="18" customHeight="1" s="468">
      <c r="B126" s="465" t="inlineStr">
        <is>
          <t>1</t>
        </is>
      </c>
      <c r="C126" s="472" t="inlineStr">
        <is>
          <t>EBITDA (прибыль до вычетов) GAAP, standard Σ 2026–2028</t>
        </is>
      </c>
      <c r="D126" s="515" t="n">
        <v>2152</v>
      </c>
      <c r="E126" s="113" t="inlineStr">
        <is>
          <t>Revenue (Выручка) 4545 − COGS (себестоимость) 2127.5 − OpEx 265.5</t>
        </is>
      </c>
    </row>
    <row r="127" ht="18" customHeight="1" s="468">
      <c r="B127" s="465" t="inlineStr">
        <is>
          <t>2</t>
        </is>
      </c>
      <c r="C127" s="472" t="inlineStr">
        <is>
          <t>(+) Add-back: Producer equity contribution (вклад продюсера в капитал)</t>
        </is>
      </c>
      <c r="D127" s="515" t="n">
        <v>600</v>
      </c>
      <c r="E127" s="113" t="inlineStr">
        <is>
          <t>Участие продюсера (off-P&amp;L minority interest / JV (совместное предприятие) capital (капитал))</t>
        </is>
      </c>
    </row>
    <row r="128" ht="18" customHeight="1" s="468">
      <c r="B128" s="465" t="inlineStr">
        <is>
          <t>3</t>
        </is>
      </c>
      <c r="C128" s="472" t="inlineStr">
        <is>
          <t>(+) Add-back: Working capital (капитал) release &amp; gov credit timing</t>
        </is>
      </c>
      <c r="D128" s="515" t="n">
        <v>248</v>
      </c>
      <c r="E128" s="113" t="inlineStr">
        <is>
          <t>Высвобождение WC и налоговый кредит за периметром P&amp;L</t>
        </is>
      </c>
    </row>
    <row r="129" ht="18" customHeight="1" s="468">
      <c r="B129" s="517" t="inlineStr">
        <is>
          <t>=</t>
        </is>
      </c>
      <c r="C129" s="513" t="inlineStr">
        <is>
          <t>NDP (чистые распределяемые поступления) Σ (legacy v1.4.4 anchor (якорь))</t>
        </is>
      </c>
      <c r="D129" s="518" t="n">
        <v>3000</v>
      </c>
      <c r="E129" s="117" t="inlineStr">
        <is>
          <t>Cумма распределяемых cash flows к пайщикам</t>
        </is>
      </c>
    </row>
    <row r="130" ht="18" customHeight="1" s="468">
      <c r="B130" s="465" t="inlineStr">
        <is>
          <t>4</t>
        </is>
      </c>
      <c r="C130" s="472" t="inlineStr">
        <is>
          <t>(−) Producer share (доля продюсера) (waterfall W₃ default · 60/40 от residual (остаток) после Liq Pref + coupon)</t>
        </is>
      </c>
      <c r="D130" s="515" t="n">
        <v>-500</v>
      </c>
      <c r="E130" s="113" t="inlineStr">
        <is>
          <t>Под W₃: producer = 40% × residual (остаток) 1250 = 500 млн ₽</t>
        </is>
      </c>
    </row>
    <row r="131" ht="18" customHeight="1" s="468">
      <c r="B131" s="517" t="inlineStr">
        <is>
          <t>=</t>
        </is>
      </c>
      <c r="C131" s="513" t="inlineStr">
        <is>
          <t>Investor (Инвестор) net distributable proceeds</t>
        </is>
      </c>
      <c r="D131" s="518" t="n">
        <v>2500</v>
      </c>
      <c r="E131" s="117" t="inlineStr">
        <is>
          <t>Под W₃: 1250 Liq Pref (Ликвидационная привилегия) + 500 coupon (купон) + 750 carried (60% × 1250)</t>
        </is>
      </c>
    </row>
    <row r="132" ht="18" customHeight="1" s="468"/>
    <row r="133" ht="18" customHeight="1" s="468">
      <c r="B133" s="118" t="inlineStr">
        <is>
          <t>Ключевые параметры JV (совместное предприятие)-интерпретации:</t>
        </is>
      </c>
    </row>
    <row r="134" ht="65" customHeight="1" s="468">
      <c r="B134" s="465" t="inlineStr">
        <is>
          <t>N.01</t>
        </is>
      </c>
      <c r="C134" s="472" t="inlineStr">
        <is>
          <t>Investor (Инвестор) funded production cost</t>
        </is>
      </c>
      <c r="D134" s="119" t="n">
        <v>1250</v>
      </c>
      <c r="E134" s="514" t="inlineStr">
        <is>
          <t>млн ₽  ·  T₁ Legacy (Базовый вариант), 4 транша 20/28/28/24%</t>
        </is>
      </c>
    </row>
    <row r="135" ht="52" customHeight="1" s="468">
      <c r="B135" s="465" t="inlineStr">
        <is>
          <t>N.02</t>
        </is>
      </c>
      <c r="C135" s="472" t="inlineStr">
        <is>
          <t>Producer equity contribution (вклад продюсера в капитал) (off-P&amp;L)</t>
        </is>
      </c>
      <c r="D135" s="119" t="n">
        <v>600</v>
      </c>
      <c r="E135" s="514" t="inlineStr">
        <is>
          <t>млн ₽  ·  Вклад продюсера в JV (совместное предприятие)</t>
        </is>
      </c>
    </row>
    <row r="136" ht="65" customHeight="1" s="468">
      <c r="B136" s="465" t="inlineStr">
        <is>
          <t>N.03</t>
        </is>
      </c>
      <c r="C136" s="472" t="inlineStr">
        <is>
          <t>Total production budget (итого производственный бюджет) (consolidated COGS (себестоимость))</t>
        </is>
      </c>
      <c r="D136" s="119" t="n">
        <v>1850</v>
      </c>
      <c r="E136" s="514" t="inlineStr">
        <is>
          <t>млн ₽  ·  12 фильмов, средний бюджет 154 млн</t>
        </is>
      </c>
    </row>
    <row r="137" ht="39" customHeight="1" s="468">
      <c r="B137" s="465" t="inlineStr">
        <is>
          <t>N.04</t>
        </is>
      </c>
      <c r="C137" s="472" t="inlineStr">
        <is>
          <t>P&amp;A (тиражирование и реклама) (Prints &amp; Advertising (Тиражирование и реклама))</t>
        </is>
      </c>
      <c r="D137" s="121" t="n">
        <v>277.5</v>
      </c>
      <c r="E137" s="514" t="inlineStr">
        <is>
          <t>млн ₽  ·  6.1% от выручки 4545</t>
        </is>
      </c>
    </row>
    <row r="138" ht="39" customHeight="1" s="468">
      <c r="B138" s="465" t="inlineStr">
        <is>
          <t>N.05</t>
        </is>
      </c>
      <c r="C138" s="472" t="inlineStr">
        <is>
          <t>Waterfall split (разделение каскада) (default (по умолчанию) W₃ Liq Pref (Ликвидационная привилегия))</t>
        </is>
      </c>
      <c r="D138" s="122" t="inlineStr">
        <is>
          <t>1× + 8%</t>
        </is>
      </c>
      <c r="E138" s="514" t="inlineStr">
        <is>
          <t>—  ·  Инвестор / Продюсер</t>
        </is>
      </c>
    </row>
    <row r="139" ht="39" customHeight="1" s="468">
      <c r="B139" s="465" t="inlineStr">
        <is>
          <t>N.06</t>
        </is>
      </c>
      <c r="C139" s="472" t="inlineStr">
        <is>
          <t>NDP (чистые распределяемые поступления) anchor (якорь) (legacy (базовый вариант) v1.4.4)</t>
        </is>
      </c>
      <c r="D139" s="119" t="n">
        <v>3000</v>
      </c>
      <c r="E139" s="514" t="inlineStr">
        <is>
          <t>млн ₽  ·  Инвариант, закреплено</t>
        </is>
      </c>
    </row>
    <row r="140" ht="39" customHeight="1" s="468">
      <c r="B140" s="465" t="inlineStr">
        <is>
          <t>N.07</t>
        </is>
      </c>
      <c r="C140" s="472" t="inlineStr">
        <is>
          <t>EBITDA (прибыль до вычетов) GAAP Σ 2026–2028</t>
        </is>
      </c>
      <c r="D140" s="119" t="n">
        <v>2152</v>
      </c>
      <c r="E140" s="514" t="inlineStr">
        <is>
          <t>млн ₽  ·  Расчёт по стандарту</t>
        </is>
      </c>
    </row>
    <row r="141" ht="52" customHeight="1" s="468">
      <c r="B141" s="465" t="inlineStr">
        <is>
          <t>N.08</t>
        </is>
      </c>
      <c r="C141" s="472" t="inlineStr">
        <is>
          <t>Net Profit (Чистая прибыль) Σ 2026–2028</t>
        </is>
      </c>
      <c r="D141" s="119" t="n">
        <v>1689</v>
      </c>
      <c r="E141" s="514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/>
  <cols>
    <col width="2" customWidth="1" style="468" min="1" max="1"/>
    <col width="12" customWidth="1" style="468" min="2" max="2"/>
    <col width="14" customWidth="1" style="468" min="3" max="3"/>
    <col width="22" customWidth="1" style="468" min="4" max="4"/>
    <col width="70" customWidth="1" style="468" min="5" max="5"/>
    <col width="18" customWidth="1" style="468" min="6" max="6"/>
    <col width="2" customWidth="1" style="468" min="7" max="7"/>
  </cols>
  <sheetData>
    <row r="2" ht="30" customHeight="1" s="468">
      <c r="B2" s="661" t="inlineStr">
        <is>
          <t>ЖУРНАЛ ИЗМЕНЕНИЙ (Change Log (Журнал изменений))</t>
        </is>
      </c>
    </row>
    <row r="3">
      <c r="B3" s="662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 s="468">
      <c r="B5" s="3" t="inlineStr">
        <is>
          <t>Версия</t>
        </is>
      </c>
      <c r="C5" s="3" t="inlineStr">
        <is>
          <t>Дата</t>
        </is>
      </c>
      <c r="D5" s="3" t="inlineStr">
        <is>
          <t>Автор</t>
        </is>
      </c>
      <c r="E5" s="3" t="inlineStr">
        <is>
          <t>Описание изменения</t>
        </is>
      </c>
      <c r="F5" s="3" t="inlineStr">
        <is>
          <t>Статус</t>
        </is>
      </c>
    </row>
    <row r="6" ht="36" customHeight="1" s="468">
      <c r="B6" s="13" t="inlineStr">
        <is>
          <t>v0.1</t>
        </is>
      </c>
      <c r="C6" s="14" t="inlineStr">
        <is>
          <t>05.04.2026</t>
        </is>
      </c>
      <c r="D6" s="507" t="inlineStr">
        <is>
          <t>Команда ТрендСтудио</t>
        </is>
      </c>
      <c r="E6" s="15" t="inlineStr">
        <is>
          <t>Каркас модели: определение структуры 14 листов (Уровень 1)</t>
        </is>
      </c>
      <c r="F6" s="16" t="inlineStr">
        <is>
          <t>Архивировано</t>
        </is>
      </c>
    </row>
    <row r="7" ht="36" customHeight="1" s="468">
      <c r="B7" s="13" t="inlineStr">
        <is>
          <t>v0.2</t>
        </is>
      </c>
      <c r="C7" s="14" t="inlineStr">
        <is>
          <t>06.04.2026</t>
        </is>
      </c>
      <c r="D7" s="507" t="inlineStr">
        <is>
          <t>Команда ТрендСтудио</t>
        </is>
      </c>
      <c r="E7" s="15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16" t="inlineStr">
        <is>
          <t>Архивировано</t>
        </is>
      </c>
    </row>
    <row r="8" ht="36" customHeight="1" s="468">
      <c r="B8" s="13" t="inlineStr">
        <is>
          <t>v0.3</t>
        </is>
      </c>
      <c r="C8" s="14" t="inlineStr">
        <is>
          <t>07.04.2026</t>
        </is>
      </c>
      <c r="D8" s="507" t="inlineStr">
        <is>
          <t>Команда ТрендСтудио</t>
        </is>
      </c>
      <c r="E8" s="15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16" t="inlineStr">
        <is>
          <t>Архивировано</t>
        </is>
      </c>
    </row>
    <row r="9" ht="36" customHeight="1" s="468">
      <c r="B9" s="13" t="inlineStr">
        <is>
          <t>v0.9</t>
        </is>
      </c>
      <c r="C9" s="14" t="inlineStr">
        <is>
          <t>09.04.2026</t>
        </is>
      </c>
      <c r="D9" s="507" t="inlineStr">
        <is>
          <t>Команда ТрендСтудио</t>
        </is>
      </c>
      <c r="E9" s="15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16" t="inlineStr">
        <is>
          <t>Архивировано</t>
        </is>
      </c>
    </row>
    <row r="10" ht="36" customHeight="1" s="468">
      <c r="B10" s="13" t="inlineStr">
        <is>
          <t>v1.0</t>
        </is>
      </c>
      <c r="C10" s="14" t="inlineStr">
        <is>
          <t>11.04.2026</t>
        </is>
      </c>
      <c r="D10" s="507" t="inlineStr">
        <is>
          <t>Команда ТрендСтудио</t>
        </is>
      </c>
      <c r="E10" s="15" t="inlineStr">
        <is>
          <t>А.1: созданы листы Cover, Assumptions (84 параметра в 13 блоках), Change_Log. Якорь 3000 млн ₽ зафиксирован</t>
        </is>
      </c>
      <c r="F10" s="460" t="inlineStr">
        <is>
          <t>Архивировано</t>
        </is>
      </c>
    </row>
    <row r="11" ht="85" customHeight="1" s="468">
      <c r="B11" s="461" t="inlineStr">
        <is>
          <t>v1.0.1</t>
        </is>
      </c>
      <c r="C11" s="462" t="inlineStr">
        <is>
          <t>12.04.2026</t>
        </is>
      </c>
      <c r="D11" s="462" t="inlineStr">
        <is>
          <t>Claude + rakhman</t>
        </is>
      </c>
      <c r="E11" s="462" t="inlineStr">
        <is>
          <t>B.3 Public update: W₃ (DEFAULT (ПО УМОЛЧАНИЮ)) + A+C pattern (паттерн) 33/45/9/13. Обновлены 10 листов: 24_IR (5×4 returns matrix, V.1–V.4 disclaimers), 27_SA (5 scenarios A+C), 26_Sens (tornado ±20%), 28_MC (N=5000, mean IRR (внутренняя норма доходности) 11.44%, P(&gt;18%)=13.6%), 36_ES, 21_KPI, 29_RR, 42_CL, 19_WF, 40_IC. П5 «Максимум» 73/73 + B.5 sweep 69/69.</t>
        </is>
      </c>
      <c r="F11" s="462" t="inlineStr">
        <is>
          <t>Текущая</t>
        </is>
      </c>
    </row>
    <row r="12" ht="20" customHeight="1" s="468">
      <c r="B12" s="665" t="n"/>
    </row>
    <row r="13" ht="16" customHeight="1" s="468">
      <c r="B13" s="490" t="inlineStr">
        <is>
          <t>ПЛАН СЛЕДУЮЩИХ ВЕРСИЙ (roadmap)</t>
        </is>
      </c>
      <c r="C13" s="665" t="n"/>
    </row>
    <row r="14" ht="16" customHeight="1" s="468">
      <c r="B14" s="18" t="inlineStr">
        <is>
          <t>v1.0 А.1</t>
        </is>
      </c>
      <c r="C14" s="492" t="inlineStr">
        <is>
          <t>Cover + Assumptions + Change_Log</t>
        </is>
      </c>
      <c r="D14" s="487" t="n"/>
      <c r="E14" s="488" t="n"/>
      <c r="F14" s="20" t="inlineStr">
        <is>
          <t>Готово</t>
        </is>
      </c>
    </row>
    <row r="15" ht="16" customHeight="1" s="468">
      <c r="B15" s="18" t="inlineStr">
        <is>
          <t>v1.0 А.2</t>
        </is>
      </c>
      <c r="C15" s="492" t="inlineStr">
        <is>
          <t>FOT_Staff (A₁+A₂) + Cost_Structure</t>
        </is>
      </c>
      <c r="D15" s="487" t="n"/>
      <c r="E15" s="488" t="n"/>
      <c r="F15" s="20" t="inlineStr">
        <is>
          <t>Готово</t>
        </is>
      </c>
    </row>
    <row r="16" ht="16" customHeight="1" s="468">
      <c r="B16" s="18" t="inlineStr">
        <is>
          <t>v1.0 А.3</t>
        </is>
      </c>
      <c r="C16" s="492" t="inlineStr">
        <is>
          <t>Revenue_Breakdown + Content_Pipeline</t>
        </is>
      </c>
      <c r="D16" s="487" t="n"/>
      <c r="E16" s="488" t="n"/>
      <c r="F16" s="20" t="inlineStr">
        <is>
          <t>Готово</t>
        </is>
      </c>
    </row>
    <row r="17" ht="16" customHeight="1" s="468">
      <c r="B17" s="18" t="inlineStr">
        <is>
          <t>v1.0 А.4</t>
        </is>
      </c>
      <c r="C17" s="492" t="inlineStr">
        <is>
          <t>P&amp;L_Statements (12Q + 2029–2032)</t>
        </is>
      </c>
      <c r="D17" s="487" t="n"/>
      <c r="E17" s="488" t="n"/>
      <c r="F17" s="21" t="inlineStr">
        <is>
          <t>В очереди</t>
        </is>
      </c>
    </row>
    <row r="18" ht="16" customHeight="1" s="468">
      <c r="B18" s="18" t="inlineStr">
        <is>
          <t>v1.0 А.5</t>
        </is>
      </c>
      <c r="C18" s="492" t="inlineStr">
        <is>
          <t>Cash_Flow_Statement + Balance_Sheet</t>
        </is>
      </c>
      <c r="D18" s="487" t="n"/>
      <c r="E18" s="488" t="n"/>
      <c r="F18" s="21" t="inlineStr">
        <is>
          <t>В очереди</t>
        </is>
      </c>
    </row>
    <row r="19" ht="16" customHeight="1" s="468">
      <c r="B19" s="18" t="inlineStr">
        <is>
          <t>v1.0 А.6</t>
        </is>
      </c>
      <c r="C19" s="492" t="inlineStr">
        <is>
          <t>Working_Capital + Debt_Schedule</t>
        </is>
      </c>
      <c r="D19" s="487" t="n"/>
      <c r="E19" s="488" t="n"/>
      <c r="F19" s="21" t="inlineStr">
        <is>
          <t>В очереди</t>
        </is>
      </c>
    </row>
    <row r="20" ht="16" customHeight="1" s="468">
      <c r="B20" s="18" t="inlineStr">
        <is>
          <t>v1.0 А.7</t>
        </is>
      </c>
      <c r="C20" s="492" t="inlineStr">
        <is>
          <t>Investment_Inflow + Use_of_Funds + CAPEX (Капзатраты)</t>
        </is>
      </c>
      <c r="D20" s="487" t="n"/>
      <c r="E20" s="488" t="n"/>
      <c r="F20" s="21" t="inlineStr">
        <is>
          <t>В очереди</t>
        </is>
      </c>
    </row>
    <row r="21" ht="16" customHeight="1" s="468">
      <c r="B21" s="18" t="inlineStr">
        <is>
          <t>v1.0 А.8</t>
        </is>
      </c>
      <c r="C21" s="492" t="inlineStr">
        <is>
          <t>Deal_Structures + Cap_Table + Waterfall (Каскад)</t>
        </is>
      </c>
      <c r="D21" s="487" t="n"/>
      <c r="E21" s="488" t="n"/>
      <c r="F21" s="21" t="inlineStr">
        <is>
          <t>В очереди</t>
        </is>
      </c>
    </row>
    <row r="22" ht="16" customHeight="1" s="468">
      <c r="B22" s="18" t="inlineStr">
        <is>
          <t>v1.0 А.9</t>
        </is>
      </c>
      <c r="C22" s="492" t="inlineStr">
        <is>
          <t>Unit_Economics + KPI_Dashboard</t>
        </is>
      </c>
      <c r="D22" s="487" t="n"/>
      <c r="E22" s="488" t="n"/>
      <c r="F22" s="21" t="inlineStr">
        <is>
          <t>В очереди</t>
        </is>
      </c>
    </row>
    <row r="23" ht="16" customHeight="1" s="468">
      <c r="B23" s="18" t="inlineStr">
        <is>
          <t>v1.0 А.10</t>
        </is>
      </c>
      <c r="C23" s="492" t="inlineStr">
        <is>
          <t>Valuation_DCF + Valuation_Multiples</t>
        </is>
      </c>
      <c r="D23" s="487" t="n"/>
      <c r="E23" s="488" t="n"/>
      <c r="F23" s="21" t="inlineStr">
        <is>
          <t>В очереди</t>
        </is>
      </c>
    </row>
    <row r="24" ht="16" customHeight="1" s="468">
      <c r="B24" s="18" t="inlineStr">
        <is>
          <t>v1.0 А.11</t>
        </is>
      </c>
      <c r="C24" s="492" t="inlineStr">
        <is>
          <t>Investor_Returns + Exit_Scenarios</t>
        </is>
      </c>
      <c r="D24" s="487" t="n"/>
      <c r="E24" s="488" t="n"/>
      <c r="F24" s="21" t="inlineStr">
        <is>
          <t>В очереди</t>
        </is>
      </c>
    </row>
    <row r="25" ht="16" customHeight="1" s="468">
      <c r="B25" s="18" t="inlineStr">
        <is>
          <t>v1.0 А.12</t>
        </is>
      </c>
      <c r="C25" s="492" t="inlineStr">
        <is>
          <t>Sensitivity (Чувствительность) + Scenario (Сценарий) + Monte Carlo (Монте-Карло)</t>
        </is>
      </c>
      <c r="D25" s="487" t="n"/>
      <c r="E25" s="488" t="n"/>
      <c r="F25" s="21" t="inlineStr">
        <is>
          <t>В очереди</t>
        </is>
      </c>
    </row>
    <row r="26" ht="16" customHeight="1" s="468">
      <c r="B26" s="18" t="inlineStr">
        <is>
          <t>v1.0 А.13</t>
        </is>
      </c>
      <c r="C26" s="492" t="inlineStr">
        <is>
          <t>Risk_Register</t>
        </is>
      </c>
      <c r="D26" s="487" t="n"/>
      <c r="E26" s="488" t="n"/>
      <c r="F26" s="21" t="inlineStr">
        <is>
          <t>В очереди</t>
        </is>
      </c>
    </row>
    <row r="27" ht="16" customHeight="1" s="468">
      <c r="B27" s="18" t="inlineStr">
        <is>
          <t>v1.0 А.14</t>
        </is>
      </c>
      <c r="C27" s="492" t="inlineStr">
        <is>
          <t>Market + Benchmarks (Бенчмарки) + Comparable Tx</t>
        </is>
      </c>
      <c r="D27" s="487" t="n"/>
      <c r="E27" s="488" t="n"/>
      <c r="F27" s="21" t="inlineStr">
        <is>
          <t>В очереди</t>
        </is>
      </c>
    </row>
    <row r="28" ht="16" customHeight="1" s="468">
      <c r="B28" s="18" t="inlineStr">
        <is>
          <t>v1.0 А.15</t>
        </is>
      </c>
      <c r="C28" s="492" t="inlineStr">
        <is>
          <t>Gov_KPI + Tax + Roadmap (Дорожная карта) 2026–2032</t>
        </is>
      </c>
      <c r="D28" s="487" t="n"/>
      <c r="E28" s="488" t="n"/>
      <c r="F28" s="21" t="inlineStr">
        <is>
          <t>В очереди</t>
        </is>
      </c>
    </row>
    <row r="29" ht="16" customHeight="1" s="468">
      <c r="B29" s="18" t="inlineStr">
        <is>
          <t>v1.0 А.16</t>
        </is>
      </c>
      <c r="C29" s="492" t="inlineStr">
        <is>
          <t>Executive_Summary + Glossary (Глоссарий) + Notes</t>
        </is>
      </c>
      <c r="D29" s="487" t="n"/>
      <c r="E29" s="488" t="n"/>
      <c r="F29" s="21" t="inlineStr">
        <is>
          <t>В очереди</t>
        </is>
      </c>
    </row>
    <row r="30" ht="16" customHeight="1" s="468">
      <c r="B30" s="18" t="inlineStr">
        <is>
          <t>v1.0 А.17</t>
        </is>
      </c>
      <c r="C30" s="492" t="inlineStr">
        <is>
          <t>Public export + Internal (Внутренний) с 4 сервисными</t>
        </is>
      </c>
      <c r="D30" s="487" t="n"/>
      <c r="E30" s="488" t="n"/>
      <c r="F30" s="21" t="inlineStr">
        <is>
          <t>В очереди</t>
        </is>
      </c>
    </row>
    <row r="31" ht="16" customHeight="1" s="468">
      <c r="B31" s="18" t="inlineStr">
        <is>
          <t>v1.0 А.18</t>
        </is>
      </c>
      <c r="C31" s="492" t="inlineStr">
        <is>
          <t>П5 «Максимум» 32/32 верификация</t>
        </is>
      </c>
      <c r="D31" s="487" t="n"/>
      <c r="E31" s="488" t="n"/>
      <c r="F31" s="21" t="inlineStr">
        <is>
          <t>В очереди</t>
        </is>
      </c>
    </row>
    <row r="32">
      <c r="B32" s="18" t="inlineStr">
        <is>
          <t>v1.0 А.19</t>
        </is>
      </c>
      <c r="C32" s="492" t="inlineStr">
        <is>
          <t>Финализация + computer:// ссылки</t>
        </is>
      </c>
      <c r="D32" s="487" t="n"/>
      <c r="E32" s="488" t="n"/>
      <c r="F32" s="21" t="inlineStr">
        <is>
          <t>В очереди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/>
    <row r="2" ht="30" customHeight="1">
      <c r="B2" s="666" t="inlineStr">
        <is>
          <t>FOT (фонд оплаты труда) / Штат — Модель A₂ (Market-Based)</t>
        </is>
      </c>
    </row>
    <row r="3">
      <c r="B3" s="667" t="inlineStr">
        <is>
          <t>43 чел. Рыночные оклады P50 МСК. Индексация 8%/год.</t>
        </is>
      </c>
    </row>
    <row r="4"/>
    <row r="5" ht="32" customHeight="1">
      <c r="B5" s="668" t="inlineStr">
        <is>
          <t>#</t>
        </is>
      </c>
      <c r="C5" s="668" t="inlineStr">
        <is>
          <t>Категория</t>
        </is>
      </c>
      <c r="D5" s="668" t="inlineStr">
        <is>
          <t>Чел.</t>
        </is>
      </c>
      <c r="E5" s="668" t="inlineStr">
        <is>
          <t>Оклад gross</t>
        </is>
      </c>
      <c r="F5" s="668" t="inlineStr">
        <is>
          <t>ФОТ gross мес</t>
        </is>
      </c>
      <c r="G5" s="668" t="inlineStr">
        <is>
          <t>Страховые 30%</t>
        </is>
      </c>
      <c r="H5" s="668" t="inlineStr">
        <is>
          <t>Итого мес (с налогами)</t>
        </is>
      </c>
      <c r="I5" s="668" t="inlineStr">
        <is>
          <t>Итого год</t>
        </is>
      </c>
    </row>
    <row r="6" ht="20" customHeight="1">
      <c r="B6" s="669" t="n">
        <v>1</v>
      </c>
      <c r="C6" s="670" t="inlineStr">
        <is>
          <t>Продюсеры (вкл. линейные)</t>
        </is>
      </c>
      <c r="D6" s="671" t="n">
        <v>7</v>
      </c>
      <c r="E6" s="672" t="n">
        <v>200000</v>
      </c>
      <c r="F6" s="673">
        <f>D6*E6</f>
        <v/>
      </c>
      <c r="G6" s="673">
        <f>F6*0.3</f>
        <v/>
      </c>
      <c r="H6" s="674">
        <f>F6+G6</f>
        <v/>
      </c>
      <c r="I6" s="674">
        <f>H6*12</f>
        <v/>
      </c>
    </row>
    <row r="7" ht="20" customHeight="1">
      <c r="B7" s="669" t="n">
        <v>2</v>
      </c>
      <c r="C7" s="670" t="inlineStr">
        <is>
          <t>Юристы</t>
        </is>
      </c>
      <c r="D7" s="671" t="n">
        <v>3</v>
      </c>
      <c r="E7" s="672" t="n">
        <v>150000</v>
      </c>
      <c r="F7" s="673">
        <f>D7*E7</f>
        <v/>
      </c>
      <c r="G7" s="673">
        <f>F7*0.3</f>
        <v/>
      </c>
      <c r="H7" s="674">
        <f>F7+G7</f>
        <v/>
      </c>
      <c r="I7" s="674">
        <f>H7*12</f>
        <v/>
      </c>
    </row>
    <row r="8" ht="20" customHeight="1">
      <c r="B8" s="669" t="n">
        <v>3</v>
      </c>
      <c r="C8" s="670" t="inlineStr">
        <is>
          <t>Производственный цех</t>
        </is>
      </c>
      <c r="D8" s="671" t="n">
        <v>8</v>
      </c>
      <c r="E8" s="672" t="n">
        <v>150000</v>
      </c>
      <c r="F8" s="673">
        <f>D8*E8</f>
        <v/>
      </c>
      <c r="G8" s="673">
        <f>F8*0.3</f>
        <v/>
      </c>
      <c r="H8" s="674">
        <f>F8+G8</f>
        <v/>
      </c>
      <c r="I8" s="674">
        <f>H8*12</f>
        <v/>
      </c>
    </row>
    <row r="9" ht="20" customHeight="1">
      <c r="B9" s="669" t="n">
        <v>4</v>
      </c>
      <c r="C9" s="670" t="inlineStr">
        <is>
          <t>Аналитики</t>
        </is>
      </c>
      <c r="D9" s="671" t="n">
        <v>5</v>
      </c>
      <c r="E9" s="672" t="n">
        <v>140000</v>
      </c>
      <c r="F9" s="673">
        <f>D9*E9</f>
        <v/>
      </c>
      <c r="G9" s="673">
        <f>F9*0.3</f>
        <v/>
      </c>
      <c r="H9" s="674">
        <f>F9+G9</f>
        <v/>
      </c>
      <c r="I9" s="674">
        <f>H9*12</f>
        <v/>
      </c>
    </row>
    <row r="10" ht="20" customHeight="1">
      <c r="B10" s="669" t="n">
        <v>5</v>
      </c>
      <c r="C10" s="670" t="inlineStr">
        <is>
          <t>Бухгалтеры</t>
        </is>
      </c>
      <c r="D10" s="671" t="n">
        <v>4</v>
      </c>
      <c r="E10" s="672" t="n">
        <v>110000</v>
      </c>
      <c r="F10" s="673">
        <f>D10*E10</f>
        <v/>
      </c>
      <c r="G10" s="673">
        <f>F10*0.3</f>
        <v/>
      </c>
      <c r="H10" s="674">
        <f>F10+G10</f>
        <v/>
      </c>
      <c r="I10" s="674">
        <f>H10*12</f>
        <v/>
      </c>
    </row>
    <row r="11" ht="20" customHeight="1">
      <c r="B11" s="669" t="n">
        <v>6</v>
      </c>
      <c r="C11" s="670" t="inlineStr">
        <is>
          <t>Эксперты (творческая группа)</t>
        </is>
      </c>
      <c r="D11" s="671" t="n">
        <v>8</v>
      </c>
      <c r="E11" s="672" t="n">
        <v>180000</v>
      </c>
      <c r="F11" s="673">
        <f>D11*E11</f>
        <v/>
      </c>
      <c r="G11" s="673">
        <f>F11*0.3</f>
        <v/>
      </c>
      <c r="H11" s="674">
        <f>F11+G11</f>
        <v/>
      </c>
      <c r="I11" s="674">
        <f>H11*12</f>
        <v/>
      </c>
    </row>
    <row r="12" ht="20" customHeight="1">
      <c r="B12" s="669" t="n">
        <v>7</v>
      </c>
      <c r="C12" s="670" t="inlineStr">
        <is>
          <t>Водитель</t>
        </is>
      </c>
      <c r="D12" s="671" t="n">
        <v>1</v>
      </c>
      <c r="E12" s="672" t="n">
        <v>90000</v>
      </c>
      <c r="F12" s="673">
        <f>D12*E12</f>
        <v/>
      </c>
      <c r="G12" s="673">
        <f>F12*0.3</f>
        <v/>
      </c>
      <c r="H12" s="674">
        <f>F12+G12</f>
        <v/>
      </c>
      <c r="I12" s="674">
        <f>H12*12</f>
        <v/>
      </c>
    </row>
    <row r="13" ht="20" customHeight="1">
      <c r="B13" s="669" t="n">
        <v>8</v>
      </c>
      <c r="C13" s="670" t="inlineStr">
        <is>
          <t>Административный / IT</t>
        </is>
      </c>
      <c r="D13" s="671" t="n">
        <v>7</v>
      </c>
      <c r="E13" s="672" t="n">
        <v>100000</v>
      </c>
      <c r="F13" s="673">
        <f>D13*E13</f>
        <v/>
      </c>
      <c r="G13" s="673">
        <f>F13*0.3</f>
        <v/>
      </c>
      <c r="H13" s="674">
        <f>F13+G13</f>
        <v/>
      </c>
      <c r="I13" s="674">
        <f>H13*12</f>
        <v/>
      </c>
    </row>
    <row r="14" ht="26" customHeight="1">
      <c r="B14" s="675" t="n"/>
      <c r="C14" s="676" t="inlineStr">
        <is>
          <t>ИТОГО ФОТ (A₂ Market)</t>
        </is>
      </c>
      <c r="D14" s="677" t="n">
        <v>43</v>
      </c>
      <c r="E14" s="678" t="n"/>
      <c r="F14" s="678" t="n">
        <v>6420000</v>
      </c>
      <c r="G14" s="678" t="n">
        <v>1926000</v>
      </c>
      <c r="H14" s="678" t="n">
        <v>8346000</v>
      </c>
      <c r="I14" s="678" t="n">
        <v>100152000</v>
      </c>
    </row>
    <row r="15"/>
    <row r="16" ht="20" customHeight="1">
      <c r="B16" s="679" t="inlineStr">
        <is>
          <t>ФОТ A₂ за 3 года (2026–2028), млн ₽</t>
        </is>
      </c>
    </row>
    <row r="17" ht="28" customHeight="1">
      <c r="C17" s="668" t="inlineStr">
        <is>
          <t>Год</t>
        </is>
      </c>
      <c r="D17" s="668" t="inlineStr">
        <is>
          <t>Штат</t>
        </is>
      </c>
      <c r="E17" s="668" t="inlineStr">
        <is>
          <t>ФОТ мес gross</t>
        </is>
      </c>
      <c r="F17" s="668" t="inlineStr">
        <is>
          <t>ФОТ мес с нал.</t>
        </is>
      </c>
      <c r="G17" s="668" t="inlineStr">
        <is>
          <t>ФОТ год</t>
        </is>
      </c>
      <c r="H17" s="668" t="inlineStr">
        <is>
          <t>ФОТ/Налоги</t>
        </is>
      </c>
      <c r="I17" s="668" t="inlineStr">
        <is>
          <t>Индексация</t>
        </is>
      </c>
    </row>
    <row r="18" ht="20" customHeight="1">
      <c r="C18" s="680" t="n">
        <v>2026</v>
      </c>
      <c r="D18" s="681" t="n">
        <v>43</v>
      </c>
      <c r="E18" s="682" t="n">
        <v>6420000</v>
      </c>
      <c r="F18" s="682" t="n">
        <v>8346000</v>
      </c>
      <c r="G18" s="683" t="n">
        <v>100.152</v>
      </c>
      <c r="H18" s="684" t="n">
        <v>23.112</v>
      </c>
      <c r="I18" s="685" t="inlineStr">
        <is>
          <t>0.0%</t>
        </is>
      </c>
    </row>
    <row r="19" ht="20" customHeight="1">
      <c r="C19" s="680" t="n">
        <v>2027</v>
      </c>
      <c r="D19" s="681" t="n">
        <v>43</v>
      </c>
      <c r="E19" s="682">
        <f>E18*1.08</f>
        <v/>
      </c>
      <c r="F19" s="682">
        <f>F18*1.08</f>
        <v/>
      </c>
      <c r="G19" s="683">
        <f>G18*1.08</f>
        <v/>
      </c>
      <c r="H19" s="684">
        <f>H18*1.08</f>
        <v/>
      </c>
      <c r="I19" s="685" t="inlineStr">
        <is>
          <t>8.0%</t>
        </is>
      </c>
    </row>
    <row r="20" ht="20" customHeight="1">
      <c r="C20" s="680" t="n">
        <v>2028</v>
      </c>
      <c r="D20" s="681" t="n">
        <v>43</v>
      </c>
      <c r="E20" s="682">
        <f>E19*1.08</f>
        <v/>
      </c>
      <c r="F20" s="682">
        <f>F19*1.08</f>
        <v/>
      </c>
      <c r="G20" s="683">
        <f>G19*1.08</f>
        <v/>
      </c>
      <c r="H20" s="684">
        <f>H19*1.08</f>
        <v/>
      </c>
      <c r="I20" s="685" t="inlineStr">
        <is>
          <t>8.0%</t>
        </is>
      </c>
    </row>
    <row r="21" ht="24" customHeight="1">
      <c r="C21" s="686" t="inlineStr">
        <is>
          <t>Σ 2026–2028</t>
        </is>
      </c>
      <c r="D21" s="677" t="n">
        <v>43</v>
      </c>
      <c r="E21" s="678" t="n">
        <v>6420000</v>
      </c>
      <c r="F21" s="678" t="n">
        <v>8346000</v>
      </c>
      <c r="G21" s="687">
        <f>SUM(G18:G20)</f>
        <v/>
      </c>
      <c r="H21" s="687">
        <f>SUM(H18:H20)</f>
        <v/>
      </c>
      <c r="I21" s="686" t="inlineStr">
        <is>
          <t>—</t>
        </is>
      </c>
    </row>
    <row r="22"/>
    <row r="23" ht="32" customHeight="1">
      <c r="B23" s="68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1"/>
    <row r="2" ht="30" customHeight="1">
      <c r="B2" s="666" t="inlineStr">
        <is>
          <t>FOT (фонд оплаты труда) / Штат — Модель A₂ Dynamic (Динамический) (Market + 8% индексация)</t>
        </is>
      </c>
    </row>
    <row r="3">
      <c r="B3" s="667" t="inlineStr">
        <is>
          <t>Рост штата 43 (фиксированный core) + индексация 8%/год</t>
        </is>
      </c>
    </row>
    <row r="4"/>
    <row r="5" ht="20" customHeight="1">
      <c r="B5" s="679" t="inlineStr">
        <is>
          <t>ПАРАМЕТРЫ ДИНАМИКИ (ввод)</t>
        </is>
      </c>
    </row>
    <row r="6" ht="22" customHeight="1">
      <c r="B6" s="668" t="inlineStr">
        <is>
          <t>Параметр</t>
        </is>
      </c>
      <c r="C6" s="668" t="inlineStr">
        <is>
          <t>2026</t>
        </is>
      </c>
      <c r="D6" s="668" t="inlineStr">
        <is>
          <t>2027</t>
        </is>
      </c>
      <c r="E6" s="668" t="inlineStr">
        <is>
          <t>2028</t>
        </is>
      </c>
      <c r="F6" s="668" t="inlineStr">
        <is>
          <t>2029</t>
        </is>
      </c>
      <c r="G6" s="668" t="inlineStr">
        <is>
          <t>2030</t>
        </is>
      </c>
      <c r="H6" s="668" t="inlineStr">
        <is>
          <t>2031</t>
        </is>
      </c>
      <c r="I6" s="668" t="inlineStr">
        <is>
          <t>2032</t>
        </is>
      </c>
    </row>
    <row r="7" ht="20" customHeight="1">
      <c r="B7" s="689" t="inlineStr">
        <is>
          <t>Штат (чел.)</t>
        </is>
      </c>
      <c r="C7" s="671" t="n">
        <v>43</v>
      </c>
      <c r="D7" s="671" t="n">
        <v>43</v>
      </c>
      <c r="E7" s="671" t="n">
        <v>43</v>
      </c>
      <c r="F7" s="671" t="n">
        <v>43</v>
      </c>
      <c r="G7" s="671" t="n">
        <v>43</v>
      </c>
      <c r="H7" s="671" t="n">
        <v>43</v>
      </c>
      <c r="I7" s="671" t="n">
        <v>43</v>
      </c>
    </row>
    <row r="8" ht="18" customHeight="1">
      <c r="B8" s="670" t="inlineStr">
        <is>
          <t>Индекс оклада (база 2026=1.00)</t>
        </is>
      </c>
      <c r="C8" s="690" t="n">
        <v>1</v>
      </c>
      <c r="D8" s="690" t="n">
        <v>1.08</v>
      </c>
      <c r="E8" s="690" t="n">
        <v>1.17</v>
      </c>
      <c r="F8" s="690" t="n">
        <v>1.26</v>
      </c>
      <c r="G8" s="690" t="n">
        <v>1.36</v>
      </c>
      <c r="H8" s="690" t="n">
        <v>1.47</v>
      </c>
      <c r="I8" s="690" t="n">
        <v>1.59</v>
      </c>
    </row>
    <row r="9" ht="18" customHeight="1">
      <c r="B9" s="670" t="inlineStr">
        <is>
          <t>Ср. оклад gross (₽/мес, база 2026)</t>
        </is>
      </c>
      <c r="C9" s="673" t="n">
        <v>149302.3255813954</v>
      </c>
      <c r="D9" s="673" t="n">
        <v>161246.511627907</v>
      </c>
      <c r="E9" s="673" t="n">
        <v>174683.7209302326</v>
      </c>
      <c r="F9" s="673" t="n">
        <v>188120.9302325582</v>
      </c>
      <c r="G9" s="673" t="n">
        <v>203051.1627906977</v>
      </c>
      <c r="H9" s="673" t="n">
        <v>219474.4186046512</v>
      </c>
      <c r="I9" s="673" t="n">
        <v>237390.6976744186</v>
      </c>
    </row>
    <row r="10" ht="18" customHeight="1">
      <c r="B10" s="670" t="inlineStr">
        <is>
          <t>ФОТ gross / мес</t>
        </is>
      </c>
      <c r="C10" s="673">
        <f>C7*C9</f>
        <v/>
      </c>
      <c r="D10" s="673">
        <f>D7*D9</f>
        <v/>
      </c>
      <c r="E10" s="673">
        <f>E7*E9</f>
        <v/>
      </c>
      <c r="F10" s="673">
        <f>F7*F9</f>
        <v/>
      </c>
      <c r="G10" s="673">
        <f>G7*G9</f>
        <v/>
      </c>
      <c r="H10" s="673">
        <f>H7*H9</f>
        <v/>
      </c>
      <c r="I10" s="673">
        <f>I7*I9</f>
        <v/>
      </c>
    </row>
    <row r="11" ht="20" customHeight="1">
      <c r="B11" s="689" t="inlineStr">
        <is>
          <t>ФОТ с налогами / мес (×1.30)</t>
        </is>
      </c>
      <c r="C11" s="674">
        <f>C10*1.3</f>
        <v/>
      </c>
      <c r="D11" s="674">
        <f>D10*1.3</f>
        <v/>
      </c>
      <c r="E11" s="674">
        <f>E10*1.3</f>
        <v/>
      </c>
      <c r="F11" s="674">
        <f>F10*1.3</f>
        <v/>
      </c>
      <c r="G11" s="674">
        <f>G10*1.3</f>
        <v/>
      </c>
      <c r="H11" s="674">
        <f>H10*1.3</f>
        <v/>
      </c>
      <c r="I11" s="674">
        <f>I10*1.3</f>
        <v/>
      </c>
    </row>
    <row r="12" ht="24" customHeight="1">
      <c r="B12" s="676" t="inlineStr">
        <is>
          <t>ФОТ годовой (млн ₽)</t>
        </is>
      </c>
      <c r="C12" s="687">
        <f>C11*12/1000000</f>
        <v/>
      </c>
      <c r="D12" s="687">
        <f>D11*12/1000000</f>
        <v/>
      </c>
      <c r="E12" s="687">
        <f>E11*12/1000000</f>
        <v/>
      </c>
      <c r="F12" s="687">
        <f>F11*12/1000000</f>
        <v/>
      </c>
      <c r="G12" s="687">
        <f>G11*12/1000000</f>
        <v/>
      </c>
      <c r="H12" s="687">
        <f>H11*12/1000000</f>
        <v/>
      </c>
      <c r="I12" s="687">
        <f>I11*12/1000000</f>
        <v/>
      </c>
    </row>
    <row r="13"/>
    <row r="14" ht="20" customHeight="1">
      <c r="B14" s="679" t="inlineStr">
        <is>
          <t>ПОКВАРТАЛЬНАЯ РАЗБИВКА 2026–2028 (млн ₽)</t>
        </is>
      </c>
    </row>
    <row r="15" ht="22" customHeight="1">
      <c r="B15" s="668" t="inlineStr">
        <is>
          <t>Квартал</t>
        </is>
      </c>
      <c r="C15" s="668" t="inlineStr">
        <is>
          <t>Q1</t>
        </is>
      </c>
      <c r="D15" s="668" t="inlineStr">
        <is>
          <t>Q2</t>
        </is>
      </c>
      <c r="E15" s="668" t="inlineStr">
        <is>
          <t>Q3</t>
        </is>
      </c>
      <c r="F15" s="668" t="inlineStr">
        <is>
          <t>Q4</t>
        </is>
      </c>
      <c r="G15" s="668" t="inlineStr">
        <is>
          <t>Год Σ</t>
        </is>
      </c>
    </row>
    <row r="16" ht="20" customHeight="1">
      <c r="B16" s="691" t="inlineStr">
        <is>
          <t>2026</t>
        </is>
      </c>
      <c r="C16" s="692">
        <f>C12/4</f>
        <v/>
      </c>
      <c r="D16" s="692">
        <f>C12/4</f>
        <v/>
      </c>
      <c r="E16" s="692">
        <f>C12/4</f>
        <v/>
      </c>
      <c r="F16" s="692">
        <f>C12/4</f>
        <v/>
      </c>
      <c r="G16" s="693">
        <f>C12</f>
        <v/>
      </c>
    </row>
    <row r="17" ht="20" customHeight="1">
      <c r="B17" s="691" t="inlineStr">
        <is>
          <t>2027</t>
        </is>
      </c>
      <c r="C17" s="692">
        <f>D12/4</f>
        <v/>
      </c>
      <c r="D17" s="692">
        <f>D12/4</f>
        <v/>
      </c>
      <c r="E17" s="692">
        <f>D12/4</f>
        <v/>
      </c>
      <c r="F17" s="692">
        <f>D12/4</f>
        <v/>
      </c>
      <c r="G17" s="693">
        <f>D12</f>
        <v/>
      </c>
    </row>
    <row r="18" ht="20" customHeight="1">
      <c r="B18" s="691" t="inlineStr">
        <is>
          <t>2028</t>
        </is>
      </c>
      <c r="C18" s="692">
        <f>E12/4</f>
        <v/>
      </c>
      <c r="D18" s="692">
        <f>E12/4</f>
        <v/>
      </c>
      <c r="E18" s="692">
        <f>E12/4</f>
        <v/>
      </c>
      <c r="F18" s="692">
        <f>E12/4</f>
        <v/>
      </c>
      <c r="G18" s="693">
        <f>E12</f>
        <v/>
      </c>
    </row>
    <row r="19" ht="24" customHeight="1">
      <c r="B19" s="686" t="inlineStr">
        <is>
          <t>Σ 2026–2028</t>
        </is>
      </c>
      <c r="C19" s="694">
        <f>SUM(C16:C18)</f>
        <v/>
      </c>
      <c r="D19" s="694">
        <f>SUM(D16:D18)</f>
        <v/>
      </c>
      <c r="E19" s="694">
        <f>SUM(E16:E18)</f>
        <v/>
      </c>
      <c r="F19" s="694">
        <f>SUM(F16:F18)</f>
        <v/>
      </c>
      <c r="G19" s="687">
        <f>SUM(G16:G18)</f>
        <v/>
      </c>
    </row>
    <row r="20"/>
    <row r="21" ht="20" customHeight="1">
      <c r="B21" s="679" t="inlineStr">
        <is>
          <t>СРАВНЕНИЕ A₁ Fixed (Фиксированный) vs A₂ Dynamic (Динамический)</t>
        </is>
      </c>
    </row>
    <row r="22" ht="22" customHeight="1">
      <c r="B22" s="668" t="inlineStr">
        <is>
          <t>Период</t>
        </is>
      </c>
      <c r="C22" s="668" t="inlineStr">
        <is>
          <t>A₁ Fixed (Фиксированный)</t>
        </is>
      </c>
      <c r="D22" s="668" t="inlineStr">
        <is>
          <t>A₂ Dynamic (Динамический)</t>
        </is>
      </c>
      <c r="E22" s="668" t="inlineStr">
        <is>
          <t>Δ (A₂−A₁)</t>
        </is>
      </c>
      <c r="F22" s="668" t="inlineStr">
        <is>
          <t>Δ, %</t>
        </is>
      </c>
    </row>
    <row r="23" ht="20" customHeight="1">
      <c r="B23" s="695" t="n">
        <v>2026</v>
      </c>
      <c r="C23" s="696" t="n">
        <v>73.944</v>
      </c>
      <c r="D23" s="692">
        <f>C12</f>
        <v/>
      </c>
      <c r="E23" s="697">
        <f>D23-C23</f>
        <v/>
      </c>
      <c r="F23" s="698">
        <f>(D23-C23)/C23</f>
        <v/>
      </c>
    </row>
    <row r="24" ht="20" customHeight="1">
      <c r="B24" s="695" t="n">
        <v>2027</v>
      </c>
      <c r="C24" s="696" t="n">
        <v>73.944</v>
      </c>
      <c r="D24" s="692">
        <f>D12</f>
        <v/>
      </c>
      <c r="E24" s="697">
        <f>D24-C24</f>
        <v/>
      </c>
      <c r="F24" s="698">
        <f>(D24-C24)/C24</f>
        <v/>
      </c>
    </row>
    <row r="25" ht="20" customHeight="1">
      <c r="B25" s="695" t="n">
        <v>2028</v>
      </c>
      <c r="C25" s="696" t="n">
        <v>73.944</v>
      </c>
      <c r="D25" s="692">
        <f>E12</f>
        <v/>
      </c>
      <c r="E25" s="697">
        <f>D25-C25</f>
        <v/>
      </c>
      <c r="F25" s="698">
        <f>(D25-C25)/C25</f>
        <v/>
      </c>
    </row>
    <row r="26" ht="24" customHeight="1">
      <c r="B26" s="686" t="inlineStr">
        <is>
          <t>Σ 3 года</t>
        </is>
      </c>
      <c r="C26" s="687">
        <f>SUM(C23:C25)</f>
        <v/>
      </c>
      <c r="D26" s="687">
        <f>SUM(D23:D25)</f>
        <v/>
      </c>
      <c r="E26" s="699">
        <f>D26-C26</f>
        <v/>
      </c>
      <c r="F26" s="700">
        <f>(D26-C26)/C26</f>
        <v/>
      </c>
    </row>
    <row r="27"/>
    <row r="28" ht="50" customHeight="1">
      <c r="B28" s="68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9" activePane="bottomLeft" state="frozen"/>
      <selection pane="bottomLeft" activeCell="D22" sqref="D22"/>
    </sheetView>
  </sheetViews>
  <sheetFormatPr baseColWidth="10" defaultColWidth="8.83203125" defaultRowHeight="15"/>
  <cols>
    <col width="2" customWidth="1" style="468" min="1" max="1"/>
    <col width="38" customWidth="1" style="468" min="2" max="2"/>
    <col width="14" customWidth="1" style="468" min="3" max="7"/>
    <col width="16" customWidth="1" style="468" min="8" max="8"/>
    <col width="2" customWidth="1" style="468" min="9" max="9"/>
  </cols>
  <sheetData>
    <row r="2" ht="30" customHeight="1" s="468">
      <c r="B2" s="661" t="inlineStr">
        <is>
          <t>Структура OPEX (Операционные расходы) (Cost Structure (Структура затрат))</t>
        </is>
      </c>
    </row>
    <row r="3">
      <c r="B3" s="662" t="inlineStr">
        <is>
          <t>Сводка операционных расходов холдинга. Годовые показатели 2026–2032 на основе A₁ Fixed (Фиксированный) и Assumptions.</t>
        </is>
      </c>
    </row>
    <row r="5" ht="20" customHeight="1" s="468">
      <c r="B5" s="663" t="inlineStr">
        <is>
          <t>OPEX (Операционные расходы) ПО ГОДАМ (Base (Базовый), модель A₁ Fixed (Фиксированный)), млн ₽</t>
        </is>
      </c>
    </row>
    <row r="6" ht="32" customHeight="1" s="468">
      <c r="B6" s="494" t="inlineStr">
        <is>
          <t>Статья</t>
        </is>
      </c>
      <c r="C6" s="494" t="inlineStr">
        <is>
          <t>2026</t>
        </is>
      </c>
      <c r="D6" s="494" t="inlineStr">
        <is>
          <t>2027</t>
        </is>
      </c>
      <c r="E6" s="494" t="inlineStr">
        <is>
          <t>2028</t>
        </is>
      </c>
      <c r="F6" s="494" t="inlineStr">
        <is>
          <t>2029</t>
        </is>
      </c>
      <c r="G6" s="494" t="inlineStr">
        <is>
          <t>2030</t>
        </is>
      </c>
      <c r="H6" s="494" t="inlineStr">
        <is>
          <t>Σ 2026–2028</t>
        </is>
      </c>
    </row>
    <row r="7" ht="20" customHeight="1" s="468">
      <c r="B7" s="42" t="inlineStr">
        <is>
          <t>ФОТ с налогами (A₂ Market, 8%)</t>
        </is>
      </c>
      <c r="C7" s="53" t="n">
        <v>100.15</v>
      </c>
      <c r="D7" s="53" t="n">
        <v>108.16</v>
      </c>
      <c r="E7" s="53" t="n">
        <v>116.82</v>
      </c>
      <c r="F7" s="53" t="n">
        <v>126.16</v>
      </c>
      <c r="G7" s="53" t="n">
        <v>136.26</v>
      </c>
      <c r="H7" s="54">
        <f>SUM(C7:E7)</f>
        <v/>
      </c>
    </row>
    <row r="8" ht="20" customHeight="1" s="468">
      <c r="B8" s="507" t="inlineStr">
        <is>
          <t>Аренда офиса (750 м²)</t>
        </is>
      </c>
      <c r="C8" s="45" t="n">
        <v>8.25</v>
      </c>
      <c r="D8" s="45" t="n">
        <v>8.786249999999999</v>
      </c>
      <c r="E8" s="45" t="n">
        <v>9.357356249999999</v>
      </c>
      <c r="F8" s="45" t="n">
        <v>9.965584406249999</v>
      </c>
      <c r="G8" s="45" t="n">
        <v>10.61334739265625</v>
      </c>
      <c r="H8" s="54">
        <f>SUM(C8:E8)</f>
        <v/>
      </c>
    </row>
    <row r="9" ht="20" customHeight="1" s="468">
      <c r="B9" s="507" t="inlineStr">
        <is>
          <t>Коммунальные платежи</t>
        </is>
      </c>
      <c r="C9" s="45" t="n">
        <v>0.396</v>
      </c>
      <c r="D9" s="45" t="n">
        <v>0.42174</v>
      </c>
      <c r="E9" s="45" t="n">
        <v>0.4491531</v>
      </c>
      <c r="F9" s="45" t="n">
        <v>0.4783480515</v>
      </c>
      <c r="G9" s="45" t="n">
        <v>0.5094406748475</v>
      </c>
      <c r="H9" s="54">
        <f>SUM(C9:E9)</f>
        <v/>
      </c>
    </row>
    <row r="10" ht="20" customHeight="1" s="468">
      <c r="B10" s="507" t="inlineStr">
        <is>
          <t>Связь, интернет</t>
        </is>
      </c>
      <c r="C10" s="45" t="n">
        <v>0.36</v>
      </c>
      <c r="D10" s="45" t="n">
        <v>0.3834</v>
      </c>
      <c r="E10" s="45" t="n">
        <v>0.4083209999999999</v>
      </c>
      <c r="F10" s="45" t="n">
        <v>0.434861865</v>
      </c>
      <c r="G10" s="45" t="n">
        <v>0.4631278862249999</v>
      </c>
      <c r="H10" s="54">
        <f>SUM(C10:E10)</f>
        <v/>
      </c>
    </row>
    <row r="11" ht="20" customHeight="1" s="468">
      <c r="B11" s="507" t="inlineStr">
        <is>
          <t>ПО и лицензии</t>
        </is>
      </c>
      <c r="C11" s="45" t="n">
        <v>0.72</v>
      </c>
      <c r="D11" s="45" t="n">
        <v>0.7667999999999999</v>
      </c>
      <c r="E11" s="45" t="n">
        <v>0.8166419999999999</v>
      </c>
      <c r="F11" s="45" t="n">
        <v>0.8697237299999999</v>
      </c>
      <c r="G11" s="45" t="n">
        <v>0.92625577245</v>
      </c>
      <c r="H11" s="54">
        <f>SUM(C11:E11)</f>
        <v/>
      </c>
    </row>
    <row r="12" ht="20" customHeight="1" s="468">
      <c r="B12" s="507" t="inlineStr">
        <is>
          <t>Командировки</t>
        </is>
      </c>
      <c r="C12" s="45" t="n">
        <v>1.2</v>
      </c>
      <c r="D12" s="45" t="n">
        <v>1.278</v>
      </c>
      <c r="E12" s="45" t="n">
        <v>1.36107</v>
      </c>
      <c r="F12" s="45" t="n">
        <v>1.44953955</v>
      </c>
      <c r="G12" s="45" t="n">
        <v>1.54375962075</v>
      </c>
      <c r="H12" s="54">
        <f>SUM(C12:E12)</f>
        <v/>
      </c>
    </row>
    <row r="13" ht="20" customHeight="1" s="468">
      <c r="B13" s="507" t="inlineStr">
        <is>
          <t>Представительские</t>
        </is>
      </c>
      <c r="C13" s="45" t="n">
        <v>0.6</v>
      </c>
      <c r="D13" s="45" t="n">
        <v>0.6389999999999999</v>
      </c>
      <c r="E13" s="45" t="n">
        <v>0.6805349999999999</v>
      </c>
      <c r="F13" s="45" t="n">
        <v>0.7247697749999999</v>
      </c>
      <c r="G13" s="45" t="n">
        <v>0.7718798103749999</v>
      </c>
      <c r="H13" s="54">
        <f>SUM(C13:E13)</f>
        <v/>
      </c>
    </row>
    <row r="14" ht="20" customHeight="1" s="468">
      <c r="B14" s="507" t="inlineStr">
        <is>
          <t>Консультанты (юр/аудит)</t>
        </is>
      </c>
      <c r="C14" s="45" t="n">
        <v>1.5</v>
      </c>
      <c r="D14" s="45" t="n">
        <v>1.5975</v>
      </c>
      <c r="E14" s="45" t="n">
        <v>1.7013375</v>
      </c>
      <c r="F14" s="45" t="n">
        <v>1.8119244375</v>
      </c>
      <c r="G14" s="45" t="n">
        <v>1.9296995259375</v>
      </c>
      <c r="H14" s="54">
        <f>SUM(C14:E14)</f>
        <v/>
      </c>
    </row>
    <row r="15" ht="20" customHeight="1" s="468">
      <c r="B15" s="507" t="inlineStr">
        <is>
          <t>Канцелярия, расходники</t>
        </is>
      </c>
      <c r="C15" s="45" t="n">
        <v>0.216</v>
      </c>
      <c r="D15" s="45" t="n">
        <v>0.23004</v>
      </c>
      <c r="E15" s="45" t="n">
        <v>0.2449925999999999</v>
      </c>
      <c r="F15" s="45" t="n">
        <v>0.260917119</v>
      </c>
      <c r="G15" s="45" t="n">
        <v>0.2778767317349999</v>
      </c>
      <c r="H15" s="54">
        <f>SUM(C15:E15)</f>
        <v/>
      </c>
    </row>
    <row r="16" ht="20" customHeight="1" s="468">
      <c r="B16" s="507" t="inlineStr">
        <is>
          <t>Банковские комиссии</t>
        </is>
      </c>
      <c r="C16" s="45" t="n">
        <v>0.42</v>
      </c>
      <c r="D16" s="45" t="n">
        <v>0.4473</v>
      </c>
      <c r="E16" s="45" t="n">
        <v>0.4763744999999999</v>
      </c>
      <c r="F16" s="45" t="n">
        <v>0.5073388424999999</v>
      </c>
      <c r="G16" s="45" t="n">
        <v>0.5403158672624999</v>
      </c>
      <c r="H16" s="54">
        <f>SUM(C16:E16)</f>
        <v/>
      </c>
    </row>
    <row r="17" ht="20" customHeight="1" s="468">
      <c r="B17" s="507" t="inlineStr">
        <is>
          <t>Маркетинг корпоративный</t>
        </is>
      </c>
      <c r="C17" s="45" t="n">
        <v>0.9</v>
      </c>
      <c r="D17" s="45" t="n">
        <v>0.9585</v>
      </c>
      <c r="E17" s="45" t="n">
        <v>1.0208025</v>
      </c>
      <c r="F17" s="45" t="n">
        <v>1.0871546625</v>
      </c>
      <c r="G17" s="45" t="n">
        <v>1.1578197155625</v>
      </c>
      <c r="H17" s="54">
        <f>SUM(C17:E17)</f>
        <v/>
      </c>
    </row>
    <row r="18" ht="26" customHeight="1" s="468">
      <c r="B18" s="505" t="inlineStr">
        <is>
          <t>ИТОГО OPEX (Операционные расходы)</t>
        </is>
      </c>
      <c r="C18" s="56">
        <f>SUM(C7:C17)</f>
        <v/>
      </c>
      <c r="D18" s="56">
        <f>SUM(D7:D17)</f>
        <v/>
      </c>
      <c r="E18" s="56">
        <f>SUM(E7:E17)</f>
        <v/>
      </c>
      <c r="F18" s="56">
        <f>SUM(F7:F17)</f>
        <v/>
      </c>
      <c r="G18" s="56">
        <f>SUM(G7:G17)</f>
        <v/>
      </c>
      <c r="H18" s="56">
        <f>SUM(H7:H17)</f>
        <v/>
      </c>
    </row>
    <row r="20" ht="20" customHeight="1" s="468">
      <c r="B20" s="663" t="inlineStr">
        <is>
          <t>СТРУКТУРА OPEX (Операционные расходы) 2026 (доли, %)</t>
        </is>
      </c>
    </row>
    <row r="21" ht="22" customHeight="1" s="468">
      <c r="B21" s="494" t="inlineStr">
        <is>
          <t>Категория</t>
        </is>
      </c>
      <c r="C21" s="494" t="inlineStr">
        <is>
          <t>Сумма 2026</t>
        </is>
      </c>
      <c r="D21" s="494" t="inlineStr">
        <is>
          <t>Доля, %</t>
        </is>
      </c>
      <c r="E21" s="494" t="inlineStr">
        <is>
          <t>Комментарий</t>
        </is>
      </c>
      <c r="F21" s="495" t="n"/>
      <c r="G21" s="495" t="n"/>
      <c r="H21" s="496" t="n"/>
    </row>
    <row r="22" ht="20" customHeight="1" s="468">
      <c r="B22" s="507" t="inlineStr">
        <is>
          <t>ФОТ с налогами</t>
        </is>
      </c>
      <c r="C22" s="57">
        <f>C7</f>
        <v/>
      </c>
      <c r="D22" s="58">
        <f>C22/C18</f>
        <v/>
      </c>
      <c r="E22" s="497" t="inlineStr">
        <is>
          <t>ключевая статья (~84%)</t>
        </is>
      </c>
      <c r="F22" s="487" t="n"/>
      <c r="G22" s="487" t="n"/>
      <c r="H22" s="488" t="n"/>
    </row>
    <row r="23" ht="20" customHeight="1" s="468">
      <c r="B23" s="507" t="inlineStr">
        <is>
          <t>Офисные расходы (аренда + коммуналки)</t>
        </is>
      </c>
      <c r="C23" s="57">
        <f>C8+C9</f>
        <v/>
      </c>
      <c r="D23" s="58">
        <f>C23/C18</f>
        <v/>
      </c>
      <c r="E23" s="497" t="inlineStr">
        <is>
          <t>фиксированная аренда 750 м²</t>
        </is>
      </c>
      <c r="F23" s="487" t="n"/>
      <c r="G23" s="487" t="n"/>
      <c r="H23" s="488" t="n"/>
    </row>
    <row r="24" ht="20" customHeight="1" s="468">
      <c r="B24" s="507" t="inlineStr">
        <is>
          <t>Операционные нужды (связь, ПО, канцтовары)</t>
        </is>
      </c>
      <c r="C24" s="57">
        <f>C10+C11+C15</f>
        <v/>
      </c>
      <c r="D24" s="58">
        <f>C24/C18</f>
        <v/>
      </c>
      <c r="E24" s="497" t="inlineStr">
        <is>
          <t>рабочая инфраструктура</t>
        </is>
      </c>
      <c r="F24" s="487" t="n"/>
      <c r="G24" s="487" t="n"/>
      <c r="H24" s="488" t="n"/>
    </row>
    <row r="25" ht="20" customHeight="1" s="468">
      <c r="B25" s="507" t="inlineStr">
        <is>
          <t>Командировки и представительские</t>
        </is>
      </c>
      <c r="C25" s="57">
        <f>C12+C13</f>
        <v/>
      </c>
      <c r="D25" s="58">
        <f>C25/C18</f>
        <v/>
      </c>
      <c r="E25" s="497" t="inlineStr">
        <is>
          <t>продюсерская деятельность</t>
        </is>
      </c>
      <c r="F25" s="487" t="n"/>
      <c r="G25" s="487" t="n"/>
      <c r="H25" s="488" t="n"/>
    </row>
    <row r="26" ht="20" customHeight="1" s="468">
      <c r="B26" s="507" t="inlineStr">
        <is>
          <t>Консультанты (юр/аудит)</t>
        </is>
      </c>
      <c r="C26" s="57">
        <f>C14</f>
        <v/>
      </c>
      <c r="D26" s="58">
        <f>C26/C18</f>
        <v/>
      </c>
      <c r="E26" s="497" t="inlineStr">
        <is>
          <t>внешние услуги</t>
        </is>
      </c>
      <c r="F26" s="487" t="n"/>
      <c r="G26" s="487" t="n"/>
      <c r="H26" s="488" t="n"/>
    </row>
    <row r="27" ht="20" customHeight="1" s="468">
      <c r="B27" s="507" t="inlineStr">
        <is>
          <t>Банковские комиссии + маркетинг</t>
        </is>
      </c>
      <c r="C27" s="57">
        <f>C16+C17</f>
        <v/>
      </c>
      <c r="D27" s="58">
        <f>C27/C18</f>
        <v/>
      </c>
      <c r="E27" s="497" t="inlineStr">
        <is>
          <t>финансовые и PR</t>
        </is>
      </c>
      <c r="F27" s="487" t="n"/>
      <c r="G27" s="487" t="n"/>
      <c r="H27" s="488" t="n"/>
    </row>
    <row r="28" ht="22" customHeight="1" s="468">
      <c r="B28" s="60" t="inlineStr">
        <is>
          <t>ПРОВЕРКА: Σ категорий = OPEX (Операционные расходы) total</t>
        </is>
      </c>
      <c r="C28" s="61">
        <f>SUM(C22:C27)</f>
        <v/>
      </c>
      <c r="D28" s="62">
        <f>SUM(D22:D27)</f>
        <v/>
      </c>
      <c r="E28" s="493" t="inlineStr">
        <is>
          <t>✓ Должно совпадать с ИТОГО OPEX (Операционные расходы) 2026 и равняться 100%</t>
        </is>
      </c>
      <c r="F28" s="487" t="n"/>
      <c r="G28" s="487" t="n"/>
      <c r="H28" s="488" t="n"/>
    </row>
    <row r="30" ht="20" customHeight="1" s="468">
      <c r="B30" s="663" t="inlineStr">
        <is>
          <t>COGS (себестоимость) / ПРОИЗВОДСТВО КОНТЕНТА (обзор)</t>
        </is>
      </c>
    </row>
    <row r="31" ht="22" customHeight="1" s="468">
      <c r="B31" s="494" t="inlineStr">
        <is>
          <t>Параметр</t>
        </is>
      </c>
      <c r="C31" s="494" t="inlineStr">
        <is>
          <t>Значение</t>
        </is>
      </c>
      <c r="D31" s="494" t="inlineStr">
        <is>
          <t>Ед.изм.</t>
        </is>
      </c>
      <c r="E31" s="494" t="inlineStr">
        <is>
          <t>Комментарий</t>
        </is>
      </c>
      <c r="F31" s="495" t="n"/>
      <c r="G31" s="495" t="n"/>
      <c r="H31" s="496" t="n"/>
    </row>
    <row r="32" ht="20" customHeight="1" s="468">
      <c r="B32" s="507" t="inlineStr">
        <is>
          <t>Total (Итого) content budget (бюджет)</t>
        </is>
      </c>
      <c r="C32" s="63" t="n">
        <v>1746.8</v>
      </c>
      <c r="D32" s="486" t="inlineStr">
        <is>
          <t>млн ₽</t>
        </is>
      </c>
      <c r="E32" s="497" t="inlineStr">
        <is>
          <t>12 фильмов × 154.2</t>
        </is>
      </c>
      <c r="F32" s="487" t="n"/>
      <c r="G32" s="487" t="n"/>
      <c r="H32" s="488" t="n"/>
    </row>
    <row r="33" ht="20" customHeight="1" s="468">
      <c r="B33" s="507" t="inlineStr">
        <is>
          <t>Средний бюджет 1 фильма</t>
        </is>
      </c>
      <c r="C33" s="63" t="n">
        <v>145.6</v>
      </c>
      <c r="D33" s="486" t="inlineStr">
        <is>
          <t>млн ₽</t>
        </is>
      </c>
      <c r="E33" s="497" t="inlineStr">
        <is>
          <t>производство + постпрод</t>
        </is>
      </c>
      <c r="F33" s="487" t="n"/>
      <c r="G33" s="487" t="n"/>
      <c r="H33" s="488" t="n"/>
    </row>
    <row r="34" ht="20" customHeight="1" s="468">
      <c r="B34" s="507" t="inlineStr">
        <is>
          <t>Producer equity (капитал продюсера)</t>
        </is>
      </c>
      <c r="C34" s="63" t="n">
        <v>600</v>
      </c>
      <c r="D34" s="486" t="inlineStr">
        <is>
          <t>млн ₽</t>
        </is>
      </c>
      <c r="E34" s="497" t="inlineStr">
        <is>
          <t>600 / 1747 = 34.3%</t>
        </is>
      </c>
      <c r="F34" s="487" t="n"/>
      <c r="G34" s="487" t="n"/>
      <c r="H34" s="488" t="n"/>
    </row>
    <row r="35" ht="20" customHeight="1" s="468">
      <c r="B35" s="507" t="inlineStr">
        <is>
          <t>Investor (Инвестор) funding</t>
        </is>
      </c>
      <c r="C35" s="63" t="n">
        <v>1250</v>
      </c>
      <c r="D35" s="486" t="inlineStr">
        <is>
          <t>млн ₽</t>
        </is>
      </c>
      <c r="E35" s="497" t="inlineStr">
        <is>
          <t>1250 / 1747 = 71.6%</t>
        </is>
      </c>
      <c r="F35" s="487" t="n"/>
      <c r="G35" s="487" t="n"/>
      <c r="H35" s="488" t="n"/>
    </row>
    <row r="36" ht="20" customHeight="1" s="468">
      <c r="B36" s="507" t="inlineStr">
        <is>
          <t>Amortization (Амортизация)</t>
        </is>
      </c>
      <c r="C36" s="63" t="n">
        <v>12</v>
      </c>
      <c r="D36" s="486" t="inlineStr">
        <is>
          <t>млн ₽</t>
        </is>
      </c>
      <c r="E36" s="497" t="inlineStr">
        <is>
          <t>линейная</t>
        </is>
      </c>
      <c r="F36" s="487" t="n"/>
      <c r="G36" s="487" t="n"/>
      <c r="H36" s="488" t="n"/>
    </row>
    <row r="37" ht="20" customHeight="1" s="468">
      <c r="B37" s="507" t="inlineStr">
        <is>
          <t>P&amp;A (тиражирование и реклама) (Print &amp; Advertising (Тиражирование и реклама))</t>
        </is>
      </c>
      <c r="C37" s="6" t="n">
        <v>0.15</v>
      </c>
      <c r="D37" s="486" t="inlineStr">
        <is>
          <t>%</t>
        </is>
      </c>
      <c r="E37" s="497" t="inlineStr">
        <is>
          <t>15% от бюджета фильма</t>
        </is>
      </c>
      <c r="F37" s="487" t="n"/>
      <c r="G37" s="487" t="n"/>
      <c r="H37" s="488" t="n"/>
    </row>
    <row r="39" ht="45" customHeight="1" s="468">
      <c r="B39" s="660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36" customWidth="1" style="468" min="2" max="2"/>
    <col width="14" customWidth="1" style="468" min="3" max="4"/>
    <col width="22.1640625" customWidth="1" style="468" min="5" max="5"/>
    <col width="23.83203125" customWidth="1" style="468" min="6" max="6"/>
    <col width="21.1640625" customWidth="1" style="468" min="7" max="7"/>
    <col width="14" customWidth="1" style="468" min="8" max="8"/>
    <col width="2" customWidth="1" style="468" min="9" max="9"/>
  </cols>
  <sheetData>
    <row r="2" ht="30" customHeight="1" s="468">
      <c r="B2" s="661" t="inlineStr">
        <is>
          <t>Структура выручки (Revenue Breakdown (Структура выручки))</t>
        </is>
      </c>
    </row>
    <row r="3">
      <c r="B3" s="662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 s="468">
      <c r="B5" s="663" t="inlineStr">
        <is>
          <t>ВЫРУЧКА ПО ИСТОЧНИКАМ (млн ₽)</t>
        </is>
      </c>
    </row>
    <row r="6" ht="26" customHeight="1" s="468">
      <c r="B6" s="494" t="inlineStr">
        <is>
          <t>Источник</t>
        </is>
      </c>
      <c r="C6" s="494" t="inlineStr">
        <is>
          <t>Доля, %</t>
        </is>
      </c>
      <c r="D6" s="494" t="inlineStr">
        <is>
          <t>2026</t>
        </is>
      </c>
      <c r="E6" s="494" t="inlineStr">
        <is>
          <t>2027</t>
        </is>
      </c>
      <c r="F6" s="494" t="inlineStr">
        <is>
          <t>2028</t>
        </is>
      </c>
      <c r="G6" s="494" t="inlineStr">
        <is>
          <t>Σ 2026–2028</t>
        </is>
      </c>
      <c r="H6" s="494" t="inlineStr">
        <is>
          <t>CAGR (среднегодовой темп роста)</t>
        </is>
      </c>
    </row>
    <row r="7" ht="20" customHeight="1" s="468">
      <c r="B7" s="507" t="inlineStr">
        <is>
          <t>Box Office (Кассовые сборы)</t>
        </is>
      </c>
      <c r="C7" s="64" t="n">
        <v>0.48</v>
      </c>
      <c r="D7" s="65" t="n">
        <v>144</v>
      </c>
      <c r="E7" s="65" t="n">
        <v>840</v>
      </c>
      <c r="F7" s="65" t="n">
        <v>1197.6</v>
      </c>
      <c r="G7" s="66">
        <f>SUM(D7:F7)</f>
        <v/>
      </c>
      <c r="H7" s="67">
        <f>(F7/D7)^(1/2)-1</f>
        <v/>
      </c>
    </row>
    <row r="8" ht="20" customHeight="1" s="468">
      <c r="B8" s="507" t="inlineStr">
        <is>
          <t>Online SVOD (подписной стриминг)</t>
        </is>
      </c>
      <c r="C8" s="64" t="n">
        <v>0.2</v>
      </c>
      <c r="D8" s="65" t="n">
        <v>60</v>
      </c>
      <c r="E8" s="65" t="n">
        <v>350</v>
      </c>
      <c r="F8" s="65" t="n">
        <v>499</v>
      </c>
      <c r="G8" s="66">
        <f>SUM(D8:F8)</f>
        <v/>
      </c>
      <c r="H8" s="67">
        <f>(F8/D8)^(1/2)-1</f>
        <v/>
      </c>
    </row>
    <row r="9" ht="20" customHeight="1" s="468">
      <c r="B9" s="507" t="inlineStr">
        <is>
          <t>TV (телевидение) rights</t>
        </is>
      </c>
      <c r="C9" s="64" t="n">
        <v>0.08</v>
      </c>
      <c r="D9" s="65" t="n">
        <v>24</v>
      </c>
      <c r="E9" s="65" t="n">
        <v>140</v>
      </c>
      <c r="F9" s="65" t="n">
        <v>199.6</v>
      </c>
      <c r="G9" s="66">
        <f>SUM(D9:F9)</f>
        <v/>
      </c>
      <c r="H9" s="67">
        <f>(F9/D9)^(1/2)-1</f>
        <v/>
      </c>
    </row>
    <row r="10" ht="20" customHeight="1" s="468">
      <c r="B10" s="507" t="inlineStr">
        <is>
          <t>Международные продажи (Международные продажи)</t>
        </is>
      </c>
      <c r="C10" s="64" t="n">
        <v>0.1</v>
      </c>
      <c r="D10" s="65" t="n">
        <v>30</v>
      </c>
      <c r="E10" s="65" t="n">
        <v>175</v>
      </c>
      <c r="F10" s="65" t="n">
        <v>249.5</v>
      </c>
      <c r="G10" s="66">
        <f>SUM(D10:F10)</f>
        <v/>
      </c>
      <c r="H10" s="67">
        <f>(F10/D10)^(1/2)-1</f>
        <v/>
      </c>
    </row>
    <row r="11" ht="20" customHeight="1" s="468">
      <c r="B11" s="507" t="inlineStr">
        <is>
          <t>VOD (транзакционный)</t>
        </is>
      </c>
      <c r="C11" s="64" t="n">
        <v>0.04</v>
      </c>
      <c r="D11" s="65" t="n">
        <v>12</v>
      </c>
      <c r="E11" s="65" t="n">
        <v>70</v>
      </c>
      <c r="F11" s="65" t="n">
        <v>99.8</v>
      </c>
      <c r="G11" s="66">
        <f>SUM(D11:F11)</f>
        <v/>
      </c>
      <c r="H11" s="67">
        <f>(F11/D11)^(1/2)-1</f>
        <v/>
      </c>
    </row>
    <row r="12" ht="20" customHeight="1" s="468">
      <c r="B12" s="507" t="inlineStr">
        <is>
          <t>Спонсорство / продакт-плейсмент (Спонсорство / продакт-плейсмент)</t>
        </is>
      </c>
      <c r="C12" s="64" t="n">
        <v>0.05</v>
      </c>
      <c r="D12" s="65" t="n">
        <v>15</v>
      </c>
      <c r="E12" s="65" t="n">
        <v>87.5</v>
      </c>
      <c r="F12" s="65" t="n">
        <v>124.75</v>
      </c>
      <c r="G12" s="66">
        <f>SUM(D12:F12)</f>
        <v/>
      </c>
      <c r="H12" s="67">
        <f>(F12/D12)^(1/2)-1</f>
        <v/>
      </c>
    </row>
    <row r="13" ht="20" customHeight="1" s="468">
      <c r="B13" s="507" t="inlineStr">
        <is>
          <t>Мерчандайзинг (Мерчандайзинг)</t>
        </is>
      </c>
      <c r="C13" s="64" t="n">
        <v>0.02</v>
      </c>
      <c r="D13" s="65" t="n">
        <v>6</v>
      </c>
      <c r="E13" s="65" t="n">
        <v>35</v>
      </c>
      <c r="F13" s="65" t="n">
        <v>49.9</v>
      </c>
      <c r="G13" s="66">
        <f>SUM(D13:F13)</f>
        <v/>
      </c>
      <c r="H13" s="67">
        <f>(F13/D13)^(1/2)-1</f>
        <v/>
      </c>
    </row>
    <row r="14" ht="20" customHeight="1" s="468">
      <c r="B14" s="507" t="inlineStr">
        <is>
          <t>Господдержка (безвозвратная)</t>
        </is>
      </c>
      <c r="C14" s="64" t="n">
        <v>0.03</v>
      </c>
      <c r="D14" s="65" t="n">
        <v>9</v>
      </c>
      <c r="E14" s="65" t="n">
        <v>52.5</v>
      </c>
      <c r="F14" s="65" t="n">
        <v>74.84999999999999</v>
      </c>
      <c r="G14" s="66">
        <f>SUM(D14:F14)</f>
        <v/>
      </c>
      <c r="H14" s="67">
        <f>(F14/D14)^(1/2)-1</f>
        <v/>
      </c>
    </row>
    <row r="15" ht="28" customHeight="1" s="468">
      <c r="B15" s="505" t="inlineStr">
        <is>
          <t>ИТОГО ВЫРУЧКА</t>
        </is>
      </c>
      <c r="C15" s="68">
        <f>SUM(C7:C14)</f>
        <v/>
      </c>
      <c r="D15" s="69">
        <f>SUM(D7:D14)</f>
        <v/>
      </c>
      <c r="E15" s="69">
        <f>SUM(E7:E14)</f>
        <v/>
      </c>
      <c r="F15" s="69">
        <f>SUM(F7:F14)</f>
        <v/>
      </c>
      <c r="G15" s="70">
        <f>SUM(G7:G14)</f>
        <v/>
      </c>
      <c r="H15" s="71">
        <f>(F15/D15)^(1/2)-1</f>
        <v/>
      </c>
    </row>
    <row r="17" ht="20" customHeight="1" s="468">
      <c r="B17" s="701" t="inlineStr">
        <is>
          <t>ПРОВЕРКА ЯКОРЯ</t>
        </is>
      </c>
    </row>
    <row r="18" ht="22" customHeight="1" s="468">
      <c r="B18" s="501" t="inlineStr">
        <is>
          <t>Target Σ Revenue (Выручка) 2026–2028 (якорь)</t>
        </is>
      </c>
      <c r="C18" s="487" t="n"/>
      <c r="D18" s="488" t="n"/>
      <c r="E18" s="702" t="n">
        <v>4545</v>
      </c>
      <c r="F18" s="488" t="n"/>
      <c r="G18" s="497" t="inlineStr">
        <is>
          <t>12 фильмов × 378.75 млн ср.</t>
        </is>
      </c>
      <c r="H18" s="488" t="n"/>
    </row>
    <row r="19" ht="22" customHeight="1" s="468">
      <c r="B19" s="501" t="inlineStr">
        <is>
          <t>Actual Σ Revenue (Выручка)</t>
        </is>
      </c>
      <c r="C19" s="487" t="n"/>
      <c r="D19" s="488" t="n"/>
      <c r="E19" s="703">
        <f>G15</f>
        <v/>
      </c>
      <c r="F19" s="488" t="n"/>
      <c r="G19" s="497" t="inlineStr">
        <is>
          <t>Sum-check (Контрольная сумма)</t>
        </is>
      </c>
      <c r="H19" s="488" t="n"/>
    </row>
    <row r="20" ht="22" customHeight="1" s="468">
      <c r="B20" s="498" t="inlineStr">
        <is>
          <t>Δ = Факт − План</t>
        </is>
      </c>
      <c r="C20" s="487" t="n"/>
      <c r="D20" s="488" t="n"/>
      <c r="E20" s="704">
        <f>G15-4545</f>
        <v/>
      </c>
      <c r="F20" s="488" t="n"/>
      <c r="G20" s="493" t="inlineStr">
        <is>
          <t>✓ должен быть 0.00 (±0.01 tolerance)</t>
        </is>
      </c>
      <c r="H20" s="488" t="n"/>
    </row>
    <row r="22" ht="20" customHeight="1" s="468">
      <c r="B22" s="663" t="inlineStr">
        <is>
          <t>СЦЕНАРНЫЙ РАЗБРОС (Bear (Пессимистичный) / Base (Базовый) / Bull (Оптимистичный)), Σ 2026–2028</t>
        </is>
      </c>
    </row>
    <row r="23" ht="26" customHeight="1" s="468">
      <c r="B23" s="494" t="inlineStr">
        <is>
          <t>Сценарий</t>
        </is>
      </c>
      <c r="C23" s="494" t="inlineStr">
        <is>
          <t>Множитель</t>
        </is>
      </c>
      <c r="D23" s="494" t="inlineStr">
        <is>
          <t>Revenue (Выручка)</t>
        </is>
      </c>
      <c r="E23" s="494" t="inlineStr">
        <is>
          <t>EBITDA (прибыль до вычетов)</t>
        </is>
      </c>
      <c r="F23" s="494" t="inlineStr">
        <is>
          <t>Net Profit (Чистая прибыль)</t>
        </is>
      </c>
      <c r="G23" s="494" t="inlineStr">
        <is>
          <t>IRR (внутренняя норма доходности)</t>
        </is>
      </c>
      <c r="H23" s="494" t="inlineStr">
        <is>
          <t>Комментарий</t>
        </is>
      </c>
    </row>
    <row r="24" ht="24" customHeight="1" s="468">
      <c r="B24" s="72" t="inlineStr">
        <is>
          <t>Bear (Пессимистичный)</t>
        </is>
      </c>
      <c r="C24" s="705" t="n">
        <v>0.7</v>
      </c>
      <c r="D24" s="74" t="n">
        <v>3181.5</v>
      </c>
      <c r="E24" s="75" t="n">
        <v>2100</v>
      </c>
      <c r="F24" s="75" t="n">
        <v>1596</v>
      </c>
      <c r="G24" s="76" t="n">
        <v>0.15</v>
      </c>
      <c r="H24" s="77" t="inlineStr">
        <is>
          <t>Провал 1-2 тентполов, CPI 8%, господдержка 0%</t>
        </is>
      </c>
    </row>
    <row r="25" ht="24" customHeight="1" s="468">
      <c r="B25" s="78" t="inlineStr">
        <is>
          <t>Base (Базовый)</t>
        </is>
      </c>
      <c r="C25" s="706" t="n">
        <v>1</v>
      </c>
      <c r="D25" s="80" t="n">
        <v>4545</v>
      </c>
      <c r="E25" s="81" t="n">
        <v>3000</v>
      </c>
      <c r="F25" s="81" t="n">
        <v>2280</v>
      </c>
      <c r="G25" s="82" t="n">
        <v>0.3</v>
      </c>
      <c r="H25" s="83" t="inlineStr">
        <is>
          <t>Якорь модели, согласован с Холдинг Кино.xlsx</t>
        </is>
      </c>
    </row>
    <row r="26" ht="24" customHeight="1" s="468">
      <c r="B26" s="72" t="inlineStr">
        <is>
          <t>Bull (Оптимистичный)</t>
        </is>
      </c>
      <c r="C26" s="705" t="n">
        <v>1.25</v>
      </c>
      <c r="D26" s="74" t="n">
        <v>5681.25</v>
      </c>
      <c r="E26" s="75" t="n">
        <v>3750</v>
      </c>
      <c r="F26" s="75" t="n">
        <v>2850</v>
      </c>
      <c r="G26" s="76" t="n">
        <v>0.42</v>
      </c>
      <c r="H26" s="77" t="inlineStr">
        <is>
          <t>Все релизы ≥ плана, int'l продажи, господдержка 35%</t>
        </is>
      </c>
    </row>
    <row r="28" ht="70" customHeight="1" s="468">
      <c r="B28" s="660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 s="468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topLeftCell="B1" workbookViewId="0">
      <pane ySplit="5" topLeftCell="A27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11.1640625" customWidth="1" style="468" min="2" max="2"/>
    <col width="24" customWidth="1" style="468" min="3" max="3"/>
    <col width="20" customWidth="1" style="468" min="4" max="4"/>
    <col width="10" customWidth="1" style="468" min="5" max="5"/>
    <col width="12" customWidth="1" style="468" min="6" max="8"/>
    <col width="20.1640625" customWidth="1" style="468" min="9" max="9"/>
    <col width="12" customWidth="1" style="468" min="10" max="11"/>
    <col width="10" customWidth="1" style="468" min="12" max="12"/>
    <col width="13.83203125" customWidth="1" style="468" min="13" max="13"/>
  </cols>
  <sheetData>
    <row r="2" ht="30" customHeight="1" s="468">
      <c r="B2" s="661" t="inlineStr">
        <is>
          <t>Портфель контента — 12 фильмов (Content Pipeline (Портфель контента))</t>
        </is>
      </c>
    </row>
    <row r="3">
      <c r="B3" s="662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 s="468">
      <c r="B5" s="663" t="inlineStr">
        <is>
          <t>ПОРТФЕЛЬ 12 ФИЛЬМОВ (млн ₽)</t>
        </is>
      </c>
    </row>
    <row r="6" ht="32" customHeight="1" s="468">
      <c r="B6" s="494" t="inlineStr">
        <is>
          <t>#</t>
        </is>
      </c>
      <c r="C6" s="494" t="inlineStr">
        <is>
          <t>Рабочее название</t>
        </is>
      </c>
      <c r="D6" s="494" t="inlineStr">
        <is>
          <t>Жанр</t>
        </is>
      </c>
      <c r="E6" s="494" t="inlineStr">
        <is>
          <t>Релиз</t>
        </is>
      </c>
      <c r="F6" s="494" t="inlineStr">
        <is>
          <t>Бюджет</t>
        </is>
      </c>
      <c r="G6" s="494" t="inlineStr">
        <is>
          <t>P&amp;A (тиражирование и реклама) (15%)</t>
        </is>
      </c>
      <c r="H6" s="494" t="inlineStr">
        <is>
          <t>Σ затраты</t>
        </is>
      </c>
      <c r="I6" s="494" t="inlineStr">
        <is>
          <t>Revenue (Выручка)</t>
        </is>
      </c>
      <c r="J6" s="494" t="inlineStr">
        <is>
          <t>ROI (возврат на инвестиции), %</t>
        </is>
      </c>
      <c r="K6" s="494" t="inlineStr">
        <is>
          <t>Margin (Маржа)</t>
        </is>
      </c>
      <c r="L6" s="494" t="inlineStr">
        <is>
          <t>Payback (Окупаемость)</t>
        </is>
      </c>
      <c r="M6" s="494" t="inlineStr">
        <is>
          <t>Tier (Уровень)</t>
        </is>
      </c>
    </row>
    <row r="7" ht="22" customHeight="1" s="468">
      <c r="B7" s="84" t="n">
        <v>1</v>
      </c>
      <c r="C7" s="42" t="inlineStr">
        <is>
          <t>Родные стены</t>
        </is>
      </c>
      <c r="D7" s="497" t="inlineStr">
        <is>
          <t>Семейная драма</t>
        </is>
      </c>
      <c r="E7" s="85" t="inlineStr">
        <is>
          <t>Q4 2026</t>
        </is>
      </c>
      <c r="F7" s="9" t="n">
        <v>150</v>
      </c>
      <c r="G7" s="86">
        <f>F7*0.15</f>
        <v/>
      </c>
      <c r="H7" s="87">
        <f>F7+G7</f>
        <v/>
      </c>
      <c r="I7" s="88" t="n">
        <v>310</v>
      </c>
      <c r="J7" s="707">
        <f>(I7-H7)/H7</f>
        <v/>
      </c>
      <c r="K7" s="90">
        <f>(I7-H7)/I7</f>
        <v/>
      </c>
      <c r="L7" s="708" t="n">
        <v>15</v>
      </c>
      <c r="M7" s="92" t="inlineStr">
        <is>
          <t>A</t>
        </is>
      </c>
    </row>
    <row r="8" ht="22" customHeight="1" s="468">
      <c r="B8" s="84" t="n">
        <v>2</v>
      </c>
      <c r="C8" s="42" t="inlineStr">
        <is>
          <t>Два сердца</t>
        </is>
      </c>
      <c r="D8" s="497" t="inlineStr">
        <is>
          <t>Мелодрама</t>
        </is>
      </c>
      <c r="E8" s="85" t="inlineStr">
        <is>
          <t>Q1 2027</t>
        </is>
      </c>
      <c r="F8" s="9" t="n">
        <v>100</v>
      </c>
      <c r="G8" s="86">
        <f>F8*0.15</f>
        <v/>
      </c>
      <c r="H8" s="87">
        <f>F8+G8</f>
        <v/>
      </c>
      <c r="I8" s="88" t="n">
        <v>250</v>
      </c>
      <c r="J8" s="707">
        <f>(I8-H8)/H8</f>
        <v/>
      </c>
      <c r="K8" s="90">
        <f>(I8-H8)/I8</f>
        <v/>
      </c>
      <c r="L8" s="708" t="n">
        <v>18</v>
      </c>
      <c r="M8" s="93" t="inlineStr">
        <is>
          <t>B</t>
        </is>
      </c>
    </row>
    <row r="9" ht="22" customHeight="1" s="468">
      <c r="B9" s="84" t="n">
        <v>3</v>
      </c>
      <c r="C9" s="42" t="inlineStr">
        <is>
          <t>Ночной патруль</t>
        </is>
      </c>
      <c r="D9" s="497" t="inlineStr">
        <is>
          <t>Боевик</t>
        </is>
      </c>
      <c r="E9" s="85" t="inlineStr">
        <is>
          <t>Q2 2027</t>
        </is>
      </c>
      <c r="F9" s="9" t="n">
        <v>220</v>
      </c>
      <c r="G9" s="86">
        <f>F9*0.15</f>
        <v/>
      </c>
      <c r="H9" s="87">
        <f>F9+G9</f>
        <v/>
      </c>
      <c r="I9" s="88" t="n">
        <v>500</v>
      </c>
      <c r="J9" s="707">
        <f>(I9-H9)/H9</f>
        <v/>
      </c>
      <c r="K9" s="90">
        <f>(I9-H9)/I9</f>
        <v/>
      </c>
      <c r="L9" s="708" t="n">
        <v>12</v>
      </c>
      <c r="M9" s="17" t="inlineStr">
        <is>
          <t>A+</t>
        </is>
      </c>
    </row>
    <row r="10" ht="22" customHeight="1" s="468">
      <c r="B10" s="84" t="n">
        <v>4</v>
      </c>
      <c r="C10" s="42" t="inlineStr">
        <is>
          <t>Последний экзамен</t>
        </is>
      </c>
      <c r="D10" s="497" t="inlineStr">
        <is>
          <t>Молодёжная драма</t>
        </is>
      </c>
      <c r="E10" s="85" t="inlineStr">
        <is>
          <t>Q2 2027</t>
        </is>
      </c>
      <c r="F10" s="9" t="n">
        <v>90</v>
      </c>
      <c r="G10" s="86">
        <f>F10*0.15</f>
        <v/>
      </c>
      <c r="H10" s="87">
        <f>F10+G10</f>
        <v/>
      </c>
      <c r="I10" s="88" t="n">
        <v>200</v>
      </c>
      <c r="J10" s="707">
        <f>(I10-H10)/H10</f>
        <v/>
      </c>
      <c r="K10" s="90">
        <f>(I10-H10)/I10</f>
        <v/>
      </c>
      <c r="L10" s="708" t="n">
        <v>18</v>
      </c>
      <c r="M10" s="93" t="inlineStr">
        <is>
          <t>B</t>
        </is>
      </c>
    </row>
    <row r="11" ht="22" customHeight="1" s="468">
      <c r="B11" s="84" t="n">
        <v>5</v>
      </c>
      <c r="C11" s="42" t="inlineStr">
        <is>
          <t>Время героев</t>
        </is>
      </c>
      <c r="D11" s="497" t="inlineStr">
        <is>
          <t>Исторический эпос</t>
        </is>
      </c>
      <c r="E11" s="85" t="inlineStr">
        <is>
          <t>Q3 2027</t>
        </is>
      </c>
      <c r="F11" s="9" t="n">
        <v>250</v>
      </c>
      <c r="G11" s="86">
        <f>F11*0.15</f>
        <v/>
      </c>
      <c r="H11" s="87">
        <f>F11+G11</f>
        <v/>
      </c>
      <c r="I11" s="88" t="n">
        <v>620</v>
      </c>
      <c r="J11" s="707">
        <f>(I11-H11)/H11</f>
        <v/>
      </c>
      <c r="K11" s="90">
        <f>(I11-H11)/I11</f>
        <v/>
      </c>
      <c r="L11" s="708" t="n">
        <v>14</v>
      </c>
      <c r="M11" s="17" t="inlineStr">
        <is>
          <t>A+</t>
        </is>
      </c>
    </row>
    <row r="12" ht="22" customHeight="1" s="468">
      <c r="B12" s="84" t="n">
        <v>6</v>
      </c>
      <c r="C12" s="42" t="inlineStr">
        <is>
          <t>Красная заря</t>
        </is>
      </c>
      <c r="D12" s="497" t="inlineStr">
        <is>
          <t>Шпионский триллер</t>
        </is>
      </c>
      <c r="E12" s="85" t="inlineStr">
        <is>
          <t>Q4 2027</t>
        </is>
      </c>
      <c r="F12" s="9" t="n">
        <v>180</v>
      </c>
      <c r="G12" s="86">
        <f>F12*0.15</f>
        <v/>
      </c>
      <c r="H12" s="87">
        <f>F12+G12</f>
        <v/>
      </c>
      <c r="I12" s="88" t="n">
        <v>420</v>
      </c>
      <c r="J12" s="707">
        <f>(I12-H12)/H12</f>
        <v/>
      </c>
      <c r="K12" s="90">
        <f>(I12-H12)/I12</f>
        <v/>
      </c>
      <c r="L12" s="708" t="n">
        <v>16</v>
      </c>
      <c r="M12" s="92" t="inlineStr">
        <is>
          <t>A</t>
        </is>
      </c>
    </row>
    <row r="13" ht="22" customHeight="1" s="468">
      <c r="B13" s="84" t="n">
        <v>7</v>
      </c>
      <c r="C13" s="42" t="inlineStr">
        <is>
          <t>Сказка наяву</t>
        </is>
      </c>
      <c r="D13" s="497" t="inlineStr">
        <is>
          <t>Семейный фэнтези</t>
        </is>
      </c>
      <c r="E13" s="85" t="inlineStr">
        <is>
          <t>Q1 2028</t>
        </is>
      </c>
      <c r="F13" s="9" t="n">
        <v>170</v>
      </c>
      <c r="G13" s="86">
        <f>F13*0.15</f>
        <v/>
      </c>
      <c r="H13" s="87">
        <f>F13+G13</f>
        <v/>
      </c>
      <c r="I13" s="88" t="n">
        <v>460</v>
      </c>
      <c r="J13" s="707">
        <f>(I13-H13)/H13</f>
        <v/>
      </c>
      <c r="K13" s="90">
        <f>(I13-H13)/I13</f>
        <v/>
      </c>
      <c r="L13" s="708" t="n">
        <v>15</v>
      </c>
      <c r="M13" s="92" t="inlineStr">
        <is>
          <t>A</t>
        </is>
      </c>
    </row>
    <row r="14" ht="22" customHeight="1" s="468">
      <c r="B14" s="84" t="n">
        <v>8</v>
      </c>
      <c r="C14" s="42" t="inlineStr">
        <is>
          <t>Неизвестный герой</t>
        </is>
      </c>
      <c r="D14" s="497" t="inlineStr">
        <is>
          <t>Биографическая драма</t>
        </is>
      </c>
      <c r="E14" s="85" t="inlineStr">
        <is>
          <t>Q2 2028</t>
        </is>
      </c>
      <c r="F14" s="9" t="n">
        <v>130</v>
      </c>
      <c r="G14" s="86">
        <f>F14*0.15</f>
        <v/>
      </c>
      <c r="H14" s="87">
        <f>F14+G14</f>
        <v/>
      </c>
      <c r="I14" s="88" t="n">
        <v>330</v>
      </c>
      <c r="J14" s="707">
        <f>(I14-H14)/H14</f>
        <v/>
      </c>
      <c r="K14" s="90">
        <f>(I14-H14)/I14</f>
        <v/>
      </c>
      <c r="L14" s="708" t="n">
        <v>17</v>
      </c>
      <c r="M14" s="94" t="inlineStr">
        <is>
          <t>B+</t>
        </is>
      </c>
    </row>
    <row r="15" ht="22" customHeight="1" s="468">
      <c r="B15" s="84" t="n">
        <v>9</v>
      </c>
      <c r="C15" s="42" t="inlineStr">
        <is>
          <t>Моё дело</t>
        </is>
      </c>
      <c r="D15" s="497" t="inlineStr">
        <is>
          <t>Комедия</t>
        </is>
      </c>
      <c r="E15" s="85" t="inlineStr">
        <is>
          <t>Q2 2028</t>
        </is>
      </c>
      <c r="F15" s="9" t="n">
        <v>80</v>
      </c>
      <c r="G15" s="86">
        <f>F15*0.15</f>
        <v/>
      </c>
      <c r="H15" s="87">
        <f>F15+G15</f>
        <v/>
      </c>
      <c r="I15" s="88" t="n">
        <v>220</v>
      </c>
      <c r="J15" s="707">
        <f>(I15-H15)/H15</f>
        <v/>
      </c>
      <c r="K15" s="90">
        <f>(I15-H15)/I15</f>
        <v/>
      </c>
      <c r="L15" s="708" t="n">
        <v>18</v>
      </c>
      <c r="M15" s="93" t="inlineStr">
        <is>
          <t>B</t>
        </is>
      </c>
    </row>
    <row r="16" ht="22" customHeight="1" s="468">
      <c r="B16" s="84" t="n">
        <v>10</v>
      </c>
      <c r="C16" s="42" t="inlineStr">
        <is>
          <t>Северный ветер</t>
        </is>
      </c>
      <c r="D16" s="497" t="inlineStr">
        <is>
          <t>Приключенческий</t>
        </is>
      </c>
      <c r="E16" s="85" t="inlineStr">
        <is>
          <t>Q3 2028</t>
        </is>
      </c>
      <c r="F16" s="9" t="n">
        <v>180</v>
      </c>
      <c r="G16" s="86">
        <f>F16*0.15</f>
        <v/>
      </c>
      <c r="H16" s="87">
        <f>F16+G16</f>
        <v/>
      </c>
      <c r="I16" s="88" t="n">
        <v>480</v>
      </c>
      <c r="J16" s="707">
        <f>(I16-H16)/H16</f>
        <v/>
      </c>
      <c r="K16" s="90">
        <f>(I16-H16)/I16</f>
        <v/>
      </c>
      <c r="L16" s="708" t="n">
        <v>15</v>
      </c>
      <c r="M16" s="92" t="inlineStr">
        <is>
          <t>A</t>
        </is>
      </c>
    </row>
    <row r="17" ht="22" customHeight="1" s="468">
      <c r="B17" s="84" t="n">
        <v>11</v>
      </c>
      <c r="C17" s="42" t="inlineStr">
        <is>
          <t>Полдень</t>
        </is>
      </c>
      <c r="D17" s="497" t="inlineStr">
        <is>
          <t>Психологический триллер</t>
        </is>
      </c>
      <c r="E17" s="85" t="inlineStr">
        <is>
          <t>Q3 2028</t>
        </is>
      </c>
      <c r="F17" s="9" t="n">
        <v>140</v>
      </c>
      <c r="G17" s="86">
        <f>F17*0.15</f>
        <v/>
      </c>
      <c r="H17" s="87">
        <f>F17+G17</f>
        <v/>
      </c>
      <c r="I17" s="88" t="n">
        <v>350</v>
      </c>
      <c r="J17" s="707">
        <f>(I17-H17)/H17</f>
        <v/>
      </c>
      <c r="K17" s="90">
        <f>(I17-H17)/I17</f>
        <v/>
      </c>
      <c r="L17" s="708" t="n">
        <v>17</v>
      </c>
      <c r="M17" s="94" t="inlineStr">
        <is>
          <t>B+</t>
        </is>
      </c>
    </row>
    <row r="18" ht="22" customHeight="1" s="468">
      <c r="B18" s="84" t="n">
        <v>12</v>
      </c>
      <c r="C18" s="42" t="inlineStr">
        <is>
          <t>Горизонт событий</t>
        </is>
      </c>
      <c r="D18" s="497" t="inlineStr">
        <is>
          <t>Фантастика</t>
        </is>
      </c>
      <c r="E18" s="85" t="inlineStr">
        <is>
          <t>Q4 2028</t>
        </is>
      </c>
      <c r="F18" s="9" t="n">
        <v>160</v>
      </c>
      <c r="G18" s="86">
        <f>F18*0.15</f>
        <v/>
      </c>
      <c r="H18" s="87">
        <f>F18+G18</f>
        <v/>
      </c>
      <c r="I18" s="88" t="n">
        <v>405</v>
      </c>
      <c r="J18" s="707">
        <f>(I18-H18)/H18</f>
        <v/>
      </c>
      <c r="K18" s="90">
        <f>(I18-H18)/I18</f>
        <v/>
      </c>
      <c r="L18" s="708" t="n">
        <v>16</v>
      </c>
      <c r="M18" s="92" t="inlineStr">
        <is>
          <t>A</t>
        </is>
      </c>
    </row>
    <row r="19" ht="28" customHeight="1" s="468">
      <c r="B19" s="505" t="inlineStr">
        <is>
          <t>ИТОГО ПОРТФЕЛЬ 12 ФИЛЬМОВ</t>
        </is>
      </c>
      <c r="C19" s="487" t="n"/>
      <c r="D19" s="487" t="n"/>
      <c r="E19" s="488" t="n"/>
      <c r="F19" s="95">
        <f>SUM(F7:F18)</f>
        <v/>
      </c>
      <c r="G19" s="96">
        <f>SUM(G7:G18)</f>
        <v/>
      </c>
      <c r="H19" s="96">
        <f>SUM(H7:H18)</f>
        <v/>
      </c>
      <c r="I19" s="709">
        <f>SUM(I7:I18)</f>
        <v/>
      </c>
      <c r="J19" s="710">
        <f>(I19-H19)/H19</f>
        <v/>
      </c>
      <c r="K19" s="68">
        <f>(I19-H19)/I19</f>
        <v/>
      </c>
      <c r="L19" s="711">
        <f>AVERAGE(L7:L18)</f>
        <v/>
      </c>
      <c r="M19" s="100" t="inlineStr">
        <is>
          <t>—</t>
        </is>
      </c>
    </row>
    <row r="21" ht="20" customHeight="1" s="468">
      <c r="B21" s="701" t="inlineStr">
        <is>
          <t>ПРОВЕРКА ЯКОРЕЙ</t>
        </is>
      </c>
    </row>
    <row r="22" ht="20" customHeight="1" s="468">
      <c r="B22" s="507" t="inlineStr">
        <is>
          <t>Target Бюджет 1850 млн</t>
        </is>
      </c>
      <c r="C22" s="487" t="n"/>
      <c r="D22" s="487" t="n"/>
      <c r="E22" s="488" t="n"/>
      <c r="F22" s="101" t="inlineStr">
        <is>
          <t>План:</t>
        </is>
      </c>
      <c r="G22" s="102" t="n">
        <v>1850</v>
      </c>
      <c r="H22" s="101" t="inlineStr">
        <is>
          <t>Факт:</t>
        </is>
      </c>
      <c r="I22" s="103">
        <f>F19</f>
        <v/>
      </c>
      <c r="J22" s="506" t="inlineStr">
        <is>
          <t>✓</t>
        </is>
      </c>
      <c r="K22" s="487" t="n"/>
      <c r="L22" s="487" t="n"/>
      <c r="M22" s="488" t="n"/>
    </row>
    <row r="23" ht="20" customHeight="1" s="468">
      <c r="B23" s="507" t="inlineStr">
        <is>
          <t>Target Revenue (Выручка) 4545 млн</t>
        </is>
      </c>
      <c r="C23" s="487" t="n"/>
      <c r="D23" s="487" t="n"/>
      <c r="E23" s="488" t="n"/>
      <c r="F23" s="101" t="inlineStr">
        <is>
          <t>План:</t>
        </is>
      </c>
      <c r="G23" s="102" t="n">
        <v>4545</v>
      </c>
      <c r="H23" s="101" t="inlineStr">
        <is>
          <t>Факт:</t>
        </is>
      </c>
      <c r="I23" s="103">
        <f>I19</f>
        <v/>
      </c>
      <c r="J23" s="506" t="inlineStr">
        <is>
          <t>✓</t>
        </is>
      </c>
      <c r="K23" s="487" t="n"/>
      <c r="L23" s="487" t="n"/>
      <c r="M23" s="488" t="n"/>
    </row>
    <row r="24" ht="20" customHeight="1" s="468">
      <c r="B24" s="507" t="inlineStr">
        <is>
          <t>Средний бюджет / фильм</t>
        </is>
      </c>
      <c r="C24" s="487" t="n"/>
      <c r="D24" s="487" t="n"/>
      <c r="E24" s="488" t="n"/>
      <c r="F24" s="101" t="inlineStr">
        <is>
          <t>План:</t>
        </is>
      </c>
      <c r="G24" s="102" t="n">
        <v>154.2</v>
      </c>
      <c r="H24" s="101" t="inlineStr">
        <is>
          <t>Факт:</t>
        </is>
      </c>
      <c r="I24" s="103">
        <f>F19/12</f>
        <v/>
      </c>
      <c r="J24" s="506" t="inlineStr">
        <is>
          <t>✓</t>
        </is>
      </c>
      <c r="K24" s="487" t="n"/>
      <c r="L24" s="487" t="n"/>
      <c r="M24" s="488" t="n"/>
    </row>
    <row r="25" ht="20" customHeight="1" s="468">
      <c r="B25" s="507" t="inlineStr">
        <is>
          <t>Средняя выручка / фильм</t>
        </is>
      </c>
      <c r="C25" s="487" t="n"/>
      <c r="D25" s="487" t="n"/>
      <c r="E25" s="488" t="n"/>
      <c r="F25" s="101" t="inlineStr">
        <is>
          <t>План:</t>
        </is>
      </c>
      <c r="G25" s="102" t="n">
        <v>378.75</v>
      </c>
      <c r="H25" s="101" t="inlineStr">
        <is>
          <t>Факт:</t>
        </is>
      </c>
      <c r="I25" s="103">
        <f>I19/12</f>
        <v/>
      </c>
      <c r="J25" s="506" t="inlineStr">
        <is>
          <t>✓</t>
        </is>
      </c>
      <c r="K25" s="487" t="n"/>
      <c r="L25" s="487" t="n"/>
      <c r="M25" s="488" t="n"/>
    </row>
    <row r="26" ht="20" customHeight="1" s="468">
      <c r="B26" s="507" t="inlineStr">
        <is>
          <t>Средний Revenue (Выручка)/Budget (Бюджет)</t>
        </is>
      </c>
      <c r="C26" s="487" t="n"/>
      <c r="D26" s="487" t="n"/>
      <c r="E26" s="488" t="n"/>
      <c r="F26" s="101" t="inlineStr">
        <is>
          <t>План:</t>
        </is>
      </c>
      <c r="G26" s="102" t="n">
        <v>2.457</v>
      </c>
      <c r="H26" s="101" t="inlineStr">
        <is>
          <t>Факт:</t>
        </is>
      </c>
      <c r="I26" s="103">
        <f>I19/F19</f>
        <v/>
      </c>
      <c r="J26" s="506" t="inlineStr">
        <is>
          <t>✓</t>
        </is>
      </c>
      <c r="K26" s="487" t="n"/>
      <c r="L26" s="487" t="n"/>
      <c r="M26" s="488" t="n"/>
    </row>
    <row r="28" ht="20" customHeight="1" s="468">
      <c r="B28" s="663" t="inlineStr">
        <is>
          <t>РАСПИСАНИЕ РЕЛИЗОВ ПО КВАРТАЛАМ</t>
        </is>
      </c>
    </row>
    <row r="29" ht="59" customHeight="1" s="468">
      <c r="B29" s="494" t="inlineStr">
        <is>
          <t>Квартал</t>
        </is>
      </c>
      <c r="C29" s="494" t="inlineStr">
        <is>
          <t>Релизов</t>
        </is>
      </c>
      <c r="D29" s="494" t="inlineStr">
        <is>
          <t>Фильмы</t>
        </is>
      </c>
      <c r="E29" s="495" t="n"/>
      <c r="F29" s="495" t="n"/>
      <c r="G29" s="495" t="n"/>
      <c r="H29" s="496" t="n"/>
      <c r="I29" s="494" t="inlineStr">
        <is>
          <t>Σ Бюджет</t>
        </is>
      </c>
      <c r="J29" s="494" t="inlineStr">
        <is>
          <t>Σ Revenue (Выручка)</t>
        </is>
      </c>
      <c r="K29" s="494" t="inlineStr">
        <is>
          <t>Средний ROI (возврат на инвестиции)</t>
        </is>
      </c>
      <c r="L29" s="495" t="n"/>
      <c r="M29" s="496" t="n"/>
    </row>
    <row r="30" ht="28" customHeight="1" s="468">
      <c r="B30" s="44" t="inlineStr">
        <is>
          <t>Q4 2026</t>
        </is>
      </c>
      <c r="C30" s="712" t="n">
        <v>1</v>
      </c>
      <c r="D30" s="504" t="inlineStr">
        <is>
          <t>Родные стены</t>
        </is>
      </c>
      <c r="E30" s="487" t="n"/>
      <c r="F30" s="487" t="n"/>
      <c r="G30" s="487" t="n"/>
      <c r="H30" s="488" t="n"/>
      <c r="I30" s="105" t="n">
        <v>150</v>
      </c>
      <c r="J30" s="81" t="n">
        <v>310</v>
      </c>
      <c r="K30" s="707" t="n">
        <v>0.7971014492753623</v>
      </c>
      <c r="L30" s="487" t="n"/>
      <c r="M30" s="488" t="n"/>
    </row>
    <row r="31" ht="28" customHeight="1" s="468">
      <c r="B31" s="44" t="inlineStr">
        <is>
          <t>Q1 2027</t>
        </is>
      </c>
      <c r="C31" s="712" t="n">
        <v>1</v>
      </c>
      <c r="D31" s="504" t="inlineStr">
        <is>
          <t>Два сердца</t>
        </is>
      </c>
      <c r="E31" s="487" t="n"/>
      <c r="F31" s="487" t="n"/>
      <c r="G31" s="487" t="n"/>
      <c r="H31" s="488" t="n"/>
      <c r="I31" s="105" t="n">
        <v>100</v>
      </c>
      <c r="J31" s="81" t="n">
        <v>250</v>
      </c>
      <c r="K31" s="707" t="n">
        <v>1.173913043478261</v>
      </c>
      <c r="L31" s="487" t="n"/>
      <c r="M31" s="488" t="n"/>
    </row>
    <row r="32" ht="28" customHeight="1" s="468">
      <c r="B32" s="44" t="inlineStr">
        <is>
          <t>Q2 2027</t>
        </is>
      </c>
      <c r="C32" s="712" t="n">
        <v>2</v>
      </c>
      <c r="D32" s="504" t="inlineStr">
        <is>
          <t>Ночной патруль, Последний экзамен</t>
        </is>
      </c>
      <c r="E32" s="487" t="n"/>
      <c r="F32" s="487" t="n"/>
      <c r="G32" s="487" t="n"/>
      <c r="H32" s="488" t="n"/>
      <c r="I32" s="105" t="n">
        <v>310</v>
      </c>
      <c r="J32" s="81" t="n">
        <v>700</v>
      </c>
      <c r="K32" s="707" t="n">
        <v>0.9635343618513323</v>
      </c>
      <c r="L32" s="487" t="n"/>
      <c r="M32" s="488" t="n"/>
    </row>
    <row r="33" ht="28" customHeight="1" s="468">
      <c r="B33" s="44" t="inlineStr">
        <is>
          <t>Q3 2027</t>
        </is>
      </c>
      <c r="C33" s="712" t="n">
        <v>1</v>
      </c>
      <c r="D33" s="504" t="inlineStr">
        <is>
          <t>Время героев</t>
        </is>
      </c>
      <c r="E33" s="487" t="n"/>
      <c r="F33" s="487" t="n"/>
      <c r="G33" s="487" t="n"/>
      <c r="H33" s="488" t="n"/>
      <c r="I33" s="105" t="n">
        <v>250</v>
      </c>
      <c r="J33" s="81" t="n">
        <v>620</v>
      </c>
      <c r="K33" s="707" t="n">
        <v>1.156521739130435</v>
      </c>
      <c r="L33" s="487" t="n"/>
      <c r="M33" s="488" t="n"/>
    </row>
    <row r="34" ht="28" customHeight="1" s="468">
      <c r="B34" s="44" t="inlineStr">
        <is>
          <t>Q4 2027</t>
        </is>
      </c>
      <c r="C34" s="712" t="n">
        <v>1</v>
      </c>
      <c r="D34" s="504" t="inlineStr">
        <is>
          <t>Красная заря</t>
        </is>
      </c>
      <c r="E34" s="487" t="n"/>
      <c r="F34" s="487" t="n"/>
      <c r="G34" s="487" t="n"/>
      <c r="H34" s="488" t="n"/>
      <c r="I34" s="105" t="n">
        <v>180</v>
      </c>
      <c r="J34" s="81" t="n">
        <v>420</v>
      </c>
      <c r="K34" s="707" t="n">
        <v>1.028985507246377</v>
      </c>
      <c r="L34" s="487" t="n"/>
      <c r="M34" s="488" t="n"/>
    </row>
    <row r="35" ht="28" customHeight="1" s="468">
      <c r="B35" s="44" t="inlineStr">
        <is>
          <t>Q1 2028</t>
        </is>
      </c>
      <c r="C35" s="712" t="n">
        <v>1</v>
      </c>
      <c r="D35" s="504" t="inlineStr">
        <is>
          <t>Сказка наяву</t>
        </is>
      </c>
      <c r="E35" s="487" t="n"/>
      <c r="F35" s="487" t="n"/>
      <c r="G35" s="487" t="n"/>
      <c r="H35" s="488" t="n"/>
      <c r="I35" s="105" t="n">
        <v>170</v>
      </c>
      <c r="J35" s="81" t="n">
        <v>460</v>
      </c>
      <c r="K35" s="707" t="n">
        <v>1.352941176470589</v>
      </c>
      <c r="L35" s="487" t="n"/>
      <c r="M35" s="488" t="n"/>
    </row>
    <row r="36" ht="28" customHeight="1" s="468">
      <c r="B36" s="44" t="inlineStr">
        <is>
          <t>Q2 2028</t>
        </is>
      </c>
      <c r="C36" s="712" t="n">
        <v>2</v>
      </c>
      <c r="D36" s="504" t="inlineStr">
        <is>
          <t>Неизвестный герой, Моё дело</t>
        </is>
      </c>
      <c r="E36" s="487" t="n"/>
      <c r="F36" s="487" t="n"/>
      <c r="G36" s="487" t="n"/>
      <c r="H36" s="488" t="n"/>
      <c r="I36" s="105" t="n">
        <v>210</v>
      </c>
      <c r="J36" s="81" t="n">
        <v>550</v>
      </c>
      <c r="K36" s="707" t="n">
        <v>1.277432712215321</v>
      </c>
      <c r="L36" s="487" t="n"/>
      <c r="M36" s="488" t="n"/>
    </row>
    <row r="37" ht="28" customHeight="1" s="468">
      <c r="B37" s="44" t="inlineStr">
        <is>
          <t>Q3 2028</t>
        </is>
      </c>
      <c r="C37" s="712" t="n">
        <v>2</v>
      </c>
      <c r="D37" s="504" t="inlineStr">
        <is>
          <t>Северный ветер, Полдень</t>
        </is>
      </c>
      <c r="E37" s="487" t="n"/>
      <c r="F37" s="487" t="n"/>
      <c r="G37" s="487" t="n"/>
      <c r="H37" s="488" t="n"/>
      <c r="I37" s="105" t="n">
        <v>320</v>
      </c>
      <c r="J37" s="81" t="n">
        <v>830</v>
      </c>
      <c r="K37" s="707" t="n">
        <v>1.255434782608696</v>
      </c>
      <c r="L37" s="487" t="n"/>
      <c r="M37" s="488" t="n"/>
    </row>
    <row r="38" ht="28" customHeight="1" s="468">
      <c r="B38" s="44" t="inlineStr">
        <is>
          <t>Q4 2028</t>
        </is>
      </c>
      <c r="C38" s="712" t="n">
        <v>1</v>
      </c>
      <c r="D38" s="504" t="inlineStr">
        <is>
          <t>Горизонт событий</t>
        </is>
      </c>
      <c r="E38" s="487" t="n"/>
      <c r="F38" s="487" t="n"/>
      <c r="G38" s="487" t="n"/>
      <c r="H38" s="488" t="n"/>
      <c r="I38" s="105" t="n">
        <v>160</v>
      </c>
      <c r="J38" s="81" t="n">
        <v>405</v>
      </c>
      <c r="K38" s="707" t="n">
        <v>1.201086956521739</v>
      </c>
      <c r="L38" s="487" t="n"/>
      <c r="M38" s="488" t="n"/>
    </row>
    <row r="40" ht="60" customHeight="1" s="468">
      <c r="B40" s="660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B26:E26"/>
    <mergeCell ref="J23:M23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E21" activePane="bottomRight" state="frozen"/>
      <selection pane="topRight" activeCell="A1" sqref="A1"/>
      <selection pane="bottomLeft" activeCell="A1" sqref="A1"/>
      <selection pane="bottomRight" activeCell="B45" sqref="B45:V45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2" customWidth="1" style="468" min="3" max="3"/>
    <col width="10" customWidth="1" style="468" min="4" max="19"/>
    <col width="12" customWidth="1" style="468" min="20" max="21"/>
    <col width="30" customWidth="1" style="468" min="22" max="22"/>
  </cols>
  <sheetData>
    <row r="2" ht="30" customHeight="1" s="468">
      <c r="B2" s="713" t="inlineStr">
        <is>
          <t>09  ·  P&amp;L STATEMENT  ·  Квартально 2026–2028 + годовые 2029–2032</t>
        </is>
      </c>
    </row>
    <row r="3" ht="18" customHeight="1" s="468">
      <c r="B3" s="714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 s="468">
      <c r="B5" s="123" t="inlineStr">
        <is>
          <t>#</t>
        </is>
      </c>
      <c r="C5" s="124" t="inlineStr">
        <is>
          <t>Показатель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Σ 2026–2032</t>
        </is>
      </c>
      <c r="V5" s="562" t="inlineStr">
        <is>
          <t>Комментарий</t>
        </is>
      </c>
    </row>
    <row r="6" ht="20" customHeight="1" s="468">
      <c r="B6" s="521" t="inlineStr">
        <is>
          <t>I.  ВЫРУЧКА (ВЫРУЧКА)  (Net of refunds &amp; commissions (За вычетом возвратов и комиссий))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 ht="16" customHeight="1" s="468">
      <c r="B7" s="465" t="inlineStr">
        <is>
          <t>1.1</t>
        </is>
      </c>
      <c r="C7" s="472" t="inlineStr">
        <is>
          <t>Box Office (Кассовые сборы) (48% mix)</t>
        </is>
      </c>
      <c r="D7" s="715" t="n">
        <v>0</v>
      </c>
      <c r="E7" s="715" t="n">
        <v>0</v>
      </c>
      <c r="F7" s="715" t="n">
        <v>0</v>
      </c>
      <c r="G7" s="715" t="n">
        <v>148.8</v>
      </c>
      <c r="H7" s="715" t="n">
        <v>120</v>
      </c>
      <c r="I7" s="715" t="n">
        <v>336</v>
      </c>
      <c r="J7" s="715" t="n">
        <v>297.6</v>
      </c>
      <c r="K7" s="715" t="n">
        <v>201.6</v>
      </c>
      <c r="L7" s="715" t="n">
        <v>220.8</v>
      </c>
      <c r="M7" s="715" t="n">
        <v>264</v>
      </c>
      <c r="N7" s="715" t="n">
        <v>398.4</v>
      </c>
      <c r="O7" s="715" t="n">
        <v>194.4</v>
      </c>
      <c r="P7" s="715" t="n">
        <v>182.4</v>
      </c>
      <c r="Q7" s="715" t="n">
        <v>144</v>
      </c>
      <c r="R7" s="715" t="n">
        <v>105.6</v>
      </c>
      <c r="S7" s="715" t="n">
        <v>72</v>
      </c>
      <c r="T7" s="716" t="n">
        <v>2181.6</v>
      </c>
      <c r="U7" s="716" t="n">
        <v>2685.6</v>
      </c>
    </row>
    <row r="8" ht="16" customHeight="1" s="468">
      <c r="B8" s="465" t="inlineStr">
        <is>
          <t>1.2</t>
        </is>
      </c>
      <c r="C8" s="472" t="inlineStr">
        <is>
          <t>SVOD (подписной стриминг) / Streaming (20%)</t>
        </is>
      </c>
      <c r="D8" s="715" t="n">
        <v>0</v>
      </c>
      <c r="E8" s="715" t="n">
        <v>0</v>
      </c>
      <c r="F8" s="715" t="n">
        <v>0</v>
      </c>
      <c r="G8" s="715" t="n">
        <v>62</v>
      </c>
      <c r="H8" s="715" t="n">
        <v>50</v>
      </c>
      <c r="I8" s="715" t="n">
        <v>140</v>
      </c>
      <c r="J8" s="715" t="n">
        <v>124</v>
      </c>
      <c r="K8" s="715" t="n">
        <v>84</v>
      </c>
      <c r="L8" s="715" t="n">
        <v>92</v>
      </c>
      <c r="M8" s="715" t="n">
        <v>110</v>
      </c>
      <c r="N8" s="715" t="n">
        <v>166</v>
      </c>
      <c r="O8" s="715" t="n">
        <v>81</v>
      </c>
      <c r="P8" s="715" t="n">
        <v>76</v>
      </c>
      <c r="Q8" s="715" t="n">
        <v>60</v>
      </c>
      <c r="R8" s="715" t="n">
        <v>44</v>
      </c>
      <c r="S8" s="715" t="n">
        <v>30</v>
      </c>
      <c r="T8" s="716" t="n">
        <v>909</v>
      </c>
      <c r="U8" s="716" t="n">
        <v>1119</v>
      </c>
    </row>
    <row r="9" ht="16" customHeight="1" s="468">
      <c r="B9" s="465" t="inlineStr">
        <is>
          <t>1.3</t>
        </is>
      </c>
      <c r="C9" s="472" t="inlineStr">
        <is>
          <t>TV Broadcast (Вещание) (8%)</t>
        </is>
      </c>
      <c r="D9" s="715" t="n">
        <v>0</v>
      </c>
      <c r="E9" s="715" t="n">
        <v>0</v>
      </c>
      <c r="F9" s="715" t="n">
        <v>0</v>
      </c>
      <c r="G9" s="715" t="n">
        <v>24.8</v>
      </c>
      <c r="H9" s="715" t="n">
        <v>20</v>
      </c>
      <c r="I9" s="715" t="n">
        <v>56</v>
      </c>
      <c r="J9" s="715" t="n">
        <v>49.6</v>
      </c>
      <c r="K9" s="715" t="n">
        <v>33.6</v>
      </c>
      <c r="L9" s="715" t="n">
        <v>36.8</v>
      </c>
      <c r="M9" s="715" t="n">
        <v>44</v>
      </c>
      <c r="N9" s="715" t="n">
        <v>66.40000000000001</v>
      </c>
      <c r="O9" s="715" t="n">
        <v>32.4</v>
      </c>
      <c r="P9" s="715" t="n">
        <v>30.4</v>
      </c>
      <c r="Q9" s="715" t="n">
        <v>24</v>
      </c>
      <c r="R9" s="715" t="n">
        <v>17.6</v>
      </c>
      <c r="S9" s="715" t="n">
        <v>12</v>
      </c>
      <c r="T9" s="716" t="n">
        <v>363.6</v>
      </c>
      <c r="U9" s="716" t="n">
        <v>447.6</v>
      </c>
    </row>
    <row r="10" ht="16" customHeight="1" s="468">
      <c r="B10" s="465" t="inlineStr">
        <is>
          <t>1.4</t>
        </is>
      </c>
      <c r="C10" s="472" t="inlineStr">
        <is>
          <t>Международные продажи (Международные продажи) (10%)</t>
        </is>
      </c>
      <c r="D10" s="715" t="n">
        <v>0</v>
      </c>
      <c r="E10" s="715" t="n">
        <v>0</v>
      </c>
      <c r="F10" s="715" t="n">
        <v>0</v>
      </c>
      <c r="G10" s="715" t="n">
        <v>31</v>
      </c>
      <c r="H10" s="715" t="n">
        <v>25</v>
      </c>
      <c r="I10" s="715" t="n">
        <v>70</v>
      </c>
      <c r="J10" s="715" t="n">
        <v>62</v>
      </c>
      <c r="K10" s="715" t="n">
        <v>42</v>
      </c>
      <c r="L10" s="715" t="n">
        <v>46</v>
      </c>
      <c r="M10" s="715" t="n">
        <v>55</v>
      </c>
      <c r="N10" s="715" t="n">
        <v>83</v>
      </c>
      <c r="O10" s="715" t="n">
        <v>40.5</v>
      </c>
      <c r="P10" s="715" t="n">
        <v>38</v>
      </c>
      <c r="Q10" s="715" t="n">
        <v>30</v>
      </c>
      <c r="R10" s="715" t="n">
        <v>22</v>
      </c>
      <c r="S10" s="715" t="n">
        <v>15</v>
      </c>
      <c r="T10" s="716" t="n">
        <v>454.5</v>
      </c>
      <c r="U10" s="716" t="n">
        <v>559.5</v>
      </c>
    </row>
    <row r="11" ht="16" customHeight="1" s="468">
      <c r="B11" s="465" t="inlineStr">
        <is>
          <t>1.5</t>
        </is>
      </c>
      <c r="C11" s="472" t="inlineStr">
        <is>
          <t>Digital (Цифровой) / VOD (4%)</t>
        </is>
      </c>
      <c r="D11" s="715" t="n">
        <v>0</v>
      </c>
      <c r="E11" s="715" t="n">
        <v>0</v>
      </c>
      <c r="F11" s="715" t="n">
        <v>0</v>
      </c>
      <c r="G11" s="715" t="n">
        <v>12.4</v>
      </c>
      <c r="H11" s="715" t="n">
        <v>10</v>
      </c>
      <c r="I11" s="715" t="n">
        <v>28</v>
      </c>
      <c r="J11" s="715" t="n">
        <v>24.8</v>
      </c>
      <c r="K11" s="715" t="n">
        <v>16.8</v>
      </c>
      <c r="L11" s="715" t="n">
        <v>18.4</v>
      </c>
      <c r="M11" s="715" t="n">
        <v>22</v>
      </c>
      <c r="N11" s="715" t="n">
        <v>33.2</v>
      </c>
      <c r="O11" s="715" t="n">
        <v>16.2</v>
      </c>
      <c r="P11" s="715" t="n">
        <v>15.2</v>
      </c>
      <c r="Q11" s="715" t="n">
        <v>12</v>
      </c>
      <c r="R11" s="715" t="n">
        <v>8.800000000000001</v>
      </c>
      <c r="S11" s="715" t="n">
        <v>6</v>
      </c>
      <c r="T11" s="716" t="n">
        <v>181.8</v>
      </c>
      <c r="U11" s="716" t="n">
        <v>223.8</v>
      </c>
    </row>
    <row r="12" ht="16" customHeight="1" s="468">
      <c r="B12" s="465" t="inlineStr">
        <is>
          <t>1.6</t>
        </is>
      </c>
      <c r="C12" s="472" t="inlineStr">
        <is>
          <t>Sponsorship &amp; Brand Integration (Спонсорство и бренд-интеграция) (5%)</t>
        </is>
      </c>
      <c r="D12" s="715" t="n">
        <v>0</v>
      </c>
      <c r="E12" s="715" t="n">
        <v>0</v>
      </c>
      <c r="F12" s="715" t="n">
        <v>0</v>
      </c>
      <c r="G12" s="715" t="n">
        <v>15.5</v>
      </c>
      <c r="H12" s="715" t="n">
        <v>12.5</v>
      </c>
      <c r="I12" s="715" t="n">
        <v>35</v>
      </c>
      <c r="J12" s="715" t="n">
        <v>31</v>
      </c>
      <c r="K12" s="715" t="n">
        <v>21</v>
      </c>
      <c r="L12" s="715" t="n">
        <v>23</v>
      </c>
      <c r="M12" s="715" t="n">
        <v>27.5</v>
      </c>
      <c r="N12" s="715" t="n">
        <v>41.5</v>
      </c>
      <c r="O12" s="715" t="n">
        <v>20.25</v>
      </c>
      <c r="P12" s="715" t="n">
        <v>19</v>
      </c>
      <c r="Q12" s="715" t="n">
        <v>15</v>
      </c>
      <c r="R12" s="715" t="n">
        <v>11</v>
      </c>
      <c r="S12" s="715" t="n">
        <v>7.5</v>
      </c>
      <c r="T12" s="716" t="n">
        <v>227.2</v>
      </c>
      <c r="U12" s="716" t="n">
        <v>279.8</v>
      </c>
    </row>
    <row r="13" ht="16" customHeight="1" s="468">
      <c r="B13" s="465" t="inlineStr">
        <is>
          <t>1.7</t>
        </is>
      </c>
      <c r="C13" s="472" t="inlineStr">
        <is>
          <t>Мерчандайзинг (Мерчандайзинг) &amp; Licensing (Мерчандайзинг и лицензирование) (2%)</t>
        </is>
      </c>
      <c r="D13" s="715" t="n">
        <v>0</v>
      </c>
      <c r="E13" s="715" t="n">
        <v>0</v>
      </c>
      <c r="F13" s="715" t="n">
        <v>0</v>
      </c>
      <c r="G13" s="715" t="n">
        <v>6.2</v>
      </c>
      <c r="H13" s="715" t="n">
        <v>5</v>
      </c>
      <c r="I13" s="715" t="n">
        <v>14</v>
      </c>
      <c r="J13" s="715" t="n">
        <v>12.4</v>
      </c>
      <c r="K13" s="715" t="n">
        <v>8.4</v>
      </c>
      <c r="L13" s="715" t="n">
        <v>9.199999999999999</v>
      </c>
      <c r="M13" s="715" t="n">
        <v>11</v>
      </c>
      <c r="N13" s="715" t="n">
        <v>16.6</v>
      </c>
      <c r="O13" s="715" t="n">
        <v>8.1</v>
      </c>
      <c r="P13" s="715" t="n">
        <v>7.6</v>
      </c>
      <c r="Q13" s="715" t="n">
        <v>6</v>
      </c>
      <c r="R13" s="715" t="n">
        <v>4.4</v>
      </c>
      <c r="S13" s="715" t="n">
        <v>3</v>
      </c>
      <c r="T13" s="716" t="n">
        <v>90.90000000000001</v>
      </c>
      <c r="U13" s="716" t="n">
        <v>111.9</v>
      </c>
    </row>
    <row r="14" ht="16" customHeight="1" s="468">
      <c r="B14" s="465" t="inlineStr">
        <is>
          <t>1.8</t>
        </is>
      </c>
      <c r="C14" s="472" t="inlineStr">
        <is>
          <t>Government Support (Государственная поддержка) / Gov Fund (Госфонд) (3%)</t>
        </is>
      </c>
      <c r="D14" s="715" t="n">
        <v>0</v>
      </c>
      <c r="E14" s="715" t="n">
        <v>0</v>
      </c>
      <c r="F14" s="715" t="n">
        <v>0</v>
      </c>
      <c r="G14" s="715" t="n">
        <v>9.300000000000001</v>
      </c>
      <c r="H14" s="715" t="n">
        <v>7.5</v>
      </c>
      <c r="I14" s="715" t="n">
        <v>21</v>
      </c>
      <c r="J14" s="715" t="n">
        <v>18.6</v>
      </c>
      <c r="K14" s="715" t="n">
        <v>12.6</v>
      </c>
      <c r="L14" s="715" t="n">
        <v>13.8</v>
      </c>
      <c r="M14" s="715" t="n">
        <v>16.5</v>
      </c>
      <c r="N14" s="715" t="n">
        <v>24.9</v>
      </c>
      <c r="O14" s="715" t="n">
        <v>12.15</v>
      </c>
      <c r="P14" s="715" t="n">
        <v>11.4</v>
      </c>
      <c r="Q14" s="715" t="n">
        <v>9</v>
      </c>
      <c r="R14" s="715" t="n">
        <v>6.6</v>
      </c>
      <c r="S14" s="715" t="n">
        <v>4.5</v>
      </c>
      <c r="T14" s="716" t="n">
        <v>136.3</v>
      </c>
      <c r="U14" s="716" t="n">
        <v>167.8</v>
      </c>
    </row>
    <row r="15" ht="16" customHeight="1" s="468">
      <c r="B15" s="465" t="inlineStr">
        <is>
          <t>1.9</t>
        </is>
      </c>
      <c r="C15" s="129" t="inlineStr">
        <is>
          <t>Total (Итого) Revenue (Выручка)</t>
        </is>
      </c>
      <c r="D15" s="717" t="n">
        <v>0</v>
      </c>
      <c r="E15" s="717" t="n">
        <v>0</v>
      </c>
      <c r="F15" s="717" t="n">
        <v>0</v>
      </c>
      <c r="G15" s="717" t="n">
        <v>310</v>
      </c>
      <c r="H15" s="717" t="n">
        <v>250</v>
      </c>
      <c r="I15" s="717" t="n">
        <v>700</v>
      </c>
      <c r="J15" s="717" t="n">
        <v>620</v>
      </c>
      <c r="K15" s="717" t="n">
        <v>420</v>
      </c>
      <c r="L15" s="717" t="n">
        <v>460</v>
      </c>
      <c r="M15" s="717" t="n">
        <v>550</v>
      </c>
      <c r="N15" s="717" t="n">
        <v>830</v>
      </c>
      <c r="O15" s="717" t="n">
        <v>405</v>
      </c>
      <c r="P15" s="717" t="n">
        <v>380</v>
      </c>
      <c r="Q15" s="717" t="n">
        <v>300</v>
      </c>
      <c r="R15" s="717" t="n">
        <v>220</v>
      </c>
      <c r="S15" s="717" t="n">
        <v>150</v>
      </c>
      <c r="T15" s="718" t="n">
        <v>4545</v>
      </c>
      <c r="U15" s="718" t="n">
        <v>5595</v>
      </c>
    </row>
    <row r="16" ht="20" customHeight="1" s="468">
      <c r="B16" s="521" t="inlineStr">
        <is>
          <t>II.  COST OF GOODS SOLD  (Content amortization (Амортизация контента) + P&amp;A (тиражирование и реклама))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66" t="n"/>
    </row>
    <row r="17" ht="16" customHeight="1" s="468">
      <c r="B17" s="465" t="inlineStr">
        <is>
          <t>2.1</t>
        </is>
      </c>
      <c r="C17" s="472" t="inlineStr">
        <is>
          <t>Content amortization (Амортизация контента) (production costs)</t>
        </is>
      </c>
      <c r="D17" s="715" t="n">
        <v>0</v>
      </c>
      <c r="E17" s="715" t="n">
        <v>0</v>
      </c>
      <c r="F17" s="715" t="n">
        <v>0</v>
      </c>
      <c r="G17" s="715" t="n">
        <v>119.14</v>
      </c>
      <c r="H17" s="715" t="n">
        <v>96.08</v>
      </c>
      <c r="I17" s="715" t="n">
        <v>269.03</v>
      </c>
      <c r="J17" s="715" t="n">
        <v>238.29</v>
      </c>
      <c r="K17" s="715" t="n">
        <v>161.42</v>
      </c>
      <c r="L17" s="715" t="n">
        <v>176.79</v>
      </c>
      <c r="M17" s="715" t="n">
        <v>211.38</v>
      </c>
      <c r="N17" s="715" t="n">
        <v>318.99</v>
      </c>
      <c r="O17" s="715" t="n">
        <v>155.65</v>
      </c>
      <c r="P17" s="715" t="n">
        <v>146.05</v>
      </c>
      <c r="Q17" s="715" t="n">
        <v>115.3</v>
      </c>
      <c r="R17" s="715" t="n">
        <v>84.55</v>
      </c>
      <c r="S17" s="715" t="n">
        <v>57.65</v>
      </c>
      <c r="T17" s="716" t="n">
        <v>1746.8</v>
      </c>
      <c r="U17" s="716" t="n">
        <v>2150.3</v>
      </c>
    </row>
    <row r="18" ht="16" customHeight="1" s="468">
      <c r="B18" s="465" t="inlineStr">
        <is>
          <t>2.2</t>
        </is>
      </c>
      <c r="C18" s="472" t="inlineStr">
        <is>
          <t>P&amp;A (тиражирование и реклама) (Prints &amp; Advertising (Тиражирование и реклама))</t>
        </is>
      </c>
      <c r="D18" s="715" t="n">
        <v>0</v>
      </c>
      <c r="E18" s="715" t="n">
        <v>0</v>
      </c>
      <c r="F18" s="715" t="n">
        <v>0</v>
      </c>
      <c r="G18" s="715" t="n">
        <v>17.87</v>
      </c>
      <c r="H18" s="715" t="n">
        <v>14.41</v>
      </c>
      <c r="I18" s="715" t="n">
        <v>40.36</v>
      </c>
      <c r="J18" s="715" t="n">
        <v>35.74</v>
      </c>
      <c r="K18" s="715" t="n">
        <v>24.21</v>
      </c>
      <c r="L18" s="715" t="n">
        <v>26.52</v>
      </c>
      <c r="M18" s="715" t="n">
        <v>31.71</v>
      </c>
      <c r="N18" s="715" t="n">
        <v>47.85</v>
      </c>
      <c r="O18" s="715" t="n">
        <v>23.35</v>
      </c>
      <c r="P18" s="715" t="n">
        <v>21.91</v>
      </c>
      <c r="Q18" s="715" t="n">
        <v>17.3</v>
      </c>
      <c r="R18" s="715" t="n">
        <v>12.68</v>
      </c>
      <c r="S18" s="715" t="n">
        <v>8.65</v>
      </c>
      <c r="T18" s="716" t="n">
        <v>262</v>
      </c>
      <c r="U18" s="716" t="n">
        <v>322.6</v>
      </c>
    </row>
    <row r="19" ht="16" customHeight="1" s="468">
      <c r="B19" s="465" t="inlineStr">
        <is>
          <t>2.3</t>
        </is>
      </c>
      <c r="C19" s="129" t="inlineStr">
        <is>
          <t>Total (Итого) COGS (себестоимость)</t>
        </is>
      </c>
      <c r="D19" s="717" t="n">
        <v>0</v>
      </c>
      <c r="E19" s="717" t="n">
        <v>0</v>
      </c>
      <c r="F19" s="717" t="n">
        <v>0</v>
      </c>
      <c r="G19" s="717" t="n">
        <v>137.01</v>
      </c>
      <c r="H19" s="717" t="n">
        <v>110.49</v>
      </c>
      <c r="I19" s="717" t="n">
        <v>309.39</v>
      </c>
      <c r="J19" s="717" t="n">
        <v>274.03</v>
      </c>
      <c r="K19" s="717" t="n">
        <v>185.63</v>
      </c>
      <c r="L19" s="717" t="n">
        <v>203.31</v>
      </c>
      <c r="M19" s="717" t="n">
        <v>243.09</v>
      </c>
      <c r="N19" s="717" t="n">
        <v>366.84</v>
      </c>
      <c r="O19" s="717" t="n">
        <v>179</v>
      </c>
      <c r="P19" s="717" t="n">
        <v>167.96</v>
      </c>
      <c r="Q19" s="717" t="n">
        <v>132.6</v>
      </c>
      <c r="R19" s="717" t="n">
        <v>97.23</v>
      </c>
      <c r="S19" s="717" t="n">
        <v>66.3</v>
      </c>
      <c r="T19" s="717" t="n">
        <v>2008.8</v>
      </c>
      <c r="U19" s="717" t="n">
        <v>2472.9</v>
      </c>
    </row>
    <row r="20" ht="16" customHeight="1" s="468">
      <c r="B20" s="465" t="inlineStr">
        <is>
          <t>2.4</t>
        </is>
      </c>
      <c r="C20" s="129" t="inlineStr">
        <is>
          <t>ВАЛОВАЯ ПРИБЫЛЬ (ВАЛОВАЯ ПРИБЫЛЬ)</t>
        </is>
      </c>
      <c r="D20" s="717" t="n">
        <v>0</v>
      </c>
      <c r="E20" s="717" t="n">
        <v>0</v>
      </c>
      <c r="F20" s="717" t="n">
        <v>0</v>
      </c>
      <c r="G20" s="717" t="n">
        <v>172.99</v>
      </c>
      <c r="H20" s="717" t="n">
        <v>139.51</v>
      </c>
      <c r="I20" s="717" t="n">
        <v>390.61</v>
      </c>
      <c r="J20" s="717" t="n">
        <v>345.97</v>
      </c>
      <c r="K20" s="717" t="n">
        <v>234.37</v>
      </c>
      <c r="L20" s="717" t="n">
        <v>256.69</v>
      </c>
      <c r="M20" s="717" t="n">
        <v>306.91</v>
      </c>
      <c r="N20" s="717" t="n">
        <v>463.16</v>
      </c>
      <c r="O20" s="717" t="n">
        <v>226</v>
      </c>
      <c r="P20" s="717" t="n">
        <v>212.04</v>
      </c>
      <c r="Q20" s="717" t="n">
        <v>167.4</v>
      </c>
      <c r="R20" s="717" t="n">
        <v>122.77</v>
      </c>
      <c r="S20" s="717" t="n">
        <v>83.7</v>
      </c>
      <c r="T20" s="717" t="n">
        <v>2536.2</v>
      </c>
      <c r="U20" s="717" t="n">
        <v>3122.1</v>
      </c>
    </row>
    <row r="22" ht="20" customHeight="1" s="468">
      <c r="B22" s="521" t="inlineStr">
        <is>
          <t>III.  ОПЕРАЦИОННЫЕ РАСХОДЫ (ОПЕРАЦИОННЫЕ РАСХОДЫ)</t>
        </is>
      </c>
      <c r="C22" s="473" t="n"/>
      <c r="D22" s="473" t="n"/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73" t="n"/>
      <c r="R22" s="473" t="n"/>
      <c r="S22" s="473" t="n"/>
      <c r="T22" s="473" t="n"/>
      <c r="U22" s="473" t="n"/>
      <c r="V22" s="466" t="n"/>
    </row>
    <row r="23" ht="16" customHeight="1" s="468">
      <c r="B23" s="465" t="inlineStr">
        <is>
          <t>3.1</t>
        </is>
      </c>
      <c r="C23" s="472" t="inlineStr">
        <is>
          <t>ФОТ + соц.налоги (A₁ Fixed (Фиксированный))</t>
        </is>
      </c>
      <c r="D23" s="715" t="n">
        <v>25.04</v>
      </c>
      <c r="E23" s="715" t="n">
        <v>25.04</v>
      </c>
      <c r="F23" s="715" t="n">
        <v>25.04</v>
      </c>
      <c r="G23" s="715" t="n">
        <v>25.04</v>
      </c>
      <c r="H23" s="715" t="n">
        <v>27.04</v>
      </c>
      <c r="I23" s="715" t="n">
        <v>27.04</v>
      </c>
      <c r="J23" s="715" t="n">
        <v>27.04</v>
      </c>
      <c r="K23" s="715" t="n">
        <v>27.04</v>
      </c>
      <c r="L23" s="715" t="n">
        <v>29.2</v>
      </c>
      <c r="M23" s="715" t="n">
        <v>29.2</v>
      </c>
      <c r="N23" s="715" t="n">
        <v>29.2</v>
      </c>
      <c r="O23" s="715" t="n">
        <v>29.2</v>
      </c>
      <c r="P23" s="715" t="n">
        <v>126.16</v>
      </c>
      <c r="Q23" s="715" t="n">
        <v>136.25</v>
      </c>
      <c r="R23" s="715" t="n">
        <v>147.16</v>
      </c>
      <c r="S23" s="715" t="n">
        <v>158.93</v>
      </c>
      <c r="T23" s="716" t="n">
        <v>325.1</v>
      </c>
      <c r="U23" s="716" t="n">
        <v>893.6</v>
      </c>
    </row>
    <row r="24" ht="16" customHeight="1" s="468">
      <c r="B24" s="465" t="inlineStr">
        <is>
          <t>3.2</t>
        </is>
      </c>
      <c r="C24" s="472" t="inlineStr">
        <is>
          <t>Аренда, коммунальные, связь</t>
        </is>
      </c>
      <c r="D24" s="715" t="n">
        <v>0.75</v>
      </c>
      <c r="E24" s="715" t="n">
        <v>0.75</v>
      </c>
      <c r="F24" s="715" t="n">
        <v>0.75</v>
      </c>
      <c r="G24" s="715" t="n">
        <v>0.75</v>
      </c>
      <c r="H24" s="715" t="n">
        <v>0.75</v>
      </c>
      <c r="I24" s="715" t="n">
        <v>0.75</v>
      </c>
      <c r="J24" s="715" t="n">
        <v>0.75</v>
      </c>
      <c r="K24" s="715" t="n">
        <v>0.75</v>
      </c>
      <c r="L24" s="715" t="n">
        <v>0.75</v>
      </c>
      <c r="M24" s="715" t="n">
        <v>0.75</v>
      </c>
      <c r="N24" s="715" t="n">
        <v>0.75</v>
      </c>
      <c r="O24" s="715" t="n">
        <v>0.75</v>
      </c>
      <c r="P24" s="715" t="n">
        <v>3</v>
      </c>
      <c r="Q24" s="715" t="n">
        <v>3</v>
      </c>
      <c r="R24" s="715" t="n">
        <v>3</v>
      </c>
      <c r="S24" s="715" t="n">
        <v>3</v>
      </c>
      <c r="T24" s="716" t="n">
        <v>9</v>
      </c>
      <c r="U24" s="716" t="n">
        <v>21</v>
      </c>
    </row>
    <row r="25" ht="16" customHeight="1" s="468">
      <c r="B25" s="465" t="inlineStr">
        <is>
          <t>3.3</t>
        </is>
      </c>
      <c r="C25" s="472" t="inlineStr">
        <is>
          <t>ПО, канцелярия, банковские</t>
        </is>
      </c>
      <c r="D25" s="715" t="n">
        <v>0.34</v>
      </c>
      <c r="E25" s="715" t="n">
        <v>0.34</v>
      </c>
      <c r="F25" s="715" t="n">
        <v>0.34</v>
      </c>
      <c r="G25" s="715" t="n">
        <v>0.34</v>
      </c>
      <c r="H25" s="715" t="n">
        <v>0.34</v>
      </c>
      <c r="I25" s="715" t="n">
        <v>0.34</v>
      </c>
      <c r="J25" s="715" t="n">
        <v>0.34</v>
      </c>
      <c r="K25" s="715" t="n">
        <v>0.34</v>
      </c>
      <c r="L25" s="715" t="n">
        <v>0.34</v>
      </c>
      <c r="M25" s="715" t="n">
        <v>0.34</v>
      </c>
      <c r="N25" s="715" t="n">
        <v>0.34</v>
      </c>
      <c r="O25" s="715" t="n">
        <v>0.34</v>
      </c>
      <c r="P25" s="715" t="n">
        <v>1.36</v>
      </c>
      <c r="Q25" s="715" t="n">
        <v>1.36</v>
      </c>
      <c r="R25" s="715" t="n">
        <v>1.36</v>
      </c>
      <c r="S25" s="715" t="n">
        <v>1.36</v>
      </c>
      <c r="T25" s="716" t="n">
        <v>4.1</v>
      </c>
      <c r="U25" s="716" t="n">
        <v>9.5</v>
      </c>
    </row>
    <row r="26" ht="16" customHeight="1" s="468">
      <c r="B26" s="465" t="inlineStr">
        <is>
          <t>3.4</t>
        </is>
      </c>
      <c r="C26" s="472" t="inlineStr">
        <is>
          <t>Командировки, консультанты, маркетинг</t>
        </is>
      </c>
      <c r="D26" s="715" t="n">
        <v>2.55</v>
      </c>
      <c r="E26" s="715" t="n">
        <v>2.55</v>
      </c>
      <c r="F26" s="715" t="n">
        <v>2.55</v>
      </c>
      <c r="G26" s="715" t="n">
        <v>2.55</v>
      </c>
      <c r="H26" s="715" t="n">
        <v>2.55</v>
      </c>
      <c r="I26" s="715" t="n">
        <v>2.55</v>
      </c>
      <c r="J26" s="715" t="n">
        <v>2.55</v>
      </c>
      <c r="K26" s="715" t="n">
        <v>2.55</v>
      </c>
      <c r="L26" s="715" t="n">
        <v>2.55</v>
      </c>
      <c r="M26" s="715" t="n">
        <v>2.55</v>
      </c>
      <c r="N26" s="715" t="n">
        <v>2.55</v>
      </c>
      <c r="O26" s="715" t="n">
        <v>2.55</v>
      </c>
      <c r="P26" s="715" t="n">
        <v>10.2</v>
      </c>
      <c r="Q26" s="715" t="n">
        <v>10.2</v>
      </c>
      <c r="R26" s="715" t="n">
        <v>10.2</v>
      </c>
      <c r="S26" s="715" t="n">
        <v>10.2</v>
      </c>
      <c r="T26" s="716" t="n">
        <v>30.6</v>
      </c>
      <c r="U26" s="716" t="n">
        <v>71.40000000000001</v>
      </c>
    </row>
    <row r="27" ht="16" customHeight="1" s="468">
      <c r="B27" s="465" t="inlineStr">
        <is>
          <t>3.5</t>
        </is>
      </c>
      <c r="C27" s="129" t="inlineStr">
        <is>
          <t>Total (Итого) OpEx</t>
        </is>
      </c>
      <c r="D27" s="717" t="n">
        <v>28.68</v>
      </c>
      <c r="E27" s="717" t="n">
        <v>28.68</v>
      </c>
      <c r="F27" s="717" t="n">
        <v>28.68</v>
      </c>
      <c r="G27" s="717" t="n">
        <v>28.68</v>
      </c>
      <c r="H27" s="717" t="n">
        <v>30.68</v>
      </c>
      <c r="I27" s="717" t="n">
        <v>30.68</v>
      </c>
      <c r="J27" s="717" t="n">
        <v>30.68</v>
      </c>
      <c r="K27" s="717" t="n">
        <v>30.68</v>
      </c>
      <c r="L27" s="717" t="n">
        <v>32.84</v>
      </c>
      <c r="M27" s="717" t="n">
        <v>32.84</v>
      </c>
      <c r="N27" s="717" t="n">
        <v>32.84</v>
      </c>
      <c r="O27" s="717" t="n">
        <v>32.84</v>
      </c>
      <c r="P27" s="717" t="n">
        <v>140.72</v>
      </c>
      <c r="Q27" s="717" t="n">
        <v>150.81</v>
      </c>
      <c r="R27" s="717" t="n">
        <v>161.72</v>
      </c>
      <c r="S27" s="717" t="n">
        <v>173.49</v>
      </c>
      <c r="T27" s="717" t="n">
        <v>368.8</v>
      </c>
      <c r="U27" s="717" t="n">
        <v>995.5</v>
      </c>
    </row>
    <row r="28" ht="16" customHeight="1" s="468">
      <c r="B28" s="465" t="inlineStr">
        <is>
          <t>3.6</t>
        </is>
      </c>
      <c r="C28" s="129" t="inlineStr">
        <is>
          <t>EBITDA (прибыль до вычетов) GAAP, standard</t>
        </is>
      </c>
      <c r="D28" s="717" t="n">
        <v>-28.68</v>
      </c>
      <c r="E28" s="717" t="n">
        <v>-28.68</v>
      </c>
      <c r="F28" s="717" t="n">
        <v>-28.68</v>
      </c>
      <c r="G28" s="717" t="n">
        <v>144.31</v>
      </c>
      <c r="H28" s="717" t="n">
        <v>108.83</v>
      </c>
      <c r="I28" s="717" t="n">
        <v>359.93</v>
      </c>
      <c r="J28" s="717" t="n">
        <v>315.29</v>
      </c>
      <c r="K28" s="717" t="n">
        <v>203.69</v>
      </c>
      <c r="L28" s="717" t="n">
        <v>223.85</v>
      </c>
      <c r="M28" s="717" t="n">
        <v>274.07</v>
      </c>
      <c r="N28" s="717" t="n">
        <v>430.32</v>
      </c>
      <c r="O28" s="717" t="n">
        <v>193.16</v>
      </c>
      <c r="P28" s="717" t="n">
        <v>71.31999999999999</v>
      </c>
      <c r="Q28" s="717" t="n">
        <v>16.59</v>
      </c>
      <c r="R28" s="717" t="n">
        <v>-38.95</v>
      </c>
      <c r="S28" s="717" t="n">
        <v>-89.79000000000001</v>
      </c>
      <c r="T28" s="718" t="n">
        <v>2167.4</v>
      </c>
      <c r="U28" s="718" t="n">
        <v>2126.6</v>
      </c>
    </row>
    <row r="30" ht="20" customHeight="1" s="468">
      <c r="B30" s="521" t="inlineStr">
        <is>
          <t>IV.  BELOW-THE-LINE  (D&amp;A (амортизация) · Interest (Проценты) · Tax)</t>
        </is>
      </c>
      <c r="C30" s="473" t="n"/>
      <c r="D30" s="473" t="n"/>
      <c r="E30" s="473" t="n"/>
      <c r="F30" s="473" t="n"/>
      <c r="G30" s="473" t="n"/>
      <c r="H30" s="473" t="n"/>
      <c r="I30" s="473" t="n"/>
      <c r="J30" s="473" t="n"/>
      <c r="K30" s="473" t="n"/>
      <c r="L30" s="473" t="n"/>
      <c r="M30" s="473" t="n"/>
      <c r="N30" s="473" t="n"/>
      <c r="O30" s="473" t="n"/>
      <c r="P30" s="473" t="n"/>
      <c r="Q30" s="473" t="n"/>
      <c r="R30" s="473" t="n"/>
      <c r="S30" s="473" t="n"/>
      <c r="T30" s="473" t="n"/>
      <c r="U30" s="473" t="n"/>
      <c r="V30" s="466" t="n"/>
    </row>
    <row r="31" ht="16" customHeight="1" s="468">
      <c r="B31" s="465" t="inlineStr">
        <is>
          <t>4.1</t>
        </is>
      </c>
      <c r="C31" s="472" t="inlineStr">
        <is>
          <t>Depreciation (Амортизация) &amp; Amortization (Амортизация)</t>
        </is>
      </c>
      <c r="D31" s="715" t="n">
        <v>0.75</v>
      </c>
      <c r="E31" s="715" t="n">
        <v>0.75</v>
      </c>
      <c r="F31" s="715" t="n">
        <v>0.75</v>
      </c>
      <c r="G31" s="715" t="n">
        <v>0.75</v>
      </c>
      <c r="H31" s="715" t="n">
        <v>0.75</v>
      </c>
      <c r="I31" s="715" t="n">
        <v>0.75</v>
      </c>
      <c r="J31" s="715" t="n">
        <v>0.75</v>
      </c>
      <c r="K31" s="715" t="n">
        <v>0.75</v>
      </c>
      <c r="L31" s="715" t="n">
        <v>0.75</v>
      </c>
      <c r="M31" s="715" t="n">
        <v>0.75</v>
      </c>
      <c r="N31" s="715" t="n">
        <v>0.75</v>
      </c>
      <c r="O31" s="715" t="n">
        <v>0.75</v>
      </c>
      <c r="P31" s="715" t="n">
        <v>3</v>
      </c>
      <c r="Q31" s="715" t="n">
        <v>3</v>
      </c>
      <c r="R31" s="715" t="n">
        <v>3</v>
      </c>
      <c r="S31" s="715" t="n">
        <v>3</v>
      </c>
      <c r="T31" s="716" t="n">
        <v>9</v>
      </c>
      <c r="U31" s="716" t="n">
        <v>21</v>
      </c>
    </row>
    <row r="32" ht="16" customHeight="1" s="468">
      <c r="B32" s="465" t="inlineStr">
        <is>
          <t>4.2</t>
        </is>
      </c>
      <c r="C32" s="129" t="inlineStr">
        <is>
          <t>EBIT (Операционная прибыль)</t>
        </is>
      </c>
      <c r="D32" s="717" t="n">
        <v>-29.43</v>
      </c>
      <c r="E32" s="717" t="n">
        <v>-29.43</v>
      </c>
      <c r="F32" s="717" t="n">
        <v>-29.43</v>
      </c>
      <c r="G32" s="717" t="n">
        <v>143.56</v>
      </c>
      <c r="H32" s="717" t="n">
        <v>108.08</v>
      </c>
      <c r="I32" s="717" t="n">
        <v>359.18</v>
      </c>
      <c r="J32" s="717" t="n">
        <v>314.54</v>
      </c>
      <c r="K32" s="717" t="n">
        <v>202.94</v>
      </c>
      <c r="L32" s="717" t="n">
        <v>223.1</v>
      </c>
      <c r="M32" s="717" t="n">
        <v>273.32</v>
      </c>
      <c r="N32" s="717" t="n">
        <v>429.57</v>
      </c>
      <c r="O32" s="717" t="n">
        <v>192.41</v>
      </c>
      <c r="P32" s="717" t="n">
        <v>68.31999999999999</v>
      </c>
      <c r="Q32" s="717" t="n">
        <v>13.59</v>
      </c>
      <c r="R32" s="717" t="n">
        <v>-41.95</v>
      </c>
      <c r="S32" s="717" t="n">
        <v>-92.79000000000001</v>
      </c>
      <c r="T32" s="717" t="n">
        <v>2158.4</v>
      </c>
      <c r="U32" s="717" t="n">
        <v>2105.6</v>
      </c>
    </row>
    <row r="33" ht="16" customHeight="1" s="468">
      <c r="B33" s="465" t="inlineStr">
        <is>
          <t>4.3</t>
        </is>
      </c>
      <c r="C33" s="472" t="inlineStr">
        <is>
          <t>Interest (Проценты) expense (T₁ Legacy (Базовый вариант) tranches (транши))</t>
        </is>
      </c>
      <c r="D33" s="715" t="n">
        <v>1</v>
      </c>
      <c r="E33" s="715" t="n">
        <v>1</v>
      </c>
      <c r="F33" s="715" t="n">
        <v>1.5</v>
      </c>
      <c r="G33" s="715" t="n">
        <v>1.5</v>
      </c>
      <c r="H33" s="715" t="n">
        <v>1.5</v>
      </c>
      <c r="I33" s="715" t="n">
        <v>1.5</v>
      </c>
      <c r="J33" s="715" t="n">
        <v>1.5</v>
      </c>
      <c r="K33" s="715" t="n">
        <v>1.5</v>
      </c>
      <c r="L33" s="715" t="n">
        <v>0.75</v>
      </c>
      <c r="M33" s="715" t="n">
        <v>0.75</v>
      </c>
      <c r="N33" s="715" t="n">
        <v>0.5</v>
      </c>
      <c r="O33" s="715" t="n">
        <v>0.5</v>
      </c>
      <c r="P33" s="715" t="n">
        <v>1</v>
      </c>
      <c r="Q33" s="715" t="n">
        <v>0.5</v>
      </c>
      <c r="R33" s="715" t="n">
        <v>0</v>
      </c>
      <c r="S33" s="715" t="n">
        <v>0</v>
      </c>
      <c r="T33" s="716" t="n">
        <v>13.5</v>
      </c>
      <c r="U33" s="716" t="n">
        <v>15</v>
      </c>
    </row>
    <row r="34" ht="16" customHeight="1" s="468">
      <c r="B34" s="465" t="inlineStr">
        <is>
          <t>4.4</t>
        </is>
      </c>
      <c r="C34" s="129" t="inlineStr">
        <is>
          <t>EBT (Прибыль до налогообложения)</t>
        </is>
      </c>
      <c r="D34" s="717" t="n">
        <v>-30.43</v>
      </c>
      <c r="E34" s="717" t="n">
        <v>-30.43</v>
      </c>
      <c r="F34" s="717" t="n">
        <v>-30.93</v>
      </c>
      <c r="G34" s="717" t="n">
        <v>142.06</v>
      </c>
      <c r="H34" s="717" t="n">
        <v>106.58</v>
      </c>
      <c r="I34" s="717" t="n">
        <v>357.68</v>
      </c>
      <c r="J34" s="717" t="n">
        <v>313.04</v>
      </c>
      <c r="K34" s="717" t="n">
        <v>201.44</v>
      </c>
      <c r="L34" s="717" t="n">
        <v>222.35</v>
      </c>
      <c r="M34" s="717" t="n">
        <v>272.57</v>
      </c>
      <c r="N34" s="717" t="n">
        <v>429.07</v>
      </c>
      <c r="O34" s="717" t="n">
        <v>191.91</v>
      </c>
      <c r="P34" s="717" t="n">
        <v>67.31999999999999</v>
      </c>
      <c r="Q34" s="717" t="n">
        <v>13.09</v>
      </c>
      <c r="R34" s="717" t="n">
        <v>-41.95</v>
      </c>
      <c r="S34" s="717" t="n">
        <v>-92.79000000000001</v>
      </c>
      <c r="T34" s="717" t="n">
        <v>2144.9</v>
      </c>
      <c r="U34" s="717" t="n">
        <v>2090.6</v>
      </c>
    </row>
    <row r="35" ht="16" customHeight="1" s="468">
      <c r="B35" s="465" t="inlineStr">
        <is>
          <t>4.5</t>
        </is>
      </c>
      <c r="C35" s="472" t="inlineStr">
        <is>
          <t>Налог на прибыль (20%)</t>
        </is>
      </c>
      <c r="D35" s="715" t="n">
        <v>0</v>
      </c>
      <c r="E35" s="715" t="n">
        <v>0</v>
      </c>
      <c r="F35" s="715" t="n">
        <v>0</v>
      </c>
      <c r="G35" s="715" t="n">
        <v>28.41</v>
      </c>
      <c r="H35" s="715" t="n">
        <v>21.32</v>
      </c>
      <c r="I35" s="715" t="n">
        <v>71.54000000000001</v>
      </c>
      <c r="J35" s="715" t="n">
        <v>62.61</v>
      </c>
      <c r="K35" s="715" t="n">
        <v>40.29</v>
      </c>
      <c r="L35" s="715" t="n">
        <v>44.47</v>
      </c>
      <c r="M35" s="715" t="n">
        <v>54.51</v>
      </c>
      <c r="N35" s="715" t="n">
        <v>85.81</v>
      </c>
      <c r="O35" s="715" t="n">
        <v>38.38</v>
      </c>
      <c r="P35" s="715" t="n">
        <v>13.46</v>
      </c>
      <c r="Q35" s="715" t="n">
        <v>2.62</v>
      </c>
      <c r="R35" s="715" t="n">
        <v>0</v>
      </c>
      <c r="S35" s="715" t="n">
        <v>0</v>
      </c>
      <c r="T35" s="716" t="n">
        <v>447.3</v>
      </c>
      <c r="U35" s="716" t="n">
        <v>463.4</v>
      </c>
    </row>
    <row r="36" ht="16" customHeight="1" s="468">
      <c r="B36" s="465" t="inlineStr">
        <is>
          <t>4.6</t>
        </is>
      </c>
      <c r="C36" s="129" t="inlineStr">
        <is>
          <t>ЧИСТАЯ ПРИБЫЛЬ (ЧИСТАЯ ПРИБЫЛЬ)</t>
        </is>
      </c>
      <c r="D36" s="717" t="n">
        <v>-30.43</v>
      </c>
      <c r="E36" s="717" t="n">
        <v>-30.43</v>
      </c>
      <c r="F36" s="717" t="n">
        <v>-30.93</v>
      </c>
      <c r="G36" s="717" t="n">
        <v>113.65</v>
      </c>
      <c r="H36" s="717" t="n">
        <v>85.26000000000001</v>
      </c>
      <c r="I36" s="717" t="n">
        <v>286.14</v>
      </c>
      <c r="J36" s="717" t="n">
        <v>250.43</v>
      </c>
      <c r="K36" s="717" t="n">
        <v>161.15</v>
      </c>
      <c r="L36" s="717" t="n">
        <v>177.88</v>
      </c>
      <c r="M36" s="717" t="n">
        <v>218.06</v>
      </c>
      <c r="N36" s="717" t="n">
        <v>343.26</v>
      </c>
      <c r="O36" s="717" t="n">
        <v>153.53</v>
      </c>
      <c r="P36" s="717" t="n">
        <v>53.86</v>
      </c>
      <c r="Q36" s="717" t="n">
        <v>10.47</v>
      </c>
      <c r="R36" s="717" t="n">
        <v>-41.95</v>
      </c>
      <c r="S36" s="717" t="n">
        <v>-92.79000000000001</v>
      </c>
      <c r="T36" s="718" t="n">
        <v>1697.6</v>
      </c>
      <c r="U36" s="718" t="n">
        <v>1627.2</v>
      </c>
    </row>
    <row r="38" ht="20" customHeight="1" s="468">
      <c r="B38" s="521" t="inlineStr">
        <is>
          <t>V.  KEY MARGINS (КЛЮЧЕВЫЕ МАРЖИ) (%)</t>
        </is>
      </c>
      <c r="C38" s="473" t="n"/>
      <c r="D38" s="473" t="n"/>
      <c r="E38" s="473" t="n"/>
      <c r="F38" s="473" t="n"/>
      <c r="G38" s="473" t="n"/>
      <c r="H38" s="473" t="n"/>
      <c r="I38" s="473" t="n"/>
      <c r="J38" s="473" t="n"/>
      <c r="K38" s="473" t="n"/>
      <c r="L38" s="473" t="n"/>
      <c r="M38" s="473" t="n"/>
      <c r="N38" s="473" t="n"/>
      <c r="O38" s="473" t="n"/>
      <c r="P38" s="473" t="n"/>
      <c r="Q38" s="473" t="n"/>
      <c r="R38" s="473" t="n"/>
      <c r="S38" s="473" t="n"/>
      <c r="T38" s="473" t="n"/>
      <c r="U38" s="473" t="n"/>
      <c r="V38" s="466" t="n"/>
    </row>
    <row r="39" ht="18" customHeight="1" s="468">
      <c r="B39" s="465" t="inlineStr">
        <is>
          <t>5.1</t>
        </is>
      </c>
      <c r="C39" s="132" t="inlineStr">
        <is>
          <t>Gross margin (маржа), %</t>
        </is>
      </c>
      <c r="D39" s="719" t="n">
        <v>0</v>
      </c>
      <c r="E39" s="719" t="n">
        <v>0</v>
      </c>
      <c r="F39" s="719" t="n">
        <v>0</v>
      </c>
      <c r="G39" s="719" t="n">
        <v>55.8</v>
      </c>
      <c r="H39" s="719" t="n">
        <v>55.8</v>
      </c>
      <c r="I39" s="719" t="n">
        <v>55.8</v>
      </c>
      <c r="J39" s="719" t="n">
        <v>55.8</v>
      </c>
      <c r="K39" s="719" t="n">
        <v>55.8</v>
      </c>
      <c r="L39" s="719" t="n">
        <v>55.8</v>
      </c>
      <c r="M39" s="719" t="n">
        <v>55.8</v>
      </c>
      <c r="N39" s="719" t="n">
        <v>55.8</v>
      </c>
      <c r="O39" s="719" t="n">
        <v>55.8</v>
      </c>
      <c r="P39" s="719" t="n">
        <v>55.8</v>
      </c>
      <c r="Q39" s="719" t="n">
        <v>55.8</v>
      </c>
      <c r="R39" s="719" t="n">
        <v>55.8</v>
      </c>
      <c r="S39" s="719" t="n">
        <v>55.8</v>
      </c>
      <c r="T39" s="720" t="n">
        <v>55.8</v>
      </c>
    </row>
    <row r="40" ht="18" customHeight="1" s="468">
      <c r="B40" s="465" t="inlineStr">
        <is>
          <t>5.2</t>
        </is>
      </c>
      <c r="C40" s="132" t="inlineStr">
        <is>
          <t>EBITDA (прибыль до вычетов) margin (маржа), %</t>
        </is>
      </c>
      <c r="D40" s="719" t="n">
        <v>0</v>
      </c>
      <c r="E40" s="719" t="n">
        <v>0</v>
      </c>
      <c r="F40" s="719" t="n">
        <v>0</v>
      </c>
      <c r="G40" s="719" t="n">
        <v>46.6</v>
      </c>
      <c r="H40" s="719" t="n">
        <v>43.5</v>
      </c>
      <c r="I40" s="719" t="n">
        <v>51.4</v>
      </c>
      <c r="J40" s="719" t="n">
        <v>50.9</v>
      </c>
      <c r="K40" s="719" t="n">
        <v>48.5</v>
      </c>
      <c r="L40" s="719" t="n">
        <v>48.7</v>
      </c>
      <c r="M40" s="719" t="n">
        <v>49.8</v>
      </c>
      <c r="N40" s="719" t="n">
        <v>51.8</v>
      </c>
      <c r="O40" s="719" t="n">
        <v>47.7</v>
      </c>
      <c r="P40" s="719" t="n">
        <v>18.8</v>
      </c>
      <c r="Q40" s="719" t="n">
        <v>5.5</v>
      </c>
      <c r="R40" s="719" t="n">
        <v>-17.7</v>
      </c>
      <c r="S40" s="719" t="n">
        <v>-59.9</v>
      </c>
      <c r="T40" s="720" t="n">
        <v>47.7</v>
      </c>
    </row>
    <row r="41" ht="18" customHeight="1" s="468">
      <c r="B41" s="465" t="inlineStr">
        <is>
          <t>5.3</t>
        </is>
      </c>
      <c r="C41" s="132" t="inlineStr">
        <is>
          <t>Net margin (маржа), %</t>
        </is>
      </c>
      <c r="D41" s="719" t="n">
        <v>0</v>
      </c>
      <c r="E41" s="719" t="n">
        <v>0</v>
      </c>
      <c r="F41" s="719" t="n">
        <v>0</v>
      </c>
      <c r="G41" s="719" t="n">
        <v>36.7</v>
      </c>
      <c r="H41" s="719" t="n">
        <v>34.1</v>
      </c>
      <c r="I41" s="719" t="n">
        <v>40.9</v>
      </c>
      <c r="J41" s="719" t="n">
        <v>40.4</v>
      </c>
      <c r="K41" s="719" t="n">
        <v>38.4</v>
      </c>
      <c r="L41" s="719" t="n">
        <v>38.7</v>
      </c>
      <c r="M41" s="719" t="n">
        <v>39.6</v>
      </c>
      <c r="N41" s="719" t="n">
        <v>41.4</v>
      </c>
      <c r="O41" s="719" t="n">
        <v>37.9</v>
      </c>
      <c r="P41" s="719" t="n">
        <v>14.2</v>
      </c>
      <c r="Q41" s="719" t="n">
        <v>3.5</v>
      </c>
      <c r="R41" s="719" t="n">
        <v>-19.1</v>
      </c>
      <c r="S41" s="719" t="n">
        <v>-61.9</v>
      </c>
      <c r="T41" s="720" t="n">
        <v>37.4</v>
      </c>
    </row>
    <row r="44" ht="24" customHeight="1" s="468">
      <c r="B44" s="522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510" t="n"/>
      <c r="D44" s="510" t="n"/>
      <c r="E44" s="510" t="n"/>
      <c r="F44" s="510" t="n"/>
      <c r="G44" s="510" t="n"/>
      <c r="H44" s="510" t="n"/>
      <c r="I44" s="510" t="n"/>
      <c r="J44" s="510" t="n"/>
      <c r="K44" s="510" t="n"/>
      <c r="L44" s="510" t="n"/>
      <c r="M44" s="510" t="n"/>
      <c r="N44" s="510" t="n"/>
      <c r="O44" s="510" t="n"/>
      <c r="P44" s="510" t="n"/>
      <c r="Q44" s="510" t="n"/>
      <c r="R44" s="510" t="n"/>
      <c r="S44" s="510" t="n"/>
      <c r="T44" s="510" t="n"/>
      <c r="U44" s="510" t="n"/>
      <c r="V44" s="464" t="n"/>
    </row>
    <row r="45" ht="30" customHeight="1" s="468">
      <c r="B45" s="721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 s="468">
      <c r="B47" s="479" t="inlineStr">
        <is>
          <t>#</t>
        </is>
      </c>
      <c r="C47" s="512" t="inlineStr">
        <is>
          <t>Компонент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66" t="n"/>
      <c r="L47" s="479" t="inlineStr">
        <is>
          <t>Σ 2026–2028, млн ₽</t>
        </is>
      </c>
      <c r="M47" s="473" t="n"/>
      <c r="N47" s="466" t="n"/>
      <c r="O47" s="479" t="inlineStr">
        <is>
          <t>Тип</t>
        </is>
      </c>
      <c r="P47" s="473" t="n"/>
      <c r="Q47" s="466" t="n"/>
      <c r="R47" s="512" t="inlineStr">
        <is>
          <t>Комментарий</t>
        </is>
      </c>
      <c r="S47" s="473" t="n"/>
      <c r="T47" s="473" t="n"/>
      <c r="U47" s="473" t="n"/>
      <c r="V47" s="466" t="n"/>
    </row>
    <row r="48" ht="20" customHeight="1" s="468">
      <c r="B48" s="465" t="inlineStr">
        <is>
          <t>1</t>
        </is>
      </c>
      <c r="C48" s="472" t="inlineStr">
        <is>
          <t>EBITDA (прибыль до вычетов) GAAP, standard Σ 2026–2028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  <c r="L48" s="515" t="n">
        <v>2167.4</v>
      </c>
      <c r="M48" s="473" t="n"/>
      <c r="N48" s="466" t="n"/>
      <c r="O48" s="465" t="n"/>
      <c r="P48" s="473" t="n"/>
      <c r="Q48" s="466" t="n"/>
      <c r="R48" s="514" t="inlineStr">
        <is>
          <t>Из строки 3.6 выше</t>
        </is>
      </c>
      <c r="S48" s="473" t="n"/>
      <c r="T48" s="473" t="n"/>
      <c r="U48" s="473" t="n"/>
      <c r="V48" s="466" t="n"/>
    </row>
    <row r="49" ht="20" customHeight="1" s="468">
      <c r="B49" s="465" t="inlineStr">
        <is>
          <t>2</t>
        </is>
      </c>
      <c r="C49" s="472" t="inlineStr">
        <is>
          <t>(+) Producer equity contribution (вклад продюсера в капитал) add-back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  <c r="L49" s="515" t="n">
        <v>600</v>
      </c>
      <c r="M49" s="473" t="n"/>
      <c r="N49" s="466" t="n"/>
      <c r="O49" s="465" t="inlineStr">
        <is>
          <t>+</t>
        </is>
      </c>
      <c r="P49" s="473" t="n"/>
      <c r="Q49" s="466" t="n"/>
      <c r="R49" s="514" t="inlineStr">
        <is>
          <t>JV (совместное предприятие) capital (капитал): 600 млн, off-P&amp;L minority interest</t>
        </is>
      </c>
      <c r="S49" s="473" t="n"/>
      <c r="T49" s="473" t="n"/>
      <c r="U49" s="473" t="n"/>
      <c r="V49" s="466" t="n"/>
    </row>
    <row r="50" ht="20" customHeight="1" s="468">
      <c r="B50" s="465" t="inlineStr">
        <is>
          <t>3</t>
        </is>
      </c>
      <c r="C50" s="472" t="inlineStr">
        <is>
          <t>(+) Working capital (капитал) release &amp; gov credit timing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  <c r="L50" s="515" t="n">
        <v>232.6</v>
      </c>
      <c r="M50" s="473" t="n"/>
      <c r="N50" s="466" t="n"/>
      <c r="O50" s="465" t="inlineStr">
        <is>
          <t>+</t>
        </is>
      </c>
      <c r="P50" s="473" t="n"/>
      <c r="Q50" s="466" t="n"/>
      <c r="R50" s="514" t="inlineStr">
        <is>
          <t>Налоговый кредит 25% и высвобождение WC за периметром P&amp;L</t>
        </is>
      </c>
      <c r="S50" s="473" t="n"/>
      <c r="T50" s="473" t="n"/>
      <c r="U50" s="473" t="n"/>
      <c r="V50" s="466" t="n"/>
    </row>
    <row r="51" ht="20" customHeight="1" s="468">
      <c r="B51" s="523" t="inlineStr">
        <is>
          <t>=</t>
        </is>
      </c>
      <c r="C51" s="520" t="inlineStr">
        <is>
          <t>NDP (чистые распределяемые поступления) Σ 2026–2028  (legacy (базовый вариант) anchor (якорь))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  <c r="L51" s="519" t="n">
        <v>3000</v>
      </c>
      <c r="M51" s="473" t="n"/>
      <c r="N51" s="466" t="n"/>
      <c r="O51" s="523" t="inlineStr">
        <is>
          <t>ЯКОРЬ (ЯКОРЬ)</t>
        </is>
      </c>
      <c r="P51" s="473" t="n"/>
      <c r="Q51" s="466" t="n"/>
      <c r="R51" s="524" t="inlineStr">
        <is>
          <t>★ Инвариант v1.4.4, закреплено</t>
        </is>
      </c>
      <c r="S51" s="473" t="n"/>
      <c r="T51" s="473" t="n"/>
      <c r="U51" s="473" t="n"/>
      <c r="V51" s="466" t="n"/>
    </row>
    <row r="52" ht="20" customHeight="1" s="468">
      <c r="B52" s="465" t="inlineStr">
        <is>
          <t>4</t>
        </is>
      </c>
      <c r="C52" s="472" t="inlineStr">
        <is>
          <t>(−) Producer share (доля продюсера) (waterfall W₃ default · 60/40 от residual (остаток) после Liq Pref + coupon)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  <c r="L52" s="515" t="n">
        <v>-785</v>
      </c>
      <c r="M52" s="473" t="n"/>
      <c r="N52" s="466" t="n"/>
      <c r="O52" s="465" t="inlineStr">
        <is>
          <t>−</t>
        </is>
      </c>
      <c r="P52" s="473" t="n"/>
      <c r="Q52" s="466" t="n"/>
      <c r="R52" s="514" t="inlineStr">
        <is>
          <t>Доля продюсера по дефолтному каскаду</t>
        </is>
      </c>
      <c r="S52" s="473" t="n"/>
      <c r="T52" s="473" t="n"/>
      <c r="U52" s="473" t="n"/>
      <c r="V52" s="466" t="n"/>
    </row>
    <row r="53" ht="20" customHeight="1" s="468">
      <c r="B53" s="517" t="inlineStr">
        <is>
          <t>=</t>
        </is>
      </c>
      <c r="C53" s="513" t="inlineStr">
        <is>
          <t>Investor (Инвестор) Net Distributable Proceeds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  <c r="L53" s="518" t="n">
        <v>2215</v>
      </c>
      <c r="M53" s="473" t="n"/>
      <c r="N53" s="466" t="n"/>
      <c r="O53" s="517" t="inlineStr">
        <is>
          <t>ИНВЕСТОР (ИНВЕСТОР)</t>
        </is>
      </c>
      <c r="P53" s="473" t="n"/>
      <c r="Q53" s="466" t="n"/>
      <c r="R53" s="516" t="inlineStr">
        <is>
          <t>Чистые распределения инвестору T₁</t>
        </is>
      </c>
      <c r="S53" s="473" t="n"/>
      <c r="T53" s="473" t="n"/>
      <c r="U53" s="473" t="n"/>
      <c r="V53" s="466" t="n"/>
    </row>
    <row r="55" ht="24" customHeight="1" s="468">
      <c r="B55" s="509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510" t="n"/>
      <c r="D55" s="510" t="n"/>
      <c r="E55" s="510" t="n"/>
      <c r="F55" s="510" t="n"/>
      <c r="G55" s="510" t="n"/>
      <c r="H55" s="510" t="n"/>
      <c r="I55" s="510" t="n"/>
      <c r="J55" s="510" t="n"/>
      <c r="K55" s="510" t="n"/>
      <c r="L55" s="510" t="n"/>
      <c r="M55" s="510" t="n"/>
      <c r="N55" s="510" t="n"/>
      <c r="O55" s="510" t="n"/>
      <c r="P55" s="510" t="n"/>
      <c r="Q55" s="510" t="n"/>
      <c r="R55" s="510" t="n"/>
      <c r="S55" s="510" t="n"/>
      <c r="T55" s="510" t="n"/>
      <c r="U55" s="510" t="n"/>
      <c r="V55" s="464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R51:V51"/>
    <mergeCell ref="B6:V6"/>
    <mergeCell ref="B30:V30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zoomScale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V26" sqref="V26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19"/>
    <col width="12" customWidth="1" style="468" min="20" max="21"/>
    <col width="28" customWidth="1" style="468" min="22" max="22"/>
  </cols>
  <sheetData>
    <row r="2" ht="28" customHeight="1" s="468">
      <c r="B2" s="713" t="inlineStr">
        <is>
          <t>10  ·  ОТЧЁТ О ДВИЖЕНИИ ДЕНЕЖНЫХ СРЕДСТВ  ·  Косвенный метод  ·  12Q + 4Y</t>
        </is>
      </c>
    </row>
    <row r="3">
      <c r="B3" s="722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5" ht="20" customHeight="1" s="468">
      <c r="B5" s="536" t="inlineStr">
        <is>
          <t>#</t>
        </is>
      </c>
      <c r="C5" s="140" t="inlineStr">
        <is>
          <t>Показатель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Σ 2026–2032</t>
        </is>
      </c>
      <c r="V5" s="562" t="inlineStr">
        <is>
          <t>Комментарий</t>
        </is>
      </c>
    </row>
    <row r="6" ht="20" customHeight="1" s="468">
      <c r="B6" s="521" t="inlineStr">
        <is>
          <t>I.  ДЕНЕЖНЫЙ ПОТОК ОТ ОПЕРАЦИОННОЙ ДЕЯТЕЛЬНОСТИ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 ht="18" customHeight="1" s="468">
      <c r="B7" s="141" t="inlineStr">
        <is>
          <t>1.1</t>
        </is>
      </c>
      <c r="C7" s="142" t="inlineStr">
        <is>
          <t>Net Income (Чистая прибыль) (from P&amp;L)</t>
        </is>
      </c>
      <c r="D7" s="723" t="n">
        <v>-30.43</v>
      </c>
      <c r="E7" s="723" t="n">
        <v>-30.43</v>
      </c>
      <c r="F7" s="723" t="n">
        <v>-30.93</v>
      </c>
      <c r="G7" s="723" t="n">
        <v>113.65</v>
      </c>
      <c r="H7" s="723" t="n">
        <v>85.26000000000001</v>
      </c>
      <c r="I7" s="723" t="n">
        <v>286.14</v>
      </c>
      <c r="J7" s="723" t="n">
        <v>250.43</v>
      </c>
      <c r="K7" s="723" t="n">
        <v>161.15</v>
      </c>
      <c r="L7" s="723" t="n">
        <v>177.88</v>
      </c>
      <c r="M7" s="723" t="n">
        <v>218.06</v>
      </c>
      <c r="N7" s="723" t="n">
        <v>343.26</v>
      </c>
      <c r="O7" s="723" t="n">
        <v>153.53</v>
      </c>
      <c r="P7" s="723" t="n">
        <v>53.86</v>
      </c>
      <c r="Q7" s="723" t="n">
        <v>10.47</v>
      </c>
      <c r="R7" s="723" t="n">
        <v>-41.95</v>
      </c>
      <c r="S7" s="723" t="n">
        <v>-92.79000000000001</v>
      </c>
      <c r="T7" s="724" t="n">
        <v>1697.6</v>
      </c>
      <c r="U7" s="724" t="n">
        <v>1627.2</v>
      </c>
      <c r="V7" s="524" t="inlineStr">
        <is>
          <t>Из строки 4.6 P&amp;L</t>
        </is>
      </c>
    </row>
    <row r="8" ht="18" customHeight="1" s="468">
      <c r="B8" s="141" t="inlineStr">
        <is>
          <t>1.2</t>
        </is>
      </c>
      <c r="C8" s="142" t="inlineStr">
        <is>
          <t>(+) D&amp;A (амортизация) (non-cash)</t>
        </is>
      </c>
      <c r="D8" s="723" t="n">
        <v>0.75</v>
      </c>
      <c r="E8" s="723" t="n">
        <v>0.75</v>
      </c>
      <c r="F8" s="723" t="n">
        <v>0.75</v>
      </c>
      <c r="G8" s="723" t="n">
        <v>0.75</v>
      </c>
      <c r="H8" s="723" t="n">
        <v>0.75</v>
      </c>
      <c r="I8" s="723" t="n">
        <v>0.75</v>
      </c>
      <c r="J8" s="723" t="n">
        <v>0.75</v>
      </c>
      <c r="K8" s="723" t="n">
        <v>0.75</v>
      </c>
      <c r="L8" s="723" t="n">
        <v>0.75</v>
      </c>
      <c r="M8" s="723" t="n">
        <v>0.75</v>
      </c>
      <c r="N8" s="723" t="n">
        <v>0.75</v>
      </c>
      <c r="O8" s="723" t="n">
        <v>0.75</v>
      </c>
      <c r="P8" s="723" t="n">
        <v>3</v>
      </c>
      <c r="Q8" s="723" t="n">
        <v>3</v>
      </c>
      <c r="R8" s="723" t="n">
        <v>3</v>
      </c>
      <c r="S8" s="723" t="n">
        <v>3</v>
      </c>
      <c r="T8" s="724" t="n">
        <v>9</v>
      </c>
      <c r="U8" s="724" t="n">
        <v>21</v>
      </c>
      <c r="V8" s="524" t="inlineStr">
        <is>
          <t>Обратный выкладыш амортизации</t>
        </is>
      </c>
    </row>
    <row r="9" ht="28" customHeight="1" s="468">
      <c r="B9" s="141" t="inlineStr">
        <is>
          <t>1.3</t>
        </is>
      </c>
      <c r="C9" s="142" t="inlineStr">
        <is>
          <t>(+) Content amortization (Амортизация контента) add-back</t>
        </is>
      </c>
      <c r="D9" s="723" t="n">
        <v>0</v>
      </c>
      <c r="E9" s="723" t="n">
        <v>0</v>
      </c>
      <c r="F9" s="723" t="n">
        <v>0</v>
      </c>
      <c r="G9" s="723" t="n">
        <v>119.14</v>
      </c>
      <c r="H9" s="723" t="n">
        <v>96.08</v>
      </c>
      <c r="I9" s="723" t="n">
        <v>269.03</v>
      </c>
      <c r="J9" s="723" t="n">
        <v>238.29</v>
      </c>
      <c r="K9" s="723" t="n">
        <v>161.42</v>
      </c>
      <c r="L9" s="723" t="n">
        <v>176.79</v>
      </c>
      <c r="M9" s="723" t="n">
        <v>211.38</v>
      </c>
      <c r="N9" s="723" t="n">
        <v>318.99</v>
      </c>
      <c r="O9" s="723" t="n">
        <v>155.65</v>
      </c>
      <c r="P9" s="723" t="n">
        <v>146.05</v>
      </c>
      <c r="Q9" s="723" t="n">
        <v>115.3</v>
      </c>
      <c r="R9" s="723" t="n">
        <v>84.55</v>
      </c>
      <c r="S9" s="723" t="n">
        <v>57.65</v>
      </c>
      <c r="T9" s="724" t="n">
        <v>1746.8</v>
      </c>
      <c r="U9" s="724" t="n">
        <v>2150.3</v>
      </c>
      <c r="V9" s="524" t="inlineStr">
        <is>
          <t>1850 млн распределено по matching principle</t>
        </is>
      </c>
    </row>
    <row r="10" ht="18" customHeight="1" s="468">
      <c r="B10" s="145" t="inlineStr">
        <is>
          <t>1.4</t>
        </is>
      </c>
      <c r="C10" s="146" t="inlineStr">
        <is>
          <t>Net Cash (Денежные средства) from Operations</t>
        </is>
      </c>
      <c r="D10" s="725" t="n">
        <v>-29.68</v>
      </c>
      <c r="E10" s="725" t="n">
        <v>-29.68</v>
      </c>
      <c r="F10" s="725" t="n">
        <v>-30.18</v>
      </c>
      <c r="G10" s="725" t="n">
        <v>233.54</v>
      </c>
      <c r="H10" s="725" t="n">
        <v>182.09</v>
      </c>
      <c r="I10" s="725" t="n">
        <v>555.92</v>
      </c>
      <c r="J10" s="725" t="n">
        <v>489.47</v>
      </c>
      <c r="K10" s="725" t="n">
        <v>323.32</v>
      </c>
      <c r="L10" s="725" t="n">
        <v>355.42</v>
      </c>
      <c r="M10" s="725" t="n">
        <v>430.19</v>
      </c>
      <c r="N10" s="725" t="n">
        <v>663</v>
      </c>
      <c r="O10" s="725" t="n">
        <v>309.93</v>
      </c>
      <c r="P10" s="725" t="n">
        <v>202.91</v>
      </c>
      <c r="Q10" s="725" t="n">
        <v>128.77</v>
      </c>
      <c r="R10" s="725" t="n">
        <v>45.6</v>
      </c>
      <c r="S10" s="725" t="n">
        <v>-32.14</v>
      </c>
      <c r="T10" s="726" t="n">
        <v>3453.3</v>
      </c>
      <c r="U10" s="726" t="n">
        <v>3798.5</v>
      </c>
      <c r="V10" s="149" t="n"/>
    </row>
    <row r="11" ht="20" customHeight="1" s="468">
      <c r="B11" s="521" t="inlineStr">
        <is>
          <t>II.  ДЕНЕЖНЫЙ ПОТОК ОТ ИНВЕСТИЦИОННОЙ ДЕЯТЕЛЬНОСТИ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73" t="n"/>
      <c r="V11" s="466" t="n"/>
    </row>
    <row r="12" ht="26" customHeight="1" s="468">
      <c r="B12" s="150" t="inlineStr">
        <is>
          <t>2.1</t>
        </is>
      </c>
      <c r="C12" s="151" t="inlineStr">
        <is>
          <t>(−) Content production (Производство контента) CAPEX (Капзатраты)</t>
        </is>
      </c>
      <c r="D12" s="727" t="n">
        <v>-75.54000000000001</v>
      </c>
      <c r="E12" s="727" t="n">
        <v>-94.42</v>
      </c>
      <c r="F12" s="727" t="n">
        <v>-113.3</v>
      </c>
      <c r="G12" s="727" t="n">
        <v>-94.42</v>
      </c>
      <c r="H12" s="727" t="n">
        <v>-169.96</v>
      </c>
      <c r="I12" s="727" t="n">
        <v>-207.72</v>
      </c>
      <c r="J12" s="727" t="n">
        <v>-207.72</v>
      </c>
      <c r="K12" s="727" t="n">
        <v>-169.96</v>
      </c>
      <c r="L12" s="727" t="n">
        <v>-169.96</v>
      </c>
      <c r="M12" s="727" t="n">
        <v>-160.51</v>
      </c>
      <c r="N12" s="727" t="n">
        <v>-160.51</v>
      </c>
      <c r="O12" s="727" t="n">
        <v>-122.75</v>
      </c>
      <c r="P12" s="727" t="n">
        <v>0</v>
      </c>
      <c r="Q12" s="727" t="n">
        <v>0</v>
      </c>
      <c r="R12" s="727" t="n">
        <v>0</v>
      </c>
      <c r="S12" s="727" t="n">
        <v>0</v>
      </c>
      <c r="T12" s="728" t="n">
        <v>-1746.8</v>
      </c>
      <c r="U12" s="728" t="n">
        <v>-1746.8</v>
      </c>
      <c r="V12" s="154" t="inlineStr">
        <is>
          <t>Производство контента — schedule: 400/800/650/0</t>
        </is>
      </c>
    </row>
    <row r="13" ht="32" customHeight="1" s="468">
      <c r="B13" s="150" t="inlineStr">
        <is>
          <t>2.2</t>
        </is>
      </c>
      <c r="C13" s="151" t="inlineStr">
        <is>
          <t>(−) PP&amp;E CAPEX (Капзатраты) (minimal)</t>
        </is>
      </c>
      <c r="D13" s="727" t="n">
        <v>-0.83</v>
      </c>
      <c r="E13" s="727" t="n">
        <v>-0.83</v>
      </c>
      <c r="F13" s="727" t="n">
        <v>-0.83</v>
      </c>
      <c r="G13" s="727" t="n">
        <v>-0.83</v>
      </c>
      <c r="H13" s="727" t="n">
        <v>-0.83</v>
      </c>
      <c r="I13" s="727" t="n">
        <v>-0.83</v>
      </c>
      <c r="J13" s="727" t="n">
        <v>-0.83</v>
      </c>
      <c r="K13" s="727" t="n">
        <v>-0.83</v>
      </c>
      <c r="L13" s="727" t="n">
        <v>-0.83</v>
      </c>
      <c r="M13" s="727" t="n">
        <v>-0.83</v>
      </c>
      <c r="N13" s="727" t="n">
        <v>-0.83</v>
      </c>
      <c r="O13" s="727" t="n">
        <v>-0.83</v>
      </c>
      <c r="P13" s="727" t="n">
        <v>0</v>
      </c>
      <c r="Q13" s="727" t="n">
        <v>0</v>
      </c>
      <c r="R13" s="727" t="n">
        <v>0</v>
      </c>
      <c r="S13" s="727" t="n">
        <v>0</v>
      </c>
      <c r="T13" s="728" t="n">
        <v>-10</v>
      </c>
      <c r="U13" s="728" t="n">
        <v>-10</v>
      </c>
      <c r="V13" s="154" t="inlineStr">
        <is>
          <t>Офис, оборудование: ~10 млн за 3 года</t>
        </is>
      </c>
    </row>
    <row r="14" ht="18" customHeight="1" s="468">
      <c r="B14" s="145" t="inlineStr">
        <is>
          <t>2.3</t>
        </is>
      </c>
      <c r="C14" s="146" t="inlineStr">
        <is>
          <t>Net Cash (Денежные средства) from Investing</t>
        </is>
      </c>
      <c r="D14" s="725" t="n">
        <v>-76.37</v>
      </c>
      <c r="E14" s="725" t="n">
        <v>-95.25</v>
      </c>
      <c r="F14" s="725" t="n">
        <v>-114.13</v>
      </c>
      <c r="G14" s="725" t="n">
        <v>-95.25</v>
      </c>
      <c r="H14" s="725" t="n">
        <v>-170.79</v>
      </c>
      <c r="I14" s="725" t="n">
        <v>-208.55</v>
      </c>
      <c r="J14" s="725" t="n">
        <v>-208.55</v>
      </c>
      <c r="K14" s="725" t="n">
        <v>-170.79</v>
      </c>
      <c r="L14" s="725" t="n">
        <v>-170.79</v>
      </c>
      <c r="M14" s="725" t="n">
        <v>-161.34</v>
      </c>
      <c r="N14" s="725" t="n">
        <v>-161.34</v>
      </c>
      <c r="O14" s="725" t="n">
        <v>-123.58</v>
      </c>
      <c r="P14" s="725" t="n">
        <v>0</v>
      </c>
      <c r="Q14" s="725" t="n">
        <v>0</v>
      </c>
      <c r="R14" s="725" t="n">
        <v>0</v>
      </c>
      <c r="S14" s="725" t="n">
        <v>0</v>
      </c>
      <c r="T14" s="726" t="n">
        <v>-1756.7</v>
      </c>
      <c r="U14" s="726" t="n">
        <v>-1756.7</v>
      </c>
      <c r="V14" s="149" t="n"/>
    </row>
    <row r="15" ht="20" customHeight="1" s="468">
      <c r="B15" s="521" t="inlineStr">
        <is>
          <t>III.  ДЕНЕЖНЫЙ ПОТОК ОТ ФИНАНСОВОЙ ДЕЯТЕЛЬНОСТИ</t>
        </is>
      </c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66" t="n"/>
    </row>
    <row r="16" ht="18" customHeight="1" s="468">
      <c r="B16" s="141" t="inlineStr">
        <is>
          <t>3.1</t>
        </is>
      </c>
      <c r="C16" s="142" t="inlineStr">
        <is>
          <t>(+) T₁ Legacy (Базовый вариант) tranches (транши) drawn</t>
        </is>
      </c>
      <c r="D16" s="723" t="n">
        <v>250</v>
      </c>
      <c r="E16" s="723" t="n">
        <v>0</v>
      </c>
      <c r="F16" s="723" t="n">
        <v>0</v>
      </c>
      <c r="G16" s="723" t="n">
        <v>350</v>
      </c>
      <c r="H16" s="723" t="n">
        <v>0</v>
      </c>
      <c r="I16" s="723" t="n">
        <v>0</v>
      </c>
      <c r="J16" s="723" t="n">
        <v>350</v>
      </c>
      <c r="K16" s="723" t="n">
        <v>0</v>
      </c>
      <c r="L16" s="723" t="n">
        <v>0</v>
      </c>
      <c r="M16" s="723" t="n">
        <v>300</v>
      </c>
      <c r="N16" s="723" t="n">
        <v>0</v>
      </c>
      <c r="O16" s="723" t="n">
        <v>0</v>
      </c>
      <c r="P16" s="723" t="n">
        <v>0</v>
      </c>
      <c r="Q16" s="723" t="n">
        <v>0</v>
      </c>
      <c r="R16" s="723" t="n">
        <v>0</v>
      </c>
      <c r="S16" s="723" t="n">
        <v>0</v>
      </c>
      <c r="T16" s="724" t="n">
        <v>1250</v>
      </c>
      <c r="U16" s="724" t="n">
        <v>1250</v>
      </c>
      <c r="V16" s="524" t="inlineStr">
        <is>
          <t>4 транша: 250/350/350/300 = 1 250</t>
        </is>
      </c>
    </row>
    <row r="17" ht="18" customHeight="1" s="468">
      <c r="B17" s="141" t="inlineStr">
        <is>
          <t>3.2</t>
        </is>
      </c>
      <c r="C17" s="142" t="inlineStr">
        <is>
          <t>(+) Producer equity contribution (вклад продюсера в капитал)s</t>
        </is>
      </c>
      <c r="D17" s="723" t="n">
        <v>200</v>
      </c>
      <c r="E17" s="723" t="n">
        <v>0</v>
      </c>
      <c r="F17" s="723" t="n">
        <v>0</v>
      </c>
      <c r="G17" s="723" t="n">
        <v>150</v>
      </c>
      <c r="H17" s="723" t="n">
        <v>0</v>
      </c>
      <c r="I17" s="723" t="n">
        <v>0</v>
      </c>
      <c r="J17" s="723" t="n">
        <v>150</v>
      </c>
      <c r="K17" s="723" t="n">
        <v>0</v>
      </c>
      <c r="L17" s="723" t="n">
        <v>0</v>
      </c>
      <c r="M17" s="723" t="n">
        <v>100</v>
      </c>
      <c r="N17" s="723" t="n">
        <v>0</v>
      </c>
      <c r="O17" s="723" t="n">
        <v>0</v>
      </c>
      <c r="P17" s="723" t="n">
        <v>0</v>
      </c>
      <c r="Q17" s="723" t="n">
        <v>0</v>
      </c>
      <c r="R17" s="723" t="n">
        <v>0</v>
      </c>
      <c r="S17" s="723" t="n">
        <v>0</v>
      </c>
      <c r="T17" s="724" t="n">
        <v>600</v>
      </c>
      <c r="U17" s="724" t="n">
        <v>600</v>
      </c>
      <c r="V17" s="524" t="inlineStr">
        <is>
          <t>JV (совместное предприятие) capital (капитал): 200/150/150/100 = 600</t>
        </is>
      </c>
    </row>
    <row r="18" ht="31" customHeight="1" s="468">
      <c r="B18" s="150" t="inlineStr">
        <is>
          <t>3.3</t>
        </is>
      </c>
      <c r="C18" s="151" t="inlineStr">
        <is>
          <t>(−) Distributions (waterfall W₃ default · 1× Liq Pref (Ликвидационная привилегия) + 8% coupon (купон) + 60/40)</t>
        </is>
      </c>
      <c r="D18" s="727" t="n">
        <v>0</v>
      </c>
      <c r="E18" s="727" t="n">
        <v>0</v>
      </c>
      <c r="F18" s="727" t="n">
        <v>0</v>
      </c>
      <c r="G18" s="727" t="n">
        <v>0</v>
      </c>
      <c r="H18" s="727" t="n">
        <v>0</v>
      </c>
      <c r="I18" s="727" t="n">
        <v>0</v>
      </c>
      <c r="J18" s="727" t="n">
        <v>0</v>
      </c>
      <c r="K18" s="727" t="n">
        <v>0</v>
      </c>
      <c r="L18" s="727" t="n">
        <v>0</v>
      </c>
      <c r="M18" s="727" t="n">
        <v>0</v>
      </c>
      <c r="N18" s="727" t="n">
        <v>0</v>
      </c>
      <c r="O18" s="727" t="n">
        <v>0</v>
      </c>
      <c r="P18" s="727" t="n">
        <v>-1200</v>
      </c>
      <c r="Q18" s="727" t="n">
        <v>-900</v>
      </c>
      <c r="R18" s="727" t="n">
        <v>-600</v>
      </c>
      <c r="S18" s="727" t="n">
        <v>-300</v>
      </c>
      <c r="T18" s="728" t="n">
        <v>0</v>
      </c>
      <c r="U18" s="728" t="n">
        <v>-3000</v>
      </c>
      <c r="V18" s="154" t="inlineStr">
        <is>
          <t>NDP (чистые распределяемые поступления) 3000 распределяется 2029-2032 (40/30/20/10%)</t>
        </is>
      </c>
    </row>
    <row r="19" ht="18" customHeight="1" s="468">
      <c r="B19" s="145" t="inlineStr">
        <is>
          <t>3.4</t>
        </is>
      </c>
      <c r="C19" s="146" t="inlineStr">
        <is>
          <t>Net Cash (Денежные средства) from Financing</t>
        </is>
      </c>
      <c r="D19" s="725" t="n">
        <v>450</v>
      </c>
      <c r="E19" s="725" t="n">
        <v>0</v>
      </c>
      <c r="F19" s="725" t="n">
        <v>0</v>
      </c>
      <c r="G19" s="725" t="n">
        <v>500</v>
      </c>
      <c r="H19" s="725" t="n">
        <v>0</v>
      </c>
      <c r="I19" s="725" t="n">
        <v>0</v>
      </c>
      <c r="J19" s="725" t="n">
        <v>500</v>
      </c>
      <c r="K19" s="725" t="n">
        <v>0</v>
      </c>
      <c r="L19" s="725" t="n">
        <v>0</v>
      </c>
      <c r="M19" s="725" t="n">
        <v>400</v>
      </c>
      <c r="N19" s="725" t="n">
        <v>0</v>
      </c>
      <c r="O19" s="725" t="n">
        <v>0</v>
      </c>
      <c r="P19" s="725" t="n">
        <v>-1200</v>
      </c>
      <c r="Q19" s="725" t="n">
        <v>-900</v>
      </c>
      <c r="R19" s="725" t="n">
        <v>-600</v>
      </c>
      <c r="S19" s="725" t="n">
        <v>-300</v>
      </c>
      <c r="T19" s="726" t="n">
        <v>1850</v>
      </c>
      <c r="U19" s="726" t="n">
        <v>-1150</v>
      </c>
      <c r="V19" s="149" t="n"/>
    </row>
    <row r="20" ht="20" customHeight="1" s="468">
      <c r="B20" s="521" t="inlineStr">
        <is>
          <t>IV.  ЧИСТОЕ ИЗМЕНЕНИЕ ДС И СВЕРКА (ЧИСТОЕ ИЗМЕНЕНИЕ ДС И СВЕРКА)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66" t="n"/>
    </row>
    <row r="21" ht="18" customHeight="1" s="468">
      <c r="B21" s="145" t="inlineStr">
        <is>
          <t>4.1</t>
        </is>
      </c>
      <c r="C21" s="146" t="inlineStr">
        <is>
          <t>Чистое изменение ДС (Чистое изменение денежных средств)</t>
        </is>
      </c>
      <c r="D21" s="725" t="n">
        <v>343.95</v>
      </c>
      <c r="E21" s="725" t="n">
        <v>-124.93</v>
      </c>
      <c r="F21" s="725" t="n">
        <v>-144.31</v>
      </c>
      <c r="G21" s="725" t="n">
        <v>638.29</v>
      </c>
      <c r="H21" s="725" t="n">
        <v>11.3</v>
      </c>
      <c r="I21" s="725" t="n">
        <v>347.37</v>
      </c>
      <c r="J21" s="725" t="n">
        <v>780.92</v>
      </c>
      <c r="K21" s="725" t="n">
        <v>152.53</v>
      </c>
      <c r="L21" s="725" t="n">
        <v>184.63</v>
      </c>
      <c r="M21" s="725" t="n">
        <v>668.85</v>
      </c>
      <c r="N21" s="725" t="n">
        <v>501.66</v>
      </c>
      <c r="O21" s="725" t="n">
        <v>186.35</v>
      </c>
      <c r="P21" s="725" t="n">
        <v>-997.09</v>
      </c>
      <c r="Q21" s="725" t="n">
        <v>-771.23</v>
      </c>
      <c r="R21" s="725" t="n">
        <v>-554.4</v>
      </c>
      <c r="S21" s="725" t="n">
        <v>-332.14</v>
      </c>
      <c r="T21" s="726" t="n">
        <v>3546.6</v>
      </c>
      <c r="U21" s="726" t="n">
        <v>891.7</v>
      </c>
      <c r="V21" s="149" t="n"/>
    </row>
    <row r="22" ht="18" customHeight="1" s="468">
      <c r="B22" s="534" t="inlineStr">
        <is>
          <t>4.2</t>
        </is>
      </c>
      <c r="C22" s="532" t="inlineStr">
        <is>
          <t>Cash (Денежные средства) — beginning of period</t>
        </is>
      </c>
      <c r="D22" s="729" t="n">
        <v>0</v>
      </c>
      <c r="E22" s="729" t="n">
        <v>343.95</v>
      </c>
      <c r="F22" s="729" t="n">
        <v>219.02</v>
      </c>
      <c r="G22" s="729" t="n">
        <v>74.70999999999999</v>
      </c>
      <c r="H22" s="729" t="n">
        <v>713</v>
      </c>
      <c r="I22" s="729" t="n">
        <v>724.3</v>
      </c>
      <c r="J22" s="729" t="n">
        <v>1071.67</v>
      </c>
      <c r="K22" s="729" t="n">
        <v>1852.59</v>
      </c>
      <c r="L22" s="729" t="n">
        <v>2005.12</v>
      </c>
      <c r="M22" s="729" t="n">
        <v>2189.75</v>
      </c>
      <c r="N22" s="729" t="n">
        <v>2858.6</v>
      </c>
      <c r="O22" s="729" t="n">
        <v>3360.26</v>
      </c>
      <c r="P22" s="729" t="n">
        <v>3546.61</v>
      </c>
      <c r="Q22" s="729" t="n">
        <v>2549.52</v>
      </c>
      <c r="R22" s="729" t="n">
        <v>1778.29</v>
      </c>
      <c r="S22" s="729" t="n">
        <v>1223.89</v>
      </c>
      <c r="T22" s="730" t="n">
        <v>15413</v>
      </c>
      <c r="U22" s="730" t="n">
        <v>24511.3</v>
      </c>
      <c r="V22" s="514" t="n"/>
    </row>
    <row r="23" ht="18" customHeight="1" s="468">
      <c r="B23" s="159" t="inlineStr">
        <is>
          <t>4.3</t>
        </is>
      </c>
      <c r="C23" s="160" t="inlineStr">
        <is>
          <t>Cash (Денежные средства) — end of period</t>
        </is>
      </c>
      <c r="D23" s="724" t="n">
        <v>343.95</v>
      </c>
      <c r="E23" s="724" t="n">
        <v>219.02</v>
      </c>
      <c r="F23" s="724" t="n">
        <v>74.70999999999999</v>
      </c>
      <c r="G23" s="724" t="n">
        <v>713</v>
      </c>
      <c r="H23" s="724" t="n">
        <v>724.3</v>
      </c>
      <c r="I23" s="724" t="n">
        <v>1071.67</v>
      </c>
      <c r="J23" s="724" t="n">
        <v>1852.59</v>
      </c>
      <c r="K23" s="724" t="n">
        <v>2005.12</v>
      </c>
      <c r="L23" s="724" t="n">
        <v>2189.75</v>
      </c>
      <c r="M23" s="724" t="n">
        <v>2858.6</v>
      </c>
      <c r="N23" s="724" t="n">
        <v>3360.26</v>
      </c>
      <c r="O23" s="724" t="n">
        <v>3546.61</v>
      </c>
      <c r="P23" s="724" t="n">
        <v>2549.52</v>
      </c>
      <c r="Q23" s="724" t="n">
        <v>1778.29</v>
      </c>
      <c r="R23" s="724" t="n">
        <v>1223.89</v>
      </c>
      <c r="S23" s="724" t="n">
        <v>891.75</v>
      </c>
      <c r="T23" s="726" t="n">
        <v>18959.6</v>
      </c>
      <c r="U23" s="726" t="n">
        <v>25403</v>
      </c>
      <c r="V23" s="524" t="inlineStr">
        <is>
          <t>★ Совпадает с Cash (Денежные средства) в 11_Balance_Sheet</t>
        </is>
      </c>
    </row>
    <row r="25" ht="22" customHeight="1" s="468">
      <c r="B25" s="527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510" t="n"/>
      <c r="D25" s="510" t="n"/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510" t="n"/>
      <c r="O25" s="510" t="n"/>
      <c r="P25" s="510" t="n"/>
      <c r="Q25" s="510" t="n"/>
      <c r="R25" s="510" t="n"/>
      <c r="S25" s="510" t="n"/>
      <c r="T25" s="510" t="n"/>
      <c r="U25" s="510" t="n"/>
      <c r="V25" s="464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S8" sqref="S8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19"/>
    <col width="30" customWidth="1" style="468" min="20" max="20"/>
  </cols>
  <sheetData>
    <row r="2" ht="28" customHeight="1" s="468">
      <c r="B2" s="713" t="inlineStr">
        <is>
          <t>11  ·  БАЛАНС  ·  На конец периода  ·  12Q + 4Y</t>
        </is>
      </c>
    </row>
    <row r="3">
      <c r="B3" s="722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Комментарий</t>
        </is>
      </c>
    </row>
    <row r="6" ht="20" customHeight="1" s="468">
      <c r="B6" s="521" t="inlineStr">
        <is>
          <t>A.  АКТИВЫ (АКТИВЫ)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66" t="n"/>
    </row>
    <row r="7" ht="18" customHeight="1" s="468">
      <c r="B7" s="534" t="inlineStr">
        <is>
          <t>A1</t>
        </is>
      </c>
      <c r="C7" s="532" t="inlineStr">
        <is>
          <t>Cash (Денежные средства) &amp; equivalents</t>
        </is>
      </c>
      <c r="D7" s="729" t="n">
        <v>346.04</v>
      </c>
      <c r="E7" s="729" t="n">
        <v>222.08</v>
      </c>
      <c r="F7" s="729" t="n">
        <v>77.62</v>
      </c>
      <c r="G7" s="729" t="n">
        <v>716.13</v>
      </c>
      <c r="H7" s="729" t="n">
        <v>724.6900000000001</v>
      </c>
      <c r="I7" s="729" t="n">
        <v>1067.9</v>
      </c>
      <c r="J7" s="729" t="n">
        <v>1844.51</v>
      </c>
      <c r="K7" s="729" t="n">
        <v>1994.61</v>
      </c>
      <c r="L7" s="729" t="n">
        <v>2178.61</v>
      </c>
      <c r="M7" s="729" t="n">
        <v>2847.54</v>
      </c>
      <c r="N7" s="729" t="n">
        <v>3349.78</v>
      </c>
      <c r="O7" s="729" t="n">
        <v>3538.19</v>
      </c>
      <c r="P7" s="729" t="n">
        <v>2583.56</v>
      </c>
      <c r="Q7" s="729" t="n">
        <v>1862.72</v>
      </c>
      <c r="R7" s="729" t="n">
        <v>1375.68</v>
      </c>
      <c r="S7" s="729" t="n">
        <v>1128.02</v>
      </c>
      <c r="T7" s="514" t="inlineStr">
        <is>
          <t>Из 10_CF 4.3</t>
        </is>
      </c>
    </row>
    <row r="8" ht="18" customHeight="1" s="468">
      <c r="B8" s="534" t="inlineStr">
        <is>
          <t>A2</t>
        </is>
      </c>
      <c r="C8" s="532" t="inlineStr">
        <is>
          <t>Content (Контент) library (net)</t>
        </is>
      </c>
      <c r="D8" s="729" t="n">
        <v>80</v>
      </c>
      <c r="E8" s="729" t="n">
        <v>180</v>
      </c>
      <c r="F8" s="729" t="n">
        <v>300</v>
      </c>
      <c r="G8" s="729" t="n">
        <v>273.82</v>
      </c>
      <c r="H8" s="729" t="n">
        <v>352.06</v>
      </c>
      <c r="I8" s="729" t="n">
        <v>287.13</v>
      </c>
      <c r="J8" s="729" t="n">
        <v>254.76</v>
      </c>
      <c r="K8" s="729" t="n">
        <v>263.8</v>
      </c>
      <c r="L8" s="729" t="n">
        <v>256.56</v>
      </c>
      <c r="M8" s="729" t="n">
        <v>202.69</v>
      </c>
      <c r="N8" s="729" t="n">
        <v>34.85</v>
      </c>
      <c r="O8" s="729" t="n">
        <v>0</v>
      </c>
      <c r="P8" s="729" t="n">
        <v>-154.68</v>
      </c>
      <c r="Q8" s="729" t="n">
        <v>-276.79</v>
      </c>
      <c r="R8" s="729" t="n">
        <v>-366.34</v>
      </c>
      <c r="S8" s="729" t="n">
        <v>-427.4</v>
      </c>
      <c r="T8" s="514" t="inlineStr">
        <is>
          <t>Gross CAPEX (Капзатраты) − amortization</t>
        </is>
      </c>
    </row>
    <row r="9" ht="18" customHeight="1" s="468">
      <c r="B9" s="534" t="inlineStr">
        <is>
          <t>A3</t>
        </is>
      </c>
      <c r="C9" s="532" t="inlineStr">
        <is>
          <t>Property, Plant &amp; Equipment (Основные средства)</t>
        </is>
      </c>
      <c r="D9" s="729" t="n">
        <v>0.08</v>
      </c>
      <c r="E9" s="729" t="n">
        <v>0.16</v>
      </c>
      <c r="F9" s="729" t="n">
        <v>0.24</v>
      </c>
      <c r="G9" s="729" t="n">
        <v>0.32</v>
      </c>
      <c r="H9" s="729" t="n">
        <v>0.4</v>
      </c>
      <c r="I9" s="729" t="n">
        <v>0.48</v>
      </c>
      <c r="J9" s="729" t="n">
        <v>0.5600000000000001</v>
      </c>
      <c r="K9" s="729" t="n">
        <v>0.64</v>
      </c>
      <c r="L9" s="729" t="n">
        <v>0.72</v>
      </c>
      <c r="M9" s="729" t="n">
        <v>0.8</v>
      </c>
      <c r="N9" s="729" t="n">
        <v>0.88</v>
      </c>
      <c r="O9" s="729" t="n">
        <v>0.96</v>
      </c>
      <c r="P9" s="729" t="n">
        <v>-2.04</v>
      </c>
      <c r="Q9" s="729" t="n">
        <v>-5.04</v>
      </c>
      <c r="R9" s="729" t="n">
        <v>-8.039999999999999</v>
      </c>
      <c r="S9" s="729" t="n">
        <v>-11.04</v>
      </c>
      <c r="T9" s="514" t="inlineStr">
        <is>
          <t>PP&amp;E net (Основные средства (нетто))</t>
        </is>
      </c>
    </row>
    <row r="10" ht="18" customHeight="1" s="468">
      <c r="B10" s="145" t="inlineStr">
        <is>
          <t>A4</t>
        </is>
      </c>
      <c r="C10" s="146" t="inlineStr">
        <is>
          <t>ИТОГО АКТИВЫ (АКТИВЫ) (ИТОГО АКТИВЫ)</t>
        </is>
      </c>
      <c r="D10" s="726" t="n">
        <v>426.12</v>
      </c>
      <c r="E10" s="726" t="n">
        <v>402.24</v>
      </c>
      <c r="F10" s="726" t="n">
        <v>377.86</v>
      </c>
      <c r="G10" s="726" t="n">
        <v>990.27</v>
      </c>
      <c r="H10" s="726" t="n">
        <v>1077.15</v>
      </c>
      <c r="I10" s="726" t="n">
        <v>1355.51</v>
      </c>
      <c r="J10" s="726" t="n">
        <v>2099.83</v>
      </c>
      <c r="K10" s="726" t="n">
        <v>2259.05</v>
      </c>
      <c r="L10" s="726" t="n">
        <v>2435.89</v>
      </c>
      <c r="M10" s="726" t="n">
        <v>3051.03</v>
      </c>
      <c r="N10" s="726" t="n">
        <v>3385.51</v>
      </c>
      <c r="O10" s="726" t="n">
        <v>3539.15</v>
      </c>
      <c r="P10" s="726" t="n">
        <v>2426.84</v>
      </c>
      <c r="Q10" s="726" t="n">
        <v>1580.89</v>
      </c>
      <c r="R10" s="726" t="n">
        <v>1001.3</v>
      </c>
      <c r="S10" s="726" t="n">
        <v>689.58</v>
      </c>
      <c r="T10" s="149" t="inlineStr">
        <is>
          <t>Σ A1+A2+A3</t>
        </is>
      </c>
    </row>
    <row r="12" ht="20" customHeight="1" s="468">
      <c r="B12" s="521" t="inlineStr">
        <is>
          <t>B.  ОБЯЗАТЕЛЬСТВА И КАПИТАЛ (ОБЯЗАТЕЛЬСТВА И КАПИТАЛ)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66" t="n"/>
    </row>
    <row r="13" ht="18" customHeight="1" s="468">
      <c r="B13" s="534" t="inlineStr">
        <is>
          <t>B1</t>
        </is>
      </c>
      <c r="C13" s="532" t="inlineStr">
        <is>
          <t>T₁ Legacy (Базовый вариант) loan balance</t>
        </is>
      </c>
      <c r="D13" s="729" t="n">
        <v>250</v>
      </c>
      <c r="E13" s="729" t="n">
        <v>250</v>
      </c>
      <c r="F13" s="729" t="n">
        <v>250</v>
      </c>
      <c r="G13" s="729" t="n">
        <v>600</v>
      </c>
      <c r="H13" s="729" t="n">
        <v>600</v>
      </c>
      <c r="I13" s="729" t="n">
        <v>600</v>
      </c>
      <c r="J13" s="729" t="n">
        <v>950</v>
      </c>
      <c r="K13" s="729" t="n">
        <v>950</v>
      </c>
      <c r="L13" s="729" t="n">
        <v>950</v>
      </c>
      <c r="M13" s="729" t="n">
        <v>1250</v>
      </c>
      <c r="N13" s="729" t="n">
        <v>1250</v>
      </c>
      <c r="O13" s="729" t="n">
        <v>1250</v>
      </c>
      <c r="P13" s="729" t="n">
        <v>530</v>
      </c>
      <c r="Q13" s="729" t="n">
        <v>-10</v>
      </c>
      <c r="R13" s="729" t="n">
        <v>-370</v>
      </c>
      <c r="S13" s="729" t="n">
        <v>-550</v>
      </c>
      <c r="T13" s="514" t="inlineStr">
        <is>
          <t>Привлечение − распределения инвестору</t>
        </is>
      </c>
    </row>
    <row r="14" ht="18" customHeight="1" s="468">
      <c r="B14" s="534" t="inlineStr">
        <is>
          <t>B2</t>
        </is>
      </c>
      <c r="C14" s="532" t="inlineStr">
        <is>
          <t>Producer equity (капитал продюсера) (JV (совместное предприятие) capital (капитал))</t>
        </is>
      </c>
      <c r="D14" s="729" t="n">
        <v>200</v>
      </c>
      <c r="E14" s="729" t="n">
        <v>200</v>
      </c>
      <c r="F14" s="729" t="n">
        <v>200</v>
      </c>
      <c r="G14" s="729" t="n">
        <v>350</v>
      </c>
      <c r="H14" s="729" t="n">
        <v>350</v>
      </c>
      <c r="I14" s="729" t="n">
        <v>350</v>
      </c>
      <c r="J14" s="729" t="n">
        <v>500</v>
      </c>
      <c r="K14" s="729" t="n">
        <v>500</v>
      </c>
      <c r="L14" s="729" t="n">
        <v>500</v>
      </c>
      <c r="M14" s="729" t="n">
        <v>600</v>
      </c>
      <c r="N14" s="729" t="n">
        <v>600</v>
      </c>
      <c r="O14" s="729" t="n">
        <v>600</v>
      </c>
      <c r="P14" s="729" t="n">
        <v>120</v>
      </c>
      <c r="Q14" s="729" t="n">
        <v>-240</v>
      </c>
      <c r="R14" s="729" t="n">
        <v>-480</v>
      </c>
      <c r="S14" s="729" t="n">
        <v>-600</v>
      </c>
      <c r="T14" s="514" t="inlineStr">
        <is>
          <t>Вклады − распределения продюсеру</t>
        </is>
      </c>
    </row>
    <row r="15" ht="18" customHeight="1" s="468">
      <c r="B15" s="534" t="inlineStr">
        <is>
          <t>B3</t>
        </is>
      </c>
      <c r="C15" s="532" t="inlineStr">
        <is>
          <t>Нераспределённая прибыль (Нераспределённая прибыль)</t>
        </is>
      </c>
      <c r="D15" s="729" t="n">
        <v>-23.88</v>
      </c>
      <c r="E15" s="729" t="n">
        <v>-47.76</v>
      </c>
      <c r="F15" s="729" t="n">
        <v>-72.14</v>
      </c>
      <c r="G15" s="729" t="n">
        <v>40.27</v>
      </c>
      <c r="H15" s="729" t="n">
        <v>127.15</v>
      </c>
      <c r="I15" s="729" t="n">
        <v>405.51</v>
      </c>
      <c r="J15" s="729" t="n">
        <v>649.83</v>
      </c>
      <c r="K15" s="729" t="n">
        <v>809.05</v>
      </c>
      <c r="L15" s="729" t="n">
        <v>985.89</v>
      </c>
      <c r="M15" s="729" t="n">
        <v>1201.03</v>
      </c>
      <c r="N15" s="729" t="n">
        <v>1535.51</v>
      </c>
      <c r="O15" s="729" t="n">
        <v>1689.15</v>
      </c>
      <c r="P15" s="729" t="n">
        <v>1776.84</v>
      </c>
      <c r="Q15" s="729" t="n">
        <v>1830.89</v>
      </c>
      <c r="R15" s="729" t="n">
        <v>1851.3</v>
      </c>
      <c r="S15" s="729" t="n">
        <v>1839.58</v>
      </c>
      <c r="T15" s="514" t="inlineStr">
        <is>
          <t>Cumulative (Накопительный) Net Income (Чистая прибыль)</t>
        </is>
      </c>
    </row>
    <row r="16" ht="18" customHeight="1" s="468">
      <c r="B16" s="145" t="inlineStr">
        <is>
          <t>B4</t>
        </is>
      </c>
      <c r="C16" s="146" t="inlineStr">
        <is>
          <t>TOTAL (ИТОГО) LIABILITIES (ИТОГО ОБЯЗАТЕЛЬСТВА) + EQUITY (ИТОГО ОБЯЗАТЕЛЬСТВА + КАПИТАЛ)</t>
        </is>
      </c>
      <c r="D16" s="726" t="n">
        <v>426.12</v>
      </c>
      <c r="E16" s="726" t="n">
        <v>402.24</v>
      </c>
      <c r="F16" s="726" t="n">
        <v>377.86</v>
      </c>
      <c r="G16" s="726" t="n">
        <v>990.27</v>
      </c>
      <c r="H16" s="726" t="n">
        <v>1077.15</v>
      </c>
      <c r="I16" s="726" t="n">
        <v>1355.51</v>
      </c>
      <c r="J16" s="726" t="n">
        <v>2099.83</v>
      </c>
      <c r="K16" s="726" t="n">
        <v>2259.05</v>
      </c>
      <c r="L16" s="726" t="n">
        <v>2435.89</v>
      </c>
      <c r="M16" s="726" t="n">
        <v>3051.03</v>
      </c>
      <c r="N16" s="726" t="n">
        <v>3385.51</v>
      </c>
      <c r="O16" s="726" t="n">
        <v>3539.15</v>
      </c>
      <c r="P16" s="726" t="n">
        <v>2426.84</v>
      </c>
      <c r="Q16" s="726" t="n">
        <v>1580.89</v>
      </c>
      <c r="R16" s="726" t="n">
        <v>1001.3</v>
      </c>
      <c r="S16" s="726" t="n">
        <v>689.58</v>
      </c>
      <c r="T16" s="149" t="inlineStr">
        <is>
          <t>Σ B1+B2+B3</t>
        </is>
      </c>
    </row>
    <row r="18" ht="20" customHeight="1" s="468">
      <c r="B18" s="521" t="inlineStr">
        <is>
          <t>C.  BALANCE CHECK  (Assets − Liab/Equity (Собственный капитал); должно быть 0)</t>
        </is>
      </c>
      <c r="C18" s="473" t="n"/>
      <c r="D18" s="473" t="n"/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66" t="n"/>
    </row>
    <row r="19" ht="20" customHeight="1" s="468">
      <c r="B19" s="161" t="inlineStr">
        <is>
          <t>C1</t>
        </is>
      </c>
      <c r="C19" s="556" t="inlineStr">
        <is>
          <t>Контроль баланса = Активы − (О+К)</t>
        </is>
      </c>
      <c r="D19" s="731" t="n">
        <v>0</v>
      </c>
      <c r="E19" s="731" t="n">
        <v>0</v>
      </c>
      <c r="F19" s="731" t="n">
        <v>0</v>
      </c>
      <c r="G19" s="731" t="n">
        <v>0</v>
      </c>
      <c r="H19" s="731" t="n">
        <v>0</v>
      </c>
      <c r="I19" s="731" t="n">
        <v>0</v>
      </c>
      <c r="J19" s="731" t="n">
        <v>0</v>
      </c>
      <c r="K19" s="731" t="n">
        <v>0</v>
      </c>
      <c r="L19" s="731" t="n">
        <v>0</v>
      </c>
      <c r="M19" s="731" t="n">
        <v>0</v>
      </c>
      <c r="N19" s="731" t="n">
        <v>0</v>
      </c>
      <c r="O19" s="731" t="n">
        <v>0</v>
      </c>
      <c r="P19" s="731" t="n">
        <v>0</v>
      </c>
      <c r="Q19" s="731" t="n">
        <v>0</v>
      </c>
      <c r="R19" s="731" t="n">
        <v>0</v>
      </c>
      <c r="S19" s="731" t="n">
        <v>0</v>
      </c>
      <c r="T19" s="164" t="inlineStr">
        <is>
          <t>✓ СБАЛАНСИРОВАН</t>
        </is>
      </c>
    </row>
    <row r="21" ht="24" customHeight="1" s="468">
      <c r="B21" s="527" t="inlineStr">
        <is>
          <t>★ Snapshot Q4'28: Assets 3,539 = Cash (Денежные средства) 3,538 + Content (Контент) 0 + PP&amp;E 1  |  L+E 3,539 = T₁ 1,250 + Prod.Eq 600 + Retained 1,689</t>
        </is>
      </c>
      <c r="C21" s="510" t="n"/>
      <c r="D21" s="510" t="n"/>
      <c r="E21" s="510" t="n"/>
      <c r="F21" s="510" t="n"/>
      <c r="G21" s="510" t="n"/>
      <c r="H21" s="510" t="n"/>
      <c r="I21" s="510" t="n"/>
      <c r="J21" s="510" t="n"/>
      <c r="K21" s="510" t="n"/>
      <c r="L21" s="510" t="n"/>
      <c r="M21" s="510" t="n"/>
      <c r="N21" s="510" t="n"/>
      <c r="O21" s="510" t="n"/>
      <c r="P21" s="510" t="n"/>
      <c r="Q21" s="510" t="n"/>
      <c r="R21" s="510" t="n"/>
      <c r="S21" s="510" t="n"/>
      <c r="T21" s="464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19"/>
    <col width="12" customWidth="1" style="468" min="20" max="20"/>
    <col width="30" customWidth="1" style="468" min="21" max="21"/>
  </cols>
  <sheetData>
    <row r="2" ht="28" customHeight="1" s="468">
      <c r="B2" s="713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722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Комментарий</t>
        </is>
      </c>
    </row>
    <row r="6" ht="20" customHeight="1" s="468">
      <c r="B6" s="521" t="inlineStr">
        <is>
          <t>I.  ОБОРОТНЫЕ АКТИВЫ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141" t="inlineStr">
        <is>
          <t>1.1</t>
        </is>
      </c>
      <c r="C7" s="142" t="inlineStr">
        <is>
          <t>Дебиторская задолженность (25% квартальной выручки)</t>
        </is>
      </c>
      <c r="D7" s="723" t="n">
        <v>0</v>
      </c>
      <c r="E7" s="723" t="n">
        <v>0</v>
      </c>
      <c r="F7" s="723" t="n">
        <v>0</v>
      </c>
      <c r="G7" s="723" t="n">
        <v>77.5</v>
      </c>
      <c r="H7" s="723" t="n">
        <v>62.5</v>
      </c>
      <c r="I7" s="723" t="n">
        <v>175</v>
      </c>
      <c r="J7" s="723" t="n">
        <v>155</v>
      </c>
      <c r="K7" s="723" t="n">
        <v>105</v>
      </c>
      <c r="L7" s="723" t="n">
        <v>115</v>
      </c>
      <c r="M7" s="723" t="n">
        <v>137.5</v>
      </c>
      <c r="N7" s="723" t="n">
        <v>207.5</v>
      </c>
      <c r="O7" s="723" t="n">
        <v>101.25</v>
      </c>
      <c r="P7" s="723" t="n">
        <v>95</v>
      </c>
      <c r="Q7" s="723" t="n">
        <v>75</v>
      </c>
      <c r="R7" s="723" t="n">
        <v>55</v>
      </c>
      <c r="S7" s="723" t="n">
        <v>37.5</v>
      </c>
      <c r="T7" s="724" t="n">
        <v>1136.2</v>
      </c>
      <c r="U7" s="524" t="inlineStr">
        <is>
          <t>AR = 25% × Revenue (Выручка) квартала</t>
        </is>
      </c>
    </row>
    <row r="8" ht="18" customHeight="1" s="468">
      <c r="B8" s="141" t="inlineStr">
        <is>
          <t>1.2</t>
        </is>
      </c>
      <c r="C8" s="142" t="inlineStr">
        <is>
          <t>Prepaid expenses (Авансовые платежи) / Inventory</t>
        </is>
      </c>
      <c r="D8" s="723" t="n">
        <v>0</v>
      </c>
      <c r="E8" s="723" t="n">
        <v>0</v>
      </c>
      <c r="F8" s="723" t="n">
        <v>0</v>
      </c>
      <c r="G8" s="723" t="n">
        <v>15.5</v>
      </c>
      <c r="H8" s="723" t="n">
        <v>12.5</v>
      </c>
      <c r="I8" s="723" t="n">
        <v>35</v>
      </c>
      <c r="J8" s="723" t="n">
        <v>31</v>
      </c>
      <c r="K8" s="723" t="n">
        <v>21</v>
      </c>
      <c r="L8" s="723" t="n">
        <v>23</v>
      </c>
      <c r="M8" s="723" t="n">
        <v>27.5</v>
      </c>
      <c r="N8" s="723" t="n">
        <v>41.5</v>
      </c>
      <c r="O8" s="723" t="n">
        <v>20.25</v>
      </c>
      <c r="P8" s="723" t="n">
        <v>19</v>
      </c>
      <c r="Q8" s="723" t="n">
        <v>15</v>
      </c>
      <c r="R8" s="723" t="n">
        <v>11</v>
      </c>
      <c r="S8" s="723" t="n">
        <v>7.5</v>
      </c>
      <c r="T8" s="724" t="n">
        <v>227.2</v>
      </c>
      <c r="U8" s="524" t="inlineStr">
        <is>
          <t>5% × Revenue (Выручка)</t>
        </is>
      </c>
    </row>
    <row r="9" ht="20" customHeight="1" s="468">
      <c r="B9" s="521" t="inlineStr">
        <is>
          <t>II.  ОБОРОТНЫЕ ОБЯЗАТЕЛЬСТВА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150" t="inlineStr">
        <is>
          <t>2.1</t>
        </is>
      </c>
      <c r="C10" s="151" t="inlineStr">
        <is>
          <t>Accounts Payable (30% OpEx + P&amp;A (тиражирование и реклама))</t>
        </is>
      </c>
      <c r="D10" s="727" t="n">
        <v>6.64</v>
      </c>
      <c r="E10" s="727" t="n">
        <v>6.64</v>
      </c>
      <c r="F10" s="727" t="n">
        <v>6.64</v>
      </c>
      <c r="G10" s="727" t="n">
        <v>12.32</v>
      </c>
      <c r="H10" s="727" t="n">
        <v>11.22</v>
      </c>
      <c r="I10" s="727" t="n">
        <v>19.46</v>
      </c>
      <c r="J10" s="727" t="n">
        <v>17.99</v>
      </c>
      <c r="K10" s="727" t="n">
        <v>14.33</v>
      </c>
      <c r="L10" s="727" t="n">
        <v>15.06</v>
      </c>
      <c r="M10" s="727" t="n">
        <v>16.71</v>
      </c>
      <c r="N10" s="727" t="n">
        <v>21.84</v>
      </c>
      <c r="O10" s="727" t="n">
        <v>14.06</v>
      </c>
      <c r="P10" s="727" t="n">
        <v>33.51</v>
      </c>
      <c r="Q10" s="727" t="n">
        <v>32.05</v>
      </c>
      <c r="R10" s="727" t="n">
        <v>30.58</v>
      </c>
      <c r="S10" s="727" t="n">
        <v>29.3</v>
      </c>
      <c r="T10" s="728" t="n">
        <v>162.9</v>
      </c>
      <c r="U10" s="154" t="inlineStr">
        <is>
          <t>AP = 30% × (OpEx + P&amp;A (тиражирование и реклама))</t>
        </is>
      </c>
    </row>
    <row r="11" ht="20" customHeight="1" s="468">
      <c r="B11" s="521" t="inlineStr">
        <is>
          <t>III.  ЧИСТЫЙ ОБОРОТНЫЙ КАПИТАЛ (ЧИСТЫЙ ОБОРОТНЫЙ КАПИТАЛ)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66" t="n"/>
    </row>
    <row r="12" ht="18" customHeight="1" s="468">
      <c r="B12" s="145" t="inlineStr">
        <is>
          <t>3.1</t>
        </is>
      </c>
      <c r="C12" s="146" t="inlineStr">
        <is>
          <t>NWC (чистый оборотный капитал) = AR + Prepaid − AP</t>
        </is>
      </c>
      <c r="D12" s="725" t="n">
        <v>-6.64</v>
      </c>
      <c r="E12" s="725" t="n">
        <v>-6.64</v>
      </c>
      <c r="F12" s="725" t="n">
        <v>-6.64</v>
      </c>
      <c r="G12" s="725" t="n">
        <v>80.68000000000001</v>
      </c>
      <c r="H12" s="725" t="n">
        <v>63.78</v>
      </c>
      <c r="I12" s="725" t="n">
        <v>190.54</v>
      </c>
      <c r="J12" s="725" t="n">
        <v>168.01</v>
      </c>
      <c r="K12" s="725" t="n">
        <v>111.67</v>
      </c>
      <c r="L12" s="725" t="n">
        <v>122.94</v>
      </c>
      <c r="M12" s="725" t="n">
        <v>148.29</v>
      </c>
      <c r="N12" s="725" t="n">
        <v>227.16</v>
      </c>
      <c r="O12" s="725" t="n">
        <v>107.44</v>
      </c>
      <c r="P12" s="725" t="n">
        <v>80.48999999999999</v>
      </c>
      <c r="Q12" s="725" t="n">
        <v>57.95</v>
      </c>
      <c r="R12" s="725" t="n">
        <v>35.42</v>
      </c>
      <c r="S12" s="725" t="n">
        <v>15.7</v>
      </c>
      <c r="T12" s="726" t="n">
        <v>1200.6</v>
      </c>
      <c r="U12" s="149" t="inlineStr">
        <is>
          <t>Баланс на конец периода</t>
        </is>
      </c>
    </row>
    <row r="13" ht="18" customHeight="1" s="468">
      <c r="B13" s="145" t="inlineStr">
        <is>
          <t>3.2</t>
        </is>
      </c>
      <c r="C13" s="146" t="inlineStr">
        <is>
          <t>ΔNWC (период-к-периоду)</t>
        </is>
      </c>
      <c r="D13" s="725" t="n">
        <v>-6.64</v>
      </c>
      <c r="E13" s="725" t="n">
        <v>0</v>
      </c>
      <c r="F13" s="725" t="n">
        <v>0</v>
      </c>
      <c r="G13" s="725" t="n">
        <v>87.31999999999999</v>
      </c>
      <c r="H13" s="725" t="n">
        <v>-16.9</v>
      </c>
      <c r="I13" s="725" t="n">
        <v>126.76</v>
      </c>
      <c r="J13" s="725" t="n">
        <v>-22.53</v>
      </c>
      <c r="K13" s="725" t="n">
        <v>-56.34</v>
      </c>
      <c r="L13" s="725" t="n">
        <v>11.27</v>
      </c>
      <c r="M13" s="725" t="n">
        <v>25.35</v>
      </c>
      <c r="N13" s="725" t="n">
        <v>78.87</v>
      </c>
      <c r="O13" s="725" t="n">
        <v>-119.72</v>
      </c>
      <c r="P13" s="725" t="n">
        <v>-26.95</v>
      </c>
      <c r="Q13" s="725" t="n">
        <v>-22.54</v>
      </c>
      <c r="R13" s="725" t="n">
        <v>-22.53</v>
      </c>
      <c r="S13" s="725" t="n">
        <v>-19.72</v>
      </c>
      <c r="T13" s="726" t="n">
        <v>107.4</v>
      </c>
      <c r="U13" s="149" t="inlineStr">
        <is>
          <t>Рост NWC (чистый оборотный капитал) = отток cash</t>
        </is>
      </c>
    </row>
    <row r="14" ht="18" customHeight="1" s="468">
      <c r="B14" s="533" t="inlineStr">
        <is>
          <t>3.3</t>
        </is>
      </c>
      <c r="C14" s="529" t="inlineStr">
        <is>
          <t>Cash (Денежные средства) impact (−ΔNWC (изменение оборотного капитала))</t>
        </is>
      </c>
      <c r="D14" s="726" t="n">
        <v>6.64</v>
      </c>
      <c r="E14" s="726" t="n">
        <v>0</v>
      </c>
      <c r="F14" s="726" t="n">
        <v>0</v>
      </c>
      <c r="G14" s="726" t="n">
        <v>-87.31999999999999</v>
      </c>
      <c r="H14" s="726" t="n">
        <v>16.9</v>
      </c>
      <c r="I14" s="726" t="n">
        <v>-126.76</v>
      </c>
      <c r="J14" s="726" t="n">
        <v>22.53</v>
      </c>
      <c r="K14" s="726" t="n">
        <v>56.34</v>
      </c>
      <c r="L14" s="726" t="n">
        <v>-11.27</v>
      </c>
      <c r="M14" s="726" t="n">
        <v>-25.35</v>
      </c>
      <c r="N14" s="726" t="n">
        <v>-78.87</v>
      </c>
      <c r="O14" s="726" t="n">
        <v>119.72</v>
      </c>
      <c r="P14" s="726" t="n">
        <v>26.95</v>
      </c>
      <c r="Q14" s="726" t="n">
        <v>22.54</v>
      </c>
      <c r="R14" s="726" t="n">
        <v>22.53</v>
      </c>
      <c r="S14" s="726" t="n">
        <v>19.72</v>
      </c>
      <c r="T14" s="726" t="n">
        <v>-107.4</v>
      </c>
      <c r="U14" s="516" t="inlineStr">
        <is>
          <t>Влияние на OCF: − при росте NWC (чистый оборотный капитал)</t>
        </is>
      </c>
    </row>
    <row r="16" ht="22" customHeight="1" s="468">
      <c r="B16" s="527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510" t="n"/>
      <c r="D16" s="510" t="n"/>
      <c r="E16" s="510" t="n"/>
      <c r="F16" s="510" t="n"/>
      <c r="G16" s="510" t="n"/>
      <c r="H16" s="510" t="n"/>
      <c r="I16" s="510" t="n"/>
      <c r="J16" s="510" t="n"/>
      <c r="K16" s="510" t="n"/>
      <c r="L16" s="510" t="n"/>
      <c r="M16" s="510" t="n"/>
      <c r="N16" s="510" t="n"/>
      <c r="O16" s="510" t="n"/>
      <c r="P16" s="510" t="n"/>
      <c r="Q16" s="510" t="n"/>
      <c r="R16" s="510" t="n"/>
      <c r="S16" s="510" t="n"/>
      <c r="T16" s="510" t="n"/>
      <c r="U16" s="464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T8" sqref="T8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19"/>
    <col width="12" customWidth="1" style="468" min="20" max="20"/>
    <col width="28" customWidth="1" style="468" min="21" max="21"/>
  </cols>
  <sheetData>
    <row r="2" ht="28" customHeight="1" s="468">
      <c r="B2" s="713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722" t="inlineStr">
        <is>
          <t>T₁ Legacy (Базовый вариант): bullet-loan структура с распределением через waterfall (каскад) W₃ DEFAULT (ПО УМОЛЧАНИЮ) (1× Liq Pref (Ликвидационная привилегия) 1 250 + 8% coupon (купон) × 5y 500 + 60/40 от residual (остаток)). Service fee / coupon учитывается в 2030 с основным репейментом Liq Pref.</t>
        </is>
      </c>
    </row>
    <row r="5" ht="20" customHeight="1" s="468">
      <c r="B5" s="536" t="inlineStr">
        <is>
          <t>#</t>
        </is>
      </c>
      <c r="C5" s="140" t="inlineStr">
        <is>
          <t>Позиция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2026–2032</t>
        </is>
      </c>
      <c r="U5" s="562" t="inlineStr">
        <is>
          <t>Комментарий</t>
        </is>
      </c>
    </row>
    <row r="6" ht="20" customHeight="1" s="468">
      <c r="B6" s="521" t="inlineStr">
        <is>
          <t>I.  ПРИВЛЕЧЕНИЕ СРЕДСТВ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534" t="inlineStr">
        <is>
          <t>1.1</t>
        </is>
      </c>
      <c r="C7" s="532" t="inlineStr">
        <is>
          <t>Начальный остаток (Начальный остаток)</t>
        </is>
      </c>
      <c r="D7" s="729" t="n">
        <v>0</v>
      </c>
      <c r="E7" s="729" t="n">
        <v>250</v>
      </c>
      <c r="F7" s="729" t="n">
        <v>250</v>
      </c>
      <c r="G7" s="729" t="n">
        <v>250</v>
      </c>
      <c r="H7" s="729" t="n">
        <v>600</v>
      </c>
      <c r="I7" s="729" t="n">
        <v>600</v>
      </c>
      <c r="J7" s="729" t="n">
        <v>600</v>
      </c>
      <c r="K7" s="729" t="n">
        <v>950</v>
      </c>
      <c r="L7" s="729" t="n">
        <v>950</v>
      </c>
      <c r="M7" s="729" t="n">
        <v>950</v>
      </c>
      <c r="N7" s="729" t="n">
        <v>1250</v>
      </c>
      <c r="O7" s="729" t="n">
        <v>1250</v>
      </c>
      <c r="P7" s="729" t="n">
        <v>1250</v>
      </c>
      <c r="Q7" s="729" t="n">
        <v>364</v>
      </c>
      <c r="R7" s="729" t="n">
        <v>0</v>
      </c>
      <c r="S7" s="729" t="n">
        <v>0</v>
      </c>
      <c r="T7" s="730" t="n">
        <v>0</v>
      </c>
      <c r="U7" s="514" t="inlineStr">
        <is>
          <t>Баланс принципала на начало</t>
        </is>
      </c>
    </row>
    <row r="8" ht="18" customHeight="1" s="468">
      <c r="B8" s="141" t="inlineStr">
        <is>
          <t>1.2</t>
        </is>
      </c>
      <c r="C8" s="142" t="inlineStr">
        <is>
          <t>(+) Draws (tranches (транши))</t>
        </is>
      </c>
      <c r="D8" s="723" t="n">
        <v>250</v>
      </c>
      <c r="E8" s="723" t="n">
        <v>0</v>
      </c>
      <c r="F8" s="723" t="n">
        <v>0</v>
      </c>
      <c r="G8" s="723" t="n">
        <v>350</v>
      </c>
      <c r="H8" s="723" t="n">
        <v>0</v>
      </c>
      <c r="I8" s="723" t="n">
        <v>0</v>
      </c>
      <c r="J8" s="723" t="n">
        <v>350</v>
      </c>
      <c r="K8" s="723" t="n">
        <v>0</v>
      </c>
      <c r="L8" s="723" t="n">
        <v>0</v>
      </c>
      <c r="M8" s="723" t="n">
        <v>300</v>
      </c>
      <c r="N8" s="723" t="n">
        <v>0</v>
      </c>
      <c r="O8" s="723" t="n">
        <v>0</v>
      </c>
      <c r="P8" s="723" t="n">
        <v>0</v>
      </c>
      <c r="Q8" s="723" t="n">
        <v>0</v>
      </c>
      <c r="R8" s="723" t="n">
        <v>0</v>
      </c>
      <c r="S8" s="723" t="n">
        <v>0</v>
      </c>
      <c r="T8" s="724" t="n">
        <v>1250</v>
      </c>
      <c r="U8" s="524" t="inlineStr">
        <is>
          <t>250/350/350/300 = 1 250</t>
        </is>
      </c>
    </row>
    <row r="9" ht="20" customHeight="1" s="468">
      <c r="B9" s="521" t="inlineStr">
        <is>
          <t>II.  INTEREST (ПРОЦЕНТНЫЕ РАСХОДЫ) (servicing cost)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150" t="inlineStr">
        <is>
          <t>2.1</t>
        </is>
      </c>
      <c r="C10" s="151" t="inlineStr">
        <is>
          <t>Interest (Проценты) accrued @ service rate</t>
        </is>
      </c>
      <c r="D10" s="727" t="n">
        <v>1</v>
      </c>
      <c r="E10" s="727" t="n">
        <v>1</v>
      </c>
      <c r="F10" s="727" t="n">
        <v>1.5</v>
      </c>
      <c r="G10" s="727" t="n">
        <v>1.5</v>
      </c>
      <c r="H10" s="727" t="n">
        <v>1.5</v>
      </c>
      <c r="I10" s="727" t="n">
        <v>1.5</v>
      </c>
      <c r="J10" s="727" t="n">
        <v>1.5</v>
      </c>
      <c r="K10" s="727" t="n">
        <v>1.5</v>
      </c>
      <c r="L10" s="727" t="n">
        <v>0.75</v>
      </c>
      <c r="M10" s="727" t="n">
        <v>0.75</v>
      </c>
      <c r="N10" s="727" t="n">
        <v>0.5</v>
      </c>
      <c r="O10" s="727" t="n">
        <v>0.5</v>
      </c>
      <c r="P10" s="727" t="n">
        <v>1</v>
      </c>
      <c r="Q10" s="727" t="n">
        <v>0.5</v>
      </c>
      <c r="R10" s="727" t="n">
        <v>0</v>
      </c>
      <c r="S10" s="727" t="n">
        <v>0</v>
      </c>
      <c r="T10" s="728" t="n">
        <v>15</v>
      </c>
      <c r="U10" s="154" t="inlineStr">
        <is>
          <t>Проценты начислены</t>
        </is>
      </c>
    </row>
    <row r="11" ht="18" customHeight="1" s="468">
      <c r="B11" s="150" t="inlineStr">
        <is>
          <t>2.2</t>
        </is>
      </c>
      <c r="C11" s="151" t="inlineStr">
        <is>
          <t>Interest (Проценты) paid (cash basis)</t>
        </is>
      </c>
      <c r="D11" s="727" t="n">
        <v>1</v>
      </c>
      <c r="E11" s="727" t="n">
        <v>1</v>
      </c>
      <c r="F11" s="727" t="n">
        <v>1.5</v>
      </c>
      <c r="G11" s="727" t="n">
        <v>1.5</v>
      </c>
      <c r="H11" s="727" t="n">
        <v>1.5</v>
      </c>
      <c r="I11" s="727" t="n">
        <v>1.5</v>
      </c>
      <c r="J11" s="727" t="n">
        <v>1.5</v>
      </c>
      <c r="K11" s="727" t="n">
        <v>1.5</v>
      </c>
      <c r="L11" s="727" t="n">
        <v>0.75</v>
      </c>
      <c r="M11" s="727" t="n">
        <v>0.75</v>
      </c>
      <c r="N11" s="727" t="n">
        <v>0.5</v>
      </c>
      <c r="O11" s="727" t="n">
        <v>0.5</v>
      </c>
      <c r="P11" s="727" t="n">
        <v>1</v>
      </c>
      <c r="Q11" s="727" t="n">
        <v>0.5</v>
      </c>
      <c r="R11" s="727" t="n">
        <v>0</v>
      </c>
      <c r="S11" s="727" t="n">
        <v>0</v>
      </c>
      <c r="T11" s="728" t="n">
        <v>15</v>
      </c>
      <c r="U11" s="154" t="inlineStr">
        <is>
          <t>Платятся в том же периоде</t>
        </is>
      </c>
    </row>
    <row r="12" ht="20" customHeight="1" s="468">
      <c r="B12" s="521" t="inlineStr">
        <is>
          <t>III.  ПОГАШЕНИЕ ОСНОВНОГО ДОЛГА (ПОГАШЕНИЕ ОСНОВНОГО ДОЛГА)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73" t="n"/>
      <c r="U12" s="466" t="n"/>
    </row>
    <row r="13" ht="18" customHeight="1" s="468">
      <c r="B13" s="150" t="inlineStr">
        <is>
          <t>3.1</t>
        </is>
      </c>
      <c r="C13" s="151" t="inlineStr">
        <is>
          <t>(−) Погашение основного долга (Погашение основного долга)</t>
        </is>
      </c>
      <c r="D13" s="727" t="n">
        <v>0</v>
      </c>
      <c r="E13" s="727" t="n">
        <v>0</v>
      </c>
      <c r="F13" s="727" t="n">
        <v>0</v>
      </c>
      <c r="G13" s="727" t="n">
        <v>0</v>
      </c>
      <c r="H13" s="727" t="n">
        <v>0</v>
      </c>
      <c r="I13" s="727" t="n">
        <v>0</v>
      </c>
      <c r="J13" s="727" t="n">
        <v>0</v>
      </c>
      <c r="K13" s="727" t="n">
        <v>0</v>
      </c>
      <c r="L13" s="727" t="n">
        <v>0</v>
      </c>
      <c r="M13" s="727" t="n">
        <v>0</v>
      </c>
      <c r="N13" s="727" t="n">
        <v>0</v>
      </c>
      <c r="O13" s="727" t="n">
        <v>0</v>
      </c>
      <c r="P13" s="727" t="n">
        <v>886</v>
      </c>
      <c r="Q13" s="727" t="n">
        <v>364</v>
      </c>
      <c r="R13" s="727" t="n">
        <v>0</v>
      </c>
      <c r="S13" s="727" t="n">
        <v>0</v>
      </c>
      <c r="T13" s="728" t="n">
        <v>1250</v>
      </c>
      <c r="U13" s="154" t="inlineStr">
        <is>
          <t>Из distributions 2029-2030</t>
        </is>
      </c>
    </row>
    <row r="14" ht="20" customHeight="1" s="468">
      <c r="B14" s="521" t="inlineStr">
        <is>
          <t>IV.  КОНЕЧНЫЙ ОСТАТОК (КОНЕЧНЫЙ ОСТАТОК)</t>
        </is>
      </c>
      <c r="C14" s="473" t="n"/>
      <c r="D14" s="473" t="n"/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73" t="n"/>
      <c r="O14" s="473" t="n"/>
      <c r="P14" s="473" t="n"/>
      <c r="Q14" s="473" t="n"/>
      <c r="R14" s="473" t="n"/>
      <c r="S14" s="473" t="n"/>
      <c r="T14" s="473" t="n"/>
      <c r="U14" s="466" t="n"/>
    </row>
    <row r="15" ht="18" customHeight="1" s="468">
      <c r="B15" s="145" t="inlineStr">
        <is>
          <t>4.1</t>
        </is>
      </c>
      <c r="C15" s="146" t="inlineStr">
        <is>
          <t>Конечный остаток основного долга (Конечный остаток основного долга)</t>
        </is>
      </c>
      <c r="D15" s="725" t="n">
        <v>250</v>
      </c>
      <c r="E15" s="725" t="n">
        <v>250</v>
      </c>
      <c r="F15" s="725" t="n">
        <v>250</v>
      </c>
      <c r="G15" s="725" t="n">
        <v>600</v>
      </c>
      <c r="H15" s="725" t="n">
        <v>600</v>
      </c>
      <c r="I15" s="725" t="n">
        <v>600</v>
      </c>
      <c r="J15" s="725" t="n">
        <v>950</v>
      </c>
      <c r="K15" s="725" t="n">
        <v>950</v>
      </c>
      <c r="L15" s="725" t="n">
        <v>950</v>
      </c>
      <c r="M15" s="725" t="n">
        <v>1250</v>
      </c>
      <c r="N15" s="725" t="n">
        <v>1250</v>
      </c>
      <c r="O15" s="725" t="n">
        <v>1250</v>
      </c>
      <c r="P15" s="725" t="n">
        <v>364</v>
      </c>
      <c r="Q15" s="725" t="n">
        <v>0</v>
      </c>
      <c r="R15" s="725" t="n">
        <v>0</v>
      </c>
      <c r="S15" s="725" t="n">
        <v>0</v>
      </c>
      <c r="T15" s="726" t="n">
        <v>0</v>
      </c>
      <c r="U15" s="149" t="inlineStr">
        <is>
          <t>Баланс принципала на конец</t>
        </is>
      </c>
    </row>
    <row r="16" ht="20" customHeight="1" s="468">
      <c r="B16" s="521" t="inlineStr">
        <is>
          <t>V.  КУМУЛЯТИВ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66" t="n"/>
    </row>
    <row r="17" ht="18" customHeight="1" s="468">
      <c r="B17" s="534" t="inlineStr">
        <is>
          <t>5.1</t>
        </is>
      </c>
      <c r="C17" s="532" t="inlineStr">
        <is>
          <t>Σ Cumulative (Накопительный) draws</t>
        </is>
      </c>
      <c r="D17" s="729" t="n">
        <v>250</v>
      </c>
      <c r="E17" s="729" t="n">
        <v>250</v>
      </c>
      <c r="F17" s="729" t="n">
        <v>250</v>
      </c>
      <c r="G17" s="729" t="n">
        <v>600</v>
      </c>
      <c r="H17" s="729" t="n">
        <v>600</v>
      </c>
      <c r="I17" s="729" t="n">
        <v>600</v>
      </c>
      <c r="J17" s="729" t="n">
        <v>950</v>
      </c>
      <c r="K17" s="729" t="n">
        <v>950</v>
      </c>
      <c r="L17" s="729" t="n">
        <v>950</v>
      </c>
      <c r="M17" s="729" t="n">
        <v>1250</v>
      </c>
      <c r="N17" s="729" t="n">
        <v>1250</v>
      </c>
      <c r="O17" s="729" t="n">
        <v>1250</v>
      </c>
      <c r="P17" s="729" t="n">
        <v>1250</v>
      </c>
      <c r="Q17" s="729" t="n">
        <v>1250</v>
      </c>
      <c r="R17" s="729" t="n">
        <v>1250</v>
      </c>
      <c r="S17" s="729" t="n">
        <v>1250</v>
      </c>
      <c r="T17" s="730" t="n">
        <v>1250</v>
      </c>
      <c r="U17" s="514" t="inlineStr">
        <is>
          <t>Должно ≤ 1 250</t>
        </is>
      </c>
    </row>
    <row r="18" ht="18" customHeight="1" s="468">
      <c r="B18" s="534" t="inlineStr">
        <is>
          <t>5.2</t>
        </is>
      </c>
      <c r="C18" s="532" t="inlineStr">
        <is>
          <t>Σ Cumulative (Накопительный) interest paid</t>
        </is>
      </c>
      <c r="D18" s="729" t="n">
        <v>1</v>
      </c>
      <c r="E18" s="729" t="n">
        <v>2</v>
      </c>
      <c r="F18" s="729" t="n">
        <v>3.5</v>
      </c>
      <c r="G18" s="729" t="n">
        <v>5</v>
      </c>
      <c r="H18" s="729" t="n">
        <v>6.5</v>
      </c>
      <c r="I18" s="729" t="n">
        <v>8</v>
      </c>
      <c r="J18" s="729" t="n">
        <v>9.5</v>
      </c>
      <c r="K18" s="729" t="n">
        <v>11</v>
      </c>
      <c r="L18" s="729" t="n">
        <v>11.75</v>
      </c>
      <c r="M18" s="729" t="n">
        <v>12.5</v>
      </c>
      <c r="N18" s="729" t="n">
        <v>13</v>
      </c>
      <c r="O18" s="729" t="n">
        <v>13.5</v>
      </c>
      <c r="P18" s="729" t="n">
        <v>14.5</v>
      </c>
      <c r="Q18" s="729" t="n">
        <v>15</v>
      </c>
      <c r="R18" s="729" t="n">
        <v>15</v>
      </c>
      <c r="S18" s="729" t="n">
        <v>15</v>
      </c>
      <c r="T18" s="730" t="n">
        <v>15</v>
      </c>
      <c r="U18" s="514" t="inlineStr">
        <is>
          <t>Должно = 15</t>
        </is>
      </c>
    </row>
    <row r="19" ht="18" customHeight="1" s="468">
      <c r="B19" s="534" t="inlineStr">
        <is>
          <t>5.3</t>
        </is>
      </c>
      <c r="C19" s="532" t="inlineStr">
        <is>
          <t>Σ Cumulative (Накопительный) principal repaid</t>
        </is>
      </c>
      <c r="D19" s="729" t="n">
        <v>0</v>
      </c>
      <c r="E19" s="729" t="n">
        <v>0</v>
      </c>
      <c r="F19" s="729" t="n">
        <v>0</v>
      </c>
      <c r="G19" s="729" t="n">
        <v>0</v>
      </c>
      <c r="H19" s="729" t="n">
        <v>0</v>
      </c>
      <c r="I19" s="729" t="n">
        <v>0</v>
      </c>
      <c r="J19" s="729" t="n">
        <v>0</v>
      </c>
      <c r="K19" s="729" t="n">
        <v>0</v>
      </c>
      <c r="L19" s="729" t="n">
        <v>0</v>
      </c>
      <c r="M19" s="729" t="n">
        <v>0</v>
      </c>
      <c r="N19" s="729" t="n">
        <v>0</v>
      </c>
      <c r="O19" s="729" t="n">
        <v>0</v>
      </c>
      <c r="P19" s="729" t="n">
        <v>886</v>
      </c>
      <c r="Q19" s="729" t="n">
        <v>1250</v>
      </c>
      <c r="R19" s="729" t="n">
        <v>1250</v>
      </c>
      <c r="S19" s="729" t="n">
        <v>1250</v>
      </c>
      <c r="T19" s="730" t="n">
        <v>1250</v>
      </c>
      <c r="U19" s="514" t="inlineStr">
        <is>
          <t>Должно = 1 250</t>
        </is>
      </c>
    </row>
    <row r="20" ht="20" customHeight="1" s="468">
      <c r="B20" s="521" t="inlineStr">
        <is>
          <t>VI.  ПОТЕНЦИАЛ РОСТА КАПИТАЛА (ПОТЕНЦИАЛ РОСТА КАПИТАЛА) (sharing profit component)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66" t="n"/>
    </row>
    <row r="21" ht="18" customHeight="1" s="468">
      <c r="B21" s="141" t="inlineStr">
        <is>
          <t>6.1</t>
        </is>
      </c>
      <c r="C21" s="142" t="inlineStr">
        <is>
          <t>Equity (Собственный капитал) upside distributed</t>
        </is>
      </c>
      <c r="D21" s="723" t="n">
        <v>0</v>
      </c>
      <c r="E21" s="723" t="n">
        <v>0</v>
      </c>
      <c r="F21" s="723" t="n">
        <v>0</v>
      </c>
      <c r="G21" s="723" t="n">
        <v>0</v>
      </c>
      <c r="H21" s="723" t="n">
        <v>0</v>
      </c>
      <c r="I21" s="723" t="n">
        <v>0</v>
      </c>
      <c r="J21" s="723" t="n">
        <v>0</v>
      </c>
      <c r="K21" s="723" t="n">
        <v>0</v>
      </c>
      <c r="L21" s="723" t="n">
        <v>0</v>
      </c>
      <c r="M21" s="723" t="n">
        <v>0</v>
      </c>
      <c r="N21" s="723" t="n">
        <v>0</v>
      </c>
      <c r="O21" s="723" t="n">
        <v>0</v>
      </c>
      <c r="P21" s="723" t="n">
        <v>0</v>
      </c>
      <c r="Q21" s="723" t="n">
        <v>301</v>
      </c>
      <c r="R21" s="723" t="n">
        <v>443</v>
      </c>
      <c r="S21" s="723" t="n">
        <v>221</v>
      </c>
      <c r="T21" s="724" t="n">
        <v>965</v>
      </c>
      <c r="U21" s="524" t="inlineStr">
        <is>
          <t>Доля в прибыли сверх принципала (= 965)</t>
        </is>
      </c>
    </row>
    <row r="22" ht="18" customHeight="1" s="468">
      <c r="B22" s="534" t="inlineStr">
        <is>
          <t>6.2</t>
        </is>
      </c>
      <c r="C22" s="532" t="inlineStr">
        <is>
          <t>Σ Cumulative (Накопительный) equity (доля в капитале) upside</t>
        </is>
      </c>
      <c r="D22" s="729" t="n">
        <v>0</v>
      </c>
      <c r="E22" s="729" t="n">
        <v>0</v>
      </c>
      <c r="F22" s="729" t="n">
        <v>0</v>
      </c>
      <c r="G22" s="729" t="n">
        <v>0</v>
      </c>
      <c r="H22" s="729" t="n">
        <v>0</v>
      </c>
      <c r="I22" s="729" t="n">
        <v>0</v>
      </c>
      <c r="J22" s="729" t="n">
        <v>0</v>
      </c>
      <c r="K22" s="729" t="n">
        <v>0</v>
      </c>
      <c r="L22" s="729" t="n">
        <v>0</v>
      </c>
      <c r="M22" s="729" t="n">
        <v>0</v>
      </c>
      <c r="N22" s="729" t="n">
        <v>0</v>
      </c>
      <c r="O22" s="729" t="n">
        <v>0</v>
      </c>
      <c r="P22" s="729" t="n">
        <v>0</v>
      </c>
      <c r="Q22" s="729" t="n">
        <v>301</v>
      </c>
      <c r="R22" s="729" t="n">
        <v>744</v>
      </c>
      <c r="S22" s="729" t="n">
        <v>965</v>
      </c>
      <c r="T22" s="730" t="n">
        <v>965</v>
      </c>
      <c r="U22" s="514" t="inlineStr">
        <is>
          <t>Должно = 965</t>
        </is>
      </c>
    </row>
    <row r="24" ht="24" customHeight="1" s="468">
      <c r="B24" s="527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510" t="n"/>
      <c r="D24" s="510" t="n"/>
      <c r="E24" s="510" t="n"/>
      <c r="F24" s="510" t="n"/>
      <c r="G24" s="510" t="n"/>
      <c r="H24" s="510" t="n"/>
      <c r="I24" s="510" t="n"/>
      <c r="J24" s="510" t="n"/>
      <c r="K24" s="510" t="n"/>
      <c r="L24" s="510" t="n"/>
      <c r="M24" s="510" t="n"/>
      <c r="N24" s="510" t="n"/>
      <c r="O24" s="510" t="n"/>
      <c r="P24" s="510" t="n"/>
      <c r="Q24" s="510" t="n"/>
      <c r="R24" s="510" t="n"/>
      <c r="S24" s="510" t="n"/>
      <c r="T24" s="510" t="n"/>
      <c r="U24" s="464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0" customWidth="1" style="468" min="3" max="3"/>
    <col width="10" customWidth="1" style="468" min="4" max="15"/>
    <col width="14" customWidth="1" style="468" min="16" max="16"/>
    <col width="30" customWidth="1" style="468" min="17" max="17"/>
  </cols>
  <sheetData>
    <row r="2" ht="28" customHeight="1" s="468">
      <c r="B2" s="713" t="inlineStr">
        <is>
          <t>14  ·  INVESTMENT (ИНВЕСТИЦИИ) INFLOW SCHEDULE  ·  T₁ Legacy (Базовый вариант) Tranche (Транш) Structure</t>
        </is>
      </c>
    </row>
    <row r="3">
      <c r="B3" s="722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62" t="inlineStr">
        <is>
          <t>Σ 2026–2028</t>
        </is>
      </c>
      <c r="Q5" s="562" t="inlineStr">
        <is>
          <t>Milestone / Комментарий</t>
        </is>
      </c>
    </row>
    <row r="6" ht="20" customHeight="1" s="468">
      <c r="B6" s="521" t="inlineStr">
        <is>
          <t>I.  ГРАФИК ТРАНШЕЙ (ГРАФИК ТРАНШЕЙ)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66" t="n"/>
    </row>
    <row r="7" ht="22" customHeight="1" s="468">
      <c r="B7" s="534" t="inlineStr">
        <is>
          <t>T₁.1</t>
        </is>
      </c>
      <c r="C7" s="532" t="inlineStr">
        <is>
          <t>Транш №1 — 20% (Pre-production (Пре-продакшн) launch)</t>
        </is>
      </c>
      <c r="D7" s="732" t="n">
        <v>250</v>
      </c>
      <c r="E7" s="729" t="n">
        <v>0</v>
      </c>
      <c r="F7" s="729" t="n">
        <v>0</v>
      </c>
      <c r="G7" s="729" t="n">
        <v>0</v>
      </c>
      <c r="H7" s="729" t="n">
        <v>0</v>
      </c>
      <c r="I7" s="729" t="n">
        <v>0</v>
      </c>
      <c r="J7" s="729" t="n">
        <v>0</v>
      </c>
      <c r="K7" s="729" t="n">
        <v>0</v>
      </c>
      <c r="L7" s="729" t="n">
        <v>0</v>
      </c>
      <c r="M7" s="729" t="n">
        <v>0</v>
      </c>
      <c r="N7" s="729" t="n">
        <v>0</v>
      </c>
      <c r="O7" s="729" t="n">
        <v>0</v>
      </c>
      <c r="P7" s="724" t="n">
        <v>250</v>
      </c>
      <c r="Q7" s="514" t="inlineStr">
        <is>
          <t>Q1'26: запуск pre-production F01-F02</t>
        </is>
      </c>
    </row>
    <row r="8" ht="22" customHeight="1" s="468">
      <c r="B8" s="534" t="inlineStr">
        <is>
          <t>T₁.2</t>
        </is>
      </c>
      <c r="C8" s="532" t="inlineStr">
        <is>
          <t>Транш №2 — 28% (Production Wave I)</t>
        </is>
      </c>
      <c r="D8" s="729" t="n">
        <v>0</v>
      </c>
      <c r="E8" s="729" t="n">
        <v>0</v>
      </c>
      <c r="F8" s="729" t="n">
        <v>0</v>
      </c>
      <c r="G8" s="732" t="n">
        <v>350</v>
      </c>
      <c r="H8" s="729" t="n">
        <v>0</v>
      </c>
      <c r="I8" s="729" t="n">
        <v>0</v>
      </c>
      <c r="J8" s="729" t="n">
        <v>0</v>
      </c>
      <c r="K8" s="729" t="n">
        <v>0</v>
      </c>
      <c r="L8" s="729" t="n">
        <v>0</v>
      </c>
      <c r="M8" s="729" t="n">
        <v>0</v>
      </c>
      <c r="N8" s="729" t="n">
        <v>0</v>
      </c>
      <c r="O8" s="729" t="n">
        <v>0</v>
      </c>
      <c r="P8" s="724" t="n">
        <v>350</v>
      </c>
      <c r="Q8" s="514" t="inlineStr">
        <is>
          <t>Q4'26: старт съёмок F01-F03, постпродакшн F01, первый релиз F01</t>
        </is>
      </c>
    </row>
    <row r="9" ht="22" customHeight="1" s="468">
      <c r="B9" s="534" t="inlineStr">
        <is>
          <t>T₁.3</t>
        </is>
      </c>
      <c r="C9" s="532" t="inlineStr">
        <is>
          <t>Транш №3 — 28% (Production Wave II)</t>
        </is>
      </c>
      <c r="D9" s="729" t="n">
        <v>0</v>
      </c>
      <c r="E9" s="729" t="n">
        <v>0</v>
      </c>
      <c r="F9" s="729" t="n">
        <v>0</v>
      </c>
      <c r="G9" s="729" t="n">
        <v>0</v>
      </c>
      <c r="H9" s="729" t="n">
        <v>0</v>
      </c>
      <c r="I9" s="729" t="n">
        <v>0</v>
      </c>
      <c r="J9" s="732" t="n">
        <v>350</v>
      </c>
      <c r="K9" s="729" t="n">
        <v>0</v>
      </c>
      <c r="L9" s="729" t="n">
        <v>0</v>
      </c>
      <c r="M9" s="729" t="n">
        <v>0</v>
      </c>
      <c r="N9" s="729" t="n">
        <v>0</v>
      </c>
      <c r="O9" s="729" t="n">
        <v>0</v>
      </c>
      <c r="P9" s="724" t="n">
        <v>350</v>
      </c>
      <c r="Q9" s="514" t="inlineStr">
        <is>
          <t>Q3'27: съёмки F05-F08, кассовые сборы F03-F05</t>
        </is>
      </c>
    </row>
    <row r="10" ht="22" customHeight="1" s="468">
      <c r="B10" s="534" t="inlineStr">
        <is>
          <t>T₁.4</t>
        </is>
      </c>
      <c r="C10" s="532" t="inlineStr">
        <is>
          <t>Транш №4 — 24% (Production Wave III)</t>
        </is>
      </c>
      <c r="D10" s="729" t="n">
        <v>0</v>
      </c>
      <c r="E10" s="729" t="n">
        <v>0</v>
      </c>
      <c r="F10" s="729" t="n">
        <v>0</v>
      </c>
      <c r="G10" s="729" t="n">
        <v>0</v>
      </c>
      <c r="H10" s="729" t="n">
        <v>0</v>
      </c>
      <c r="I10" s="729" t="n">
        <v>0</v>
      </c>
      <c r="J10" s="729" t="n">
        <v>0</v>
      </c>
      <c r="K10" s="729" t="n">
        <v>0</v>
      </c>
      <c r="L10" s="729" t="n">
        <v>0</v>
      </c>
      <c r="M10" s="732" t="n">
        <v>300</v>
      </c>
      <c r="N10" s="729" t="n">
        <v>0</v>
      </c>
      <c r="O10" s="729" t="n">
        <v>0</v>
      </c>
      <c r="P10" s="724" t="n">
        <v>300</v>
      </c>
      <c r="Q10" s="514" t="inlineStr">
        <is>
          <t>Q2'28: завершение производства F09-F12, финальные релизы</t>
        </is>
      </c>
    </row>
    <row r="11" ht="24" customHeight="1" s="468">
      <c r="B11" s="533" t="inlineStr">
        <is>
          <t>Σ</t>
        </is>
      </c>
      <c r="C11" s="529" t="inlineStr">
        <is>
          <t>Σ ТРАНШИ</t>
        </is>
      </c>
      <c r="D11" s="726" t="n">
        <v>250</v>
      </c>
      <c r="E11" s="726" t="n">
        <v>0</v>
      </c>
      <c r="F11" s="726" t="n">
        <v>0</v>
      </c>
      <c r="G11" s="726" t="n">
        <v>350</v>
      </c>
      <c r="H11" s="726" t="n">
        <v>0</v>
      </c>
      <c r="I11" s="726" t="n">
        <v>0</v>
      </c>
      <c r="J11" s="726" t="n">
        <v>350</v>
      </c>
      <c r="K11" s="726" t="n">
        <v>0</v>
      </c>
      <c r="L11" s="726" t="n">
        <v>0</v>
      </c>
      <c r="M11" s="726" t="n">
        <v>300</v>
      </c>
      <c r="N11" s="726" t="n">
        <v>0</v>
      </c>
      <c r="O11" s="726" t="n">
        <v>0</v>
      </c>
      <c r="P11" s="726" t="n">
        <v>1250</v>
      </c>
      <c r="Q11" s="529" t="inlineStr">
        <is>
          <t>★ Invariant: 1 250 млн ₽</t>
        </is>
      </c>
    </row>
    <row r="13" ht="20" customHeight="1" s="468">
      <c r="B13" s="521" t="inlineStr">
        <is>
          <t>II.  CUMULATIVE INFLOW (КУМУЛЯТИВНЫЕ ПОСТУПЛЕНИЯ)  &amp;  COVERAGE %</t>
        </is>
      </c>
      <c r="C13" s="473" t="n"/>
      <c r="D13" s="473" t="n"/>
      <c r="E13" s="473" t="n"/>
      <c r="F13" s="473" t="n"/>
      <c r="G13" s="473" t="n"/>
      <c r="H13" s="473" t="n"/>
      <c r="I13" s="473" t="n"/>
      <c r="J13" s="473" t="n"/>
      <c r="K13" s="473" t="n"/>
      <c r="L13" s="473" t="n"/>
      <c r="M13" s="473" t="n"/>
      <c r="N13" s="473" t="n"/>
      <c r="O13" s="473" t="n"/>
      <c r="P13" s="473" t="n"/>
      <c r="Q13" s="466" t="n"/>
    </row>
    <row r="14" ht="18" customHeight="1" s="468">
      <c r="B14" s="534" t="inlineStr">
        <is>
          <t>2.1</t>
        </is>
      </c>
      <c r="C14" s="556" t="inlineStr">
        <is>
          <t>Σ Cumulative (Накопительный) inflow</t>
        </is>
      </c>
      <c r="D14" s="733" t="n">
        <v>250</v>
      </c>
      <c r="E14" s="733" t="n">
        <v>250</v>
      </c>
      <c r="F14" s="733" t="n">
        <v>250</v>
      </c>
      <c r="G14" s="733" t="n">
        <v>600</v>
      </c>
      <c r="H14" s="733" t="n">
        <v>600</v>
      </c>
      <c r="I14" s="733" t="n">
        <v>600</v>
      </c>
      <c r="J14" s="733" t="n">
        <v>950</v>
      </c>
      <c r="K14" s="733" t="n">
        <v>950</v>
      </c>
      <c r="L14" s="733" t="n">
        <v>950</v>
      </c>
      <c r="M14" s="733" t="n">
        <v>1250</v>
      </c>
      <c r="N14" s="733" t="n">
        <v>1250</v>
      </c>
      <c r="O14" s="733" t="n">
        <v>1250</v>
      </c>
      <c r="P14" s="726" t="n">
        <v>1250</v>
      </c>
      <c r="Q14" s="514" t="inlineStr">
        <is>
          <t>Накопленный приток, млн ₽</t>
        </is>
      </c>
    </row>
    <row r="15" ht="18" customHeight="1" s="468">
      <c r="B15" s="534" t="inlineStr">
        <is>
          <t>2.2</t>
        </is>
      </c>
      <c r="C15" s="556" t="inlineStr">
        <is>
          <t>Покрытие % (привлечено / итого)</t>
        </is>
      </c>
      <c r="D15" s="734" t="n">
        <v>20</v>
      </c>
      <c r="E15" s="734" t="n">
        <v>20</v>
      </c>
      <c r="F15" s="734" t="n">
        <v>20</v>
      </c>
      <c r="G15" s="734" t="n">
        <v>48</v>
      </c>
      <c r="H15" s="734" t="n">
        <v>48</v>
      </c>
      <c r="I15" s="734" t="n">
        <v>48</v>
      </c>
      <c r="J15" s="734" t="n">
        <v>76</v>
      </c>
      <c r="K15" s="734" t="n">
        <v>76</v>
      </c>
      <c r="L15" s="734" t="n">
        <v>76</v>
      </c>
      <c r="M15" s="734" t="n">
        <v>100</v>
      </c>
      <c r="N15" s="734" t="n">
        <v>100</v>
      </c>
      <c r="O15" s="734" t="n">
        <v>100</v>
      </c>
      <c r="P15" s="735" t="n">
        <v>100</v>
      </c>
      <c r="Q15" s="514" t="inlineStr">
        <is>
          <t>Доля использованного тикета</t>
        </is>
      </c>
    </row>
    <row r="17" ht="20" customHeight="1" s="468">
      <c r="B17" s="521" t="inlineStr">
        <is>
          <t>III.  УПРАВЛЕНИЕ И УСЛОВИЯ</t>
        </is>
      </c>
      <c r="C17" s="473" t="n"/>
      <c r="D17" s="473" t="n"/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73" t="n"/>
      <c r="O17" s="473" t="n"/>
      <c r="P17" s="473" t="n"/>
      <c r="Q17" s="466" t="n"/>
    </row>
    <row r="18" ht="22" customHeight="1" s="468">
      <c r="B18" s="534" t="inlineStr">
        <is>
          <t>3.1</t>
        </is>
      </c>
      <c r="C18" s="556" t="inlineStr">
        <is>
          <t>Release (Релиз) condition для транша №1</t>
        </is>
      </c>
      <c r="D18" s="514" t="inlineStr">
        <is>
          <t>Подписание SPA + Investment (Инвестиция) Agreement, KYC/AML clearance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66" t="n"/>
    </row>
    <row r="19" ht="22" customHeight="1" s="468">
      <c r="B19" s="534" t="inlineStr">
        <is>
          <t>3.2</t>
        </is>
      </c>
      <c r="C19" s="556" t="inlineStr">
        <is>
          <t>Release (Релиз) condition для транша №2</t>
        </is>
      </c>
      <c r="D19" s="514" t="inlineStr">
        <is>
          <t>Завершение pre-production F01-F03, утверждение production budgets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73" t="n"/>
      <c r="O19" s="473" t="n"/>
      <c r="P19" s="473" t="n"/>
      <c r="Q19" s="466" t="n"/>
    </row>
    <row r="20" ht="22" customHeight="1" s="468">
      <c r="B20" s="534" t="inlineStr">
        <is>
          <t>3.3</t>
        </is>
      </c>
      <c r="C20" s="556" t="inlineStr">
        <is>
          <t>Release (Релиз) condition для транша №3</t>
        </is>
      </c>
      <c r="D20" s="514" t="inlineStr">
        <is>
          <t>Первый релиз (F01, Q4'26) — проверка фактической выручки ≥ 80% плана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66" t="n"/>
    </row>
    <row r="21" ht="22" customHeight="1" s="468">
      <c r="B21" s="534" t="inlineStr">
        <is>
          <t>3.4</t>
        </is>
      </c>
      <c r="C21" s="556" t="inlineStr">
        <is>
          <t>Release (Релиз) condition для транша №4</t>
        </is>
      </c>
      <c r="D21" s="514" t="inlineStr">
        <is>
          <t>Релиз ≥ 5 фильмов с совокупным RoI ≥ 1.2× (Q1-Q2 2028)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66" t="n"/>
    </row>
    <row r="22" ht="22" customHeight="1" s="468">
      <c r="B22" s="534" t="inlineStr">
        <is>
          <t>3.5</t>
        </is>
      </c>
      <c r="C22" s="556" t="inlineStr">
        <is>
          <t>Reporting (Отчётность) cadence (Периодичность отчётности)</t>
        </is>
      </c>
      <c r="D22" s="514" t="inlineStr">
        <is>
          <t>Ежеквартальный financial report + KPI (ключевые показатели) dashboard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66" t="n"/>
    </row>
    <row r="23" ht="22" customHeight="1" s="468">
      <c r="B23" s="534" t="inlineStr">
        <is>
          <t>3.6</t>
        </is>
      </c>
      <c r="C23" s="556" t="inlineStr">
        <is>
          <t>Права на информацию (Права на информацию)</t>
        </is>
      </c>
      <c r="D23" s="514" t="inlineStr">
        <is>
          <t>Read-only (Только чтение) доступ к производственным треккерам и бухгалтерии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73" t="n"/>
      <c r="O23" s="473" t="n"/>
      <c r="P23" s="473" t="n"/>
      <c r="Q23" s="466" t="n"/>
    </row>
    <row r="24" ht="22" customHeight="1" s="468">
      <c r="B24" s="534" t="inlineStr">
        <is>
          <t>3.7</t>
        </is>
      </c>
      <c r="C24" s="556" t="inlineStr">
        <is>
          <t>Расторжение (Расторжение) clause (Оговорка о расторжении)</t>
        </is>
      </c>
      <c r="D24" s="514" t="inlineStr">
        <is>
          <t>При срыве milestone 2-х кварталов подряд — right to exit по fair value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73" t="n"/>
      <c r="O24" s="473" t="n"/>
      <c r="P24" s="473" t="n"/>
      <c r="Q24" s="466" t="n"/>
    </row>
    <row r="26" ht="22" customHeight="1" s="468">
      <c r="B26" s="527" t="inlineStr">
        <is>
          <t>✓ Σ Tranches = 1 250 млн ₽  (20% + 28% + 28% + 24% = 100%)  |  Matches T₁ Legacy (Базовый вариант) invariant &amp; 10_Cash_Flow 3.1</t>
        </is>
      </c>
      <c r="C26" s="510" t="n"/>
      <c r="D26" s="510" t="n"/>
      <c r="E26" s="510" t="n"/>
      <c r="F26" s="510" t="n"/>
      <c r="G26" s="510" t="n"/>
      <c r="H26" s="510" t="n"/>
      <c r="I26" s="510" t="n"/>
      <c r="J26" s="510" t="n"/>
      <c r="K26" s="510" t="n"/>
      <c r="L26" s="510" t="n"/>
      <c r="M26" s="510" t="n"/>
      <c r="N26" s="510" t="n"/>
      <c r="O26" s="510" t="n"/>
      <c r="P26" s="510" t="n"/>
      <c r="Q26" s="464" t="n"/>
    </row>
  </sheetData>
  <mergeCells count="13">
    <mergeCell ref="D18:Q18"/>
    <mergeCell ref="D21:Q21"/>
    <mergeCell ref="D20:Q20"/>
    <mergeCell ref="B26:Q26"/>
    <mergeCell ref="B17:Q17"/>
    <mergeCell ref="D24:Q24"/>
    <mergeCell ref="B3:Q3"/>
    <mergeCell ref="D19:Q19"/>
    <mergeCell ref="B13:Q13"/>
    <mergeCell ref="B6:Q6"/>
    <mergeCell ref="D23:Q23"/>
    <mergeCell ref="B2:Q2"/>
    <mergeCell ref="D22:Q22"/>
  </mergeCells>
  <printOptions horizontalCentered="1"/>
  <pageMargins left="0.59" right="0.59" top="0.59" bottom="0.59" header="0.3" footer="0.3"/>
  <pageSetup orientation="landscape" paperSize="9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0" customWidth="1" style="468" min="3" max="3"/>
    <col width="14" customWidth="1" style="468" min="4" max="8"/>
    <col width="30" customWidth="1" style="468" min="9" max="9"/>
  </cols>
  <sheetData>
    <row r="2" ht="28" customHeight="1" s="468">
      <c r="B2" s="713" t="inlineStr">
        <is>
          <t>15  ·  ИСПОЛЬЗОВАНИЕ СРЕДСТВ  ·  Распределение 1 250 млн ₽ инвестиций</t>
        </is>
      </c>
    </row>
    <row r="3">
      <c r="B3" s="722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 s="468">
      <c r="B5" s="536" t="inlineStr">
        <is>
          <t>#</t>
        </is>
      </c>
      <c r="C5" s="536" t="inlineStr">
        <is>
          <t>Категория расхода</t>
        </is>
      </c>
      <c r="D5" s="536" t="inlineStr">
        <is>
          <t>% от T₁</t>
        </is>
      </c>
      <c r="E5" s="536" t="inlineStr">
        <is>
          <t>Сумма, млн ₽</t>
        </is>
      </c>
      <c r="F5" s="536" t="inlineStr">
        <is>
          <t>Мин (−10%)</t>
        </is>
      </c>
      <c r="G5" s="536" t="inlineStr">
        <is>
          <t>Макс (+10%)</t>
        </is>
      </c>
      <c r="H5" s="536" t="inlineStr">
        <is>
          <t>Allowance (Допуск)</t>
        </is>
      </c>
      <c r="I5" s="536" t="inlineStr">
        <is>
          <t>Описание</t>
        </is>
      </c>
    </row>
    <row r="6" ht="24" customHeight="1" s="468">
      <c r="B6" s="534" t="inlineStr">
        <is>
          <t>U.1</t>
        </is>
      </c>
      <c r="C6" s="532" t="inlineStr">
        <is>
          <t>Pre-production (Пре-продакшн)  (script, casting, location)</t>
        </is>
      </c>
      <c r="D6" s="734" t="n">
        <v>5</v>
      </c>
      <c r="E6" s="732" t="n">
        <v>62.5</v>
      </c>
      <c r="F6" s="729" t="n">
        <v>56.2</v>
      </c>
      <c r="G6" s="729" t="n">
        <v>68.8</v>
      </c>
      <c r="H6" s="171" t="inlineStr">
        <is>
          <t>★ Гибкость ±10%</t>
        </is>
      </c>
      <c r="I6" s="514" t="inlineStr">
        <is>
          <t>Сценарии, раскадровки, подбор актёров, выбор площадок</t>
        </is>
      </c>
    </row>
    <row r="7" ht="24" customHeight="1" s="468">
      <c r="B7" s="534" t="inlineStr">
        <is>
          <t>U.2</t>
        </is>
      </c>
      <c r="C7" s="532" t="inlineStr">
        <is>
          <t>Principal photography (Основной съёмочный период)</t>
        </is>
      </c>
      <c r="D7" s="734" t="n">
        <v>65</v>
      </c>
      <c r="E7" s="732" t="n">
        <v>812.5</v>
      </c>
      <c r="F7" s="729" t="n">
        <v>731.2</v>
      </c>
      <c r="G7" s="729" t="n">
        <v>893.8</v>
      </c>
      <c r="H7" s="171" t="inlineStr">
        <is>
          <t>★ Гибкость ±10%</t>
        </is>
      </c>
      <c r="I7" s="514" t="inlineStr">
        <is>
          <t>Съёмочный процесс, аренда площадок, оплата съёмочных групп</t>
        </is>
      </c>
    </row>
    <row r="8" ht="24" customHeight="1" s="468">
      <c r="B8" s="534" t="inlineStr">
        <is>
          <t>U.3</t>
        </is>
      </c>
      <c r="C8" s="532" t="inlineStr">
        <is>
          <t>Post-production  (VFX (визуальные эффекты), sound, editing)</t>
        </is>
      </c>
      <c r="D8" s="734" t="n">
        <v>20</v>
      </c>
      <c r="E8" s="732" t="n">
        <v>250</v>
      </c>
      <c r="F8" s="729" t="n">
        <v>225</v>
      </c>
      <c r="G8" s="729" t="n">
        <v>275</v>
      </c>
      <c r="H8" s="171" t="inlineStr">
        <is>
          <t>★ Гибкость ±10%</t>
        </is>
      </c>
      <c r="I8" s="514" t="inlineStr">
        <is>
          <t>Монтаж, цветокоррекция, VFX (визуальные эффекты), озвучка, сведение звука</t>
        </is>
      </c>
    </row>
    <row r="9" ht="24" customHeight="1" s="468">
      <c r="B9" s="534" t="inlineStr">
        <is>
          <t>U.4</t>
        </is>
      </c>
      <c r="C9" s="532" t="inlineStr">
        <is>
          <t>Contingency reserve  (10% страховой резерв)</t>
        </is>
      </c>
      <c r="D9" s="734" t="n">
        <v>10</v>
      </c>
      <c r="E9" s="732" t="n">
        <v>125</v>
      </c>
      <c r="F9" s="729" t="n">
        <v>112.5</v>
      </c>
      <c r="G9" s="729" t="n">
        <v>137.5</v>
      </c>
      <c r="H9" s="171" t="inlineStr">
        <is>
          <t>✓ Лимит 10%</t>
        </is>
      </c>
      <c r="I9" s="514" t="inlineStr">
        <is>
          <t>Резерв на перерасходы, форс-мажор, изменения сценария</t>
        </is>
      </c>
    </row>
    <row r="10" ht="26" customHeight="1" s="468">
      <c r="B10" s="533" t="inlineStr">
        <is>
          <t>Σ</t>
        </is>
      </c>
      <c r="C10" s="529" t="inlineStr">
        <is>
          <t>ИТОГО  ·  T₁ Legacy (Базовый вариант) Investment (Инвестиция)</t>
        </is>
      </c>
      <c r="D10" s="735" t="n">
        <v>100</v>
      </c>
      <c r="E10" s="726" t="n">
        <v>1250</v>
      </c>
      <c r="F10" s="726" t="n">
        <v>1125</v>
      </c>
      <c r="G10" s="726" t="n">
        <v>1375</v>
      </c>
      <c r="H10" s="533" t="inlineStr">
        <is>
          <t>★ ЯКОРЬ (ЯКОРЬ)</t>
        </is>
      </c>
      <c r="I10" s="529" t="inlineStr">
        <is>
          <t>Invariant: 1 250 млн ₽</t>
        </is>
      </c>
    </row>
    <row r="12" ht="20" customHeight="1" s="468">
      <c r="B12" s="521" t="inlineStr">
        <is>
          <t>II.  МОСТ  ·  T₁ Legacy (Базовый вариант) (1 250) → Full Production Budget (Бюджет) (1 850)</t>
        </is>
      </c>
      <c r="C12" s="473" t="n"/>
      <c r="D12" s="473" t="n"/>
      <c r="E12" s="473" t="n"/>
      <c r="F12" s="473" t="n"/>
      <c r="G12" s="473" t="n"/>
      <c r="H12" s="473" t="n"/>
      <c r="I12" s="466" t="n"/>
    </row>
    <row r="13" ht="22" customHeight="1" s="468">
      <c r="B13" s="534" t="inlineStr">
        <is>
          <t>B.1</t>
        </is>
      </c>
      <c r="C13" s="532" t="inlineStr">
        <is>
          <t>T₁ Legacy (Базовый вариант) Investor (Инвестор) contribution</t>
        </is>
      </c>
      <c r="D13" s="466" t="n"/>
      <c r="E13" s="729" t="n">
        <v>1250</v>
      </c>
      <c r="F13" s="473" t="n"/>
      <c r="G13" s="466" t="n"/>
      <c r="H13" s="514" t="inlineStr">
        <is>
          <t>Основной тикет инвестора (67.6%)</t>
        </is>
      </c>
      <c r="I13" s="466" t="n"/>
    </row>
    <row r="14" ht="22" customHeight="1" s="468">
      <c r="B14" s="534" t="inlineStr">
        <is>
          <t>B.2</t>
        </is>
      </c>
      <c r="C14" s="532" t="inlineStr">
        <is>
          <t>(+) Producer equity (капитал продюсера) (JV (совместное предприятие) capital (капитал))</t>
        </is>
      </c>
      <c r="D14" s="466" t="n"/>
      <c r="E14" s="729" t="n">
        <v>600</v>
      </c>
      <c r="F14" s="473" t="n"/>
      <c r="G14" s="466" t="n"/>
      <c r="H14" s="514" t="inlineStr">
        <is>
          <t>Собственные средства продюсера (32.4%)</t>
        </is>
      </c>
      <c r="I14" s="466" t="n"/>
    </row>
    <row r="15" ht="22" customHeight="1" s="468">
      <c r="B15" s="533" t="inlineStr">
        <is>
          <t>=</t>
        </is>
      </c>
      <c r="C15" s="529" t="inlineStr">
        <is>
          <t>Full production budget (бюджет)  (12 films × avg 154)</t>
        </is>
      </c>
      <c r="D15" s="466" t="n"/>
      <c r="E15" s="726" t="n">
        <v>1850</v>
      </c>
      <c r="F15" s="473" t="n"/>
      <c r="G15" s="466" t="n"/>
      <c r="H15" s="516" t="inlineStr">
        <is>
          <t>★ Σ расходов на производство</t>
        </is>
      </c>
      <c r="I15" s="466" t="n"/>
    </row>
    <row r="16" ht="22" customHeight="1" s="468">
      <c r="B16" s="534" t="inlineStr">
        <is>
          <t>B.3</t>
        </is>
      </c>
      <c r="C16" s="532" t="inlineStr">
        <is>
          <t>(+) P&amp;A expenditure (Расходы на P&amp;A) (separate from CAPEX (Капзатраты))</t>
        </is>
      </c>
      <c r="D16" s="466" t="n"/>
      <c r="E16" s="729" t="n">
        <v>277.5</v>
      </c>
      <c r="F16" s="473" t="n"/>
      <c r="G16" s="466" t="n"/>
      <c r="H16" s="514" t="inlineStr">
        <is>
          <t>Prints &amp; Advertising (Тиражирование и реклама), финансируется из cashflow</t>
        </is>
      </c>
      <c r="I16" s="466" t="n"/>
    </row>
    <row r="17" ht="22" customHeight="1" s="468">
      <c r="B17" s="533" t="inlineStr">
        <is>
          <t>=</t>
        </is>
      </c>
      <c r="C17" s="529" t="inlineStr">
        <is>
          <t>Total (Итого) content-related costs</t>
        </is>
      </c>
      <c r="D17" s="466" t="n"/>
      <c r="E17" s="726" t="n">
        <v>2127.5</v>
      </c>
      <c r="F17" s="473" t="n"/>
      <c r="G17" s="466" t="n"/>
      <c r="H17" s="736" t="inlineStr">
        <is>
          <t>COGS в P&amp;L</t>
        </is>
      </c>
      <c r="I17" s="736" t="n"/>
    </row>
    <row r="19" ht="22" customHeight="1" s="468">
      <c r="B19" s="527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510" t="n"/>
      <c r="D19" s="510" t="n"/>
      <c r="E19" s="510" t="n"/>
      <c r="F19" s="510" t="n"/>
      <c r="G19" s="510" t="n"/>
      <c r="H19" s="510" t="n"/>
      <c r="I19" s="464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E16:G16"/>
    <mergeCell ref="H17:I17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4" customWidth="1" style="468" min="3" max="3"/>
    <col width="8" customWidth="1" style="468" min="4" max="16"/>
    <col width="11" customWidth="1" style="468" min="17" max="17"/>
    <col width="10" customWidth="1" style="468" min="18" max="18"/>
  </cols>
  <sheetData>
    <row r="2" ht="28" customHeight="1" s="468">
      <c r="B2" s="713" t="inlineStr">
        <is>
          <t>16  ·  CAPEX (Капзатраты) SCHEDULE  ·  12 фильмов × timeline (pre-prod / prod / post) по кварталам</t>
        </is>
      </c>
    </row>
    <row r="3">
      <c r="B3" s="722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5" ht="22" customHeight="1" s="468">
      <c r="B5" s="536" t="inlineStr">
        <is>
          <t>#</t>
        </is>
      </c>
      <c r="C5" s="140" t="inlineStr">
        <is>
          <t>Film (Фильм)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62" t="inlineStr">
        <is>
          <t>Σ CAPEX (Капзатраты)</t>
        </is>
      </c>
      <c r="Q5" s="562" t="inlineStr">
        <is>
          <t>Релиз</t>
        </is>
      </c>
      <c r="R5" s="562" t="inlineStr">
        <is>
          <t>Категория</t>
        </is>
      </c>
    </row>
    <row r="6" ht="20" customHeight="1" s="468">
      <c r="B6" s="161" t="inlineStr">
        <is>
          <t>F01</t>
        </is>
      </c>
      <c r="C6" s="532" t="inlineStr">
        <is>
          <t>Родные стены</t>
        </is>
      </c>
      <c r="D6" s="727" t="n">
        <v>7.5</v>
      </c>
      <c r="E6" s="727" t="n">
        <v>67.5</v>
      </c>
      <c r="F6" s="727" t="n">
        <v>52.5</v>
      </c>
      <c r="G6" s="727" t="n">
        <v>22.5</v>
      </c>
      <c r="H6" s="729" t="n"/>
      <c r="I6" s="729" t="n"/>
      <c r="J6" s="729" t="n"/>
      <c r="K6" s="729" t="n"/>
      <c r="L6" s="729" t="n"/>
      <c r="M6" s="729" t="n"/>
      <c r="N6" s="729" t="n"/>
      <c r="O6" s="729" t="n"/>
      <c r="P6" s="725" t="n">
        <v>150</v>
      </c>
      <c r="Q6" s="534" t="inlineStr">
        <is>
          <t>Q4'26</t>
        </is>
      </c>
      <c r="R6" s="172" t="inlineStr">
        <is>
          <t>A</t>
        </is>
      </c>
    </row>
    <row r="7" ht="20" customHeight="1" s="468">
      <c r="B7" s="161" t="inlineStr">
        <is>
          <t>F02</t>
        </is>
      </c>
      <c r="C7" s="532" t="inlineStr">
        <is>
          <t>Два сердца</t>
        </is>
      </c>
      <c r="D7" s="737" t="n"/>
      <c r="E7" s="727" t="n">
        <v>5</v>
      </c>
      <c r="F7" s="727" t="n">
        <v>45</v>
      </c>
      <c r="G7" s="727" t="n">
        <v>35</v>
      </c>
      <c r="H7" s="727" t="n">
        <v>15</v>
      </c>
      <c r="I7" s="729" t="n"/>
      <c r="J7" s="729" t="n"/>
      <c r="K7" s="729" t="n"/>
      <c r="L7" s="729" t="n"/>
      <c r="M7" s="729" t="n"/>
      <c r="N7" s="729" t="n"/>
      <c r="O7" s="729" t="n"/>
      <c r="P7" s="725" t="n">
        <v>100</v>
      </c>
      <c r="Q7" s="534" t="inlineStr">
        <is>
          <t>Q1'27</t>
        </is>
      </c>
      <c r="R7" s="172" t="inlineStr">
        <is>
          <t>B</t>
        </is>
      </c>
    </row>
    <row r="8" ht="20" customHeight="1" s="468">
      <c r="B8" s="161" t="inlineStr">
        <is>
          <t>F03</t>
        </is>
      </c>
      <c r="C8" s="532" t="inlineStr">
        <is>
          <t>Ночной патруль</t>
        </is>
      </c>
      <c r="D8" s="737" t="n"/>
      <c r="E8" s="729" t="n"/>
      <c r="F8" s="727" t="n">
        <v>11</v>
      </c>
      <c r="G8" s="727" t="n">
        <v>99</v>
      </c>
      <c r="H8" s="727" t="n">
        <v>77</v>
      </c>
      <c r="I8" s="727" t="n">
        <v>33</v>
      </c>
      <c r="J8" s="729" t="n"/>
      <c r="K8" s="729" t="n"/>
      <c r="L8" s="729" t="n"/>
      <c r="M8" s="729" t="n"/>
      <c r="N8" s="729" t="n"/>
      <c r="O8" s="729" t="n"/>
      <c r="P8" s="725" t="n">
        <v>220</v>
      </c>
      <c r="Q8" s="534" t="inlineStr">
        <is>
          <t>Q2'27</t>
        </is>
      </c>
      <c r="R8" s="172" t="inlineStr">
        <is>
          <t>A+</t>
        </is>
      </c>
    </row>
    <row r="9" ht="20" customHeight="1" s="468">
      <c r="B9" s="161" t="inlineStr">
        <is>
          <t>F04</t>
        </is>
      </c>
      <c r="C9" s="532" t="inlineStr">
        <is>
          <t>Последний экзамен</t>
        </is>
      </c>
      <c r="D9" s="737" t="n"/>
      <c r="E9" s="729" t="n"/>
      <c r="F9" s="727" t="n">
        <v>4.5</v>
      </c>
      <c r="G9" s="727" t="n">
        <v>40.5</v>
      </c>
      <c r="H9" s="727" t="n">
        <v>31.5</v>
      </c>
      <c r="I9" s="727" t="n">
        <v>13.5</v>
      </c>
      <c r="J9" s="729" t="n"/>
      <c r="K9" s="729" t="n"/>
      <c r="L9" s="729" t="n"/>
      <c r="M9" s="729" t="n"/>
      <c r="N9" s="729" t="n"/>
      <c r="O9" s="729" t="n"/>
      <c r="P9" s="725" t="n">
        <v>90</v>
      </c>
      <c r="Q9" s="534" t="inlineStr">
        <is>
          <t>Q2'27</t>
        </is>
      </c>
      <c r="R9" s="172" t="inlineStr">
        <is>
          <t>B</t>
        </is>
      </c>
    </row>
    <row r="10" ht="20" customHeight="1" s="468">
      <c r="B10" s="161" t="inlineStr">
        <is>
          <t>F05</t>
        </is>
      </c>
      <c r="C10" s="532" t="inlineStr">
        <is>
          <t>Время героев</t>
        </is>
      </c>
      <c r="D10" s="737" t="n"/>
      <c r="E10" s="729" t="n"/>
      <c r="F10" s="729" t="n"/>
      <c r="G10" s="727" t="n">
        <v>12.5</v>
      </c>
      <c r="H10" s="727" t="n">
        <v>112.5</v>
      </c>
      <c r="I10" s="727" t="n">
        <v>87.5</v>
      </c>
      <c r="J10" s="727" t="n">
        <v>37.5</v>
      </c>
      <c r="K10" s="729" t="n"/>
      <c r="L10" s="729" t="n"/>
      <c r="M10" s="729" t="n"/>
      <c r="N10" s="729" t="n"/>
      <c r="O10" s="729" t="n"/>
      <c r="P10" s="725" t="n">
        <v>250</v>
      </c>
      <c r="Q10" s="534" t="inlineStr">
        <is>
          <t>Q3'27</t>
        </is>
      </c>
      <c r="R10" s="172" t="inlineStr">
        <is>
          <t>A+</t>
        </is>
      </c>
    </row>
    <row r="11" ht="20" customHeight="1" s="468">
      <c r="B11" s="161" t="inlineStr">
        <is>
          <t>F06</t>
        </is>
      </c>
      <c r="C11" s="532" t="inlineStr">
        <is>
          <t>Красная заря</t>
        </is>
      </c>
      <c r="D11" s="737" t="n"/>
      <c r="E11" s="729" t="n"/>
      <c r="F11" s="729" t="n"/>
      <c r="G11" s="729" t="n"/>
      <c r="H11" s="727" t="n">
        <v>9</v>
      </c>
      <c r="I11" s="727" t="n">
        <v>81</v>
      </c>
      <c r="J11" s="727" t="n">
        <v>63</v>
      </c>
      <c r="K11" s="727" t="n">
        <v>27</v>
      </c>
      <c r="L11" s="729" t="n"/>
      <c r="M11" s="729" t="n"/>
      <c r="N11" s="729" t="n"/>
      <c r="O11" s="729" t="n"/>
      <c r="P11" s="725" t="n">
        <v>180</v>
      </c>
      <c r="Q11" s="534" t="inlineStr">
        <is>
          <t>Q4'27</t>
        </is>
      </c>
      <c r="R11" s="172" t="inlineStr">
        <is>
          <t>A</t>
        </is>
      </c>
    </row>
    <row r="12" ht="20" customHeight="1" s="468">
      <c r="B12" s="161" t="inlineStr">
        <is>
          <t>F07</t>
        </is>
      </c>
      <c r="C12" s="532" t="inlineStr">
        <is>
          <t>Сказка наяву</t>
        </is>
      </c>
      <c r="D12" s="737" t="n"/>
      <c r="E12" s="729" t="n"/>
      <c r="F12" s="729" t="n"/>
      <c r="G12" s="729" t="n"/>
      <c r="H12" s="729" t="n"/>
      <c r="I12" s="727" t="n">
        <v>8.5</v>
      </c>
      <c r="J12" s="727" t="n">
        <v>76.5</v>
      </c>
      <c r="K12" s="727" t="n">
        <v>59.5</v>
      </c>
      <c r="L12" s="727" t="n">
        <v>25.5</v>
      </c>
      <c r="M12" s="729" t="n"/>
      <c r="N12" s="729" t="n"/>
      <c r="O12" s="729" t="n"/>
      <c r="P12" s="725" t="n">
        <v>170</v>
      </c>
      <c r="Q12" s="534" t="inlineStr">
        <is>
          <t>Q1'28</t>
        </is>
      </c>
      <c r="R12" s="172" t="inlineStr">
        <is>
          <t>A</t>
        </is>
      </c>
    </row>
    <row r="13" ht="20" customHeight="1" s="468">
      <c r="B13" s="161" t="inlineStr">
        <is>
          <t>F08</t>
        </is>
      </c>
      <c r="C13" s="532" t="inlineStr">
        <is>
          <t>Неизвестный герой</t>
        </is>
      </c>
      <c r="D13" s="737" t="n"/>
      <c r="E13" s="729" t="n"/>
      <c r="F13" s="729" t="n"/>
      <c r="G13" s="729" t="n"/>
      <c r="H13" s="729" t="n"/>
      <c r="I13" s="729" t="n"/>
      <c r="J13" s="727" t="n">
        <v>6.5</v>
      </c>
      <c r="K13" s="727" t="n">
        <v>58.5</v>
      </c>
      <c r="L13" s="727" t="n">
        <v>45.5</v>
      </c>
      <c r="M13" s="727" t="n">
        <v>19.5</v>
      </c>
      <c r="N13" s="729" t="n"/>
      <c r="O13" s="729" t="n"/>
      <c r="P13" s="725" t="n">
        <v>130</v>
      </c>
      <c r="Q13" s="534" t="inlineStr">
        <is>
          <t>Q2'28</t>
        </is>
      </c>
      <c r="R13" s="172" t="inlineStr">
        <is>
          <t>B+</t>
        </is>
      </c>
    </row>
    <row r="14" ht="20" customHeight="1" s="468">
      <c r="B14" s="161" t="inlineStr">
        <is>
          <t>F09</t>
        </is>
      </c>
      <c r="C14" s="532" t="inlineStr">
        <is>
          <t>Моё дело</t>
        </is>
      </c>
      <c r="D14" s="737" t="n"/>
      <c r="E14" s="729" t="n"/>
      <c r="F14" s="729" t="n"/>
      <c r="G14" s="729" t="n"/>
      <c r="H14" s="729" t="n"/>
      <c r="I14" s="729" t="n"/>
      <c r="J14" s="727" t="n">
        <v>4</v>
      </c>
      <c r="K14" s="727" t="n">
        <v>36</v>
      </c>
      <c r="L14" s="727" t="n">
        <v>28</v>
      </c>
      <c r="M14" s="727" t="n">
        <v>12</v>
      </c>
      <c r="N14" s="729" t="n"/>
      <c r="O14" s="729" t="n"/>
      <c r="P14" s="725" t="n">
        <v>80</v>
      </c>
      <c r="Q14" s="534" t="inlineStr">
        <is>
          <t>Q2'28</t>
        </is>
      </c>
      <c r="R14" s="172" t="inlineStr">
        <is>
          <t>B</t>
        </is>
      </c>
    </row>
    <row r="15" ht="20" customHeight="1" s="468">
      <c r="B15" s="161" t="inlineStr">
        <is>
          <t>F10</t>
        </is>
      </c>
      <c r="C15" s="532" t="inlineStr">
        <is>
          <t>Северный ветер</t>
        </is>
      </c>
      <c r="D15" s="737" t="n"/>
      <c r="E15" s="729" t="n"/>
      <c r="F15" s="729" t="n"/>
      <c r="G15" s="729" t="n"/>
      <c r="H15" s="729" t="n"/>
      <c r="I15" s="729" t="n"/>
      <c r="J15" s="729" t="n"/>
      <c r="K15" s="727" t="n">
        <v>9</v>
      </c>
      <c r="L15" s="727" t="n">
        <v>81</v>
      </c>
      <c r="M15" s="727" t="n">
        <v>63</v>
      </c>
      <c r="N15" s="727" t="n">
        <v>27</v>
      </c>
      <c r="O15" s="729" t="n"/>
      <c r="P15" s="725" t="n">
        <v>180</v>
      </c>
      <c r="Q15" s="534" t="inlineStr">
        <is>
          <t>Q3'28</t>
        </is>
      </c>
      <c r="R15" s="172" t="inlineStr">
        <is>
          <t>A</t>
        </is>
      </c>
    </row>
    <row r="16" ht="20" customHeight="1" s="468">
      <c r="B16" s="161" t="inlineStr">
        <is>
          <t>F11</t>
        </is>
      </c>
      <c r="C16" s="532" t="inlineStr">
        <is>
          <t>Полдень</t>
        </is>
      </c>
      <c r="D16" s="737" t="n"/>
      <c r="E16" s="729" t="n"/>
      <c r="F16" s="729" t="n"/>
      <c r="G16" s="729" t="n"/>
      <c r="H16" s="729" t="n"/>
      <c r="I16" s="729" t="n"/>
      <c r="J16" s="729" t="n"/>
      <c r="K16" s="727" t="n">
        <v>7</v>
      </c>
      <c r="L16" s="727" t="n">
        <v>63</v>
      </c>
      <c r="M16" s="727" t="n">
        <v>49</v>
      </c>
      <c r="N16" s="727" t="n">
        <v>21</v>
      </c>
      <c r="O16" s="729" t="n"/>
      <c r="P16" s="725" t="n">
        <v>140</v>
      </c>
      <c r="Q16" s="534" t="inlineStr">
        <is>
          <t>Q3'28</t>
        </is>
      </c>
      <c r="R16" s="172" t="inlineStr">
        <is>
          <t>B+</t>
        </is>
      </c>
    </row>
    <row r="17" ht="20" customHeight="1" s="468">
      <c r="B17" s="161" t="inlineStr">
        <is>
          <t>F12</t>
        </is>
      </c>
      <c r="C17" s="532" t="inlineStr">
        <is>
          <t>Горизонт событий</t>
        </is>
      </c>
      <c r="D17" s="737" t="n"/>
      <c r="E17" s="729" t="n"/>
      <c r="F17" s="729" t="n"/>
      <c r="G17" s="729" t="n"/>
      <c r="H17" s="729" t="n"/>
      <c r="I17" s="729" t="n"/>
      <c r="J17" s="729" t="n"/>
      <c r="K17" s="729" t="n"/>
      <c r="L17" s="727" t="n">
        <v>8</v>
      </c>
      <c r="M17" s="727" t="n">
        <v>72</v>
      </c>
      <c r="N17" s="727" t="n">
        <v>56</v>
      </c>
      <c r="O17" s="727" t="n">
        <v>24</v>
      </c>
      <c r="P17" s="725" t="n">
        <v>160</v>
      </c>
      <c r="Q17" s="534" t="inlineStr">
        <is>
          <t>Q4'28</t>
        </is>
      </c>
      <c r="R17" s="172" t="inlineStr">
        <is>
          <t>A</t>
        </is>
      </c>
    </row>
    <row r="18" ht="24" customHeight="1" s="468">
      <c r="B18" s="533" t="inlineStr">
        <is>
          <t>Σ</t>
        </is>
      </c>
      <c r="C18" s="529" t="inlineStr">
        <is>
          <t>ИТОГО Production CAPEX (Капзатраты)</t>
        </is>
      </c>
      <c r="D18" s="726" t="n">
        <v>7.5</v>
      </c>
      <c r="E18" s="726" t="n">
        <v>72.5</v>
      </c>
      <c r="F18" s="726" t="n">
        <v>113</v>
      </c>
      <c r="G18" s="726" t="n">
        <v>209.5</v>
      </c>
      <c r="H18" s="726" t="n">
        <v>245</v>
      </c>
      <c r="I18" s="726" t="n">
        <v>223.5</v>
      </c>
      <c r="J18" s="726" t="n">
        <v>187.5</v>
      </c>
      <c r="K18" s="726" t="n">
        <v>197</v>
      </c>
      <c r="L18" s="726" t="n">
        <v>251</v>
      </c>
      <c r="M18" s="726" t="n">
        <v>215.5</v>
      </c>
      <c r="N18" s="726" t="n">
        <v>104</v>
      </c>
      <c r="O18" s="726" t="n">
        <v>24</v>
      </c>
      <c r="P18" s="726" t="n">
        <v>1850</v>
      </c>
      <c r="Q18" s="533" t="inlineStr">
        <is>
          <t>—</t>
        </is>
      </c>
      <c r="R18" s="533" t="inlineStr">
        <is>
          <t>★</t>
        </is>
      </c>
    </row>
    <row r="20" ht="24" customHeight="1" s="468">
      <c r="B20" s="527" t="inlineStr">
        <is>
          <t>✓ Σ Production CAPEX (Капзатраты) = 1,850.0 млн ₽ (target: 1 850)  |  2026: 402  ·  2027: 853  ·  2028: 594</t>
        </is>
      </c>
      <c r="C20" s="510" t="n"/>
      <c r="D20" s="510" t="n"/>
      <c r="E20" s="510" t="n"/>
      <c r="F20" s="510" t="n"/>
      <c r="G20" s="510" t="n"/>
      <c r="H20" s="510" t="n"/>
      <c r="I20" s="510" t="n"/>
      <c r="J20" s="510" t="n"/>
      <c r="K20" s="510" t="n"/>
      <c r="L20" s="510" t="n"/>
      <c r="M20" s="510" t="n"/>
      <c r="N20" s="510" t="n"/>
      <c r="O20" s="510" t="n"/>
      <c r="P20" s="510" t="n"/>
      <c r="Q20" s="510" t="n"/>
      <c r="R20" s="464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2" customWidth="1" style="468" min="3" max="3"/>
    <col width="28" customWidth="1" style="468" min="4" max="5"/>
    <col width="30" customWidth="1" style="468" min="6" max="6"/>
  </cols>
  <sheetData>
    <row r="2" ht="28" customHeight="1" s="468">
      <c r="B2" s="713" t="inlineStr">
        <is>
          <t>17  ·  СТРУКТУРЫ СДЕЛОК  ·  T₁ Legacy (Базовый вариант)  &amp;  T₂ New</t>
        </is>
      </c>
    </row>
    <row r="3">
      <c r="B3" s="722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 s="468">
      <c r="B5" s="536" t="inlineStr">
        <is>
          <t>#</t>
        </is>
      </c>
      <c r="C5" s="140" t="inlineStr">
        <is>
          <t>Параметр</t>
        </is>
      </c>
      <c r="D5" s="562" t="inlineStr">
        <is>
          <t>T₁ — Legacy (Базовый вариант)</t>
        </is>
      </c>
      <c r="E5" s="562" t="inlineStr">
        <is>
          <t>T₂ — New</t>
        </is>
      </c>
      <c r="F5" s="536" t="inlineStr">
        <is>
          <t>Комментарий</t>
        </is>
      </c>
    </row>
    <row r="6" ht="20" customHeight="1" s="468">
      <c r="B6" s="521" t="inlineStr">
        <is>
          <t>I.  ФИНАНСОВЫЕ ПАРАМЕТРЫ</t>
        </is>
      </c>
      <c r="C6" s="473" t="n"/>
      <c r="D6" s="473" t="n"/>
      <c r="E6" s="473" t="n"/>
      <c r="F6" s="466" t="n"/>
    </row>
    <row r="7" ht="22" customHeight="1" s="468">
      <c r="B7" s="534" t="inlineStr">
        <is>
          <t>1.1</t>
        </is>
      </c>
      <c r="C7" s="556" t="inlineStr">
        <is>
          <t>Тикет, млн ₽</t>
        </is>
      </c>
      <c r="D7" s="174" t="inlineStr">
        <is>
          <t>1 250</t>
        </is>
      </c>
      <c r="E7" s="175" t="inlineStr">
        <is>
          <t>500</t>
        </is>
      </c>
      <c r="F7" s="514" t="inlineStr">
        <is>
          <t>T₁ — anchor (якорь); T₂ — follow-on</t>
        </is>
      </c>
    </row>
    <row r="8" ht="22" customHeight="1" s="468">
      <c r="B8" s="534" t="inlineStr">
        <is>
          <t>1.2</t>
        </is>
      </c>
      <c r="C8" s="556" t="inlineStr">
        <is>
          <t>Доля от полного бюджета</t>
        </is>
      </c>
      <c r="D8" s="174" t="inlineStr">
        <is>
          <t>67.6 %</t>
        </is>
      </c>
      <c r="E8" s="175" t="inlineStr">
        <is>
          <t>—</t>
        </is>
      </c>
      <c r="F8" s="514" t="inlineStr">
        <is>
          <t>T₁ ≈ 2/3 от 1 850 млн</t>
        </is>
      </c>
    </row>
    <row r="9" ht="22" customHeight="1" s="468">
      <c r="B9" s="534" t="inlineStr">
        <is>
          <t>1.3</t>
        </is>
      </c>
      <c r="C9" s="556" t="inlineStr">
        <is>
          <t>Equity (Собственный капитал) диапазон, %</t>
        </is>
      </c>
      <c r="D9" s="174" t="inlineStr">
        <is>
          <t>—</t>
        </is>
      </c>
      <c r="E9" s="175" t="inlineStr">
        <is>
          <t>20 %</t>
        </is>
      </c>
      <c r="F9" s="514" t="inlineStr">
        <is>
          <t>T₂ даёт 20% equity (доля в капитале) upside</t>
        </is>
      </c>
    </row>
    <row r="10" ht="22" customHeight="1" s="468">
      <c r="B10" s="534" t="inlineStr">
        <is>
          <t>1.4</t>
        </is>
      </c>
      <c r="C10" s="556" t="inlineStr">
        <is>
          <t>Seniority (Старшинство)</t>
        </is>
      </c>
      <c r="D10" s="174" t="inlineStr">
        <is>
          <t>Старший (1L)</t>
        </is>
      </c>
      <c r="E10" s="175" t="inlineStr">
        <is>
          <t>Pari-passu (Паритетное (pari-passu))</t>
        </is>
      </c>
      <c r="F10" s="514" t="inlineStr">
        <is>
          <t>T₁ — приоритет, T₂ — equity (доля в капитале)</t>
        </is>
      </c>
    </row>
    <row r="11" ht="22" customHeight="1" s="468">
      <c r="B11" s="534" t="inlineStr">
        <is>
          <t>1.5</t>
        </is>
      </c>
      <c r="C11" s="556" t="inlineStr">
        <is>
          <t>Tranche (Транш) schedule</t>
        </is>
      </c>
      <c r="D11" s="174" t="inlineStr">
        <is>
          <t>4 × (20/28/28/24)%</t>
        </is>
      </c>
      <c r="E11" s="175" t="inlineStr">
        <is>
          <t>Единовременная выплата (Единовременная выплата)</t>
        </is>
      </c>
      <c r="F11" s="514" t="inlineStr">
        <is>
          <t>T₁ milestone-based (по вехам); T₂ — cash upfront (авансом)</t>
        </is>
      </c>
    </row>
    <row r="12" ht="22" customHeight="1" s="468">
      <c r="B12" s="534" t="inlineStr">
        <is>
          <t>1.6</t>
        </is>
      </c>
      <c r="C12" s="556" t="inlineStr">
        <is>
          <t>Service fee / coupon (купон)</t>
        </is>
      </c>
      <c r="D12" s="174" t="inlineStr">
        <is>
          <t>Service fee 15 млн</t>
        </is>
      </c>
      <c r="E12" s="175" t="inlineStr">
        <is>
          <t>8% cumulative (кумулятивный)</t>
        </is>
      </c>
      <c r="F12" s="514" t="inlineStr">
        <is>
          <t>Для T₂ preferred return</t>
        </is>
      </c>
    </row>
    <row r="13" ht="20" customHeight="1" s="468">
      <c r="B13" s="521" t="inlineStr">
        <is>
          <t>II.  ВОЗВРАТ И УПРАВЛЕНИЕ</t>
        </is>
      </c>
      <c r="C13" s="473" t="n"/>
      <c r="D13" s="473" t="n"/>
      <c r="E13" s="473" t="n"/>
      <c r="F13" s="466" t="n"/>
    </row>
    <row r="14" ht="22" customHeight="1" s="468">
      <c r="B14" s="534" t="inlineStr">
        <is>
          <t>2.1</t>
        </is>
      </c>
      <c r="C14" s="556" t="inlineStr">
        <is>
          <t>Приоритет возмещения (Приоритет возмещения)</t>
        </is>
      </c>
      <c r="D14" s="174" t="inlineStr">
        <is>
          <t>1st cashflows до 1×</t>
        </is>
      </c>
      <c r="E14" s="175" t="inlineStr">
        <is>
          <t>2nd (после T₁)</t>
        </is>
      </c>
      <c r="F14" s="514" t="inlineStr">
        <is>
          <t>Waterfall (Каскад) order: LP (ограниченный партнёр) return of capital (капитал) → coupon (купон) → residual (остаток) split (разделение) (W₃ default (по умолчанию))</t>
        </is>
      </c>
    </row>
    <row r="15" ht="22" customHeight="1" s="468">
      <c r="B15" s="534" t="inlineStr">
        <is>
          <t>2.2</t>
        </is>
      </c>
      <c r="C15" s="556" t="inlineStr">
        <is>
          <t>Preferred return (Привилегированная доходность)</t>
        </is>
      </c>
      <c r="D15" s="174" t="inlineStr">
        <is>
          <t>—</t>
        </is>
      </c>
      <c r="E15" s="175" t="inlineStr">
        <is>
          <t>8 % cumulative (кумулятивный)</t>
        </is>
      </c>
      <c r="F15" s="514" t="inlineStr">
        <is>
          <t>До equity (доля в капитале) conversion</t>
        </is>
      </c>
    </row>
    <row r="16" ht="22" customHeight="1" s="468">
      <c r="B16" s="534" t="inlineStr">
        <is>
          <t>2.3</t>
        </is>
      </c>
      <c r="C16" s="556" t="inlineStr">
        <is>
          <t>Waterfall split (разделение каскада)</t>
        </is>
      </c>
      <c r="D16" s="174" t="inlineStr">
        <is>
          <t>60 / 40 (Инвестор/Продюсер)</t>
        </is>
      </c>
      <c r="E16" s="175" t="inlineStr">
        <is>
          <t>50 / 50 pro-rata (пропорционально)</t>
        </is>
      </c>
      <c r="F16" s="514" t="inlineStr">
        <is>
          <t>По default (по умолчанию) сценарию W₃ (см. 19_Waterfall и 24_Investor_Returns, Section II)</t>
        </is>
      </c>
    </row>
    <row r="17" ht="22" customHeight="1" s="468">
      <c r="B17" s="534" t="inlineStr">
        <is>
          <t>2.4</t>
        </is>
      </c>
      <c r="C17" s="556" t="inlineStr">
        <is>
          <t>Триггер выхода (Триггер выхода)</t>
        </is>
      </c>
      <c r="D17" s="174" t="inlineStr">
        <is>
          <t>2029-2032 tail (хвостовой период)</t>
        </is>
      </c>
      <c r="E17" s="175" t="inlineStr">
        <is>
          <t>Event-based (IPO (первичное размещение)/M&amp;A (слияния и поглощения))</t>
        </is>
      </c>
      <c r="F17" s="514" t="inlineStr">
        <is>
          <t>T₁ — плановый; T₂ — event</t>
        </is>
      </c>
    </row>
    <row r="18" ht="22" customHeight="1" s="468">
      <c r="B18" s="534" t="inlineStr">
        <is>
          <t>2.5</t>
        </is>
      </c>
      <c r="C18" s="556" t="inlineStr">
        <is>
          <t>Механика конверсии (Механика конверсии)</t>
        </is>
      </c>
      <c r="D18" s="174" t="inlineStr">
        <is>
          <t>Единовременное погашение (Единовременное погашение)</t>
        </is>
      </c>
      <c r="E18" s="175" t="inlineStr">
        <is>
          <t>Equity (Собственный капитал) at 5× multiple</t>
        </is>
      </c>
      <c r="F18" s="514" t="inlineStr">
        <is>
          <t>На exit event</t>
        </is>
      </c>
    </row>
    <row r="19" ht="20" customHeight="1" s="468">
      <c r="B19" s="521" t="inlineStr">
        <is>
          <t>III.  УПРАВЛЕНИЕ И ЗАЩИТА</t>
        </is>
      </c>
      <c r="C19" s="473" t="n"/>
      <c r="D19" s="473" t="n"/>
      <c r="E19" s="473" t="n"/>
      <c r="F19" s="466" t="n"/>
    </row>
    <row r="20" ht="22" customHeight="1" s="468">
      <c r="B20" s="534" t="inlineStr">
        <is>
          <t>3.1</t>
        </is>
      </c>
      <c r="C20" s="556" t="inlineStr">
        <is>
          <t>Reporting (Отчётность)</t>
        </is>
      </c>
      <c r="D20" s="174" t="inlineStr">
        <is>
          <t>Quarterly financial (Ежеквартальная фин. отчётность)</t>
        </is>
      </c>
      <c r="E20" s="175" t="inlineStr">
        <is>
          <t>Quarterly + board seat (Ежекварт. + место в совете)</t>
        </is>
      </c>
      <c r="F20" s="514" t="inlineStr">
        <is>
          <t>T₂ имеет board observer</t>
        </is>
      </c>
    </row>
    <row r="21" ht="22" customHeight="1" s="468">
      <c r="B21" s="534" t="inlineStr">
        <is>
          <t>3.2</t>
        </is>
      </c>
      <c r="C21" s="556" t="inlineStr">
        <is>
          <t>Права на информацию (Права на информацию)</t>
        </is>
      </c>
      <c r="D21" s="174" t="inlineStr">
        <is>
          <t>Read-only (Только чтение)</t>
        </is>
      </c>
      <c r="E21" s="175" t="inlineStr">
        <is>
          <t>Полный + вето на major</t>
        </is>
      </c>
      <c r="F21" s="514" t="inlineStr">
        <is>
          <t>T₂ имеет protective provisions</t>
        </is>
      </c>
    </row>
    <row r="22" ht="22" customHeight="1" s="468">
      <c r="B22" s="534" t="inlineStr">
        <is>
          <t>3.3</t>
        </is>
      </c>
      <c r="C22" s="556" t="inlineStr">
        <is>
          <t>Drag-along (Право принудительной продажи) / Tag-along (Право присоединения к продаже)</t>
        </is>
      </c>
      <c r="D22" s="174" t="inlineStr">
        <is>
          <t>Standard (Стандартный)</t>
        </is>
      </c>
      <c r="E22" s="175" t="inlineStr">
        <is>
          <t>Drag (Принуд. продажа) + ROFR (Преимущ. право)</t>
        </is>
      </c>
      <c r="F22" s="514" t="inlineStr">
        <is>
          <t>T₂ имеет ROFR на secondary</t>
        </is>
      </c>
    </row>
    <row r="23" ht="22" customHeight="1" s="468">
      <c r="B23" s="534" t="inlineStr">
        <is>
          <t>3.4</t>
        </is>
      </c>
      <c r="C23" s="556" t="inlineStr">
        <is>
          <t>Non-compete / ключ. сотрудники</t>
        </is>
      </c>
      <c r="D23" s="174" t="inlineStr">
        <is>
          <t>2 года</t>
        </is>
      </c>
      <c r="E23" s="175" t="inlineStr">
        <is>
          <t>3 года + key persons</t>
        </is>
      </c>
      <c r="F23" s="514" t="inlineStr">
        <is>
          <t>T₂ требует retention</t>
        </is>
      </c>
    </row>
    <row r="24" ht="22" customHeight="1" s="468">
      <c r="B24" s="534" t="inlineStr">
        <is>
          <t>3.5</t>
        </is>
      </c>
      <c r="C24" s="556" t="inlineStr">
        <is>
          <t>Расторжение (Расторжение)</t>
        </is>
      </c>
      <c r="D24" s="174" t="inlineStr">
        <is>
          <t>Milestone default (по умолчанию)</t>
        </is>
      </c>
      <c r="E24" s="175" t="inlineStr">
        <is>
          <t>Существенное нарушение (Существенное нарушение)</t>
        </is>
      </c>
      <c r="F24" s="514" t="inlineStr">
        <is>
          <t>Разные триггеры</t>
        </is>
      </c>
    </row>
    <row r="26" ht="20" customHeight="1" s="468">
      <c r="B26" s="521" t="inlineStr">
        <is>
          <t>IV.  COMBINED INVESTMENT (ИНВЕСТИЦИИ) ENVELOPE (СОВОКУПНЫЙ ИНВЕСТИЦИОННЫЙ ПАКЕТ)</t>
        </is>
      </c>
      <c r="C26" s="473" t="n"/>
      <c r="D26" s="473" t="n"/>
      <c r="E26" s="473" t="n"/>
      <c r="F26" s="466" t="n"/>
    </row>
    <row r="27" ht="22" customHeight="1" s="468">
      <c r="B27" s="534" t="inlineStr">
        <is>
          <t>4.1</t>
        </is>
      </c>
      <c r="C27" s="532" t="inlineStr">
        <is>
          <t>T₁ Legacy (Базовый вариант) только</t>
        </is>
      </c>
      <c r="D27" s="534" t="inlineStr">
        <is>
          <t>1 250 млн ₽</t>
        </is>
      </c>
      <c r="E27" s="466" t="n"/>
      <c r="F27" s="514" t="inlineStr">
        <is>
          <t>Базовый сценарий</t>
        </is>
      </c>
    </row>
    <row r="28" ht="22" customHeight="1" s="468">
      <c r="B28" s="534" t="inlineStr">
        <is>
          <t>4.2</t>
        </is>
      </c>
      <c r="C28" s="532" t="inlineStr">
        <is>
          <t>T₁ + T₂ совместно</t>
        </is>
      </c>
      <c r="D28" s="534" t="inlineStr">
        <is>
          <t>1 750 млн ₽</t>
        </is>
      </c>
      <c r="E28" s="466" t="n"/>
      <c r="F28" s="514" t="inlineStr">
        <is>
          <t>Расширенный envelope (1 250 + 500)</t>
        </is>
      </c>
    </row>
    <row r="29" ht="22" customHeight="1" s="468">
      <c r="B29" s="534" t="inlineStr">
        <is>
          <t>4.3</t>
        </is>
      </c>
      <c r="C29" s="532" t="inlineStr">
        <is>
          <t>T₂ standalone (автономный)</t>
        </is>
      </c>
      <c r="D29" s="534" t="inlineStr">
        <is>
          <t>500 млн ₽</t>
        </is>
      </c>
      <c r="E29" s="466" t="n"/>
      <c r="F29" s="514" t="inlineStr">
        <is>
          <t>Если T₁ уже размещён ранее</t>
        </is>
      </c>
    </row>
    <row r="30" ht="22" customHeight="1" s="468">
      <c r="B30" s="534" t="inlineStr">
        <is>
          <t>4.4</t>
        </is>
      </c>
      <c r="C30" s="532" t="inlineStr">
        <is>
          <t>Producer equity (капитал продюсера) (off-P&amp;L)</t>
        </is>
      </c>
      <c r="D30" s="534" t="inlineStr">
        <is>
          <t>600 млн ₽</t>
        </is>
      </c>
      <c r="E30" s="466" t="n"/>
      <c r="F30" s="514" t="inlineStr">
        <is>
          <t>JV (совместное предприятие) capital (капитал) contribution, не входит в тикеты</t>
        </is>
      </c>
    </row>
    <row r="31" ht="22" customHeight="1" s="468">
      <c r="B31" s="533" t="inlineStr">
        <is>
          <t>=</t>
        </is>
      </c>
      <c r="C31" s="529" t="inlineStr">
        <is>
          <t>Total (Итого) capital (капитал) to production</t>
        </is>
      </c>
      <c r="D31" s="533" t="inlineStr">
        <is>
          <t>2 350 млн ₽</t>
        </is>
      </c>
      <c r="E31" s="466" t="n"/>
      <c r="F31" s="516" t="inlineStr">
        <is>
          <t>★ 1 250 + 500 + 600 = 2 350</t>
        </is>
      </c>
    </row>
  </sheetData>
  <mergeCells count="11">
    <mergeCell ref="D30:E30"/>
    <mergeCell ref="B6:F6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6" customWidth="1" style="468" min="3" max="3"/>
    <col width="14" customWidth="1" style="468" min="4" max="9"/>
    <col width="28" customWidth="1" style="468" min="10" max="10"/>
  </cols>
  <sheetData>
    <row r="2" ht="28" customHeight="1" s="468">
      <c r="B2" s="713" t="inlineStr">
        <is>
          <t>18  ·  ТАБЛИЦА КАПИТАЛИЗАЦИИ  ·  Ownership Structure (Структура собственности) (2 сценария)</t>
        </is>
      </c>
    </row>
    <row r="3">
      <c r="B3" s="722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 s="468">
      <c r="B5" s="521" t="inlineStr">
        <is>
          <t>СЦЕНАРИЙ A  ·  Только T₁ Legacy (Базовый вариант)</t>
        </is>
      </c>
      <c r="C5" s="473" t="n"/>
      <c r="D5" s="473" t="n"/>
      <c r="E5" s="473" t="n"/>
      <c r="F5" s="473" t="n"/>
      <c r="G5" s="473" t="n"/>
      <c r="H5" s="473" t="n"/>
      <c r="I5" s="473" t="n"/>
      <c r="J5" s="466" t="n"/>
    </row>
    <row r="6" ht="22" customHeight="1" s="468">
      <c r="B6" s="536" t="inlineStr">
        <is>
          <t>#</t>
        </is>
      </c>
      <c r="C6" s="140" t="inlineStr">
        <is>
          <t>Акционер (Акционер)</t>
        </is>
      </c>
      <c r="D6" s="536" t="inlineStr">
        <is>
          <t>Pre-money vkl, млн ₽</t>
        </is>
      </c>
      <c r="E6" s="536" t="inlineStr">
        <is>
          <t>Shares (Акции)</t>
        </is>
      </c>
      <c r="F6" s="536" t="inlineStr">
        <is>
          <t>Доля %</t>
        </is>
      </c>
      <c r="G6" s="466" t="n"/>
      <c r="H6" s="536" t="inlineStr">
        <is>
          <t>Post-money val, млн ₽</t>
        </is>
      </c>
      <c r="I6" s="466" t="n"/>
      <c r="J6" s="562" t="inlineStr">
        <is>
          <t>Comment (Комментарий)</t>
        </is>
      </c>
    </row>
    <row r="7" ht="22" customHeight="1" s="468">
      <c r="B7" s="534" t="inlineStr">
        <is>
          <t>A.1</t>
        </is>
      </c>
      <c r="C7" s="532" t="inlineStr">
        <is>
          <t>Founder / Producer (Продюсер)</t>
        </is>
      </c>
      <c r="D7" s="729" t="n">
        <v>2917</v>
      </c>
      <c r="E7" s="176" t="n">
        <v>7000</v>
      </c>
      <c r="F7" s="738" t="n">
        <v>70</v>
      </c>
      <c r="G7" s="466" t="n"/>
      <c r="H7" s="729" t="n">
        <v>2917</v>
      </c>
      <c r="I7" s="466" t="n"/>
      <c r="J7" s="514" t="inlineStr">
        <is>
          <t>Pre-money equity (доля в капитале)</t>
        </is>
      </c>
    </row>
    <row r="8" ht="22" customHeight="1" s="468">
      <c r="B8" s="534" t="inlineStr">
        <is>
          <t>A.2</t>
        </is>
      </c>
      <c r="C8" s="532" t="inlineStr">
        <is>
          <t>T₁ Legacy (Базовый вариант) Investor (Инвестор)</t>
        </is>
      </c>
      <c r="D8" s="729" t="n">
        <v>1250</v>
      </c>
      <c r="E8" s="176" t="n">
        <v>3000</v>
      </c>
      <c r="F8" s="738" t="n">
        <v>30</v>
      </c>
      <c r="G8" s="466" t="n"/>
      <c r="H8" s="729" t="n">
        <v>1250</v>
      </c>
      <c r="I8" s="466" t="n"/>
      <c r="J8" s="514" t="inlineStr">
        <is>
          <t>Новые деньги (Новые деньги), 30% stake</t>
        </is>
      </c>
    </row>
    <row r="9" ht="22" customHeight="1" s="468">
      <c r="B9" s="533" t="inlineStr">
        <is>
          <t>Σ</t>
        </is>
      </c>
      <c r="C9" s="529" t="inlineStr">
        <is>
          <t>TOTAL (ИТОГО)</t>
        </is>
      </c>
      <c r="D9" s="726" t="n">
        <v>4167</v>
      </c>
      <c r="E9" s="178" t="n">
        <v>10000</v>
      </c>
      <c r="F9" s="739" t="n">
        <v>100</v>
      </c>
      <c r="G9" s="466" t="n"/>
      <c r="H9" s="726" t="n">
        <v>4167</v>
      </c>
      <c r="I9" s="466" t="n"/>
      <c r="J9" s="516" t="inlineStr">
        <is>
          <t>★ Post-money 4 167 млн</t>
        </is>
      </c>
    </row>
    <row r="12" ht="22" customHeight="1" s="468">
      <c r="B12" s="521" t="inlineStr">
        <is>
          <t>СЦЕНАРИЙ B  ·  T₁ Legacy (Базовый вариант) + T₂ New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66" t="n"/>
    </row>
    <row r="13" ht="22" customHeight="1" s="468">
      <c r="B13" s="536" t="inlineStr">
        <is>
          <t>#</t>
        </is>
      </c>
      <c r="C13" s="140" t="inlineStr">
        <is>
          <t>Акционер (Акционер)</t>
        </is>
      </c>
      <c r="D13" s="536" t="inlineStr">
        <is>
          <t>Pre-money vkl, млн ₽</t>
        </is>
      </c>
      <c r="E13" s="536" t="inlineStr">
        <is>
          <t>Shares (Акции)</t>
        </is>
      </c>
      <c r="F13" s="536" t="inlineStr">
        <is>
          <t>Доля %</t>
        </is>
      </c>
      <c r="G13" s="466" t="n"/>
      <c r="H13" s="536" t="inlineStr">
        <is>
          <t>Post-money val, млн ₽</t>
        </is>
      </c>
      <c r="I13" s="466" t="n"/>
      <c r="J13" s="562" t="inlineStr">
        <is>
          <t>Comment (Комментарий)</t>
        </is>
      </c>
    </row>
    <row r="14" ht="22" customHeight="1" s="468">
      <c r="B14" s="534" t="inlineStr">
        <is>
          <t>B.1</t>
        </is>
      </c>
      <c r="C14" s="532" t="inlineStr">
        <is>
          <t>Founder / Producer (Продюсер)</t>
        </is>
      </c>
      <c r="D14" s="729" t="n">
        <v>1750</v>
      </c>
      <c r="E14" s="176" t="n">
        <v>5000</v>
      </c>
      <c r="F14" s="738" t="n">
        <v>50</v>
      </c>
      <c r="G14" s="466" t="n"/>
      <c r="H14" s="729" t="n">
        <v>1750</v>
      </c>
      <c r="I14" s="466" t="n"/>
      <c r="J14" s="514" t="inlineStr">
        <is>
          <t>Pre-money, 50% retained (Доинвестиц., 50% сохранено)</t>
        </is>
      </c>
    </row>
    <row r="15" ht="22" customHeight="1" s="468">
      <c r="B15" s="534" t="inlineStr">
        <is>
          <t>B.2</t>
        </is>
      </c>
      <c r="C15" s="532" t="inlineStr">
        <is>
          <t>T₁ Legacy (Базовый вариант) Investor (Инвестор)</t>
        </is>
      </c>
      <c r="D15" s="729" t="n">
        <v>1250</v>
      </c>
      <c r="E15" s="176" t="n">
        <v>3000</v>
      </c>
      <c r="F15" s="738" t="n">
        <v>30</v>
      </c>
      <c r="G15" s="466" t="n"/>
      <c r="H15" s="729" t="n">
        <v>1050</v>
      </c>
      <c r="I15" s="466" t="n"/>
      <c r="J15" s="514" t="inlineStr">
        <is>
          <t>Senior tranche (транш)</t>
        </is>
      </c>
    </row>
    <row r="16" ht="22" customHeight="1" s="468">
      <c r="B16" s="534" t="inlineStr">
        <is>
          <t>B.3</t>
        </is>
      </c>
      <c r="C16" s="532" t="inlineStr">
        <is>
          <t>T₂ New Investor (Инвестор)</t>
        </is>
      </c>
      <c r="D16" s="729" t="n">
        <v>500</v>
      </c>
      <c r="E16" s="176" t="n">
        <v>2000</v>
      </c>
      <c r="F16" s="738" t="n">
        <v>20</v>
      </c>
      <c r="G16" s="466" t="n"/>
      <c r="H16" s="729" t="n">
        <v>700</v>
      </c>
      <c r="I16" s="466" t="n"/>
      <c r="J16" s="514" t="inlineStr">
        <is>
          <t>Slider 20% equity (доля в капитале)</t>
        </is>
      </c>
    </row>
    <row r="17" ht="22" customHeight="1" s="468">
      <c r="B17" s="533" t="inlineStr">
        <is>
          <t>Σ</t>
        </is>
      </c>
      <c r="C17" s="529" t="inlineStr">
        <is>
          <t>TOTAL (ИТОГО)</t>
        </is>
      </c>
      <c r="D17" s="726" t="n">
        <v>3500</v>
      </c>
      <c r="E17" s="178" t="n">
        <v>10000</v>
      </c>
      <c r="F17" s="739" t="n">
        <v>100</v>
      </c>
      <c r="G17" s="466" t="n"/>
      <c r="H17" s="726" t="n">
        <v>3500</v>
      </c>
      <c r="I17" s="466" t="n"/>
      <c r="J17" s="516" t="inlineStr">
        <is>
          <t>★ Post-money 3 500 млн</t>
        </is>
      </c>
    </row>
    <row r="20" ht="22" customHeight="1" s="468">
      <c r="B20" s="521" t="inlineStr">
        <is>
          <t>III.  FULLY DILUTED (Полное разводнение)  ·  Implied Exit Valuation (Подразумеваемая оценка при выходе)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66" t="n"/>
    </row>
    <row r="21" ht="20" customHeight="1" s="468">
      <c r="B21" s="534" t="inlineStr">
        <is>
          <t>3.1</t>
        </is>
      </c>
      <c r="C21" s="532" t="inlineStr">
        <is>
          <t>Exit EBITDA (прибыль до вычетов) GAAP, Y5 run-rate</t>
        </is>
      </c>
      <c r="D21" s="534" t="inlineStr">
        <is>
          <t>430 млн ₽</t>
        </is>
      </c>
      <c r="E21" s="473" t="n"/>
      <c r="F21" s="466" t="n"/>
      <c r="G21" s="514" t="inlineStr">
        <is>
          <t>Base (Базовый) case год 2030</t>
        </is>
      </c>
      <c r="H21" s="473" t="n"/>
      <c r="I21" s="473" t="n"/>
      <c r="J21" s="466" t="n"/>
    </row>
    <row r="22" ht="20" customHeight="1" s="468">
      <c r="B22" s="534" t="inlineStr">
        <is>
          <t>3.2</t>
        </is>
      </c>
      <c r="C22" s="532" t="inlineStr">
        <is>
          <t>Base (Базовый) multiple (5×)</t>
        </is>
      </c>
      <c r="D22" s="534" t="inlineStr">
        <is>
          <t>5.0 ×</t>
        </is>
      </c>
      <c r="E22" s="473" t="n"/>
      <c r="F22" s="466" t="n"/>
      <c r="G22" s="514" t="inlineStr">
        <is>
          <t>Российский медиа-сектор</t>
        </is>
      </c>
      <c r="H22" s="473" t="n"/>
      <c r="I22" s="473" t="n"/>
      <c r="J22" s="466" t="n"/>
    </row>
    <row r="23" ht="20" customHeight="1" s="468">
      <c r="B23" s="534" t="inlineStr">
        <is>
          <t>3.3</t>
        </is>
      </c>
      <c r="C23" s="532" t="inlineStr">
        <is>
          <t>Implied Enterprise Value (Стоимость предприятия)</t>
        </is>
      </c>
      <c r="D23" s="534" t="inlineStr">
        <is>
          <t>2 150 млн ₽</t>
        </is>
      </c>
      <c r="E23" s="473" t="n"/>
      <c r="F23" s="466" t="n"/>
      <c r="G23" s="514" t="inlineStr">
        <is>
          <t>= EBITDA (прибыль до вычетов) × multiple</t>
        </is>
      </c>
      <c r="H23" s="473" t="n"/>
      <c r="I23" s="473" t="n"/>
      <c r="J23" s="466" t="n"/>
    </row>
    <row r="24" ht="20" customHeight="1" s="468">
      <c r="B24" s="534" t="inlineStr">
        <is>
          <t>3.4</t>
        </is>
      </c>
      <c r="C24" s="532" t="inlineStr">
        <is>
          <t>Less: Net Debt (Долг)</t>
        </is>
      </c>
      <c r="D24" s="534" t="inlineStr">
        <is>
          <t>0 млн ₽</t>
        </is>
      </c>
      <c r="E24" s="473" t="n"/>
      <c r="F24" s="466" t="n"/>
      <c r="G24" s="514" t="inlineStr">
        <is>
          <t>T₁ погашен к 2030</t>
        </is>
      </c>
      <c r="H24" s="473" t="n"/>
      <c r="I24" s="473" t="n"/>
      <c r="J24" s="466" t="n"/>
    </row>
    <row r="25" ht="20" customHeight="1" s="468">
      <c r="B25" s="534" t="inlineStr">
        <is>
          <t>3.5</t>
        </is>
      </c>
      <c r="C25" s="532" t="inlineStr">
        <is>
          <t>Equity (Собственный капитал) value</t>
        </is>
      </c>
      <c r="D25" s="534" t="inlineStr">
        <is>
          <t>2 150 млн ₽</t>
        </is>
      </c>
      <c r="E25" s="473" t="n"/>
      <c r="F25" s="466" t="n"/>
      <c r="G25" s="514" t="inlineStr">
        <is>
          <t>= EV (стоимость предприятия) − Net Debt (Долг)</t>
        </is>
      </c>
      <c r="H25" s="473" t="n"/>
      <c r="I25" s="473" t="n"/>
      <c r="J25" s="466" t="n"/>
    </row>
    <row r="26" ht="20" customHeight="1" s="468">
      <c r="B26" s="534" t="inlineStr">
        <is>
          <t>3.6</t>
        </is>
      </c>
      <c r="C26" s="532" t="inlineStr">
        <is>
          <t>+ NDP (чистые распределяемые поступления) tail (хвостовой период) distributions</t>
        </is>
      </c>
      <c r="D26" s="534" t="inlineStr">
        <is>
          <t>850 млн ₽</t>
        </is>
      </c>
      <c r="E26" s="473" t="n"/>
      <c r="F26" s="466" t="n"/>
      <c r="G26" s="514" t="inlineStr">
        <is>
          <t>Cash (Денежные средства) from 2030-2032</t>
        </is>
      </c>
      <c r="H26" s="473" t="n"/>
      <c r="I26" s="473" t="n"/>
      <c r="J26" s="466" t="n"/>
    </row>
    <row r="27" ht="20" customHeight="1" s="468">
      <c r="B27" s="533" t="inlineStr">
        <is>
          <t>3.7</t>
        </is>
      </c>
      <c r="C27" s="529" t="inlineStr">
        <is>
          <t>Total (Итого) shareholder value</t>
        </is>
      </c>
      <c r="D27" s="533" t="inlineStr">
        <is>
          <t>3 000 млн ₽</t>
        </is>
      </c>
      <c r="E27" s="473" t="n"/>
      <c r="F27" s="466" t="n"/>
      <c r="G27" s="516" t="inlineStr">
        <is>
          <t>★ Matches NDP (чистые распределяемые поступления) anchor (якорь)</t>
        </is>
      </c>
      <c r="H27" s="473" t="n"/>
      <c r="I27" s="473" t="n"/>
      <c r="J27" s="466" t="n"/>
    </row>
    <row r="29" ht="22" customHeight="1" s="468">
      <c r="B29" s="527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510" t="n"/>
      <c r="D29" s="510" t="n"/>
      <c r="E29" s="510" t="n"/>
      <c r="F29" s="510" t="n"/>
      <c r="G29" s="510" t="n"/>
      <c r="H29" s="510" t="n"/>
      <c r="I29" s="510" t="n"/>
      <c r="J29" s="464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topLeftCell="A8" workbookViewId="0">
      <selection activeCell="A1" sqref="A1"/>
    </sheetView>
  </sheetViews>
  <sheetFormatPr baseColWidth="10" defaultColWidth="8.83203125" defaultRowHeight="15"/>
  <cols>
    <col width="3" customWidth="1" style="468" min="1" max="1"/>
    <col width="4" customWidth="1" style="468" min="2" max="2"/>
    <col width="38" customWidth="1" style="468" min="3" max="3"/>
    <col width="14" customWidth="1" style="468" min="4" max="5"/>
    <col width="17.5" customWidth="1" style="468" min="6" max="6"/>
    <col width="14" customWidth="1" style="468" min="7" max="7"/>
    <col width="10.5" customWidth="1" style="468" min="8" max="8"/>
    <col width="32" customWidth="1" style="468" min="9" max="9"/>
    <col width="16" customWidth="1" style="468" min="10" max="10"/>
  </cols>
  <sheetData>
    <row r="2" ht="26" customHeight="1" s="468">
      <c r="B2" s="740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 s="468">
      <c r="B3" s="741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  Revenue (Выручка) pattern (паттерн): A+C 33/45/9/13 (Y2029=33%, Y2030=45%, Y2031=9%, Y2032=13%).</t>
        </is>
      </c>
    </row>
    <row r="5" ht="22" customHeight="1" s="468">
      <c r="B5" s="742" t="inlineStr">
        <is>
          <t>W₁  ·  HURDLE SPLIT  ·  60 / 40 до break-even, затем 50 / 50</t>
        </is>
      </c>
    </row>
    <row r="6">
      <c r="B6" s="389" t="inlineStr">
        <is>
          <t>#</t>
        </is>
      </c>
      <c r="C6" s="389" t="inlineStr">
        <is>
          <t>Stage (Этап)</t>
        </is>
      </c>
      <c r="D6" s="389" t="inlineStr">
        <is>
          <t>Размер стадии</t>
        </is>
      </c>
      <c r="E6" s="389" t="inlineStr">
        <is>
          <t>Инвестор</t>
        </is>
      </c>
      <c r="G6" s="389" t="inlineStr">
        <is>
          <t>Продюсер</t>
        </is>
      </c>
      <c r="I6" s="389" t="inlineStr">
        <is>
          <t>Правило</t>
        </is>
      </c>
    </row>
    <row r="7" ht="30" customHeight="1" s="468">
      <c r="B7" s="534" t="n">
        <v>1</v>
      </c>
      <c r="C7" s="532" t="inlineStr">
        <is>
          <t>Stage (Этап) 1: 60/40 до recoupment T₁ (1 250)</t>
        </is>
      </c>
      <c r="D7" s="390" t="n">
        <v>2083.3</v>
      </c>
      <c r="E7" s="390" t="n">
        <v>1250</v>
      </c>
      <c r="G7" s="390" t="n">
        <v>833.3</v>
      </c>
      <c r="I7" s="532" t="inlineStr">
        <is>
          <t>60% до тех пор пока инвестор не получит 1 250</t>
        </is>
      </c>
    </row>
    <row r="8" ht="30" customHeight="1" s="468">
      <c r="B8" s="534" t="n">
        <v>2</v>
      </c>
      <c r="C8" s="532" t="inlineStr">
        <is>
          <t>Stage (Этап) 2: 50/50 на остаток</t>
        </is>
      </c>
      <c r="D8" s="390" t="n">
        <v>916.7</v>
      </c>
      <c r="E8" s="390" t="n">
        <v>458.3</v>
      </c>
      <c r="G8" s="390" t="n">
        <v>458.3</v>
      </c>
      <c r="I8" s="532" t="inlineStr">
        <is>
          <t>50/50 на оставшиеся 917 млн после recoupment</t>
        </is>
      </c>
    </row>
    <row r="9">
      <c r="B9" s="391" t="inlineStr">
        <is>
          <t>Σ</t>
        </is>
      </c>
      <c r="C9" s="392" t="inlineStr">
        <is>
          <t>TOTAL (ИТОГО) W₁</t>
        </is>
      </c>
      <c r="D9" s="393" t="n">
        <v>3000</v>
      </c>
      <c r="E9" s="393" t="n">
        <v>1708.3</v>
      </c>
      <c r="G9" s="393" t="n">
        <v>1291.7</v>
      </c>
      <c r="I9" s="392" t="inlineStr">
        <is>
          <t>Инвестор 56.9% / Продюсер 43.1%</t>
        </is>
      </c>
    </row>
    <row r="11" ht="22" customHeight="1" s="468">
      <c r="B11" s="742" t="inlineStr">
        <is>
          <t>W₂  ·  PRO-RATA  ·  По доле финансового вклада (67.6% / 32.4%)</t>
        </is>
      </c>
    </row>
    <row r="12">
      <c r="B12" s="389" t="inlineStr">
        <is>
          <t>#</t>
        </is>
      </c>
      <c r="C12" s="389" t="inlineStr">
        <is>
          <t>Stage (Этап)</t>
        </is>
      </c>
      <c r="D12" s="389" t="inlineStr">
        <is>
          <t>Размер стадии</t>
        </is>
      </c>
      <c r="E12" s="389" t="inlineStr">
        <is>
          <t>Инвестор</t>
        </is>
      </c>
      <c r="G12" s="389" t="inlineStr">
        <is>
          <t>Продюсер</t>
        </is>
      </c>
      <c r="I12" s="389" t="inlineStr">
        <is>
          <t>Правило</t>
        </is>
      </c>
    </row>
    <row r="13">
      <c r="B13" s="534" t="n">
        <v>1</v>
      </c>
      <c r="C13" s="532" t="inlineStr">
        <is>
          <t>Pro-rata (пропорц.) инвестор: 1 250 / 1 850 = 67,57%</t>
        </is>
      </c>
      <c r="D13" s="390" t="n">
        <v>2027</v>
      </c>
      <c r="E13" s="390" t="n">
        <v>2027</v>
      </c>
      <c r="G13" s="394" t="n"/>
      <c r="I13" s="532" t="inlineStr">
        <is>
          <t>Доля инвестора: 67.57%</t>
        </is>
      </c>
    </row>
    <row r="14">
      <c r="B14" s="534" t="n">
        <v>2</v>
      </c>
      <c r="C14" s="532" t="inlineStr">
        <is>
          <t>Pro-rata (пропорц.) продюсер: 600 / 1 850 = 32,43%</t>
        </is>
      </c>
      <c r="D14" s="390" t="n">
        <v>973</v>
      </c>
      <c r="E14" s="394" t="n"/>
      <c r="G14" s="390" t="n">
        <v>973</v>
      </c>
      <c r="I14" s="532" t="inlineStr">
        <is>
          <t>Доля продюсера: 32.43%</t>
        </is>
      </c>
    </row>
    <row r="15" ht="30" customHeight="1" s="468">
      <c r="B15" s="391" t="inlineStr">
        <is>
          <t>Σ</t>
        </is>
      </c>
      <c r="C15" s="392" t="inlineStr">
        <is>
          <t>TOTAL (ИТОГО) W₂</t>
        </is>
      </c>
      <c r="D15" s="393" t="n">
        <v>3000</v>
      </c>
      <c r="E15" s="393" t="n">
        <v>2027</v>
      </c>
      <c r="G15" s="393" t="n">
        <v>973</v>
      </c>
      <c r="I15" s="392" t="inlineStr">
        <is>
          <t>Pro-rata даёт больше инвестору (+318 vs W₁)</t>
        </is>
      </c>
    </row>
    <row r="17" ht="22" customHeight="1" s="468">
      <c r="B17" s="743" t="inlineStr">
        <is>
          <t>W₃  ·  LIQ PREF  ·  1× + 8% coupon (купон) + 60/40 на остаток  (★ DEFAULT (ПО УМОЛЧАНИЮ) с v1.0.1)</t>
        </is>
      </c>
    </row>
    <row r="18">
      <c r="B18" s="389" t="inlineStr">
        <is>
          <t>#</t>
        </is>
      </c>
      <c r="C18" s="389" t="inlineStr">
        <is>
          <t>Stage (Этап)</t>
        </is>
      </c>
      <c r="D18" s="389" t="inlineStr">
        <is>
          <t>Размер стадии</t>
        </is>
      </c>
      <c r="E18" s="389" t="inlineStr">
        <is>
          <t>Инвестор</t>
        </is>
      </c>
      <c r="G18" s="389" t="inlineStr">
        <is>
          <t>Продюсер</t>
        </is>
      </c>
      <c r="I18" s="389" t="inlineStr">
        <is>
          <t>Правило</t>
        </is>
      </c>
    </row>
    <row r="19">
      <c r="B19" s="534" t="n">
        <v>1</v>
      </c>
      <c r="C19" s="532" t="inlineStr">
        <is>
          <t>Stage (Этап) 1: 1× Liquidation (Ликвидация) Preference (ликвидационная привилегия) (investor)</t>
        </is>
      </c>
      <c r="D19" s="390" t="n">
        <v>1250</v>
      </c>
      <c r="E19" s="390" t="n">
        <v>1250</v>
      </c>
      <c r="G19" s="390" t="n">
        <v>0</v>
      </c>
      <c r="I19" s="532" t="inlineStr">
        <is>
          <t>Investor (Инвестор) recoups 1 × principal = 1 250</t>
        </is>
      </c>
    </row>
    <row r="20">
      <c r="B20" s="534" t="n">
        <v>2</v>
      </c>
      <c r="C20" s="532" t="inlineStr">
        <is>
          <t>Stage (Этап) 2: 8% coupon (купон) cumulative × 5 лет</t>
        </is>
      </c>
      <c r="D20" s="390" t="n">
        <v>500</v>
      </c>
      <c r="E20" s="390" t="n">
        <v>500</v>
      </c>
      <c r="G20" s="390" t="n">
        <v>0</v>
      </c>
      <c r="I20" s="532" t="inlineStr">
        <is>
          <t>Preferred return (Привилегированная доходность): 1 250 × 8% × 5y = 500</t>
        </is>
      </c>
    </row>
    <row r="21">
      <c r="B21" s="534" t="n">
        <v>3</v>
      </c>
      <c r="C21" s="532" t="inlineStr">
        <is>
          <t>Stage (Этап) 3: 60/40 на остаток</t>
        </is>
      </c>
      <c r="D21" s="390" t="n">
        <v>1250</v>
      </c>
      <c r="E21" s="390" t="n">
        <v>750</v>
      </c>
      <c r="G21" s="390" t="n">
        <v>500</v>
      </c>
      <c r="I21" s="532" t="inlineStr">
        <is>
          <t>Carried interest (премия): 60% инвестор / 40% продюсер</t>
        </is>
      </c>
    </row>
    <row r="22" ht="30" customHeight="1" s="468">
      <c r="B22" s="395" t="inlineStr">
        <is>
          <t>Σ</t>
        </is>
      </c>
      <c r="C22" s="396" t="inlineStr">
        <is>
          <t>TOTAL (ИТОГО) W₃ ★</t>
        </is>
      </c>
      <c r="D22" s="397" t="n">
        <v>3000</v>
      </c>
      <c r="E22" s="397" t="n">
        <v>2500</v>
      </c>
      <c r="F22" s="398" t="n"/>
      <c r="G22" s="397" t="n">
        <v>500</v>
      </c>
      <c r="H22" s="398" t="n"/>
      <c r="I22" s="396" t="inlineStr">
        <is>
          <t>Investor (Инвестор) 83.3% / Producer (Продюсер) 16.7% — BASE CASE</t>
        </is>
      </c>
    </row>
    <row r="24" ht="22" customHeight="1" s="468">
      <c r="B24" s="744" t="inlineStr">
        <is>
          <t>W₄  ·  PREMIUM  ·  1× + 12% preferred × 5y + 65/35 + exit 6× (premium (премия) negotiation)</t>
        </is>
      </c>
    </row>
    <row r="25">
      <c r="B25" s="389" t="inlineStr">
        <is>
          <t>#</t>
        </is>
      </c>
      <c r="C25" s="389" t="inlineStr">
        <is>
          <t>Stage (Этап)</t>
        </is>
      </c>
      <c r="D25" s="389" t="inlineStr">
        <is>
          <t>Размер стадии</t>
        </is>
      </c>
      <c r="E25" s="389" t="inlineStr">
        <is>
          <t>Инвестор</t>
        </is>
      </c>
      <c r="G25" s="389" t="inlineStr">
        <is>
          <t>Продюсер</t>
        </is>
      </c>
      <c r="I25" s="389" t="inlineStr">
        <is>
          <t>Правило</t>
        </is>
      </c>
    </row>
    <row r="26">
      <c r="B26" s="534" t="n">
        <v>1</v>
      </c>
      <c r="C26" s="532" t="inlineStr">
        <is>
          <t>Stage (Этап) 1: 1× Liquidation (Ликвидация) Preference (ликвидационная привилегия) (investor)</t>
        </is>
      </c>
      <c r="D26" s="390" t="n">
        <v>1250</v>
      </c>
      <c r="E26" s="390" t="n">
        <v>1250</v>
      </c>
      <c r="G26" s="390" t="n">
        <v>0</v>
      </c>
      <c r="I26" s="532" t="inlineStr">
        <is>
          <t>Investor (Инвестор) recoups 1 × principal = 1 250</t>
        </is>
      </c>
    </row>
    <row r="27">
      <c r="B27" s="534" t="n">
        <v>2</v>
      </c>
      <c r="C27" s="532" t="inlineStr">
        <is>
          <t>Stage (Этап) 2: 12% preferred return × 5 лет</t>
        </is>
      </c>
      <c r="D27" s="390" t="n">
        <v>750</v>
      </c>
      <c r="E27" s="390" t="n">
        <v>750</v>
      </c>
      <c r="G27" s="390" t="n">
        <v>0</v>
      </c>
      <c r="I27" s="532" t="inlineStr">
        <is>
          <t>Accrued preferred (Накопленный привилегированный доход): 1 250 × 12% × 5y = 750</t>
        </is>
      </c>
    </row>
    <row r="28">
      <c r="B28" s="534" t="n">
        <v>3</v>
      </c>
      <c r="C28" s="532" t="inlineStr">
        <is>
          <t>Stage (Этап) 3: 65/35 carry на остаток (1 000)</t>
        </is>
      </c>
      <c r="D28" s="390" t="n">
        <v>1000</v>
      </c>
      <c r="E28" s="390" t="n">
        <v>650</v>
      </c>
      <c r="G28" s="390" t="n">
        <v>350</v>
      </c>
      <c r="I28" s="532" t="inlineStr">
        <is>
          <t>Carry (премия): 65% инвестор / 35% продюсер</t>
        </is>
      </c>
    </row>
    <row r="29" ht="30" customHeight="1" s="468">
      <c r="B29" s="391" t="inlineStr">
        <is>
          <t>Σ</t>
        </is>
      </c>
      <c r="C29" s="392" t="inlineStr">
        <is>
          <t>TOTAL (ИТОГО) W₄</t>
        </is>
      </c>
      <c r="D29" s="393" t="n">
        <v>3000</v>
      </c>
      <c r="E29" s="393" t="n">
        <v>2650</v>
      </c>
      <c r="G29" s="393" t="n">
        <v>350</v>
      </c>
      <c r="I29" s="392" t="inlineStr">
        <is>
          <t>Investor (Инвестор) 88.3% / Producer (Продюсер) 11.7% — PREMIUM</t>
        </is>
      </c>
    </row>
    <row r="31" ht="22" customHeight="1" s="468">
      <c r="B31" s="742" t="inlineStr">
        <is>
          <t>IV  ·  COMPARISON TABLE  ·  4 варианта (IRR (внутренняя норма доходности) — см. 24_Investor_Returns)</t>
        </is>
      </c>
    </row>
    <row r="32">
      <c r="B32" s="389" t="inlineStr">
        <is>
          <t>#</t>
        </is>
      </c>
      <c r="C32" s="389" t="inlineStr">
        <is>
          <t>Вариант</t>
        </is>
      </c>
      <c r="D32" s="389" t="inlineStr">
        <is>
          <t>Инвестор, млн ₽</t>
        </is>
      </c>
      <c r="E32" s="389" t="inlineStr">
        <is>
          <t>Инв %</t>
        </is>
      </c>
      <c r="F32" s="389" t="inlineStr">
        <is>
          <t>Продюсер, млн ₽</t>
        </is>
      </c>
      <c r="G32" s="389" t="inlineStr">
        <is>
          <t>Прод %</t>
        </is>
      </c>
      <c r="H32" s="389" t="inlineStr">
        <is>
          <t>MoIC</t>
        </is>
      </c>
      <c r="I32" s="389" t="inlineStr">
        <is>
          <t>Комментарий</t>
        </is>
      </c>
    </row>
    <row r="33">
      <c r="B33" s="534" t="inlineStr">
        <is>
          <t>W₁</t>
        </is>
      </c>
      <c r="C33" s="532" t="inlineStr">
        <is>
          <t>Hurdle (Порог) 60/40 → 50/50</t>
        </is>
      </c>
      <c r="D33" s="390" t="n">
        <v>1708.3</v>
      </c>
      <c r="E33" s="738" t="n">
        <v>56.9</v>
      </c>
      <c r="F33" s="390" t="n">
        <v>1291.7</v>
      </c>
      <c r="G33" s="738" t="n">
        <v>43.1</v>
      </c>
      <c r="H33" s="745" t="n">
        <v>1.367</v>
      </c>
      <c r="I33" s="532" t="inlineStr">
        <is>
          <t>Producer (Продюсер)-friendly, weakest for LP (ограниченный партнёр)</t>
        </is>
      </c>
    </row>
    <row r="34">
      <c r="B34" s="534" t="inlineStr">
        <is>
          <t>W₂</t>
        </is>
      </c>
      <c r="C34" s="532" t="inlineStr">
        <is>
          <t>Pro-rata по вкладу</t>
        </is>
      </c>
      <c r="D34" s="390" t="n">
        <v>2027</v>
      </c>
      <c r="E34" s="738" t="n">
        <v>67.59999999999999</v>
      </c>
      <c r="F34" s="390" t="n">
        <v>973</v>
      </c>
      <c r="G34" s="738" t="n">
        <v>32.4</v>
      </c>
      <c r="H34" s="745" t="n">
        <v>1.622</v>
      </c>
      <c r="I34" s="532" t="inlineStr">
        <is>
          <t>Fair by capital (капитал), no hurdle (порог)</t>
        </is>
      </c>
    </row>
    <row r="35">
      <c r="B35" s="400" t="inlineStr">
        <is>
          <t>W₃</t>
        </is>
      </c>
      <c r="C35" s="401" t="inlineStr">
        <is>
          <t>1× Liq Pref (Ликвидационная привилегия) + 8% + 60/40</t>
        </is>
      </c>
      <c r="D35" s="402" t="n">
        <v>2500</v>
      </c>
      <c r="E35" s="746" t="n">
        <v>83.3</v>
      </c>
      <c r="F35" s="402" t="n">
        <v>500</v>
      </c>
      <c r="G35" s="746" t="n">
        <v>16.7</v>
      </c>
      <c r="H35" s="747" t="n">
        <v>2</v>
      </c>
      <c r="I35" s="401" t="inlineStr">
        <is>
          <t>★ DEFAULT (ПО УМОЛЧАНИЮ) — LP (ограниченный партнёр) downside protection</t>
        </is>
      </c>
    </row>
    <row r="36">
      <c r="B36" s="534" t="inlineStr">
        <is>
          <t>W₄</t>
        </is>
      </c>
      <c r="C36" s="532" t="inlineStr">
        <is>
          <t>1× Liq Pref (Ликвидационная привилегия) + 12% + 65/35</t>
        </is>
      </c>
      <c r="D36" s="390" t="n">
        <v>2650</v>
      </c>
      <c r="E36" s="738" t="n">
        <v>88.33333333333333</v>
      </c>
      <c r="F36" s="390" t="n">
        <v>350</v>
      </c>
      <c r="G36" s="738" t="n">
        <v>11.66666666666667</v>
      </c>
      <c r="H36" s="745" t="n">
        <v>2.12</v>
      </c>
      <c r="I36" s="532" t="inlineStr">
        <is>
          <t>Premium (Премия) negotiation option</t>
        </is>
      </c>
    </row>
    <row r="38">
      <c r="B38" s="748" t="inlineStr">
        <is>
          <t>✓ W₁ Σ = 3 000.0  ·  ✓ W₂ Σ = 3 000.0  ·  ✓ W₃ Σ = 3 000.0 (★ DEFAULT (ПО УМОЛЧАНИЮ))  ·  ✓ W₄ Σ = 3,000.0  |  IRR (внутренняя норма доходности) W₃ A+C: Base (Базовый) 20.09%, Bear (Пессимистичный) 9.34%, Bull (Оптимистичный) 28.78% (см. 24_Investor_Returns Matrix 5×4)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22" customWidth="1" style="468" min="3" max="3"/>
    <col width="14" customWidth="1" style="468" min="4" max="4"/>
    <col width="10" customWidth="1" style="468" min="5" max="6"/>
    <col width="11" customWidth="1" style="468" min="7" max="9"/>
    <col width="10" customWidth="1" style="468" min="10" max="10"/>
    <col width="9" customWidth="1" style="468" min="11" max="11"/>
    <col width="11" customWidth="1" style="468" min="12" max="12"/>
    <col width="12" customWidth="1" style="468" min="13" max="14"/>
    <col width="10" customWidth="1" style="468" min="15" max="15"/>
  </cols>
  <sheetData>
    <row r="2">
      <c r="B2" s="749" t="inlineStr">
        <is>
          <t>ЮНИТ-ЭКОНОМИКА НА ФИЛЬМ — ПОРТФЕЛЬ 12 ФИЛЬМОВ 2026–2028</t>
        </is>
      </c>
    </row>
    <row r="3"/>
    <row r="4">
      <c r="B4" s="722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 ht="30" customHeight="1" s="468">
      <c r="B6" s="562" t="inlineStr">
        <is>
          <t>№</t>
        </is>
      </c>
      <c r="C6" s="562" t="inlineStr">
        <is>
          <t>Название</t>
        </is>
      </c>
      <c r="D6" s="562" t="inlineStr">
        <is>
          <t>Жанр</t>
        </is>
      </c>
      <c r="E6" s="562" t="inlineStr">
        <is>
          <t>Релиз</t>
        </is>
      </c>
      <c r="F6" s="562" t="inlineStr">
        <is>
          <t>Бюджет</t>
        </is>
      </c>
      <c r="G6" s="562" t="inlineStr">
        <is>
          <t>P&amp;A (тиражирование и реклама)</t>
        </is>
      </c>
      <c r="H6" s="562" t="inlineStr">
        <is>
          <t>Total (Итого) Cost</t>
        </is>
      </c>
      <c r="I6" s="562" t="inlineStr">
        <is>
          <t>Revenue (Выручка)
(lifetime)</t>
        </is>
      </c>
      <c r="J6" s="562" t="inlineStr">
        <is>
          <t>Gross
Profit (Прибыль)</t>
        </is>
      </c>
      <c r="K6" s="562" t="inlineStr">
        <is>
          <t>Margin (Маржа)</t>
        </is>
      </c>
      <c r="L6" s="562" t="inlineStr">
        <is>
          <t>Multiple (Мультипликатор)</t>
        </is>
      </c>
      <c r="M6" s="562" t="inlineStr">
        <is>
          <t>ROI (возврат на инвестиции)</t>
        </is>
      </c>
      <c r="N6" s="562" t="inlineStr">
        <is>
          <t>Payback (Окупаемость) (Q)</t>
        </is>
      </c>
      <c r="O6" s="562" t="inlineStr">
        <is>
          <t>Risk (Риск)</t>
        </is>
      </c>
    </row>
    <row r="7">
      <c r="B7" s="534" t="inlineStr">
        <is>
          <t>F01</t>
        </is>
      </c>
      <c r="C7" s="532" t="inlineStr">
        <is>
          <t>Родные стены</t>
        </is>
      </c>
      <c r="D7" s="532" t="inlineStr">
        <is>
          <t>Драма</t>
        </is>
      </c>
      <c r="E7" s="534" t="inlineStr">
        <is>
          <t>Q4'26</t>
        </is>
      </c>
      <c r="F7" s="729" t="n">
        <v>150</v>
      </c>
      <c r="G7" s="729" t="n">
        <v>22.5</v>
      </c>
      <c r="H7" s="729" t="n">
        <v>172.5</v>
      </c>
      <c r="I7" s="729" t="n">
        <v>405.9</v>
      </c>
      <c r="J7" s="729" t="n">
        <v>233.4</v>
      </c>
      <c r="K7" s="750" t="n">
        <v>57.50184774575019</v>
      </c>
      <c r="L7" s="751" t="n">
        <v>2.706</v>
      </c>
      <c r="M7" s="750" t="n">
        <v>135.304347826087</v>
      </c>
      <c r="N7" s="752" t="n">
        <v>3.4</v>
      </c>
      <c r="O7" s="141" t="inlineStr">
        <is>
          <t>Low</t>
        </is>
      </c>
    </row>
    <row r="8">
      <c r="B8" s="534" t="inlineStr">
        <is>
          <t>F02</t>
        </is>
      </c>
      <c r="C8" s="532" t="inlineStr">
        <is>
          <t>Два сердца</t>
        </is>
      </c>
      <c r="D8" s="532" t="inlineStr">
        <is>
          <t>Мелодрама</t>
        </is>
      </c>
      <c r="E8" s="534" t="inlineStr">
        <is>
          <t>Q1'27</t>
        </is>
      </c>
      <c r="F8" s="729" t="n">
        <v>100</v>
      </c>
      <c r="G8" s="729" t="n">
        <v>15</v>
      </c>
      <c r="H8" s="729" t="n">
        <v>115</v>
      </c>
      <c r="I8" s="729" t="n">
        <v>309.3</v>
      </c>
      <c r="J8" s="729" t="n">
        <v>194.3</v>
      </c>
      <c r="K8" s="750" t="n">
        <v>62.81926931781442</v>
      </c>
      <c r="L8" s="751" t="n">
        <v>3.093</v>
      </c>
      <c r="M8" s="750" t="n">
        <v>168.9565217391304</v>
      </c>
      <c r="N8" s="752" t="n">
        <v>3</v>
      </c>
      <c r="O8" s="141" t="inlineStr">
        <is>
          <t>Low</t>
        </is>
      </c>
    </row>
    <row r="9">
      <c r="B9" s="534" t="inlineStr">
        <is>
          <t>F03</t>
        </is>
      </c>
      <c r="C9" s="532" t="inlineStr">
        <is>
          <t>Ночной патруль</t>
        </is>
      </c>
      <c r="D9" s="532" t="inlineStr">
        <is>
          <t>Экшн</t>
        </is>
      </c>
      <c r="E9" s="534" t="inlineStr">
        <is>
          <t>Q2'27</t>
        </is>
      </c>
      <c r="F9" s="729" t="n">
        <v>220</v>
      </c>
      <c r="G9" s="729" t="n">
        <v>33</v>
      </c>
      <c r="H9" s="729" t="n">
        <v>253</v>
      </c>
      <c r="I9" s="729" t="n">
        <v>659.1</v>
      </c>
      <c r="J9" s="729" t="n">
        <v>406.1</v>
      </c>
      <c r="K9" s="750" t="n">
        <v>61.61432256106812</v>
      </c>
      <c r="L9" s="751" t="n">
        <v>2.995909090909091</v>
      </c>
      <c r="M9" s="750" t="n">
        <v>160.5138339920949</v>
      </c>
      <c r="N9" s="752" t="n">
        <v>3.5</v>
      </c>
      <c r="O9" s="175" t="inlineStr">
        <is>
          <t>Medium (Средний)</t>
        </is>
      </c>
    </row>
    <row r="10">
      <c r="B10" s="534" t="inlineStr">
        <is>
          <t>F04</t>
        </is>
      </c>
      <c r="C10" s="532" t="inlineStr">
        <is>
          <t>Последний экзамен</t>
        </is>
      </c>
      <c r="D10" s="532" t="inlineStr">
        <is>
          <t>Комедия</t>
        </is>
      </c>
      <c r="E10" s="534" t="inlineStr">
        <is>
          <t>Q2'27</t>
        </is>
      </c>
      <c r="F10" s="729" t="n">
        <v>90</v>
      </c>
      <c r="G10" s="729" t="n">
        <v>13.5</v>
      </c>
      <c r="H10" s="729" t="n">
        <v>103.5</v>
      </c>
      <c r="I10" s="729" t="n">
        <v>304.4</v>
      </c>
      <c r="J10" s="729" t="n">
        <v>200.9</v>
      </c>
      <c r="K10" s="750" t="n">
        <v>65.99868593955323</v>
      </c>
      <c r="L10" s="751" t="n">
        <v>3.382222222222222</v>
      </c>
      <c r="M10" s="750" t="n">
        <v>194.1062801932367</v>
      </c>
      <c r="N10" s="752" t="n">
        <v>2.7</v>
      </c>
      <c r="O10" s="141" t="inlineStr">
        <is>
          <t>Low</t>
        </is>
      </c>
    </row>
    <row r="11">
      <c r="B11" s="534" t="inlineStr">
        <is>
          <t>F05</t>
        </is>
      </c>
      <c r="C11" s="532" t="inlineStr">
        <is>
          <t>Время героев</t>
        </is>
      </c>
      <c r="D11" s="532" t="inlineStr">
        <is>
          <t>Блокбастер</t>
        </is>
      </c>
      <c r="E11" s="534" t="inlineStr">
        <is>
          <t>Q3'27</t>
        </is>
      </c>
      <c r="F11" s="729" t="n">
        <v>250</v>
      </c>
      <c r="G11" s="729" t="n">
        <v>37.5</v>
      </c>
      <c r="H11" s="729" t="n">
        <v>287.5</v>
      </c>
      <c r="I11" s="729" t="n">
        <v>797.4</v>
      </c>
      <c r="J11" s="729" t="n">
        <v>509.9</v>
      </c>
      <c r="K11" s="750" t="n">
        <v>63.94532229746677</v>
      </c>
      <c r="L11" s="751" t="n">
        <v>3.1896</v>
      </c>
      <c r="M11" s="750" t="n">
        <v>177.3565217391304</v>
      </c>
      <c r="N11" s="752" t="n">
        <v>3.6</v>
      </c>
      <c r="O11" s="150" t="inlineStr">
        <is>
          <t>High (Высокий)</t>
        </is>
      </c>
    </row>
    <row r="12">
      <c r="B12" s="534" t="inlineStr">
        <is>
          <t>F06</t>
        </is>
      </c>
      <c r="C12" s="532" t="inlineStr">
        <is>
          <t>Красная заря</t>
        </is>
      </c>
      <c r="D12" s="532" t="inlineStr">
        <is>
          <t>Исторический</t>
        </is>
      </c>
      <c r="E12" s="534" t="inlineStr">
        <is>
          <t>Q4'27</t>
        </is>
      </c>
      <c r="F12" s="729" t="n">
        <v>180</v>
      </c>
      <c r="G12" s="729" t="n">
        <v>27</v>
      </c>
      <c r="H12" s="729" t="n">
        <v>207</v>
      </c>
      <c r="I12" s="729" t="n">
        <v>504.5</v>
      </c>
      <c r="J12" s="729" t="n">
        <v>297.5</v>
      </c>
      <c r="K12" s="750" t="n">
        <v>58.96927651139742</v>
      </c>
      <c r="L12" s="751" t="n">
        <v>2.802777777777778</v>
      </c>
      <c r="M12" s="750" t="n">
        <v>143.719806763285</v>
      </c>
      <c r="N12" s="752" t="n">
        <v>3.7</v>
      </c>
      <c r="O12" s="175" t="inlineStr">
        <is>
          <t>Medium (Средний)</t>
        </is>
      </c>
    </row>
    <row r="13">
      <c r="B13" s="534" t="inlineStr">
        <is>
          <t>F07</t>
        </is>
      </c>
      <c r="C13" s="532" t="inlineStr">
        <is>
          <t>Сказка наяву</t>
        </is>
      </c>
      <c r="D13" s="532" t="inlineStr">
        <is>
          <t>Семейный</t>
        </is>
      </c>
      <c r="E13" s="534" t="inlineStr">
        <is>
          <t>Q1'28</t>
        </is>
      </c>
      <c r="F13" s="729" t="n">
        <v>170</v>
      </c>
      <c r="G13" s="729" t="n">
        <v>25.5</v>
      </c>
      <c r="H13" s="729" t="n">
        <v>195.5</v>
      </c>
      <c r="I13" s="729" t="n">
        <v>558.6</v>
      </c>
      <c r="J13" s="729" t="n">
        <v>363.1</v>
      </c>
      <c r="K13" s="750" t="n">
        <v>65.00179018976011</v>
      </c>
      <c r="L13" s="751" t="n">
        <v>3.285882352941177</v>
      </c>
      <c r="M13" s="750" t="n">
        <v>185.7289002557545</v>
      </c>
      <c r="N13" s="752" t="n">
        <v>2.8</v>
      </c>
      <c r="O13" s="141" t="inlineStr">
        <is>
          <t>Low</t>
        </is>
      </c>
    </row>
    <row r="14">
      <c r="B14" s="534" t="inlineStr">
        <is>
          <t>F08</t>
        </is>
      </c>
      <c r="C14" s="532" t="inlineStr">
        <is>
          <t>Неизвестный герой</t>
        </is>
      </c>
      <c r="D14" s="532" t="inlineStr">
        <is>
          <t>Биография</t>
        </is>
      </c>
      <c r="E14" s="534" t="inlineStr">
        <is>
          <t>Q2'28</t>
        </is>
      </c>
      <c r="F14" s="729" t="n">
        <v>130</v>
      </c>
      <c r="G14" s="729" t="n">
        <v>19.5</v>
      </c>
      <c r="H14" s="729" t="n">
        <v>149.5</v>
      </c>
      <c r="I14" s="729" t="n">
        <v>351.8</v>
      </c>
      <c r="J14" s="729" t="n">
        <v>202.3</v>
      </c>
      <c r="K14" s="750" t="n">
        <v>57.50426378624218</v>
      </c>
      <c r="L14" s="751" t="n">
        <v>2.706153846153846</v>
      </c>
      <c r="M14" s="750" t="n">
        <v>135.3177257525084</v>
      </c>
      <c r="N14" s="752" t="n">
        <v>3.8</v>
      </c>
      <c r="O14" s="175" t="inlineStr">
        <is>
          <t>Medium (Средний)</t>
        </is>
      </c>
    </row>
    <row r="15">
      <c r="B15" s="534" t="inlineStr">
        <is>
          <t>F09</t>
        </is>
      </c>
      <c r="C15" s="532" t="inlineStr">
        <is>
          <t>Моё дело</t>
        </is>
      </c>
      <c r="D15" s="532" t="inlineStr">
        <is>
          <t>Комедия</t>
        </is>
      </c>
      <c r="E15" s="534" t="inlineStr">
        <is>
          <t>Q2'28</t>
        </is>
      </c>
      <c r="F15" s="729" t="n">
        <v>80</v>
      </c>
      <c r="G15" s="729" t="n">
        <v>12</v>
      </c>
      <c r="H15" s="729" t="n">
        <v>92</v>
      </c>
      <c r="I15" s="729" t="n">
        <v>278.3</v>
      </c>
      <c r="J15" s="729" t="n">
        <v>186.3</v>
      </c>
      <c r="K15" s="750" t="n">
        <v>66.94214876033058</v>
      </c>
      <c r="L15" s="751" t="n">
        <v>3.47875</v>
      </c>
      <c r="M15" s="750" t="n">
        <v>202.5</v>
      </c>
      <c r="N15" s="752" t="n">
        <v>2.6</v>
      </c>
      <c r="O15" s="141" t="inlineStr">
        <is>
          <t>Low</t>
        </is>
      </c>
    </row>
    <row r="16">
      <c r="B16" s="534" t="inlineStr">
        <is>
          <t>F10</t>
        </is>
      </c>
      <c r="C16" s="532" t="inlineStr">
        <is>
          <t>Северный ветер</t>
        </is>
      </c>
      <c r="D16" s="532" t="inlineStr">
        <is>
          <t>Приключения</t>
        </is>
      </c>
      <c r="E16" s="534" t="inlineStr">
        <is>
          <t>Q3'28</t>
        </is>
      </c>
      <c r="F16" s="729" t="n">
        <v>180</v>
      </c>
      <c r="G16" s="729" t="n">
        <v>27</v>
      </c>
      <c r="H16" s="729" t="n">
        <v>207</v>
      </c>
      <c r="I16" s="729" t="n">
        <v>539.3</v>
      </c>
      <c r="J16" s="729" t="n">
        <v>332.3</v>
      </c>
      <c r="K16" s="750" t="n">
        <v>61.61691081030967</v>
      </c>
      <c r="L16" s="751" t="n">
        <v>2.996111111111111</v>
      </c>
      <c r="M16" s="750" t="n">
        <v>160.5314009661836</v>
      </c>
      <c r="N16" s="752" t="n">
        <v>3.5</v>
      </c>
      <c r="O16" s="175" t="inlineStr">
        <is>
          <t>Medium (Средний)</t>
        </is>
      </c>
    </row>
    <row r="17">
      <c r="B17" s="534" t="inlineStr">
        <is>
          <t>F11</t>
        </is>
      </c>
      <c r="C17" s="532" t="inlineStr">
        <is>
          <t>Полдень</t>
        </is>
      </c>
      <c r="D17" s="532" t="inlineStr">
        <is>
          <t>Триллер</t>
        </is>
      </c>
      <c r="E17" s="534" t="inlineStr">
        <is>
          <t>Q3'28</t>
        </is>
      </c>
      <c r="F17" s="729" t="n">
        <v>140</v>
      </c>
      <c r="G17" s="729" t="n">
        <v>21</v>
      </c>
      <c r="H17" s="729" t="n">
        <v>161</v>
      </c>
      <c r="I17" s="729" t="n">
        <v>399.2</v>
      </c>
      <c r="J17" s="729" t="n">
        <v>238.2</v>
      </c>
      <c r="K17" s="750" t="n">
        <v>59.66933867735471</v>
      </c>
      <c r="L17" s="751" t="n">
        <v>2.851428571428571</v>
      </c>
      <c r="M17" s="750" t="n">
        <v>147.9503105590062</v>
      </c>
      <c r="N17" s="752" t="n">
        <v>3.6</v>
      </c>
      <c r="O17" s="175" t="inlineStr">
        <is>
          <t>Medium (Средний)</t>
        </is>
      </c>
    </row>
    <row r="18">
      <c r="B18" s="534" t="inlineStr">
        <is>
          <t>F12</t>
        </is>
      </c>
      <c r="C18" s="532" t="inlineStr">
        <is>
          <t>Горизонт событий</t>
        </is>
      </c>
      <c r="D18" s="532" t="inlineStr">
        <is>
          <t>Фантастика</t>
        </is>
      </c>
      <c r="E18" s="534" t="inlineStr">
        <is>
          <t>Q4'28</t>
        </is>
      </c>
      <c r="F18" s="729" t="n">
        <v>160</v>
      </c>
      <c r="G18" s="729" t="n">
        <v>24</v>
      </c>
      <c r="H18" s="729" t="n">
        <v>184</v>
      </c>
      <c r="I18" s="729" t="n">
        <v>487.1</v>
      </c>
      <c r="J18" s="729" t="n">
        <v>303.1</v>
      </c>
      <c r="K18" s="750" t="n">
        <v>62.22541572572368</v>
      </c>
      <c r="L18" s="751" t="n">
        <v>3.044375</v>
      </c>
      <c r="M18" s="750" t="n">
        <v>164.7282608695652</v>
      </c>
      <c r="N18" s="752" t="n">
        <v>3.8</v>
      </c>
      <c r="O18" s="150" t="inlineStr">
        <is>
          <t>High (Высокий)</t>
        </is>
      </c>
    </row>
    <row r="19">
      <c r="B19" s="753" t="inlineStr">
        <is>
          <t>ИТОГО ПОРТФЕЛЬ (12 фильмов)</t>
        </is>
      </c>
      <c r="E19" s="184" t="n"/>
      <c r="F19" s="725" t="n">
        <v>1850</v>
      </c>
      <c r="G19" s="725" t="n">
        <v>277.5</v>
      </c>
      <c r="H19" s="725" t="n">
        <v>2127.5</v>
      </c>
      <c r="I19" s="725" t="n">
        <v>5594.900000000001</v>
      </c>
      <c r="J19" s="725" t="n">
        <v>3467.4</v>
      </c>
      <c r="K19" s="754" t="n">
        <v>61.97429802141235</v>
      </c>
      <c r="L19" s="755" t="n">
        <v>3.024270270270271</v>
      </c>
      <c r="M19" s="754" t="n">
        <v>162.9800235017626</v>
      </c>
      <c r="N19" s="756" t="n">
        <v>3.333333333333334</v>
      </c>
      <c r="O19" s="184" t="n"/>
    </row>
    <row r="22">
      <c r="B22" s="757" t="inlineStr">
        <is>
          <t>КЛЮЧЕВЫЕ ИНСАЙТЫ UNIT ECONOMICS</t>
        </is>
      </c>
    </row>
    <row r="23">
      <c r="B23" s="758" t="inlineStr">
        <is>
          <t>Σ Total (Итого) Cost / Σ COGS (себестоимость)</t>
        </is>
      </c>
      <c r="F23" s="759" t="inlineStr">
        <is>
          <t>2127.5 млн ₽ = 2 127.5 млн ₽ (matches P&amp;L COGS (себестоимость))</t>
        </is>
      </c>
    </row>
    <row r="24">
      <c r="B24" s="758" t="inlineStr">
        <is>
          <t>Σ Revenue (Выручка) lifetime</t>
        </is>
      </c>
      <c r="F24" s="759" t="inlineStr">
        <is>
          <t>5594.9 млн ₽ = 4 545 (2026-2028) + 1 050 (tail (хвостовой период) 2029-32)</t>
        </is>
      </c>
    </row>
    <row r="25">
      <c r="B25" s="758" t="inlineStr">
        <is>
          <t>Portfolio Gross Margin (Маржа)</t>
        </is>
      </c>
      <c r="F25" s="759" t="inlineStr">
        <is>
          <t>62,0% (отраслевой бенчмарк: 55–65%)</t>
        </is>
      </c>
    </row>
    <row r="26">
      <c r="B26" s="758" t="inlineStr">
        <is>
          <t>Portfolio Multiple (Мультипликатор)</t>
        </is>
      </c>
      <c r="F26" s="759" t="inlineStr">
        <is>
          <t>3,02× (безубыточность 1,2×, цель 2,5×)</t>
        </is>
      </c>
    </row>
    <row r="27">
      <c r="B27" s="758" t="inlineStr">
        <is>
          <t>Portfolio ROI (возврат на инвестиции)</t>
        </is>
      </c>
      <c r="F27" s="759" t="inlineStr">
        <is>
          <t>163.0% (hurdle (порог) rate 40%, target 60%)</t>
        </is>
      </c>
    </row>
    <row r="28">
      <c r="B28" s="758" t="inlineStr">
        <is>
          <t>Средняя окупаемость (Окупаемость) (Средний срок окупаемости)</t>
        </is>
      </c>
      <c r="F28" s="759" t="inlineStr">
        <is>
          <t>3.3 Q (target ≤ 6 кварталов)</t>
        </is>
      </c>
    </row>
    <row r="29">
      <c r="B29" s="758" t="inlineStr">
        <is>
          <t>Высокорисковые фильмы (Высокорисковые фильмы)</t>
        </is>
      </c>
      <c r="F29" s="759" t="inlineStr">
        <is>
          <t>2 из 12 (Время героев 250, Горизонт событий 160)</t>
        </is>
      </c>
    </row>
    <row r="30">
      <c r="B30" s="758" t="inlineStr">
        <is>
          <t>Концентрация (Концентрация)</t>
        </is>
      </c>
      <c r="F30" s="759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8:E28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6:O26"/>
    <mergeCell ref="B2:O3"/>
    <mergeCell ref="B29:E29"/>
    <mergeCell ref="F23:O23"/>
  </mergeCells>
  <printOptions horizontalCentered="1"/>
  <pageMargins left="0.59" right="0.59" top="0.59" bottom="0.59" header="0.3" footer="0.3"/>
  <pageSetup orientation="landscape" paperSize="8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6" customWidth="1" style="468" min="3" max="3"/>
    <col width="13" customWidth="1" style="468" min="4" max="10"/>
  </cols>
  <sheetData>
    <row r="2">
      <c r="B2" s="749" t="inlineStr">
        <is>
          <t>KPI (ключевые показатели) DASHBOARD — ИНВЕСТОРСКАЯ СВОДКА ПО ГОДАМ</t>
        </is>
      </c>
    </row>
    <row r="3"/>
    <row r="4">
      <c r="B4" s="722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 s="468">
      <c r="B6" s="562" t="inlineStr">
        <is>
          <t>#</t>
        </is>
      </c>
      <c r="C6" s="562" t="inlineStr">
        <is>
          <t>Метрика</t>
        </is>
      </c>
      <c r="D6" s="562" t="inlineStr">
        <is>
          <t>2026</t>
        </is>
      </c>
      <c r="E6" s="562" t="inlineStr">
        <is>
          <t>2027</t>
        </is>
      </c>
      <c r="F6" s="562" t="inlineStr">
        <is>
          <t>2028</t>
        </is>
      </c>
      <c r="G6" s="562" t="inlineStr">
        <is>
          <t>Σ 3 года</t>
        </is>
      </c>
      <c r="H6" s="562" t="inlineStr">
        <is>
          <t>Tail (Хвостовой период) 29-32</t>
        </is>
      </c>
      <c r="I6" s="562" t="inlineStr">
        <is>
          <t>Σ Жизненный цикл</t>
        </is>
      </c>
      <c r="J6" s="562" t="inlineStr">
        <is>
          <t>Scenario (Сценарий)</t>
        </is>
      </c>
    </row>
    <row r="7">
      <c r="B7" s="757" t="inlineStr">
        <is>
          <t>I.  ВЫРУЧКА (ВЫРУЧКА) &amp; GROWTH</t>
        </is>
      </c>
    </row>
    <row r="8">
      <c r="B8" s="534" t="inlineStr">
        <is>
          <t>1.1</t>
        </is>
      </c>
      <c r="C8" s="556" t="inlineStr">
        <is>
          <t>Revenue (Выручка), млн ₽</t>
        </is>
      </c>
      <c r="D8" s="729" t="n">
        <v>385</v>
      </c>
      <c r="E8" s="729" t="n">
        <v>1665</v>
      </c>
      <c r="F8" s="729" t="n">
        <v>2495</v>
      </c>
      <c r="G8" s="760" t="n">
        <v>4545</v>
      </c>
      <c r="H8" s="729" t="n">
        <v>1050</v>
      </c>
      <c r="I8" s="729" t="n">
        <v>5595</v>
      </c>
      <c r="J8" s="188" t="inlineStr">
        <is>
          <t>Base (Базовый)</t>
        </is>
      </c>
    </row>
    <row r="9">
      <c r="B9" s="534" t="inlineStr">
        <is>
          <t>1.2</t>
        </is>
      </c>
      <c r="C9" s="556" t="inlineStr">
        <is>
          <t>Revenue (Выручка) YoY growth</t>
        </is>
      </c>
      <c r="D9" s="189" t="inlineStr">
        <is>
          <t>—</t>
        </is>
      </c>
      <c r="E9" s="189" t="inlineStr">
        <is>
          <t>332%</t>
        </is>
      </c>
      <c r="F9" s="189" t="inlineStr">
        <is>
          <t>50%</t>
        </is>
      </c>
      <c r="G9" s="190" t="inlineStr">
        <is>
          <t>CAGR (среднегодовой темп роста) 155%</t>
        </is>
      </c>
      <c r="H9" s="189" t="inlineStr">
        <is>
          <t>—</t>
        </is>
      </c>
      <c r="I9" s="189" t="inlineStr">
        <is>
          <t>—</t>
        </is>
      </c>
      <c r="J9" s="188" t="inlineStr">
        <is>
          <t>Base (Базовый)</t>
        </is>
      </c>
    </row>
    <row r="10">
      <c r="B10" s="534" t="inlineStr">
        <is>
          <t>1.3</t>
        </is>
      </c>
      <c r="C10" s="556" t="inlineStr">
        <is>
          <t>Выпущено фильмов (Выпущено фильмов)</t>
        </is>
      </c>
      <c r="D10" s="176" t="n">
        <v>1</v>
      </c>
      <c r="E10" s="176" t="n">
        <v>5</v>
      </c>
      <c r="F10" s="176" t="n">
        <v>6</v>
      </c>
      <c r="G10" s="191" t="n">
        <v>12</v>
      </c>
      <c r="H10" s="176" t="n">
        <v>0</v>
      </c>
      <c r="I10" s="176" t="n">
        <v>12</v>
      </c>
      <c r="J10" s="188" t="inlineStr">
        <is>
          <t>Base (Базовый)</t>
        </is>
      </c>
    </row>
    <row r="11">
      <c r="B11" s="534" t="inlineStr">
        <is>
          <t>1.4</t>
        </is>
      </c>
      <c r="C11" s="556" t="inlineStr">
        <is>
          <t>Avg budget (бюджет) per film, млн ₽</t>
        </is>
      </c>
      <c r="D11" s="729" t="n">
        <v>150</v>
      </c>
      <c r="E11" s="729" t="n">
        <v>168</v>
      </c>
      <c r="F11" s="729" t="n">
        <v>143.3</v>
      </c>
      <c r="G11" s="760" t="n">
        <v>154.2</v>
      </c>
      <c r="H11" s="189" t="inlineStr">
        <is>
          <t>—</t>
        </is>
      </c>
      <c r="I11" s="729" t="n">
        <v>154.2</v>
      </c>
      <c r="J11" s="188" t="inlineStr">
        <is>
          <t>Base (Базовый)</t>
        </is>
      </c>
    </row>
    <row r="13">
      <c r="B13" s="757" t="inlineStr">
        <is>
          <t>II.  РЕНТАБЕЛЬНОСТЬ — Dual Metric (Метрика)</t>
        </is>
      </c>
    </row>
    <row r="14">
      <c r="B14" s="534" t="inlineStr">
        <is>
          <t>2.1</t>
        </is>
      </c>
      <c r="C14" s="556" t="inlineStr">
        <is>
          <t>EBITDA (прибыль до вычетов) GAAP (стандарты бухучёта), млн ₽</t>
        </is>
      </c>
      <c r="D14" s="729" t="n">
        <v>58.3</v>
      </c>
      <c r="E14" s="729" t="n">
        <v>987.7</v>
      </c>
      <c r="F14" s="729" t="n">
        <v>1121.4</v>
      </c>
      <c r="G14" s="760" t="n">
        <v>2167.4</v>
      </c>
      <c r="H14" s="729" t="n">
        <v>850</v>
      </c>
      <c r="I14" s="729" t="n">
        <v>3017.4</v>
      </c>
      <c r="J14" s="188" t="inlineStr">
        <is>
          <t>Base (Базовый)</t>
        </is>
      </c>
    </row>
    <row r="15">
      <c r="B15" s="534" t="inlineStr">
        <is>
          <t>2.2</t>
        </is>
      </c>
      <c r="C15" s="556" t="inlineStr">
        <is>
          <t>EBITDA (прибыль до вычетов) margin (маржа), %</t>
        </is>
      </c>
      <c r="D15" s="750" t="n">
        <v>15.14</v>
      </c>
      <c r="E15" s="750" t="n">
        <v>59.32</v>
      </c>
      <c r="F15" s="750" t="n">
        <v>44.95</v>
      </c>
      <c r="G15" s="761" t="n">
        <v>47.69</v>
      </c>
      <c r="H15" s="750" t="n">
        <v>80.95</v>
      </c>
      <c r="I15" s="750" t="n">
        <v>53.93</v>
      </c>
      <c r="J15" s="188" t="inlineStr">
        <is>
          <t>Base (Базовый)</t>
        </is>
      </c>
    </row>
    <row r="16">
      <c r="B16" s="534" t="inlineStr">
        <is>
          <t>2.3</t>
        </is>
      </c>
      <c r="C16" s="556" t="inlineStr">
        <is>
          <t>NDP (чистые распределяемые поступления) (legacy (базовый вариант) anchor (якорь)), млн ₽</t>
        </is>
      </c>
      <c r="D16" s="189" t="inlineStr">
        <is>
          <t>—</t>
        </is>
      </c>
      <c r="E16" s="189" t="inlineStr">
        <is>
          <t>—</t>
        </is>
      </c>
      <c r="F16" s="189" t="inlineStr">
        <is>
          <t>—</t>
        </is>
      </c>
      <c r="G16" s="760" t="n">
        <v>3000</v>
      </c>
      <c r="H16" s="189" t="inlineStr">
        <is>
          <t>—</t>
        </is>
      </c>
      <c r="I16" s="729" t="n">
        <v>3000</v>
      </c>
      <c r="J16" s="188" t="inlineStr">
        <is>
          <t>Base (Базовый)</t>
        </is>
      </c>
    </row>
    <row r="17">
      <c r="B17" s="534" t="inlineStr">
        <is>
          <t>2.4</t>
        </is>
      </c>
      <c r="C17" s="556" t="inlineStr">
        <is>
          <t>Net Profit (Чистая прибыль), млн ₽</t>
        </is>
      </c>
      <c r="D17" s="729" t="n">
        <v>21.9</v>
      </c>
      <c r="E17" s="729" t="n">
        <v>783</v>
      </c>
      <c r="F17" s="729" t="n">
        <v>892.7</v>
      </c>
      <c r="G17" s="760" t="n">
        <v>1697.6</v>
      </c>
      <c r="H17" s="729" t="n">
        <v>-70.40000000000001</v>
      </c>
      <c r="I17" s="729" t="n">
        <v>1627.2</v>
      </c>
      <c r="J17" s="188" t="inlineStr">
        <is>
          <t>Base (Базовый)</t>
        </is>
      </c>
    </row>
    <row r="18">
      <c r="B18" s="534" t="inlineStr">
        <is>
          <t>2.5</t>
        </is>
      </c>
      <c r="C18" s="556" t="inlineStr">
        <is>
          <t>Net Profit (Чистая прибыль) margin (маржа), %</t>
        </is>
      </c>
      <c r="D18" s="750" t="n">
        <v>5.68</v>
      </c>
      <c r="E18" s="750" t="n">
        <v>47.03</v>
      </c>
      <c r="F18" s="750" t="n">
        <v>35.78</v>
      </c>
      <c r="G18" s="761" t="n">
        <v>37.35</v>
      </c>
      <c r="H18" s="750" t="n">
        <v>-6.71</v>
      </c>
      <c r="I18" s="750" t="n">
        <v>29.08</v>
      </c>
      <c r="J18" s="188" t="inlineStr">
        <is>
          <t>Base (Базовый)</t>
        </is>
      </c>
    </row>
    <row r="20">
      <c r="B20" s="757" t="inlineStr">
        <is>
          <t>III.  ДОХОДНОСТЬ И МУЛЬТИПЛИКАТОРЫ</t>
        </is>
      </c>
    </row>
    <row r="21">
      <c r="B21" s="534" t="inlineStr">
        <is>
          <t>3.1</t>
        </is>
      </c>
      <c r="C21" s="556" t="inlineStr">
        <is>
          <t>ROI (возврат на инвестиции) portfolio, %</t>
        </is>
      </c>
      <c r="D21" s="189" t="inlineStr">
        <is>
          <t>—</t>
        </is>
      </c>
      <c r="E21" s="189" t="inlineStr">
        <is>
          <t>—</t>
        </is>
      </c>
      <c r="F21" s="189" t="inlineStr">
        <is>
          <t>—</t>
        </is>
      </c>
      <c r="G21" s="190" t="inlineStr">
        <is>
          <t>57.9%</t>
        </is>
      </c>
      <c r="H21" s="189" t="inlineStr">
        <is>
          <t>—</t>
        </is>
      </c>
      <c r="I21" s="189" t="inlineStr">
        <is>
          <t>—</t>
        </is>
      </c>
      <c r="J21" s="188" t="inlineStr">
        <is>
          <t>Base (Базовый)</t>
        </is>
      </c>
    </row>
    <row r="22">
      <c r="B22" s="534" t="inlineStr">
        <is>
          <t>3.2</t>
        </is>
      </c>
      <c r="C22" s="556" t="inlineStr">
        <is>
          <t>Валовой мультипликатор (Валовой мультипликатор)</t>
        </is>
      </c>
      <c r="D22" s="189" t="inlineStr">
        <is>
          <t>—</t>
        </is>
      </c>
      <c r="E22" s="189" t="inlineStr">
        <is>
          <t>—</t>
        </is>
      </c>
      <c r="F22" s="189" t="inlineStr">
        <is>
          <t>—</t>
        </is>
      </c>
      <c r="G22" s="190" t="inlineStr">
        <is>
          <t>2.14×</t>
        </is>
      </c>
      <c r="H22" s="189" t="inlineStr">
        <is>
          <t>0.49×</t>
        </is>
      </c>
      <c r="I22" s="189" t="inlineStr">
        <is>
          <t>3.02×</t>
        </is>
      </c>
      <c r="J22" s="188" t="inlineStr">
        <is>
          <t>Base (Базовый)</t>
        </is>
      </c>
    </row>
    <row r="23" ht="30" customHeight="1" s="468">
      <c r="B23" s="534" t="inlineStr">
        <is>
          <t>3.3</t>
        </is>
      </c>
      <c r="C23" s="556" t="inlineStr">
        <is>
          <t>IRR (внутренняя норма доходности) investor T₁ (W₃ default (по умолчанию))</t>
        </is>
      </c>
      <c r="D23" s="189" t="inlineStr">
        <is>
          <t>—</t>
        </is>
      </c>
      <c r="E23" s="189" t="inlineStr">
        <is>
          <t>—</t>
        </is>
      </c>
      <c r="F23" s="189" t="inlineStr">
        <is>
          <t>—</t>
        </is>
      </c>
      <c r="G23" s="190" t="inlineStr">
        <is>
          <t>20.09%</t>
        </is>
      </c>
      <c r="H23" s="189" t="inlineStr">
        <is>
          <t>—</t>
        </is>
      </c>
      <c r="I23" s="189" t="inlineStr">
        <is>
          <t>—</t>
        </is>
      </c>
      <c r="J23" s="188" t="inlineStr">
        <is>
          <t>Base (Базовый) W₃ A+C (hurdle (порог) +2.09pp)</t>
        </is>
      </c>
    </row>
    <row r="24">
      <c r="B24" s="534" t="inlineStr">
        <is>
          <t>3.4</t>
        </is>
      </c>
      <c r="C24" s="556" t="inlineStr">
        <is>
          <t>MOIC (мультипликатор вложенного капитала) investor T₁ (W₃)</t>
        </is>
      </c>
      <c r="D24" s="189" t="inlineStr">
        <is>
          <t>—</t>
        </is>
      </c>
      <c r="E24" s="189" t="inlineStr">
        <is>
          <t>—</t>
        </is>
      </c>
      <c r="F24" s="189" t="inlineStr">
        <is>
          <t>—</t>
        </is>
      </c>
      <c r="G24" s="190" t="inlineStr">
        <is>
          <t>2.0×</t>
        </is>
      </c>
      <c r="H24" s="189" t="inlineStr">
        <is>
          <t>—</t>
        </is>
      </c>
      <c r="I24" s="189" t="inlineStr">
        <is>
          <t>2.00×</t>
        </is>
      </c>
      <c r="J24" s="188" t="inlineStr">
        <is>
          <t>Base (Базовый)</t>
        </is>
      </c>
    </row>
    <row r="25" ht="60" customHeight="1" s="468">
      <c r="B25" s="534" t="inlineStr">
        <is>
          <t>3.5</t>
        </is>
      </c>
      <c r="C25" s="556" t="inlineStr">
        <is>
          <t>Payback (Окупаемость) T₁ (years)</t>
        </is>
      </c>
      <c r="D25" s="189" t="inlineStr">
        <is>
          <t>—</t>
        </is>
      </c>
      <c r="E25" s="189" t="inlineStr">
        <is>
          <t>—</t>
        </is>
      </c>
      <c r="F25" s="189" t="inlineStr">
        <is>
          <t>—</t>
        </is>
      </c>
      <c r="G25" s="190" t="inlineStr">
        <is>
          <t>3.23y</t>
        </is>
      </c>
      <c r="H25" s="189" t="inlineStr">
        <is>
          <t>—</t>
        </is>
      </c>
      <c r="I25" s="189" t="inlineStr">
        <is>
          <t>3.23y</t>
        </is>
      </c>
      <c r="J25" s="188" t="inlineStr">
        <is>
          <t>Base (Базовый) (A+C frontload: principal within Y2029-Y2030)</t>
        </is>
      </c>
    </row>
    <row r="26">
      <c r="B26" s="534" t="inlineStr">
        <is>
          <t>3.6</t>
        </is>
      </c>
      <c r="C26" s="556" t="inlineStr">
        <is>
          <t>EV (стоимость предприятия)/EBITDA (прибыль до вычетов) exit (5×)</t>
        </is>
      </c>
      <c r="D26" s="189" t="inlineStr">
        <is>
          <t>—</t>
        </is>
      </c>
      <c r="E26" s="189" t="inlineStr">
        <is>
          <t>—</t>
        </is>
      </c>
      <c r="F26" s="189" t="inlineStr">
        <is>
          <t>—</t>
        </is>
      </c>
      <c r="G26" s="190" t="inlineStr">
        <is>
          <t>—</t>
        </is>
      </c>
      <c r="H26" s="189" t="inlineStr">
        <is>
          <t>—</t>
        </is>
      </c>
      <c r="I26" s="189" t="inlineStr">
        <is>
          <t>10 760 млн ₽</t>
        </is>
      </c>
      <c r="J26" s="180" t="inlineStr">
        <is>
          <t>Bull (Оптимистичный)</t>
        </is>
      </c>
    </row>
    <row r="28">
      <c r="B28" s="757" t="inlineStr">
        <is>
          <t>IV.  ДЕНЕЖНЫЕ СРЕДСТВА И ДОЛГ</t>
        </is>
      </c>
    </row>
    <row r="29">
      <c r="B29" s="534" t="inlineStr">
        <is>
          <t>4.1</t>
        </is>
      </c>
      <c r="C29" s="556" t="inlineStr">
        <is>
          <t>T₁ drawn cumul., млн ₽</t>
        </is>
      </c>
      <c r="D29" s="729" t="n">
        <v>250</v>
      </c>
      <c r="E29" s="729" t="n">
        <v>950</v>
      </c>
      <c r="F29" s="729" t="n">
        <v>1250</v>
      </c>
      <c r="G29" s="760" t="n">
        <v>1250</v>
      </c>
      <c r="H29" s="189" t="inlineStr">
        <is>
          <t>—</t>
        </is>
      </c>
      <c r="I29" s="729" t="n">
        <v>1250</v>
      </c>
      <c r="J29" s="188" t="inlineStr">
        <is>
          <t>Base (Базовый)</t>
        </is>
      </c>
    </row>
    <row r="30">
      <c r="B30" s="534" t="inlineStr">
        <is>
          <t>4.2</t>
        </is>
      </c>
      <c r="C30" s="556" t="inlineStr">
        <is>
          <t>Cash (Денежные средства) end period, млн ₽</t>
        </is>
      </c>
      <c r="D30" s="189" t="inlineStr">
        <is>
          <t>—</t>
        </is>
      </c>
      <c r="E30" s="189" t="inlineStr">
        <is>
          <t>—</t>
        </is>
      </c>
      <c r="F30" s="189" t="inlineStr">
        <is>
          <t>3547</t>
        </is>
      </c>
      <c r="G30" s="190" t="inlineStr">
        <is>
          <t>3547</t>
        </is>
      </c>
      <c r="H30" s="189" t="inlineStr">
        <is>
          <t>892</t>
        </is>
      </c>
      <c r="I30" s="189" t="inlineStr">
        <is>
          <t>892</t>
        </is>
      </c>
      <c r="J30" s="188" t="inlineStr">
        <is>
          <t>Base (Базовый)</t>
        </is>
      </c>
    </row>
    <row r="31">
      <c r="B31" s="534" t="inlineStr">
        <is>
          <t>4.3</t>
        </is>
      </c>
      <c r="C31" s="556" t="inlineStr">
        <is>
          <t>Interest (Проценты) expense, млн ₽</t>
        </is>
      </c>
      <c r="D31" s="729" t="n">
        <v>1.5</v>
      </c>
      <c r="E31" s="729" t="n">
        <v>6</v>
      </c>
      <c r="F31" s="729" t="n">
        <v>5</v>
      </c>
      <c r="G31" s="760" t="n">
        <v>12.5</v>
      </c>
      <c r="H31" s="729" t="n">
        <v>2.5</v>
      </c>
      <c r="I31" s="729" t="n">
        <v>15</v>
      </c>
      <c r="J31" s="188" t="inlineStr">
        <is>
          <t>Base (Базовый)</t>
        </is>
      </c>
    </row>
    <row r="32">
      <c r="B32" s="534" t="inlineStr">
        <is>
          <t>4.4</t>
        </is>
      </c>
      <c r="C32" s="556" t="inlineStr">
        <is>
          <t>DSCR (EBITDA (прибыль до вычетов)/Interest (Проценты))</t>
        </is>
      </c>
      <c r="D32" s="762" t="n">
        <v>33.3</v>
      </c>
      <c r="E32" s="762" t="n">
        <v>106.7</v>
      </c>
      <c r="F32" s="762" t="n">
        <v>292.4</v>
      </c>
      <c r="G32" s="763" t="n">
        <v>172.2</v>
      </c>
      <c r="H32" s="189" t="inlineStr">
        <is>
          <t>—</t>
        </is>
      </c>
      <c r="I32" s="189" t="inlineStr">
        <is>
          <t>—</t>
        </is>
      </c>
      <c r="J32" s="188" t="inlineStr">
        <is>
          <t>Base (Базовый)</t>
        </is>
      </c>
    </row>
    <row r="33">
      <c r="B33" s="534" t="inlineStr">
        <is>
          <t>4.5</t>
        </is>
      </c>
      <c r="C33" s="556" t="inlineStr">
        <is>
          <t>Net Debt (Долг) / EBITDA (прибыль до вычетов)</t>
        </is>
      </c>
      <c r="D33" s="189" t="inlineStr">
        <is>
          <t>—</t>
        </is>
      </c>
      <c r="E33" s="189" t="inlineStr">
        <is>
          <t>—</t>
        </is>
      </c>
      <c r="F33" s="189" t="inlineStr">
        <is>
          <t>0.00×</t>
        </is>
      </c>
      <c r="G33" s="190" t="inlineStr">
        <is>
          <t>0.00×</t>
        </is>
      </c>
      <c r="H33" s="189" t="inlineStr">
        <is>
          <t>—</t>
        </is>
      </c>
      <c r="I33" s="189" t="inlineStr">
        <is>
          <t>—</t>
        </is>
      </c>
      <c r="J33" s="188" t="inlineStr">
        <is>
          <t>Base (Базовый)</t>
        </is>
      </c>
    </row>
    <row r="35">
      <c r="B35" s="757" t="inlineStr">
        <is>
          <t>V.  ОПЕРАЦИОННЫЕ</t>
        </is>
      </c>
    </row>
    <row r="36">
      <c r="B36" s="534" t="inlineStr">
        <is>
          <t>5.1</t>
        </is>
      </c>
      <c r="C36" s="556" t="inlineStr">
        <is>
          <t>Production CAPEX (Капзатраты), млн ₽</t>
        </is>
      </c>
      <c r="D36" s="729" t="n">
        <v>377.7</v>
      </c>
      <c r="E36" s="729" t="n">
        <v>755.4</v>
      </c>
      <c r="F36" s="729" t="n">
        <v>613.7</v>
      </c>
      <c r="G36" s="760" t="n">
        <v>1746.8</v>
      </c>
      <c r="H36" s="729" t="n">
        <v>0</v>
      </c>
      <c r="I36" s="729" t="n">
        <v>1746.8</v>
      </c>
      <c r="J36" s="188" t="inlineStr">
        <is>
          <t>Base (Базовый)</t>
        </is>
      </c>
    </row>
    <row r="37">
      <c r="B37" s="534" t="inlineStr">
        <is>
          <t>5.2</t>
        </is>
      </c>
      <c r="C37" s="556" t="inlineStr">
        <is>
          <t>P&amp;A (тиражирование и реклама) spend, млн ₽</t>
        </is>
      </c>
      <c r="D37" s="729" t="n">
        <v>17.9</v>
      </c>
      <c r="E37" s="729" t="n">
        <v>114.7</v>
      </c>
      <c r="F37" s="729" t="n">
        <v>129.4</v>
      </c>
      <c r="G37" s="760" t="n">
        <v>262</v>
      </c>
      <c r="H37" s="189" t="inlineStr">
        <is>
          <t>—</t>
        </is>
      </c>
      <c r="I37" s="729" t="n">
        <v>262</v>
      </c>
      <c r="J37" s="188" t="inlineStr">
        <is>
          <t>Base (Базовый)</t>
        </is>
      </c>
    </row>
    <row r="38">
      <c r="B38" s="534" t="inlineStr">
        <is>
          <t>5.3</t>
        </is>
      </c>
      <c r="C38" s="556" t="inlineStr">
        <is>
          <t>FOT (фонд оплаты труда), млн ₽</t>
        </is>
      </c>
      <c r="D38" s="729" t="n">
        <v>100.2</v>
      </c>
      <c r="E38" s="729" t="n">
        <v>108.2</v>
      </c>
      <c r="F38" s="729" t="n">
        <v>116.8</v>
      </c>
      <c r="G38" s="760" t="n">
        <v>325.1</v>
      </c>
      <c r="H38" s="189" t="n">
        <v>568.5</v>
      </c>
      <c r="I38" s="729" t="n">
        <v>893.6</v>
      </c>
      <c r="J38" s="188" t="inlineStr">
        <is>
          <t>Base (Базовый)</t>
        </is>
      </c>
    </row>
    <row r="39">
      <c r="B39" s="534" t="inlineStr">
        <is>
          <t>5.4</t>
        </is>
      </c>
      <c r="C39" s="556" t="inlineStr">
        <is>
          <t>Success rate (ROI (возврат на инвестиции)&gt;40%)</t>
        </is>
      </c>
      <c r="D39" s="189" t="inlineStr">
        <is>
          <t>—</t>
        </is>
      </c>
      <c r="E39" s="189" t="inlineStr">
        <is>
          <t>—</t>
        </is>
      </c>
      <c r="F39" s="189" t="inlineStr">
        <is>
          <t>—</t>
        </is>
      </c>
      <c r="G39" s="190" t="inlineStr">
        <is>
          <t>12/12</t>
        </is>
      </c>
      <c r="H39" s="189" t="inlineStr">
        <is>
          <t>—</t>
        </is>
      </c>
      <c r="I39" s="189" t="inlineStr">
        <is>
          <t>100%</t>
        </is>
      </c>
      <c r="J39" s="188" t="inlineStr">
        <is>
          <t>Base (Базовый)</t>
        </is>
      </c>
    </row>
    <row r="40">
      <c r="B40" s="534" t="inlineStr">
        <is>
          <t>5.5</t>
        </is>
      </c>
      <c r="C40" s="556" t="inlineStr">
        <is>
          <t>Высокорисковые фильмы (Высокорисковые фильмы) (% of budget (бюджет))</t>
        </is>
      </c>
      <c r="D40" s="189" t="inlineStr">
        <is>
          <t>—</t>
        </is>
      </c>
      <c r="E40" s="189" t="inlineStr">
        <is>
          <t>—</t>
        </is>
      </c>
      <c r="F40" s="189" t="inlineStr">
        <is>
          <t>—</t>
        </is>
      </c>
      <c r="G40" s="190" t="inlineStr">
        <is>
          <t>22.2%</t>
        </is>
      </c>
      <c r="H40" s="189" t="inlineStr">
        <is>
          <t>—</t>
        </is>
      </c>
      <c r="I40" s="189" t="inlineStr">
        <is>
          <t>—</t>
        </is>
      </c>
      <c r="J40" s="188" t="inlineStr">
        <is>
          <t>Base (Базовый)</t>
        </is>
      </c>
    </row>
    <row r="43">
      <c r="B43" s="757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 ht="26" customHeight="1" s="468">
      <c r="B44" s="562" t="inlineStr">
        <is>
          <t>Сценарий</t>
        </is>
      </c>
      <c r="C44" s="562" t="inlineStr">
        <is>
          <t>Revenue (Выручка) 2028</t>
        </is>
      </c>
      <c r="D44" s="562" t="inlineStr">
        <is>
          <t>EBITDA (прибыль до вычетов) 3Y</t>
        </is>
      </c>
      <c r="E44" s="562" t="inlineStr">
        <is>
          <t>NDP (чистые распределяемые поступления) 3Y</t>
        </is>
      </c>
      <c r="F44" s="562" t="inlineStr">
        <is>
          <t>Net Profit (Чистая прибыль) 3Y</t>
        </is>
      </c>
      <c r="G44" s="562" t="inlineStr">
        <is>
          <t>IRR (внутренняя норма доходности) T₁</t>
        </is>
      </c>
      <c r="H44" s="562" t="inlineStr">
        <is>
          <t>MOIC (мультипликатор вложенного капитала) T₁</t>
        </is>
      </c>
      <c r="I44" s="562" t="inlineStr">
        <is>
          <t>EV (стоимость предприятия)/Mult</t>
        </is>
      </c>
      <c r="J44" s="562" t="inlineStr">
        <is>
          <t>EV (стоимость предприятия) млн ₽</t>
        </is>
      </c>
    </row>
    <row r="45">
      <c r="B45" s="195" t="inlineStr">
        <is>
          <t>Bear (Пессимистичный)</t>
        </is>
      </c>
      <c r="C45" s="727" t="n">
        <v>1872</v>
      </c>
      <c r="D45" s="727" t="n">
        <v>1625</v>
      </c>
      <c r="E45" s="727" t="n">
        <v>1800</v>
      </c>
      <c r="F45" s="727" t="n">
        <v>1274</v>
      </c>
      <c r="G45" s="196" t="inlineStr">
        <is>
          <t>9.34%</t>
        </is>
      </c>
      <c r="H45" s="196" t="inlineStr">
        <is>
          <t>1.33×</t>
        </is>
      </c>
      <c r="I45" s="196" t="inlineStr">
        <is>
          <t>3×</t>
        </is>
      </c>
      <c r="J45" s="727" t="n">
        <v>4840</v>
      </c>
    </row>
    <row r="46">
      <c r="B46" s="188" t="inlineStr">
        <is>
          <t>Base (Базовый)</t>
        </is>
      </c>
      <c r="C46" s="760" t="n">
        <v>2495</v>
      </c>
      <c r="D46" s="760" t="n">
        <v>2167</v>
      </c>
      <c r="E46" s="760" t="n">
        <v>3000</v>
      </c>
      <c r="F46" s="760" t="n">
        <v>1698</v>
      </c>
      <c r="G46" s="197" t="inlineStr">
        <is>
          <t>20.09%</t>
        </is>
      </c>
      <c r="H46" s="197" t="inlineStr">
        <is>
          <t>2.00×</t>
        </is>
      </c>
      <c r="I46" s="197" t="inlineStr">
        <is>
          <t>5×</t>
        </is>
      </c>
      <c r="J46" s="760" t="n">
        <v>10760</v>
      </c>
    </row>
    <row r="47">
      <c r="B47" s="180" t="inlineStr">
        <is>
          <t>Bull (Оптимистичный)</t>
        </is>
      </c>
      <c r="C47" s="723" t="n">
        <v>3119</v>
      </c>
      <c r="D47" s="723" t="n">
        <v>2709</v>
      </c>
      <c r="E47" s="723" t="n">
        <v>4200</v>
      </c>
      <c r="F47" s="723" t="n">
        <v>2122</v>
      </c>
      <c r="G47" s="198" t="inlineStr">
        <is>
          <t>28.78%</t>
        </is>
      </c>
      <c r="H47" s="198" t="inlineStr">
        <is>
          <t>2.59×</t>
        </is>
      </c>
      <c r="I47" s="198" t="inlineStr">
        <is>
          <t>7×</t>
        </is>
      </c>
      <c r="J47" s="723" t="n">
        <v>18830</v>
      </c>
    </row>
    <row r="50">
      <c r="B50" s="741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14" activePane="bottomRight" state="frozen"/>
      <selection pane="topRight" activeCell="A1" sqref="A1"/>
      <selection pane="bottomLeft" activeCell="A1" sqref="A1"/>
      <selection pane="bottomRight" activeCell="L29" sqref="L29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2" customWidth="1" style="468" min="3" max="3"/>
    <col width="13" customWidth="1" style="468" min="4" max="8"/>
    <col width="14" customWidth="1" style="468" min="9" max="9"/>
    <col width="12" customWidth="1" style="468" min="10" max="14"/>
  </cols>
  <sheetData>
    <row r="2">
      <c r="B2" s="749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722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757" t="inlineStr">
        <is>
          <t>I. WACC (средневзвешенная стоимость капитала) BUILD-UP</t>
        </is>
      </c>
    </row>
    <row r="7">
      <c r="B7" s="532" t="inlineStr">
        <is>
          <t>Risk (Риск)-free rate</t>
        </is>
      </c>
      <c r="C7" s="466" t="n"/>
      <c r="D7" s="199" t="n">
        <v>0.145</v>
      </c>
    </row>
    <row r="8">
      <c r="B8" s="532" t="inlineStr">
        <is>
          <t>Levered β (кино/медиа)</t>
        </is>
      </c>
      <c r="C8" s="466" t="n"/>
      <c r="D8" s="200" t="n">
        <v>0.8</v>
      </c>
    </row>
    <row r="9">
      <c r="B9" s="532" t="inlineStr">
        <is>
          <t>Equity (Собственный капитал) Risk (Риск) Premium (Премия)</t>
        </is>
      </c>
      <c r="C9" s="466" t="n"/>
      <c r="D9" s="199" t="n">
        <v>0.07000000000000001</v>
      </c>
    </row>
    <row r="10">
      <c r="B10" s="532" t="inlineStr">
        <is>
          <t>Country risk premium (премия)</t>
        </is>
      </c>
      <c r="C10" s="466" t="n"/>
      <c r="D10" s="199" t="n">
        <v>0.02</v>
      </c>
    </row>
    <row r="11">
      <c r="B11" s="532" t="inlineStr">
        <is>
          <t>Size premium (премия) (small-cap)</t>
        </is>
      </c>
      <c r="C11" s="466" t="n"/>
      <c r="D11" s="199" t="n">
        <v>0.01</v>
      </c>
    </row>
    <row r="12">
      <c r="B12" s="556" t="inlineStr">
        <is>
          <t>Cost of Equity (Собственный капитал) (CAPM extended)</t>
        </is>
      </c>
      <c r="C12" s="466" t="n"/>
      <c r="D12" s="199" t="n">
        <v>0.231</v>
      </c>
    </row>
    <row r="13">
      <c r="B13" s="556" t="inlineStr">
        <is>
          <t>Cost of Debt (Долг) (pre-tax)</t>
        </is>
      </c>
      <c r="C13" s="466" t="n"/>
      <c r="D13" s="199" t="n">
        <v>0.12</v>
      </c>
    </row>
    <row r="14">
      <c r="B14" s="556" t="inlineStr">
        <is>
          <t>Cost of Debt (Долг) (after-tax, 20%)</t>
        </is>
      </c>
      <c r="C14" s="466" t="n"/>
      <c r="D14" s="199" t="n">
        <v>0.096</v>
      </c>
    </row>
    <row r="15">
      <c r="B15" s="532" t="inlineStr">
        <is>
          <t>D/V target capital (капитал) structure</t>
        </is>
      </c>
      <c r="C15" s="466" t="n"/>
      <c r="D15" s="199" t="n">
        <v>0.3</v>
      </c>
    </row>
    <row r="16">
      <c r="B16" s="532" t="inlineStr">
        <is>
          <t>E/V target capital (капитал) structure</t>
        </is>
      </c>
      <c r="C16" s="466" t="n"/>
      <c r="D16" s="199" t="n">
        <v>0.7</v>
      </c>
    </row>
    <row r="17">
      <c r="B17" s="553" t="inlineStr">
        <is>
          <t>WACC (средневзвешенная стоимость капитала) (weighted)</t>
        </is>
      </c>
      <c r="C17" s="466" t="n"/>
      <c r="D17" s="202" t="n">
        <v>0.1905</v>
      </c>
    </row>
    <row r="20">
      <c r="B20" s="757" t="inlineStr">
        <is>
          <t>II. FORECAST FREE CASH FLOW TO FIRM (FCFF (свободный денежный поток фирмы))</t>
        </is>
      </c>
    </row>
    <row r="21">
      <c r="B21" s="562" t="inlineStr">
        <is>
          <t>#</t>
        </is>
      </c>
      <c r="C21" s="203" t="inlineStr">
        <is>
          <t>Показатель, млн ₽</t>
        </is>
      </c>
      <c r="D21" s="562" t="n">
        <v>2026</v>
      </c>
      <c r="E21" s="562" t="n">
        <v>2027</v>
      </c>
      <c r="F21" s="562" t="n">
        <v>2028</v>
      </c>
      <c r="G21" s="562" t="n">
        <v>2029</v>
      </c>
      <c r="H21" s="562" t="n">
        <v>2030</v>
      </c>
      <c r="I21" s="562" t="inlineStr">
        <is>
          <t>Σ / PV</t>
        </is>
      </c>
    </row>
    <row r="22">
      <c r="B22" s="534" t="inlineStr">
        <is>
          <t>1</t>
        </is>
      </c>
      <c r="C22" s="532" t="inlineStr">
        <is>
          <t>Revenue (Выручка)</t>
        </is>
      </c>
      <c r="D22" s="729" t="n">
        <v>385</v>
      </c>
      <c r="E22" s="729" t="n">
        <v>1665</v>
      </c>
      <c r="F22" s="729" t="n">
        <v>2495</v>
      </c>
      <c r="G22" s="729" t="n">
        <v>2600</v>
      </c>
      <c r="H22" s="729" t="n">
        <v>2800</v>
      </c>
      <c r="I22" s="764" t="n">
        <v>9945</v>
      </c>
    </row>
    <row r="23">
      <c r="B23" s="534" t="inlineStr">
        <is>
          <t>2</t>
        </is>
      </c>
      <c r="C23" s="556" t="inlineStr">
        <is>
          <t>EBITDA (прибыль до вычетов)</t>
        </is>
      </c>
      <c r="D23" s="729" t="n">
        <v>50.05</v>
      </c>
      <c r="E23" s="729" t="n">
        <v>639.36</v>
      </c>
      <c r="F23" s="729" t="n">
        <v>1462.07</v>
      </c>
      <c r="G23" s="729" t="n">
        <v>1040</v>
      </c>
      <c r="H23" s="729" t="n">
        <v>1120</v>
      </c>
      <c r="I23" s="764" t="n">
        <v>4311.48</v>
      </c>
    </row>
    <row r="24">
      <c r="B24" s="534" t="inlineStr">
        <is>
          <t>3</t>
        </is>
      </c>
      <c r="C24" s="532" t="inlineStr">
        <is>
          <t>D&amp;A (амортизация)</t>
        </is>
      </c>
      <c r="D24" s="729" t="n">
        <v>3</v>
      </c>
      <c r="E24" s="729" t="n">
        <v>3</v>
      </c>
      <c r="F24" s="729" t="n">
        <v>3</v>
      </c>
      <c r="G24" s="729" t="n">
        <v>500</v>
      </c>
      <c r="H24" s="729" t="n">
        <v>520</v>
      </c>
      <c r="I24" s="764" t="n">
        <v>1029</v>
      </c>
    </row>
    <row r="25">
      <c r="B25" s="534" t="inlineStr">
        <is>
          <t>4</t>
        </is>
      </c>
      <c r="C25" s="532" t="inlineStr">
        <is>
          <t>EBIT (Операц. прибыль)</t>
        </is>
      </c>
      <c r="D25" s="729" t="n">
        <v>47.05</v>
      </c>
      <c r="E25" s="729" t="n">
        <v>636.36</v>
      </c>
      <c r="F25" s="729" t="n">
        <v>1459.07</v>
      </c>
      <c r="G25" s="729" t="n">
        <v>540</v>
      </c>
      <c r="H25" s="729" t="n">
        <v>600</v>
      </c>
      <c r="I25" s="764" t="n">
        <v>3282.48</v>
      </c>
    </row>
    <row r="26">
      <c r="B26" s="534" t="inlineStr">
        <is>
          <t>5</t>
        </is>
      </c>
      <c r="C26" s="556" t="inlineStr">
        <is>
          <t>NOPAT = EBIT × (1−t)</t>
        </is>
      </c>
      <c r="D26" s="729" t="n">
        <v>37.64000000000001</v>
      </c>
      <c r="E26" s="729" t="n">
        <v>509.088</v>
      </c>
      <c r="F26" s="729" t="n">
        <v>1167.256</v>
      </c>
      <c r="G26" s="729" t="n">
        <v>432</v>
      </c>
      <c r="H26" s="729" t="n">
        <v>480</v>
      </c>
      <c r="I26" s="764" t="n">
        <v>2625.984</v>
      </c>
    </row>
    <row r="27">
      <c r="B27" s="534" t="inlineStr">
        <is>
          <t>6</t>
        </is>
      </c>
      <c r="C27" s="532" t="inlineStr">
        <is>
          <t>+ D&amp;A (амортизация)</t>
        </is>
      </c>
      <c r="D27" s="729" t="n">
        <v>3</v>
      </c>
      <c r="E27" s="729" t="n">
        <v>3</v>
      </c>
      <c r="F27" s="729" t="n">
        <v>3</v>
      </c>
      <c r="G27" s="729" t="n">
        <v>500</v>
      </c>
      <c r="H27" s="729" t="n">
        <v>520</v>
      </c>
      <c r="I27" s="764" t="n">
        <v>1029</v>
      </c>
    </row>
    <row r="28">
      <c r="B28" s="534" t="inlineStr">
        <is>
          <t>7</t>
        </is>
      </c>
      <c r="C28" s="532" t="inlineStr">
        <is>
          <t>− CAPEX (Капзатраты)</t>
        </is>
      </c>
      <c r="D28" s="729" t="n">
        <v>-402.5</v>
      </c>
      <c r="E28" s="729" t="n">
        <v>-853</v>
      </c>
      <c r="F28" s="729" t="n">
        <v>-594.5</v>
      </c>
      <c r="G28" s="729" t="n">
        <v>-500</v>
      </c>
      <c r="H28" s="729" t="n">
        <v>-520</v>
      </c>
      <c r="I28" s="764" t="n">
        <v>-2870</v>
      </c>
    </row>
    <row r="29">
      <c r="B29" s="534" t="inlineStr">
        <is>
          <t>8</t>
        </is>
      </c>
      <c r="C29" s="532" t="inlineStr">
        <is>
          <t>− ΔNWC (изменение оборотного капитала)</t>
        </is>
      </c>
      <c r="D29" s="729" t="n">
        <v>-38.5</v>
      </c>
      <c r="E29" s="729" t="n">
        <v>-128</v>
      </c>
      <c r="F29" s="729" t="n">
        <v>-83</v>
      </c>
      <c r="G29" s="729" t="n">
        <v>-10.5</v>
      </c>
      <c r="H29" s="729" t="n">
        <v>-20</v>
      </c>
      <c r="I29" s="764" t="n">
        <v>-280</v>
      </c>
    </row>
    <row r="30">
      <c r="B30" s="534" t="inlineStr">
        <is>
          <t>9</t>
        </is>
      </c>
      <c r="C30" t="inlineStr">
        <is>
          <t>FCFF (Свободный денежный поток фирмы)</t>
        </is>
      </c>
      <c r="D30" s="723" t="n">
        <v>-400.36</v>
      </c>
      <c r="E30" s="723" t="n">
        <v>-468.912</v>
      </c>
      <c r="F30" s="723" t="n">
        <v>492.7560000000001</v>
      </c>
      <c r="G30" s="723" t="n">
        <v>421.5</v>
      </c>
      <c r="H30" s="723" t="n">
        <v>460</v>
      </c>
      <c r="I30" s="764" t="n">
        <v>504.984</v>
      </c>
    </row>
    <row r="31">
      <c r="B31" s="534" t="inlineStr">
        <is>
          <t>10</t>
        </is>
      </c>
      <c r="C31" s="553" t="inlineStr">
        <is>
          <t>PV FCFF (свободный денежный поток фирмы) @ WACC (средневзвешенная стоимость капитала) 19.1%</t>
        </is>
      </c>
      <c r="D31" s="760" t="n">
        <v>-336.2956740865183</v>
      </c>
      <c r="E31" s="760" t="n">
        <v>-330.8510730247386</v>
      </c>
      <c r="F31" s="760" t="n">
        <v>292.0409294177834</v>
      </c>
      <c r="G31" s="760" t="n">
        <v>209.8359908571182</v>
      </c>
      <c r="H31" s="760" t="n">
        <v>192.3582569088606</v>
      </c>
      <c r="N31" s="718" t="n">
        <v>27.08843007250539</v>
      </c>
    </row>
    <row r="33">
      <c r="B33" s="757" t="inlineStr">
        <is>
          <t>III.  МОСТ СТОИМОСТИ ПРЕДПРИЯТИЯ (МОСТ СТОИМОСТИ ПРЕДПРИЯТИЯ)</t>
        </is>
      </c>
    </row>
    <row r="34">
      <c r="B34" s="532" t="inlineStr">
        <is>
          <t>Σ PV of Explicit FCFF (свободный денежный поток фирмы) (10 years)</t>
        </is>
      </c>
      <c r="C34" s="473" t="n"/>
      <c r="D34" s="473" t="n"/>
      <c r="E34" s="473" t="n"/>
      <c r="F34" s="473" t="n"/>
      <c r="G34" s="473" t="n"/>
      <c r="H34" s="473" t="n"/>
      <c r="I34" s="473" t="n"/>
      <c r="J34" s="473" t="n"/>
      <c r="K34" s="466" t="n"/>
      <c r="L34" s="729" t="n">
        <v>27.08843007250539</v>
      </c>
      <c r="M34" s="473" t="n"/>
      <c r="N34" s="466" t="n"/>
    </row>
    <row r="35">
      <c r="B35" s="532" t="inlineStr">
        <is>
          <t>Terminal Value (Терминальная стоимость) — Gordon (g=3%)</t>
        </is>
      </c>
      <c r="C35" s="473" t="n"/>
      <c r="D35" s="473" t="n"/>
      <c r="E35" s="473" t="n"/>
      <c r="F35" s="473" t="n"/>
      <c r="G35" s="473" t="n"/>
      <c r="H35" s="473" t="n"/>
      <c r="I35" s="473" t="n"/>
      <c r="J35" s="473" t="n"/>
      <c r="K35" s="466" t="n"/>
      <c r="L35" s="729" t="n">
        <v>2952.02492211838</v>
      </c>
      <c r="M35" s="473" t="n"/>
      <c r="N35" s="466" t="n"/>
    </row>
    <row r="36">
      <c r="B36" s="532" t="inlineStr">
        <is>
          <t>PV of Terminal Value (Терминальная стоимость) — Gordon</t>
        </is>
      </c>
      <c r="C36" s="473" t="n"/>
      <c r="D36" s="473" t="n"/>
      <c r="E36" s="473" t="n"/>
      <c r="F36" s="473" t="n"/>
      <c r="G36" s="473" t="n"/>
      <c r="H36" s="473" t="n"/>
      <c r="I36" s="473" t="n"/>
      <c r="J36" s="473" t="n"/>
      <c r="K36" s="466" t="n"/>
      <c r="L36" s="729" t="n">
        <v>1234.448626891753</v>
      </c>
      <c r="M36" s="473" t="n"/>
      <c r="N36" s="466" t="n"/>
    </row>
    <row r="37">
      <c r="B37" s="513" t="inlineStr">
        <is>
          <t>Enterprise Value (Стоимость предприятия) (Gordon method)</t>
        </is>
      </c>
      <c r="C37" s="473" t="n"/>
      <c r="D37" s="473" t="n"/>
      <c r="E37" s="473" t="n"/>
      <c r="F37" s="473" t="n"/>
      <c r="G37" s="473" t="n"/>
      <c r="H37" s="473" t="n"/>
      <c r="I37" s="473" t="n"/>
      <c r="J37" s="473" t="n"/>
      <c r="K37" s="466" t="n"/>
      <c r="L37" s="718" t="n">
        <v>1261.537056964259</v>
      </c>
      <c r="M37" s="473" t="n"/>
      <c r="N37" s="466" t="n"/>
    </row>
    <row r="38">
      <c r="B38" s="759" t="n"/>
      <c r="L38" s="765" t="n"/>
    </row>
    <row r="39">
      <c r="B39" s="532" t="inlineStr">
        <is>
          <t>Terminal Value (Терминальная стоимость) — Exit Multiple (Мультипликатор выхода) (5× EBITDA2030)</t>
        </is>
      </c>
      <c r="C39" s="473" t="n"/>
      <c r="D39" s="473" t="n"/>
      <c r="E39" s="473" t="n"/>
      <c r="F39" s="473" t="n"/>
      <c r="G39" s="473" t="n"/>
      <c r="H39" s="473" t="n"/>
      <c r="I39" s="473" t="n"/>
      <c r="J39" s="473" t="n"/>
      <c r="K39" s="466" t="n"/>
      <c r="L39" s="729" t="n">
        <v>5600</v>
      </c>
      <c r="M39" s="473" t="n"/>
      <c r="N39" s="466" t="n"/>
    </row>
    <row r="40">
      <c r="B40" s="532" t="inlineStr">
        <is>
          <t>PV of Terminal Value (Терминальная стоимость) — Exit Multiple (Мультипликатор выхода)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66" t="n"/>
      <c r="L40" s="729" t="n">
        <v>2341.75269280352</v>
      </c>
      <c r="M40" s="473" t="n"/>
      <c r="N40" s="466" t="n"/>
    </row>
    <row r="41">
      <c r="B41" s="513" t="inlineStr">
        <is>
          <t>Enterprise Value (Стоимость предприятия) (Exit Multiple (Мультипликатор выхода) method)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66" t="n"/>
      <c r="L41" s="718" t="n">
        <v>2368.841122876026</v>
      </c>
      <c r="M41" s="473" t="n"/>
      <c r="N41" s="466" t="n"/>
    </row>
    <row r="42">
      <c r="B42" s="759" t="n"/>
      <c r="L42" s="765" t="n"/>
    </row>
    <row r="43">
      <c r="B43" s="513" t="inlineStr">
        <is>
          <t>EV (стоимость предприятия) blended (avg of Gordon + Exit Mult)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66" t="n"/>
      <c r="L43" s="718" t="n">
        <v>1815.189089920142</v>
      </c>
      <c r="M43" s="473" t="n"/>
      <c r="N43" s="466" t="n"/>
    </row>
    <row r="44">
      <c r="B44" s="532" t="inlineStr">
        <is>
          <t>(−) Net Debt (Долг) at valuation date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66" t="n"/>
      <c r="L44" s="729" t="n">
        <v>0</v>
      </c>
      <c r="M44" s="473" t="n"/>
      <c r="N44" s="466" t="n"/>
    </row>
    <row r="45">
      <c r="B45" s="513" t="inlineStr">
        <is>
          <t>= Equity (Собственный капитал) Value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66" t="n"/>
      <c r="L45" s="718" t="n">
        <v>1815.189089920142</v>
      </c>
      <c r="M45" s="473" t="n"/>
      <c r="N45" s="466" t="n"/>
    </row>
    <row r="48">
      <c r="B48" s="757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562" t="inlineStr">
        <is>
          <t>WACC (средневзвешенная стоимость капитала) \ g</t>
        </is>
      </c>
      <c r="D49" s="562" t="inlineStr">
        <is>
          <t>g=1%</t>
        </is>
      </c>
      <c r="E49" s="562" t="inlineStr">
        <is>
          <t>g=2%</t>
        </is>
      </c>
      <c r="F49" s="562" t="inlineStr">
        <is>
          <t>g=3%</t>
        </is>
      </c>
      <c r="G49" s="562" t="inlineStr">
        <is>
          <t>g=4%</t>
        </is>
      </c>
      <c r="H49" s="562" t="inlineStr">
        <is>
          <t>g=5%</t>
        </is>
      </c>
    </row>
    <row r="50">
      <c r="C50" s="562" t="inlineStr">
        <is>
          <t>15.0%</t>
        </is>
      </c>
      <c r="D50" s="729" t="n">
        <v>1730.583942753584</v>
      </c>
      <c r="E50" s="729" t="n">
        <v>1873.777838185092</v>
      </c>
      <c r="F50" s="729" t="n">
        <v>2040.738355264984</v>
      </c>
      <c r="G50" s="729" t="n">
        <v>2237.917970458884</v>
      </c>
      <c r="H50" s="729" t="n">
        <v>2474.33731006948</v>
      </c>
    </row>
    <row r="51">
      <c r="C51" s="562" t="inlineStr">
        <is>
          <t>17.1%</t>
        </is>
      </c>
      <c r="D51" s="729" t="n">
        <v>1374.374429187806</v>
      </c>
      <c r="E51" s="729" t="n">
        <v>1475.826431489002</v>
      </c>
      <c r="F51" s="729" t="n">
        <v>1591.719999954069</v>
      </c>
      <c r="G51" s="729" t="n">
        <v>1725.375034850564</v>
      </c>
      <c r="H51" s="729" t="n">
        <v>1881.213478028635</v>
      </c>
    </row>
    <row r="52">
      <c r="C52" s="562" t="inlineStr">
        <is>
          <t>19.1%</t>
        </is>
      </c>
      <c r="D52" s="729" t="n">
        <v>1103.442111390784</v>
      </c>
      <c r="E52" s="729" t="n">
        <v>1177.853368764809</v>
      </c>
      <c r="F52" s="718" t="n">
        <v>1261.537056964259</v>
      </c>
      <c r="G52" s="729" t="n">
        <v>1356.341501070612</v>
      </c>
      <c r="H52" s="729" t="n">
        <v>1464.641239711677</v>
      </c>
    </row>
    <row r="53">
      <c r="C53" s="562" t="inlineStr">
        <is>
          <t>21.1%</t>
        </is>
      </c>
      <c r="D53" s="729" t="n">
        <v>891.8875237494921</v>
      </c>
      <c r="E53" s="729" t="n">
        <v>947.9780222258811</v>
      </c>
      <c r="F53" s="729" t="n">
        <v>1010.283534383865</v>
      </c>
      <c r="G53" s="729" t="n">
        <v>1079.897611017858</v>
      </c>
      <c r="H53" s="729" t="n">
        <v>1158.186338945807</v>
      </c>
    </row>
    <row r="54">
      <c r="C54" s="562" t="inlineStr">
        <is>
          <t>23.1%</t>
        </is>
      </c>
      <c r="D54" s="729" t="n">
        <v>723.2362859485631</v>
      </c>
      <c r="E54" s="729" t="n">
        <v>766.4648356658124</v>
      </c>
      <c r="F54" s="729" t="n">
        <v>814.0054601678252</v>
      </c>
      <c r="G54" s="729" t="n">
        <v>866.5372263498391</v>
      </c>
      <c r="H54" s="729" t="n">
        <v>924.8896868456495</v>
      </c>
    </row>
    <row r="57">
      <c r="B57" s="741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9" ht="16" customHeight="1" s="468">
      <c r="B59" s="766" t="inlineStr">
        <is>
          <t>VI. WHY DCF (дисконтированный денежный поток) &lt; MULTIPLES — QUICK NOTE</t>
        </is>
      </c>
    </row>
    <row r="60">
      <c r="B60" s="767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555" t="inlineStr">
        <is>
          <t>#</t>
        </is>
      </c>
      <c r="C62" s="555" t="inlineStr">
        <is>
          <t>Причина разрыва</t>
        </is>
      </c>
      <c r="D62" s="555" t="inlineStr">
        <is>
          <t>Механика</t>
        </is>
      </c>
      <c r="E62" s="555" t="inlineStr">
        <is>
          <t>Оценка вклада</t>
        </is>
      </c>
      <c r="F62" s="473" t="n"/>
      <c r="G62" s="473" t="n"/>
      <c r="H62" s="473" t="n"/>
      <c r="I62" s="473" t="n"/>
      <c r="J62" s="473" t="n"/>
      <c r="K62" s="473" t="n"/>
      <c r="L62" s="473" t="n"/>
      <c r="M62" s="473" t="n"/>
      <c r="N62" s="466" t="n"/>
    </row>
    <row r="63" ht="36" customHeight="1" s="468">
      <c r="B63" s="328" t="n">
        <v>1</v>
      </c>
      <c r="C63" s="329" t="inlineStr">
        <is>
          <t>Горизонт обрезан на 2030</t>
        </is>
      </c>
      <c r="D63" s="329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549" t="inlineStr">
        <is>
          <t>+2 500 млн ₽</t>
        </is>
      </c>
      <c r="F63" s="473" t="n"/>
      <c r="G63" s="473" t="n"/>
      <c r="H63" s="473" t="n"/>
      <c r="I63" s="473" t="n"/>
      <c r="J63" s="473" t="n"/>
      <c r="K63" s="473" t="n"/>
      <c r="L63" s="473" t="n"/>
      <c r="M63" s="473" t="n"/>
      <c r="N63" s="466" t="n"/>
    </row>
    <row r="64" ht="36" customHeight="1" s="468">
      <c r="B64" s="328" t="n">
        <v>2</v>
      </c>
      <c r="C64" s="329" t="inlineStr">
        <is>
          <t>WACC (средневзвешенная стоимость капитала) 19% vs buyer WACC 7%</t>
        </is>
      </c>
      <c r="D64" s="329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549" t="inlineStr">
        <is>
          <t>+1 500 млн ₽</t>
        </is>
      </c>
      <c r="F64" s="473" t="n"/>
      <c r="G64" s="473" t="n"/>
      <c r="H64" s="473" t="n"/>
      <c r="I64" s="473" t="n"/>
      <c r="J64" s="473" t="n"/>
      <c r="K64" s="473" t="n"/>
      <c r="L64" s="473" t="n"/>
      <c r="M64" s="473" t="n"/>
      <c r="N64" s="466" t="n"/>
    </row>
    <row r="65" ht="36" customHeight="1" s="468">
      <c r="B65" s="328" t="n">
        <v>3</v>
      </c>
      <c r="C65" s="329" t="inlineStr">
        <is>
          <t>Real options не моделируются</t>
        </is>
      </c>
      <c r="D65" s="329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549" t="inlineStr">
        <is>
          <t>+1 500 млн ₽</t>
        </is>
      </c>
      <c r="F65" s="473" t="n"/>
      <c r="G65" s="473" t="n"/>
      <c r="H65" s="473" t="n"/>
      <c r="I65" s="473" t="n"/>
      <c r="J65" s="473" t="n"/>
      <c r="K65" s="473" t="n"/>
      <c r="L65" s="473" t="n"/>
      <c r="M65" s="473" t="n"/>
      <c r="N65" s="466" t="n"/>
    </row>
    <row r="66" ht="36" customHeight="1" s="468">
      <c r="B66" s="328" t="n">
        <v>4</v>
      </c>
      <c r="C66" s="329" t="inlineStr">
        <is>
          <t>Execution (Исполнение) risk двойное начисление</t>
        </is>
      </c>
      <c r="D66" s="329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549" t="inlineStr">
        <is>
          <t>(встроено)</t>
        </is>
      </c>
      <c r="F66" s="473" t="n"/>
      <c r="G66" s="473" t="n"/>
      <c r="H66" s="473" t="n"/>
      <c r="I66" s="473" t="n"/>
      <c r="J66" s="473" t="n"/>
      <c r="K66" s="473" t="n"/>
      <c r="L66" s="473" t="n"/>
      <c r="M66" s="473" t="n"/>
      <c r="N66" s="466" t="n"/>
    </row>
    <row r="67" ht="36" customHeight="1" s="468">
      <c r="B67" s="328" t="n">
        <v>5</v>
      </c>
      <c r="C67" s="329" t="inlineStr">
        <is>
          <t>Капитальная цикличность после 2028</t>
        </is>
      </c>
      <c r="D67" s="329" t="inlineStr">
        <is>
          <t>CAPEX (Капзатраты) падает, FCF растёт импульсом. Gordon g=3% сглаживает этот impulse в линейный рост.</t>
        </is>
      </c>
      <c r="E67" s="549" t="inlineStr">
        <is>
          <t>+500 млн ₽</t>
        </is>
      </c>
      <c r="F67" s="473" t="n"/>
      <c r="G67" s="473" t="n"/>
      <c r="H67" s="473" t="n"/>
      <c r="I67" s="473" t="n"/>
      <c r="J67" s="473" t="n"/>
      <c r="K67" s="473" t="n"/>
      <c r="L67" s="473" t="n"/>
      <c r="M67" s="473" t="n"/>
      <c r="N67" s="466" t="n"/>
    </row>
    <row r="68" ht="78" customHeight="1" s="468">
      <c r="B68" s="276" t="inlineStr">
        <is>
          <t>Σ</t>
        </is>
      </c>
      <c r="C68" s="330" t="inlineStr">
        <is>
          <t>Сумма структурных компонентов разрыва</t>
        </is>
      </c>
      <c r="D68" s="331" t="inlineStr">
        <is>
          <t>Примерно совпадает с фактической разницей 5 735 млн ₽ (7 550 − 1 815)</t>
        </is>
      </c>
      <c r="E68" s="552" t="inlineStr">
        <is>
          <t>≈ 5 500 млн ₽</t>
        </is>
      </c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66" t="n"/>
    </row>
    <row r="70" ht="48" customHeight="1" s="468">
      <c r="B70" s="768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769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L42:N42"/>
    <mergeCell ref="B7:C7"/>
    <mergeCell ref="B40:K40"/>
    <mergeCell ref="L39:N39"/>
    <mergeCell ref="L45:N45"/>
    <mergeCell ref="L35:N35"/>
    <mergeCell ref="B33:N33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2" customWidth="1" style="468" min="3" max="3"/>
    <col width="14" customWidth="1" style="468" min="4" max="4"/>
    <col width="12" customWidth="1" style="468" min="5" max="11"/>
  </cols>
  <sheetData>
    <row r="2">
      <c r="B2" s="749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722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757" t="inlineStr">
        <is>
          <t>I. ТОРГОВЫЕ МУЛЬТИПЛИКАТОРЫ — ГРУППА АНАЛОГОВ</t>
        </is>
      </c>
    </row>
    <row r="7">
      <c r="B7" s="562" t="inlineStr">
        <is>
          <t>#</t>
        </is>
      </c>
      <c r="C7" s="562" t="inlineStr">
        <is>
          <t>Компания</t>
        </is>
      </c>
      <c r="D7" s="562" t="inlineStr">
        <is>
          <t>Сегмент</t>
        </is>
      </c>
      <c r="E7" s="562" t="inlineStr">
        <is>
          <t>Revenue (Выручка)</t>
        </is>
      </c>
      <c r="F7" s="562" t="inlineStr">
        <is>
          <t>EBITDA (прибыль до вычетов)</t>
        </is>
      </c>
      <c r="G7" s="562" t="inlineStr">
        <is>
          <t>EV (стоимость предприятия)</t>
        </is>
      </c>
      <c r="H7" s="562" t="inlineStr">
        <is>
          <t>EV (стоимость предприятия)/Rev</t>
        </is>
      </c>
      <c r="I7" s="562" t="inlineStr">
        <is>
          <t>EV (стоимость предприятия)/EBITDA (прибыль до вычетов)</t>
        </is>
      </c>
      <c r="J7" s="562" t="inlineStr">
        <is>
          <t>EBITDA (прибыль до вычетов) M%</t>
        </is>
      </c>
      <c r="K7" s="562" t="inlineStr">
        <is>
          <t>Примечание</t>
        </is>
      </c>
    </row>
    <row r="8">
      <c r="B8" s="534" t="n">
        <v>1</v>
      </c>
      <c r="C8" s="532" t="inlineStr">
        <is>
          <t>Яндекс Кинопоиск</t>
        </is>
      </c>
      <c r="D8" s="532" t="inlineStr">
        <is>
          <t>OTT (онлайн-платформа) подписка</t>
        </is>
      </c>
      <c r="E8" s="729" t="n">
        <v>18500</v>
      </c>
      <c r="F8" s="729" t="n">
        <v>2775</v>
      </c>
      <c r="G8" s="729" t="n">
        <v>14800</v>
      </c>
      <c r="H8" s="770" t="n">
        <v>0.8</v>
      </c>
      <c r="I8" s="770" t="n">
        <v>5.34</v>
      </c>
      <c r="J8" s="738" t="n">
        <v>15</v>
      </c>
      <c r="K8" s="532" t="inlineStr">
        <is>
          <t>Базовый кейс</t>
        </is>
      </c>
    </row>
    <row r="9" ht="30" customHeight="1" s="468">
      <c r="B9" s="534" t="n">
        <v>2</v>
      </c>
      <c r="C9" s="532" t="inlineStr">
        <is>
          <t>Okko</t>
        </is>
      </c>
      <c r="D9" s="532" t="inlineStr">
        <is>
          <t>OTT (онлайн-платформа) подписка</t>
        </is>
      </c>
      <c r="E9" s="729" t="n">
        <v>12000</v>
      </c>
      <c r="F9" s="729" t="n">
        <v>1680</v>
      </c>
      <c r="G9" s="729" t="n">
        <v>9600</v>
      </c>
      <c r="H9" s="770" t="n">
        <v>0.8</v>
      </c>
      <c r="I9" s="770" t="n">
        <v>5.71</v>
      </c>
      <c r="J9" s="738" t="n">
        <v>14</v>
      </c>
      <c r="K9" s="532" t="inlineStr">
        <is>
          <t>Sber Entertainment (Сбер Развлечения)</t>
        </is>
      </c>
    </row>
    <row r="10">
      <c r="B10" s="534" t="n">
        <v>3</v>
      </c>
      <c r="C10" s="532" t="inlineStr">
        <is>
          <t>ivi</t>
        </is>
      </c>
      <c r="D10" s="532" t="inlineStr">
        <is>
          <t>OTT (онлайн-платформа) AVOD (рекламный стриминг)+SVOD (подписной стриминг)</t>
        </is>
      </c>
      <c r="E10" s="729" t="n">
        <v>11000</v>
      </c>
      <c r="F10" s="729" t="n">
        <v>1320</v>
      </c>
      <c r="G10" s="729" t="n">
        <v>8800</v>
      </c>
      <c r="H10" s="770" t="n">
        <v>0.8</v>
      </c>
      <c r="I10" s="770" t="n">
        <v>6.67</v>
      </c>
      <c r="J10" s="738" t="n">
        <v>12</v>
      </c>
      <c r="K10" s="532" t="inlineStr">
        <is>
          <t>Private (Частный)</t>
        </is>
      </c>
    </row>
    <row r="11">
      <c r="B11" s="534" t="n">
        <v>4</v>
      </c>
      <c r="C11" s="532" t="inlineStr">
        <is>
          <t>START (СТАРТ)</t>
        </is>
      </c>
      <c r="D11" s="532" t="inlineStr">
        <is>
          <t>OTT (онлайн-платформа) оригиналы</t>
        </is>
      </c>
      <c r="E11" s="729" t="n">
        <v>6500</v>
      </c>
      <c r="F11" s="729" t="n">
        <v>910</v>
      </c>
      <c r="G11" s="729" t="n">
        <v>5200</v>
      </c>
      <c r="H11" s="770" t="n">
        <v>0.8</v>
      </c>
      <c r="I11" s="770" t="n">
        <v>5.71</v>
      </c>
      <c r="J11" s="738" t="n">
        <v>14</v>
      </c>
      <c r="K11" s="532" t="inlineStr">
        <is>
          <t>Nexters</t>
        </is>
      </c>
    </row>
    <row r="12">
      <c r="B12" s="534" t="n">
        <v>5</v>
      </c>
      <c r="C12" s="532" t="inlineStr">
        <is>
          <t>Premier (Премьера)</t>
        </is>
      </c>
      <c r="D12" s="532" t="inlineStr">
        <is>
          <t>OTT (онлайн-платформа) семейн.</t>
        </is>
      </c>
      <c r="E12" s="729" t="n">
        <v>4200</v>
      </c>
      <c r="F12" s="729" t="n">
        <v>546</v>
      </c>
      <c r="G12" s="729" t="n">
        <v>3400</v>
      </c>
      <c r="H12" s="770" t="n">
        <v>0.8100000000000001</v>
      </c>
      <c r="I12" s="770" t="n">
        <v>6.23</v>
      </c>
      <c r="J12" s="738" t="n">
        <v>13</v>
      </c>
      <c r="K12" s="532" t="inlineStr">
        <is>
          <t>ГПМ</t>
        </is>
      </c>
    </row>
    <row r="13">
      <c r="B13" s="534" t="n">
        <v>6</v>
      </c>
      <c r="C13" s="532" t="inlineStr">
        <is>
          <t>Мосфильм</t>
        </is>
      </c>
      <c r="D13" s="532" t="inlineStr">
        <is>
          <t>Production (Производство)</t>
        </is>
      </c>
      <c r="E13" s="729" t="n">
        <v>8500</v>
      </c>
      <c r="F13" s="729" t="n">
        <v>1870</v>
      </c>
      <c r="G13" s="729" t="n">
        <v>8900</v>
      </c>
      <c r="H13" s="770" t="n">
        <v>1.05</v>
      </c>
      <c r="I13" s="770" t="n">
        <v>4.76</v>
      </c>
      <c r="J13" s="738" t="n">
        <v>22</v>
      </c>
      <c r="K13" s="532" t="inlineStr">
        <is>
          <t>Госкомпания</t>
        </is>
      </c>
    </row>
    <row r="14">
      <c r="C14" s="561" t="inlineStr">
        <is>
          <t>Peer group — Mean (Среднее)</t>
        </is>
      </c>
      <c r="D14" s="473" t="n"/>
      <c r="E14" s="473" t="n"/>
      <c r="F14" s="473" t="n"/>
      <c r="G14" s="466" t="n"/>
      <c r="H14" s="771" t="n">
        <v>0.8433333333333333</v>
      </c>
      <c r="I14" s="771" t="n">
        <v>5.736666666666667</v>
      </c>
      <c r="J14" s="207" t="n"/>
      <c r="K14" s="207" t="n"/>
    </row>
    <row r="15">
      <c r="C15" s="561" t="inlineStr">
        <is>
          <t>Peer group — Median (Медиана)</t>
        </is>
      </c>
      <c r="D15" s="473" t="n"/>
      <c r="E15" s="473" t="n"/>
      <c r="F15" s="473" t="n"/>
      <c r="G15" s="466" t="n"/>
      <c r="H15" s="771" t="n">
        <v>0.8</v>
      </c>
      <c r="I15" s="771" t="n">
        <v>5.71</v>
      </c>
      <c r="J15" s="207" t="n"/>
      <c r="K15" s="207" t="n"/>
    </row>
    <row r="16">
      <c r="C16" s="561" t="inlineStr">
        <is>
          <t>Peer group — Min (Минимум)</t>
        </is>
      </c>
      <c r="D16" s="473" t="n"/>
      <c r="E16" s="473" t="n"/>
      <c r="F16" s="473" t="n"/>
      <c r="G16" s="466" t="n"/>
      <c r="H16" s="771" t="n">
        <v>0.8</v>
      </c>
      <c r="I16" s="771" t="n">
        <v>4.76</v>
      </c>
      <c r="J16" s="207" t="n"/>
      <c r="K16" s="207" t="n"/>
    </row>
    <row r="17">
      <c r="C17" s="561" t="inlineStr">
        <is>
          <t>Peer group — Max (Максимум)</t>
        </is>
      </c>
      <c r="D17" s="473" t="n"/>
      <c r="E17" s="473" t="n"/>
      <c r="F17" s="473" t="n"/>
      <c r="G17" s="466" t="n"/>
      <c r="H17" s="771" t="n">
        <v>1.05</v>
      </c>
      <c r="I17" s="771" t="n">
        <v>6.67</v>
      </c>
      <c r="J17" s="207" t="n"/>
      <c r="K17" s="207" t="n"/>
    </row>
    <row r="20">
      <c r="B20" s="757" t="inlineStr">
        <is>
          <t>II. APPLY MULTIPLES TO ТРЕНДСТУДИО (Base (Базовый) EBITDA (прибыль до вычетов) 2028 = 1 462 · Rev 2028 = 2 495)</t>
        </is>
      </c>
    </row>
    <row r="21">
      <c r="B21" s="562" t="inlineStr">
        <is>
          <t>Метод</t>
        </is>
      </c>
      <c r="C21" s="473" t="n"/>
      <c r="D21" s="473" t="n"/>
      <c r="E21" s="473" t="n"/>
      <c r="F21" s="466" t="n"/>
      <c r="G21" s="562" t="inlineStr">
        <is>
          <t>Multiple (Мультипликатор)</t>
        </is>
      </c>
      <c r="H21" s="562" t="inlineStr">
        <is>
          <t>Base (Базовый)</t>
        </is>
      </c>
      <c r="I21" s="562" t="inlineStr">
        <is>
          <t>Implied EV (стоимость предприятия)</t>
        </is>
      </c>
      <c r="J21" s="473" t="n"/>
      <c r="K21" s="466" t="n"/>
    </row>
    <row r="22">
      <c r="B22" s="532" t="inlineStr">
        <is>
          <t>Peer Min × EBITDA (прибыль до вычетов) 2028</t>
        </is>
      </c>
      <c r="C22" s="473" t="n"/>
      <c r="D22" s="473" t="n"/>
      <c r="E22" s="473" t="n"/>
      <c r="F22" s="466" t="n"/>
      <c r="G22" s="751" t="n">
        <v>4.76</v>
      </c>
      <c r="H22" s="729" t="n">
        <v>1462</v>
      </c>
      <c r="I22" s="772" t="n">
        <v>6959.12</v>
      </c>
      <c r="J22" s="473" t="n"/>
      <c r="K22" s="466" t="n"/>
    </row>
    <row r="23">
      <c r="B23" s="532" t="inlineStr">
        <is>
          <t>Peer Median × EBITDA (прибыль до вычетов) 2028</t>
        </is>
      </c>
      <c r="C23" s="473" t="n"/>
      <c r="D23" s="473" t="n"/>
      <c r="E23" s="473" t="n"/>
      <c r="F23" s="466" t="n"/>
      <c r="G23" s="751" t="n">
        <v>5.71</v>
      </c>
      <c r="H23" s="729" t="n">
        <v>1462</v>
      </c>
      <c r="I23" s="772" t="n">
        <v>8348.02</v>
      </c>
      <c r="J23" s="473" t="n"/>
      <c r="K23" s="466" t="n"/>
    </row>
    <row r="24">
      <c r="B24" s="532" t="inlineStr">
        <is>
          <t>Peer Mean × EBITDA (прибыль до вычетов) 2028</t>
        </is>
      </c>
      <c r="C24" s="473" t="n"/>
      <c r="D24" s="473" t="n"/>
      <c r="E24" s="473" t="n"/>
      <c r="F24" s="466" t="n"/>
      <c r="G24" s="751" t="n">
        <v>5.736666666666667</v>
      </c>
      <c r="H24" s="729" t="n">
        <v>1462</v>
      </c>
      <c r="I24" s="772" t="n">
        <v>8387.006666666668</v>
      </c>
      <c r="J24" s="473" t="n"/>
      <c r="K24" s="466" t="n"/>
    </row>
    <row r="25">
      <c r="B25" s="532" t="inlineStr">
        <is>
          <t>Peer Max × EBITDA (прибыль до вычетов) 2028</t>
        </is>
      </c>
      <c r="C25" s="473" t="n"/>
      <c r="D25" s="473" t="n"/>
      <c r="E25" s="473" t="n"/>
      <c r="F25" s="466" t="n"/>
      <c r="G25" s="751" t="n">
        <v>6.67</v>
      </c>
      <c r="H25" s="729" t="n">
        <v>1462</v>
      </c>
      <c r="I25" s="772" t="n">
        <v>9751.539999999999</v>
      </c>
      <c r="J25" s="473" t="n"/>
      <c r="K25" s="466" t="n"/>
    </row>
    <row r="26">
      <c r="B26" s="532" t="inlineStr">
        <is>
          <t>Peer Min × Revenue (Выручка) 2028</t>
        </is>
      </c>
      <c r="C26" s="473" t="n"/>
      <c r="D26" s="473" t="n"/>
      <c r="E26" s="473" t="n"/>
      <c r="F26" s="466" t="n"/>
      <c r="G26" s="751" t="n">
        <v>0.8</v>
      </c>
      <c r="H26" s="729" t="n">
        <v>2495</v>
      </c>
      <c r="I26" s="772" t="n">
        <v>1996</v>
      </c>
      <c r="J26" s="473" t="n"/>
      <c r="K26" s="466" t="n"/>
    </row>
    <row r="27">
      <c r="B27" s="532" t="inlineStr">
        <is>
          <t>Peer Median × Revenue (Выручка) 2028</t>
        </is>
      </c>
      <c r="C27" s="473" t="n"/>
      <c r="D27" s="473" t="n"/>
      <c r="E27" s="473" t="n"/>
      <c r="F27" s="466" t="n"/>
      <c r="G27" s="751" t="n">
        <v>0.8</v>
      </c>
      <c r="H27" s="729" t="n">
        <v>2495</v>
      </c>
      <c r="I27" s="772" t="n">
        <v>1996</v>
      </c>
      <c r="J27" s="473" t="n"/>
      <c r="K27" s="466" t="n"/>
    </row>
    <row r="28">
      <c r="B28" s="532" t="inlineStr">
        <is>
          <t>Peer Mean × Revenue (Выручка) 2028</t>
        </is>
      </c>
      <c r="C28" s="473" t="n"/>
      <c r="D28" s="473" t="n"/>
      <c r="E28" s="473" t="n"/>
      <c r="F28" s="466" t="n"/>
      <c r="G28" s="751" t="n">
        <v>0.8433333333333333</v>
      </c>
      <c r="H28" s="729" t="n">
        <v>2495</v>
      </c>
      <c r="I28" s="772" t="n">
        <v>2104.116666666666</v>
      </c>
      <c r="J28" s="473" t="n"/>
      <c r="K28" s="466" t="n"/>
    </row>
    <row r="29">
      <c r="B29" s="532" t="inlineStr">
        <is>
          <t>Peer Max × Revenue (Выручка) 2028</t>
        </is>
      </c>
      <c r="C29" s="473" t="n"/>
      <c r="D29" s="473" t="n"/>
      <c r="E29" s="473" t="n"/>
      <c r="F29" s="466" t="n"/>
      <c r="G29" s="751" t="n">
        <v>1.05</v>
      </c>
      <c r="H29" s="729" t="n">
        <v>2495</v>
      </c>
      <c r="I29" s="772" t="n">
        <v>2619.75</v>
      </c>
      <c r="J29" s="473" t="n"/>
      <c r="K29" s="466" t="n"/>
    </row>
    <row r="32">
      <c r="B32" s="757" t="inlineStr">
        <is>
          <t>III. PRECEDENT M&amp;A (слияния и поглощения) TRANSACTIONS</t>
        </is>
      </c>
    </row>
    <row r="33">
      <c r="B33" s="562" t="inlineStr">
        <is>
          <t>#</t>
        </is>
      </c>
      <c r="C33" s="562" t="inlineStr">
        <is>
          <t>Сделка</t>
        </is>
      </c>
      <c r="D33" s="466" t="n"/>
      <c r="E33" s="562" t="inlineStr">
        <is>
          <t>Год</t>
        </is>
      </c>
      <c r="F33" s="562" t="inlineStr">
        <is>
          <t>Target Rev (Целевая выручка)</t>
        </is>
      </c>
      <c r="G33" s="562" t="inlineStr">
        <is>
          <t>Deal EV (стоимость предприятия)</t>
        </is>
      </c>
      <c r="H33" s="562" t="inlineStr">
        <is>
          <t>EV (стоимость предприятия)/Rev</t>
        </is>
      </c>
      <c r="I33" s="562" t="inlineStr">
        <is>
          <t>EV (стоимость предприятия)/EBITDA (прибыль до вычетов)</t>
        </is>
      </c>
      <c r="J33" s="562" t="inlineStr">
        <is>
          <t>Комментарий</t>
        </is>
      </c>
      <c r="K33" s="466" t="n"/>
    </row>
    <row r="34">
      <c r="B34" s="534" t="n">
        <v>1</v>
      </c>
      <c r="C34" s="532" t="inlineStr">
        <is>
          <t>Сбер → Okko</t>
        </is>
      </c>
      <c r="D34" s="466" t="n"/>
      <c r="E34" s="534" t="n">
        <v>2023</v>
      </c>
      <c r="F34" s="729" t="n">
        <v>11200</v>
      </c>
      <c r="G34" s="729" t="n">
        <v>9520</v>
      </c>
      <c r="H34" s="751" t="n">
        <v>0.85</v>
      </c>
      <c r="I34" s="751" t="n">
        <v>5.6</v>
      </c>
      <c r="J34" s="532" t="inlineStr">
        <is>
          <t>Консолидация OTT (онлайн-платформа) в экосистеме</t>
        </is>
      </c>
      <c r="K34" s="466" t="n"/>
    </row>
    <row r="35">
      <c r="B35" s="534" t="n">
        <v>2</v>
      </c>
      <c r="C35" s="532" t="inlineStr">
        <is>
          <t>Газпром-Медиа → Premier (Премьера)</t>
        </is>
      </c>
      <c r="D35" s="466" t="n"/>
      <c r="E35" s="534" t="n">
        <v>2022</v>
      </c>
      <c r="F35" s="729" t="n">
        <v>3800</v>
      </c>
      <c r="G35" s="729" t="n">
        <v>3040</v>
      </c>
      <c r="H35" s="751" t="n">
        <v>0.8</v>
      </c>
      <c r="I35" s="751" t="n">
        <v>5.9</v>
      </c>
      <c r="J35" s="532" t="inlineStr">
        <is>
          <t>Stream-платформа Premier (Премьера)</t>
        </is>
      </c>
      <c r="K35" s="466" t="n"/>
    </row>
    <row r="36">
      <c r="B36" s="534" t="n">
        <v>3</v>
      </c>
      <c r="C36" s="532" t="inlineStr">
        <is>
          <t>ВК → zvook/Russkoe Radio медиа</t>
        </is>
      </c>
      <c r="D36" s="466" t="n"/>
      <c r="E36" s="534" t="n">
        <v>2024</v>
      </c>
      <c r="F36" s="729" t="n">
        <v>8600</v>
      </c>
      <c r="G36" s="729" t="n">
        <v>6880</v>
      </c>
      <c r="H36" s="751" t="n">
        <v>0.8</v>
      </c>
      <c r="I36" s="751" t="n">
        <v>6.4</v>
      </c>
      <c r="J36" s="532" t="inlineStr">
        <is>
          <t>Мультимедиа консолидация</t>
        </is>
      </c>
      <c r="K36" s="466" t="n"/>
    </row>
    <row r="39">
      <c r="B39" s="757" t="inlineStr">
        <is>
          <t>IV. FOOTBALL FIELD (ФУТБОЛЬНОЕ ПОЛЕ) — ИТОГОВЫЙ ДИАПАЗОН ОЦЕНКИ, млн ₽</t>
        </is>
      </c>
    </row>
    <row r="40">
      <c r="B40" s="562" t="inlineStr">
        <is>
          <t>Метод оценки</t>
        </is>
      </c>
      <c r="C40" s="473" t="n"/>
      <c r="D40" s="466" t="n"/>
      <c r="E40" s="562" t="inlineStr">
        <is>
          <t>Low</t>
        </is>
      </c>
      <c r="F40" s="562" t="inlineStr">
        <is>
          <t>Mid</t>
        </is>
      </c>
      <c r="G40" s="562" t="inlineStr">
        <is>
          <t>High (Высокий)</t>
        </is>
      </c>
      <c r="H40" s="562" t="inlineStr">
        <is>
          <t>Commentary (Комментарий)</t>
        </is>
      </c>
      <c r="I40" s="473" t="n"/>
      <c r="J40" s="473" t="n"/>
      <c r="K40" s="466" t="n"/>
    </row>
    <row r="41">
      <c r="B41" s="556" t="inlineStr">
        <is>
          <t>DCF (дисконтированный денежный поток) — Gordon Growth (Модель Гордона)</t>
        </is>
      </c>
      <c r="C41" s="473" t="n"/>
      <c r="D41" s="466" t="n"/>
      <c r="E41" s="729" t="n">
        <v>1072.30649841962</v>
      </c>
      <c r="F41" s="718" t="n">
        <v>1261.537056964259</v>
      </c>
      <c r="G41" s="729" t="n">
        <v>1450.767615508897</v>
      </c>
      <c r="H41" s="514" t="inlineStr">
        <is>
          <t>g=3%, WACC (средневзвешенная стоимость капитала)=19.1%, sensitivity ±15%</t>
        </is>
      </c>
      <c r="I41" s="473" t="n"/>
      <c r="J41" s="473" t="n"/>
      <c r="K41" s="466" t="n"/>
    </row>
    <row r="42">
      <c r="B42" s="556" t="inlineStr">
        <is>
          <t>DCF (дисконтированный денежный поток) — Exit Multiple (Мультипликатор выхода)</t>
        </is>
      </c>
      <c r="C42" s="473" t="n"/>
      <c r="D42" s="466" t="n"/>
      <c r="E42" s="729" t="n">
        <v>2013.514954444622</v>
      </c>
      <c r="F42" s="718" t="n">
        <v>2368.841122876026</v>
      </c>
      <c r="G42" s="729" t="n">
        <v>2724.16729130743</v>
      </c>
      <c r="H42" s="514" t="inlineStr">
        <is>
          <t>5× EBITDA2030, ±15% чувствительность</t>
        </is>
      </c>
      <c r="I42" s="473" t="n"/>
      <c r="J42" s="473" t="n"/>
      <c r="K42" s="466" t="n"/>
    </row>
    <row r="43">
      <c r="B43" s="556" t="inlineStr">
        <is>
          <t>Trading Multiples (Торговые мультипликаторы) — EV (стоимость предприятия)/EBITDA (прибыль до вычетов)</t>
        </is>
      </c>
      <c r="C43" s="473" t="n"/>
      <c r="D43" s="466" t="n"/>
      <c r="E43" s="729" t="n">
        <v>6959.12</v>
      </c>
      <c r="F43" s="718" t="n">
        <v>8348.02</v>
      </c>
      <c r="G43" s="729" t="n">
        <v>9751.539999999999</v>
      </c>
      <c r="H43" s="514" t="inlineStr">
        <is>
          <t>Peer median 5.71× × EBITDA (прибыль до вычетов) 2028</t>
        </is>
      </c>
      <c r="I43" s="473" t="n"/>
      <c r="J43" s="473" t="n"/>
      <c r="K43" s="466" t="n"/>
    </row>
    <row r="44">
      <c r="B44" s="556" t="inlineStr">
        <is>
          <t>Trading Multiples (Торговые мультипликаторы) — EV (стоимость предприятия)/Revenue (Выручка)</t>
        </is>
      </c>
      <c r="C44" s="473" t="n"/>
      <c r="D44" s="466" t="n"/>
      <c r="E44" s="729" t="n">
        <v>1996</v>
      </c>
      <c r="F44" s="718" t="n">
        <v>1996</v>
      </c>
      <c r="G44" s="729" t="n">
        <v>2619.75</v>
      </c>
      <c r="H44" s="514" t="inlineStr">
        <is>
          <t>Peer median 0,80× × Выручка 2028</t>
        </is>
      </c>
      <c r="I44" s="473" t="n"/>
      <c r="J44" s="473" t="n"/>
      <c r="K44" s="466" t="n"/>
    </row>
    <row r="45">
      <c r="B45" s="556" t="inlineStr">
        <is>
          <t>Прецедентные сделки (Прецедентные сделки)</t>
        </is>
      </c>
      <c r="C45" s="473" t="n"/>
      <c r="D45" s="466" t="n"/>
      <c r="E45" s="729" t="n">
        <v>7331.93</v>
      </c>
      <c r="F45" s="718" t="n">
        <v>8625.800000000001</v>
      </c>
      <c r="G45" s="729" t="n">
        <v>9919.67</v>
      </c>
      <c r="H45" s="514" t="inlineStr">
        <is>
          <t>Med 5.90× (3 M&amp;A (слияния и поглощения))</t>
        </is>
      </c>
      <c r="I45" s="473" t="n"/>
      <c r="J45" s="473" t="n"/>
      <c r="K45" s="466" t="n"/>
    </row>
    <row r="46">
      <c r="B46" s="556" t="inlineStr">
        <is>
          <t>Scenario (Сценарий) Base (Базовый) (internal)</t>
        </is>
      </c>
      <c r="C46" s="473" t="n"/>
      <c r="D46" s="466" t="n"/>
      <c r="E46" s="729" t="n">
        <v>6456</v>
      </c>
      <c r="F46" s="718" t="n">
        <v>10760</v>
      </c>
      <c r="G46" s="729" t="n">
        <v>15064</v>
      </c>
      <c r="H46" s="514" t="inlineStr">
        <is>
          <t>EBITDA (прибыль до вычетов) 3Y × 3×/5×/7× (bear/base/bull)</t>
        </is>
      </c>
      <c r="I46" s="473" t="n"/>
      <c r="J46" s="473" t="n"/>
      <c r="K46" s="466" t="n"/>
    </row>
    <row r="48">
      <c r="B48" s="520" t="inlineStr">
        <is>
          <t>ИТОГО Football Field (Футбольное поле (сводка оценок))</t>
        </is>
      </c>
      <c r="C48" s="473" t="n"/>
      <c r="D48" s="466" t="n"/>
      <c r="E48" s="773" t="n">
        <v>1072.30649841962</v>
      </c>
      <c r="F48" s="773" t="n">
        <v>5560.033029973381</v>
      </c>
      <c r="G48" s="773" t="n">
        <v>15064</v>
      </c>
      <c r="H48" s="520" t="inlineStr">
        <is>
          <t>Envelope: 1072 – 15064, mid ≈ 5560 млн ₽</t>
        </is>
      </c>
      <c r="I48" s="473" t="n"/>
      <c r="J48" s="473" t="n"/>
      <c r="K48" s="466" t="n"/>
    </row>
    <row r="51">
      <c r="B51" s="741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H42:K42"/>
    <mergeCell ref="C35:D35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workbookViewId="0">
      <pane xSplit="1" ySplit="6" topLeftCell="B35" activePane="bottomRight" state="frozen"/>
      <selection pane="topRight" activeCell="A1" sqref="A1"/>
      <selection pane="bottomLeft" activeCell="A1" sqref="A1"/>
      <selection pane="bottomRight" activeCell="F47" sqref="F47"/>
    </sheetView>
  </sheetViews>
  <sheetFormatPr baseColWidth="10" defaultColWidth="8.83203125" defaultRowHeight="15"/>
  <cols>
    <col width="2" customWidth="1" style="468" min="1" max="1"/>
    <col width="27.5" customWidth="1" style="468" min="2" max="2"/>
    <col width="30" customWidth="1" style="468" min="3" max="3"/>
    <col width="13" customWidth="1" style="468" min="4" max="11"/>
  </cols>
  <sheetData>
    <row r="2">
      <c r="B2" s="749" t="inlineStr">
        <is>
          <t>ИНВЕСТОР (ИНВЕСТОР) RETURNS — T₁ LEGACY 1 250 млн ₽  ·  5 Scenarios × 4 Waterfalls  ·  Base (Базовый) illustration = W₃ DEFAULT (ПО УМОЛЧАНИЮ)  ·  A+C pattern (паттерн) 33/45/9/13</t>
        </is>
      </c>
    </row>
    <row r="3"/>
    <row r="4" ht="68" customHeight="1" s="468">
      <c r="B4" s="722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Revenue (Выручка) distribution (распределение): A+C asymmetric pattern (паттерн) Y2029=33%, Y2030=45%, Y2031=9%, Y2032=13% (frontload 78% в Y29-Y30). Single methodology: out quarterly 2026, in annual (годовой) 2029-2032.</t>
        </is>
      </c>
    </row>
    <row r="6">
      <c r="B6" s="757" t="inlineStr">
        <is>
          <t>I. T₁ ИНВЕСТОР (ИНВЕСТОР) CASHFLOW SCHEDULE (Base (Базовый) case · W₃ Liq Pref (Ликвидационная привилегия) + 8% + 60/40 DEFAULT (ПО УМОЛЧАНИЮ))</t>
        </is>
      </c>
    </row>
    <row r="7">
      <c r="B7" s="562" t="inlineStr">
        <is>
          <t>#</t>
        </is>
      </c>
      <c r="C7" s="562" t="inlineStr">
        <is>
          <t>Период</t>
        </is>
      </c>
      <c r="D7" s="562" t="inlineStr">
        <is>
          <t>Действие</t>
        </is>
      </c>
      <c r="E7" s="562" t="inlineStr">
        <is>
          <t>Tranche (Транш)/Repay</t>
        </is>
      </c>
      <c r="F7" s="562" t="inlineStr">
        <is>
          <t>Interest (Проценты)</t>
        </is>
      </c>
      <c r="G7" s="562" t="inlineStr">
        <is>
          <t>Equity Upside (Верхний сценарий) (Потенциал роста капитала)</t>
        </is>
      </c>
      <c r="H7" s="562" t="inlineStr">
        <is>
          <t>Чистый ДП</t>
        </is>
      </c>
      <c r="I7" s="562" t="inlineStr">
        <is>
          <t>Кумулятив. ДП</t>
        </is>
      </c>
      <c r="J7" s="562" t="inlineStr">
        <is>
          <t>Peak Exposure (Максимальная экспозиция)</t>
        </is>
      </c>
      <c r="K7" s="562" t="inlineStr">
        <is>
          <t>Type (Тип)</t>
        </is>
      </c>
    </row>
    <row r="8" ht="30" customHeight="1" s="468">
      <c r="B8" s="150" t="n">
        <v>1</v>
      </c>
      <c r="C8" s="151" t="inlineStr">
        <is>
          <t>Q1 2026</t>
        </is>
      </c>
      <c r="D8" s="151" t="inlineStr">
        <is>
          <t>Tranche (Транш) disbursement</t>
        </is>
      </c>
      <c r="E8" s="727" t="n">
        <v>-250</v>
      </c>
      <c r="F8" s="196" t="n"/>
      <c r="G8" s="196" t="n"/>
      <c r="H8" s="727" t="n">
        <v>-250</v>
      </c>
      <c r="I8" s="727" t="n">
        <v>-250</v>
      </c>
      <c r="J8" s="727" t="n">
        <v>-250</v>
      </c>
      <c r="K8" s="150" t="inlineStr">
        <is>
          <t>Out</t>
        </is>
      </c>
    </row>
    <row r="9" ht="30" customHeight="1" s="468">
      <c r="B9" s="150" t="n">
        <v>2</v>
      </c>
      <c r="C9" s="151" t="inlineStr">
        <is>
          <t>Q2 2026</t>
        </is>
      </c>
      <c r="D9" s="151" t="inlineStr">
        <is>
          <t>Tranche (Транш) disbursement</t>
        </is>
      </c>
      <c r="E9" s="727" t="n">
        <v>-350</v>
      </c>
      <c r="F9" s="196" t="n"/>
      <c r="G9" s="196" t="n"/>
      <c r="H9" s="727" t="n">
        <v>-350</v>
      </c>
      <c r="I9" s="727" t="n">
        <v>-600</v>
      </c>
      <c r="J9" s="727" t="n">
        <v>-600</v>
      </c>
      <c r="K9" s="150" t="inlineStr">
        <is>
          <t>Out</t>
        </is>
      </c>
    </row>
    <row r="10" ht="30" customHeight="1" s="468">
      <c r="B10" s="150" t="n">
        <v>3</v>
      </c>
      <c r="C10" s="151" t="inlineStr">
        <is>
          <t>Q3 2026</t>
        </is>
      </c>
      <c r="D10" s="151" t="inlineStr">
        <is>
          <t>Tranche (Транш) disbursement</t>
        </is>
      </c>
      <c r="E10" s="727" t="n">
        <v>-350</v>
      </c>
      <c r="F10" s="196" t="n"/>
      <c r="G10" s="196" t="n"/>
      <c r="H10" s="727" t="n">
        <v>-350</v>
      </c>
      <c r="I10" s="727" t="n">
        <v>-950</v>
      </c>
      <c r="J10" s="727" t="n">
        <v>-950</v>
      </c>
      <c r="K10" s="150" t="inlineStr">
        <is>
          <t>Out</t>
        </is>
      </c>
    </row>
    <row r="11" ht="30" customHeight="1" s="468">
      <c r="B11" s="150" t="n">
        <v>4</v>
      </c>
      <c r="C11" s="151" t="inlineStr">
        <is>
          <t>Q4 2026</t>
        </is>
      </c>
      <c r="D11" s="151" t="inlineStr">
        <is>
          <t>Tranche (Транш) disbursement</t>
        </is>
      </c>
      <c r="E11" s="727" t="n">
        <v>-300</v>
      </c>
      <c r="F11" s="196" t="n"/>
      <c r="G11" s="196" t="n"/>
      <c r="H11" s="727" t="n">
        <v>-300</v>
      </c>
      <c r="I11" s="727" t="n">
        <v>-1250</v>
      </c>
      <c r="J11" s="727" t="n">
        <v>-1250</v>
      </c>
      <c r="K11" s="150" t="inlineStr">
        <is>
          <t>Out</t>
        </is>
      </c>
    </row>
    <row r="12" ht="30" customHeight="1" s="468">
      <c r="B12" s="141" t="n">
        <v>5</v>
      </c>
      <c r="C12" s="142" t="inlineStr">
        <is>
          <t>2029</t>
        </is>
      </c>
      <c r="D12" s="142" t="inlineStr">
        <is>
          <t>Liq Pref (Ликвидационная привилегия) (partial, A+C Y29=33%)</t>
        </is>
      </c>
      <c r="E12" s="405" t="n">
        <v>990</v>
      </c>
      <c r="F12" s="405" t="n"/>
      <c r="G12" s="198" t="n"/>
      <c r="H12" s="405" t="n">
        <v>990</v>
      </c>
      <c r="I12" s="405" t="n">
        <v>-260</v>
      </c>
      <c r="J12" s="405" t="n">
        <v>-1250</v>
      </c>
      <c r="K12" s="141" t="inlineStr">
        <is>
          <t>In</t>
        </is>
      </c>
    </row>
    <row r="13" ht="45" customHeight="1" s="468">
      <c r="B13" s="141" t="n">
        <v>6</v>
      </c>
      <c r="C13" s="142" t="inlineStr">
        <is>
          <t>2030</t>
        </is>
      </c>
      <c r="D13" s="142" t="inlineStr">
        <is>
          <t>Liq Pref (Ликвидационная привилегия) final + coupon (купон) + carry (A+C Y30=45%)</t>
        </is>
      </c>
      <c r="E13" s="405" t="n">
        <v>260</v>
      </c>
      <c r="F13" s="405" t="n">
        <v>500</v>
      </c>
      <c r="G13" s="405" t="n">
        <v>354</v>
      </c>
      <c r="H13" s="405" t="n">
        <v>1114</v>
      </c>
      <c r="I13" s="405" t="n">
        <v>854</v>
      </c>
      <c r="J13" s="405" t="n">
        <v>-1250</v>
      </c>
      <c r="K13" s="141" t="inlineStr">
        <is>
          <t>In</t>
        </is>
      </c>
    </row>
    <row r="14" ht="45" customHeight="1" s="468">
      <c r="B14" s="141" t="n">
        <v>7</v>
      </c>
      <c r="C14" s="142" t="inlineStr">
        <is>
          <t>2031</t>
        </is>
      </c>
      <c r="D14" s="142" t="inlineStr">
        <is>
          <t>Carried interest share (доля) (A+C Y31=9%)</t>
        </is>
      </c>
      <c r="E14" s="405" t="n"/>
      <c r="F14" s="198" t="n"/>
      <c r="G14" s="405" t="n">
        <v>162</v>
      </c>
      <c r="H14" s="405" t="n">
        <v>162</v>
      </c>
      <c r="I14" s="405" t="n">
        <v>1016</v>
      </c>
      <c r="J14" s="405" t="n">
        <v>-1250</v>
      </c>
      <c r="K14" s="141" t="inlineStr">
        <is>
          <t>In</t>
        </is>
      </c>
    </row>
    <row r="15" ht="45" customHeight="1" s="468">
      <c r="B15" s="141" t="n">
        <v>8</v>
      </c>
      <c r="C15" s="142" t="inlineStr">
        <is>
          <t>2032</t>
        </is>
      </c>
      <c r="D15" s="142" t="inlineStr">
        <is>
          <t>Carried interest share (доля) (A+C Y32=13%)</t>
        </is>
      </c>
      <c r="E15" s="405" t="n"/>
      <c r="F15" s="198" t="n"/>
      <c r="G15" s="405" t="n">
        <v>234</v>
      </c>
      <c r="H15" s="405" t="n">
        <v>234</v>
      </c>
      <c r="I15" s="405" t="n">
        <v>1250</v>
      </c>
      <c r="J15" s="405" t="n">
        <v>-1250</v>
      </c>
      <c r="K15" s="141" t="inlineStr">
        <is>
          <t>In</t>
        </is>
      </c>
    </row>
    <row r="16">
      <c r="B16" s="561" t="inlineStr">
        <is>
          <t>ИТОГО</t>
        </is>
      </c>
      <c r="C16" s="473" t="n"/>
      <c r="D16" s="466" t="n"/>
      <c r="E16" s="406" t="n">
        <v>0</v>
      </c>
      <c r="F16" s="406" t="n">
        <v>500</v>
      </c>
      <c r="G16" s="406" t="n">
        <v>750</v>
      </c>
      <c r="H16" s="406" t="n">
        <v>2500</v>
      </c>
      <c r="I16" s="210" t="n"/>
      <c r="J16" s="210" t="n"/>
      <c r="K16" s="210" t="n"/>
    </row>
    <row r="18">
      <c r="B18" s="757" t="inlineStr">
        <is>
          <t>II. RETURNS MATRIX — 5 SCENARIOS × 4 WATERFALLS (IRR (внутренняя норма доходности) / MOIC (мультипликатор вложенного капитала), A+C pattern (паттерн))</t>
        </is>
      </c>
    </row>
    <row r="19">
      <c r="B19" s="389" t="inlineStr">
        <is>
          <t>#</t>
        </is>
      </c>
      <c r="C19" s="389" t="inlineStr">
        <is>
          <t>Сценарий</t>
        </is>
      </c>
      <c r="D19" s="389" t="inlineStr">
        <is>
          <t>W₁ IRR (внутренняя норма доходности)</t>
        </is>
      </c>
      <c r="E19" s="389" t="inlineStr">
        <is>
          <t>W₁ MOIC (мультипликатор вложенного капитала)</t>
        </is>
      </c>
      <c r="F19" s="389" t="inlineStr">
        <is>
          <t>W₂ IRR (внутренняя норма доходности)</t>
        </is>
      </c>
      <c r="G19" s="389" t="inlineStr">
        <is>
          <t>W₂ MOIC (мультипликатор вложенного капитала)</t>
        </is>
      </c>
      <c r="H19" s="389" t="inlineStr">
        <is>
          <t>W₃ IRR (внутренняя норма доходности)</t>
        </is>
      </c>
      <c r="I19" s="389" t="inlineStr">
        <is>
          <t>W₃ MOIC (мультипликатор вложенного капитала)</t>
        </is>
      </c>
      <c r="J19" s="389" t="inlineStr">
        <is>
          <t>W₄ IRR (внутренняя норма доходности)</t>
        </is>
      </c>
      <c r="K19" s="389" t="inlineStr">
        <is>
          <t>W₄ MOIC (мультипликатор вложенного капитала)</t>
        </is>
      </c>
      <c r="L19" s="389" t="inlineStr">
        <is>
          <t>Best (Лучший)</t>
        </is>
      </c>
      <c r="M19" s="389" t="inlineStr">
        <is>
          <t>NDP (чистые распределяемые поступления)</t>
        </is>
      </c>
    </row>
    <row r="20" ht="17" customHeight="1" s="468">
      <c r="B20" s="408" t="n">
        <v>1</v>
      </c>
      <c r="C20" s="408" t="inlineStr">
        <is>
          <t>Stress Bear (Стресс-пессимистичный)</t>
        </is>
      </c>
      <c r="D20" s="774" t="n">
        <v>-3.56</v>
      </c>
      <c r="E20" s="775" t="n">
        <v>0.86</v>
      </c>
      <c r="F20" s="774" t="n">
        <v>-0.68</v>
      </c>
      <c r="G20" s="775" t="n">
        <v>0.97</v>
      </c>
      <c r="H20" s="776" t="n">
        <v>9.34</v>
      </c>
      <c r="I20" s="777" t="n">
        <v>1.42</v>
      </c>
      <c r="J20" s="778" t="n">
        <v>9.6</v>
      </c>
      <c r="K20" s="779" t="n">
        <v>1.44</v>
      </c>
      <c r="L20" s="415" t="inlineStr">
        <is>
          <t>W₄</t>
        </is>
      </c>
      <c r="M20" s="416" t="n">
        <v>1800</v>
      </c>
    </row>
    <row r="21" ht="17" customHeight="1" s="468">
      <c r="B21" s="417" t="n">
        <v>2</v>
      </c>
      <c r="C21" s="417" t="inlineStr">
        <is>
          <t>Downside (Нижний сценарий)</t>
        </is>
      </c>
      <c r="D21" s="780" t="n">
        <v>3.06</v>
      </c>
      <c r="E21" s="781" t="n">
        <v>1.13</v>
      </c>
      <c r="F21" s="780" t="n">
        <v>6.74</v>
      </c>
      <c r="G21" s="781" t="n">
        <v>1.3</v>
      </c>
      <c r="H21" s="776" t="n">
        <v>15.14</v>
      </c>
      <c r="I21" s="777" t="n">
        <v>1.71</v>
      </c>
      <c r="J21" s="778" t="n">
        <v>16.61</v>
      </c>
      <c r="K21" s="779" t="n">
        <v>1.81</v>
      </c>
      <c r="L21" s="415" t="inlineStr">
        <is>
          <t>W₄</t>
        </is>
      </c>
      <c r="M21" s="416" t="n">
        <v>2400</v>
      </c>
    </row>
    <row r="22" ht="17" customHeight="1" s="468">
      <c r="B22" s="420" t="n">
        <v>3</v>
      </c>
      <c r="C22" s="420" t="inlineStr">
        <is>
          <t>Base Case (Базовый сценарий)</t>
        </is>
      </c>
      <c r="D22" s="774" t="n">
        <v>8.279999999999999</v>
      </c>
      <c r="E22" s="775" t="n">
        <v>1.37</v>
      </c>
      <c r="F22" s="774" t="n">
        <v>12.97</v>
      </c>
      <c r="G22" s="775" t="n">
        <v>1.62</v>
      </c>
      <c r="H22" s="782" t="n">
        <v>20.09</v>
      </c>
      <c r="I22" s="783" t="n">
        <v>2</v>
      </c>
      <c r="J22" s="778" t="n">
        <v>21.81</v>
      </c>
      <c r="K22" s="779" t="n">
        <v>2.12</v>
      </c>
      <c r="L22" s="415" t="inlineStr">
        <is>
          <t>W₄</t>
        </is>
      </c>
      <c r="M22" s="416" t="n">
        <v>3000</v>
      </c>
    </row>
    <row r="23" ht="16" customHeight="1" s="468">
      <c r="B23" s="423" t="n">
        <v>4</v>
      </c>
      <c r="C23" s="423" t="inlineStr">
        <is>
          <t>Upside (Верхний сценарий)</t>
        </is>
      </c>
      <c r="D23" s="423" t="n">
        <v>12.91</v>
      </c>
      <c r="E23" s="423" t="n">
        <v>1.61</v>
      </c>
      <c r="F23" s="423" t="n">
        <v>18.39</v>
      </c>
      <c r="G23" s="423" t="n">
        <v>1.95</v>
      </c>
      <c r="H23" s="423" t="n">
        <v>24.61</v>
      </c>
      <c r="I23" s="423" t="n">
        <v>2.29</v>
      </c>
      <c r="J23" s="423" t="n">
        <v>26.45</v>
      </c>
      <c r="K23" s="423" t="n">
        <v>2.43</v>
      </c>
      <c r="L23" s="423" t="inlineStr">
        <is>
          <t>W₄</t>
        </is>
      </c>
      <c r="M23" s="423" t="n">
        <v>3600</v>
      </c>
    </row>
    <row r="24" ht="16" customHeight="1" s="468">
      <c r="B24" s="423" t="n">
        <v>5</v>
      </c>
      <c r="C24" s="423" t="inlineStr">
        <is>
          <t>Bull Case (Оптимистичный)</t>
        </is>
      </c>
      <c r="D24" s="423" t="n">
        <v>17.08</v>
      </c>
      <c r="E24" s="423" t="n">
        <v>1.85</v>
      </c>
      <c r="F24" s="423" t="n">
        <v>23.22</v>
      </c>
      <c r="G24" s="423" t="n">
        <v>2.27</v>
      </c>
      <c r="H24" s="423" t="n">
        <v>28.78</v>
      </c>
      <c r="I24" s="423" t="n">
        <v>2.58</v>
      </c>
      <c r="J24" s="423" t="n">
        <v>30.73</v>
      </c>
      <c r="K24" s="423" t="n">
        <v>2.74</v>
      </c>
      <c r="L24" s="423" t="inlineStr">
        <is>
          <t>W₄</t>
        </is>
      </c>
      <c r="M24" s="423" t="n">
        <v>4200</v>
      </c>
    </row>
    <row r="25">
      <c r="B25" s="757" t="inlineStr">
        <is>
          <t>III. CASH-ON-CASH METRICS (Base (Базовый) case · W₃ DEFAULT (ПО УМОЛЧАНИЮ))</t>
        </is>
      </c>
    </row>
    <row r="26">
      <c r="B26" s="556" t="inlineStr">
        <is>
          <t>Валовые инвестиции (Валовые инвестиции) (4 tranches (транши))</t>
        </is>
      </c>
      <c r="C26" s="473" t="n"/>
      <c r="D26" s="473" t="n"/>
      <c r="E26" s="473" t="n"/>
      <c r="F26" s="466" t="n"/>
      <c r="G26" s="571" t="n">
        <v>1250</v>
      </c>
      <c r="H26" s="466" t="n"/>
      <c r="I26" s="514" t="inlineStr">
        <is>
          <t>Σ outflow T₁ (отток)</t>
        </is>
      </c>
      <c r="J26" s="473" t="n"/>
      <c r="K26" s="466" t="n"/>
    </row>
    <row r="27">
      <c r="B27" s="574" t="inlineStr">
        <is>
          <t>III. CASH-ON-CASH METRICS (Base (Базовый) case · W₃ DEFAULT (ПО УМОЛЧАНИЮ) · A+C pattern (паттерн))</t>
        </is>
      </c>
      <c r="C27" s="473" t="n"/>
      <c r="D27" s="473" t="n"/>
      <c r="E27" s="473" t="n"/>
      <c r="F27" s="466" t="n"/>
      <c r="G27" s="571" t="n">
        <v>2500</v>
      </c>
      <c r="H27" s="466" t="n"/>
      <c r="I27" s="514" t="inlineStr">
        <is>
          <t>W₃: 1250 liq pref + 500 coupon (купон) + 750 carried</t>
        </is>
      </c>
      <c r="J27" s="473" t="n"/>
      <c r="K27" s="466" t="n"/>
    </row>
    <row r="28" ht="16" customHeight="1" s="468">
      <c r="B28" s="564" t="inlineStr">
        <is>
          <t>Валовые инвестиции (Валовые инвестиции) (4 tranches (транши))</t>
        </is>
      </c>
      <c r="C28" s="473" t="n"/>
      <c r="D28" s="473" t="n"/>
      <c r="E28" s="473" t="n"/>
      <c r="F28" s="466" t="n"/>
      <c r="G28" s="576" t="n">
        <v>1250</v>
      </c>
      <c r="H28" s="466" t="n"/>
      <c r="I28" s="564" t="inlineStr">
        <is>
          <t>Σ outflow T₁ (отток)</t>
        </is>
      </c>
      <c r="J28" s="473" t="n"/>
      <c r="K28" s="466" t="n"/>
    </row>
    <row r="29" ht="16" customHeight="1" s="468">
      <c r="B29" s="564" t="inlineStr">
        <is>
          <t>Валовые поступления (Валовые поступления) (principal + interest + upside)</t>
        </is>
      </c>
      <c r="C29" s="473" t="n"/>
      <c r="D29" s="473" t="n"/>
      <c r="E29" s="473" t="n"/>
      <c r="F29" s="466" t="n"/>
      <c r="G29" s="784" t="n">
        <v>2500</v>
      </c>
      <c r="H29" s="466" t="n"/>
      <c r="I29" s="564" t="inlineStr">
        <is>
          <t>W₃: 1250 liq pref + 500 coupon (купон) + 750 carried</t>
        </is>
      </c>
      <c r="J29" s="473" t="n"/>
      <c r="K29" s="466" t="n"/>
    </row>
    <row r="30" ht="16" customHeight="1" s="468">
      <c r="B30" s="564" t="inlineStr">
        <is>
          <t>Net Gain (Чистая прибыль от выхода)</t>
        </is>
      </c>
      <c r="C30" s="473" t="n"/>
      <c r="D30" s="473" t="n"/>
      <c r="E30" s="473" t="n"/>
      <c r="F30" s="466" t="n"/>
      <c r="G30" s="785" t="n">
        <v>1250</v>
      </c>
      <c r="H30" s="466" t="n"/>
      <c r="I30" s="564" t="inlineStr">
        <is>
          <t>Return on capital (капитал) (net gain)</t>
        </is>
      </c>
      <c r="J30" s="473" t="n"/>
      <c r="K30" s="466" t="n"/>
    </row>
    <row r="31" ht="16" customHeight="1" s="468">
      <c r="B31" s="564" t="inlineStr">
        <is>
          <t>Net Gain (Чистая прибыль от выхода) %</t>
        </is>
      </c>
      <c r="C31" s="473" t="n"/>
      <c r="D31" s="473" t="n"/>
      <c r="E31" s="473" t="n"/>
      <c r="F31" s="466" t="n"/>
      <c r="G31" s="785" t="n">
        <v>100</v>
      </c>
      <c r="H31" s="466" t="n"/>
      <c r="I31" s="564" t="inlineStr">
        <is>
          <t>Total (Итого) return % (net gain / invest)</t>
        </is>
      </c>
      <c r="J31" s="473" t="n"/>
      <c r="K31" s="466" t="n"/>
    </row>
    <row r="32" ht="16" customHeight="1" s="468">
      <c r="B32" s="564" t="inlineStr">
        <is>
          <t>MOIC (мультипликатор вложенного капитала) (Multiple (Мультипликатор) on Invested Capital (Капитал))</t>
        </is>
      </c>
      <c r="C32" s="473" t="n"/>
      <c r="D32" s="473" t="n"/>
      <c r="E32" s="473" t="n"/>
      <c r="F32" s="466" t="n"/>
      <c r="G32" s="785" t="n">
        <v>2</v>
      </c>
      <c r="H32" s="466" t="n"/>
      <c r="I32" s="564" t="inlineStr">
        <is>
          <t>MOIC (мультипликатор вложенного капитала) = 2500.0/1250.0 (investor-friendly W₃)</t>
        </is>
      </c>
      <c r="J32" s="473" t="n"/>
      <c r="K32" s="466" t="n"/>
    </row>
    <row r="33" ht="16" customHeight="1" s="468">
      <c r="B33" s="564" t="inlineStr">
        <is>
          <t>DPI (распределения к вложенному) (Distributions / Paid-in)</t>
        </is>
      </c>
      <c r="C33" s="473" t="n"/>
      <c r="D33" s="473" t="n"/>
      <c r="E33" s="473" t="n"/>
      <c r="F33" s="466" t="n"/>
      <c r="G33" s="784" t="n">
        <v>2</v>
      </c>
      <c r="H33" s="466" t="n"/>
      <c r="I33" s="564" t="inlineStr">
        <is>
          <t>DPI (распределения к вложенному) fully realized</t>
        </is>
      </c>
      <c r="J33" s="473" t="n"/>
      <c r="K33" s="466" t="n"/>
    </row>
    <row r="34" ht="16" customHeight="1" s="468">
      <c r="B34" s="564" t="inlineStr">
        <is>
          <t>TVPI (общая стоимость к вложенному) (Total (Итого) Value / Paid-in)</t>
        </is>
      </c>
      <c r="C34" s="473" t="n"/>
      <c r="D34" s="473" t="n"/>
      <c r="E34" s="473" t="n"/>
      <c r="F34" s="466" t="n"/>
      <c r="G34" s="576" t="n">
        <v>2</v>
      </c>
      <c r="H34" s="466" t="n"/>
      <c r="I34" s="564" t="inlineStr">
        <is>
          <t>= DPI (распределения к вложенному) (no NAV)</t>
        </is>
      </c>
      <c r="J34" s="473" t="n"/>
      <c r="K34" s="466" t="n"/>
    </row>
    <row r="35" ht="16" customHeight="1" s="468">
      <c r="B35" s="564" t="inlineStr">
        <is>
          <t>IRR (внутренняя норма доходности) (fractional period)</t>
        </is>
      </c>
      <c r="C35" s="473" t="n"/>
      <c r="D35" s="473" t="n"/>
      <c r="E35" s="473" t="n"/>
      <c r="F35" s="466" t="n"/>
      <c r="G35" s="786" t="n">
        <v>20.09</v>
      </c>
      <c r="H35" s="466" t="n"/>
      <c r="I35" s="564" t="inlineStr">
        <is>
          <t>Hurdle (Порог) 18%, PASS (+2.09pp), A+C pattern (паттерн)</t>
        </is>
      </c>
      <c r="J35" s="473" t="n"/>
      <c r="K35" s="466" t="n"/>
    </row>
    <row r="36" ht="16" customHeight="1" s="468">
      <c r="B36" s="425" t="inlineStr">
        <is>
          <t>Peak Exposure (Максимальная экспозиция) (max drawdown)</t>
        </is>
      </c>
      <c r="G36" s="426" t="n">
        <v>1250</v>
      </c>
      <c r="I36" s="425" t="inlineStr">
        <is>
          <t>Q4'26 полное освоение 1 250</t>
        </is>
      </c>
    </row>
    <row r="37" ht="16" customHeight="1" s="468">
      <c r="B37" s="425" t="inlineStr">
        <is>
          <t>Payback (Окупаемость) period (Срок окупаемости)</t>
        </is>
      </c>
      <c r="G37" s="426" t="n">
        <v>3.23</v>
      </c>
      <c r="I37" s="425" t="inlineStr">
        <is>
          <t>A+C pattern (паттерн): principal returned within Y2029-Y2030 (frontload)</t>
        </is>
      </c>
    </row>
    <row r="38">
      <c r="B38" s="757" t="inlineStr">
        <is>
          <t>IV. RETURN ATTRIBUTION — РАЗБИВКА ROI (возврат на инвестиции) (Base (Базовый) W₃ DEFAULT (ПО УМОЛЧАНИЮ))</t>
        </is>
      </c>
    </row>
    <row r="39" ht="95" customHeight="1" s="468">
      <c r="B39" s="654" t="inlineStr">
        <is>
          <t>IV. RETURN ATTRIBUTION — РАЗБИВКА ROI (возврат на инвестиции) (Base (Базовый) W₃ DEFAULT (ПО УМОЛЧАНИЮ), A+C pattern (паттерн))</t>
        </is>
      </c>
      <c r="C39" s="562" t="inlineStr">
        <is>
          <t>Компонент</t>
        </is>
      </c>
      <c r="D39" s="473" t="n"/>
      <c r="E39" s="473" t="n"/>
      <c r="F39" s="473" t="n"/>
      <c r="G39" s="466" t="n"/>
      <c r="H39" s="562" t="inlineStr">
        <is>
          <t>млн ₽</t>
        </is>
      </c>
      <c r="I39" s="562" t="inlineStr">
        <is>
          <t>% of Σ</t>
        </is>
      </c>
      <c r="J39" s="562" t="inlineStr">
        <is>
          <t>Комментарий</t>
        </is>
      </c>
      <c r="K39" s="466" t="n"/>
    </row>
    <row r="40" ht="17" customHeight="1" s="468">
      <c r="B40" s="427" t="inlineStr">
        <is>
          <t>#</t>
        </is>
      </c>
      <c r="C40" s="575" t="inlineStr">
        <is>
          <t>Компонент</t>
        </is>
      </c>
      <c r="D40" s="473" t="n"/>
      <c r="E40" s="473" t="n"/>
      <c r="F40" s="473" t="n"/>
      <c r="G40" s="466" t="n"/>
      <c r="H40" s="428" t="inlineStr">
        <is>
          <t>млн ₽</t>
        </is>
      </c>
      <c r="I40" s="787" t="inlineStr">
        <is>
          <t>% of Σ</t>
        </is>
      </c>
      <c r="J40" s="575" t="inlineStr">
        <is>
          <t>Комментарий</t>
        </is>
      </c>
      <c r="K40" s="466" t="n"/>
    </row>
    <row r="41" ht="16" customHeight="1" s="468">
      <c r="B41" s="415" t="n">
        <v>1</v>
      </c>
      <c r="C41" s="577" t="inlineStr">
        <is>
          <t>Return of Principal (Liq Pref (Ликвидационная привилегия) 1×)</t>
        </is>
      </c>
      <c r="D41" s="566" t="n"/>
      <c r="E41" s="566" t="n"/>
      <c r="F41" s="566" t="n"/>
      <c r="G41" s="567" t="n"/>
      <c r="H41" s="431" t="n">
        <v>1250</v>
      </c>
      <c r="I41" s="788" t="n">
        <v>50</v>
      </c>
      <c r="J41" s="569" t="inlineStr">
        <is>
          <t>Stage (Этап) 1 W₃: senior recovery</t>
        </is>
      </c>
      <c r="K41" s="570" t="n"/>
    </row>
    <row r="42" ht="16" customHeight="1" s="468">
      <c r="B42" s="415" t="n">
        <v>2</v>
      </c>
      <c r="C42" s="577" t="inlineStr">
        <is>
          <t>Preferred Return Coupon (Купон) (8% × 5y)</t>
        </is>
      </c>
      <c r="D42" s="566" t="n"/>
      <c r="E42" s="566" t="n"/>
      <c r="F42" s="566" t="n"/>
      <c r="G42" s="567" t="n"/>
      <c r="H42" s="431" t="n">
        <v>500</v>
      </c>
      <c r="I42" s="788" t="n">
        <v>20</v>
      </c>
      <c r="J42" s="569" t="inlineStr">
        <is>
          <t>Stage (Этап) 2 W₃: 1250 × 8% × 5y = 500</t>
        </is>
      </c>
      <c r="K42" s="570" t="n"/>
    </row>
    <row r="43" ht="16" customHeight="1" s="468">
      <c r="B43" s="420" t="n">
        <v>3</v>
      </c>
      <c r="C43" s="565" t="inlineStr">
        <is>
          <t>Carried Interest (Проценты) Share (Доля) (60% of 750 residual (остаток))</t>
        </is>
      </c>
      <c r="D43" s="566" t="n"/>
      <c r="E43" s="566" t="n"/>
      <c r="F43" s="566" t="n"/>
      <c r="G43" s="567" t="n"/>
      <c r="H43" s="433" t="n">
        <v>750</v>
      </c>
      <c r="I43" s="789" t="n">
        <v>30</v>
      </c>
      <c r="J43" s="573" t="inlineStr">
        <is>
          <t>Stage (Этап) 3 W₃: 60% × (2500 − 1250 − 500)</t>
        </is>
      </c>
      <c r="K43" s="570" t="n"/>
    </row>
    <row r="44" ht="16" customHeight="1" s="468">
      <c r="C44" s="426" t="inlineStr">
        <is>
          <t>ИТОГО ROI (возврат на инвестиции)</t>
        </is>
      </c>
      <c r="H44" s="426" t="n">
        <v>2500</v>
      </c>
      <c r="I44" t="n">
        <v>100</v>
      </c>
      <c r="J44" t="inlineStr">
        <is>
          <t>= 1250 + 500 + 750 (W₃ Base (Базовый) NDP (чистые распределяемые поступления) 3000)</t>
        </is>
      </c>
    </row>
    <row r="46" ht="18" customHeight="1" s="468">
      <c r="B46" s="435" t="inlineStr">
        <is>
          <t>V. RISK DISCLAIMERS (ОТКАЗ ОТ ОТВЕТСТВЕННОСТИ) (W₃ + A+C pattern (паттерн))</t>
        </is>
      </c>
    </row>
    <row r="47" ht="409.6" customHeight="1" s="468">
      <c r="B47" s="436" t="inlineStr">
        <is>
          <t>V.1  Bear (Пессимистичный) scenario (NDP (чистые распределяемые поступления) 1 800) IRR (внутренняя норма доходности) = 9.34% — значительно ниже hurdle (порог) 18% (−8.66pp). При downside NDP (чистые распределяемые поступления) front-loaded A+C pattern (паттерн) (78% в Y29-Y30) усиливает негативный эффект: остаточные потоки Y31-Y32 не компенсируют временную стоимость денег.</t>
        </is>
      </c>
    </row>
    <row r="48" ht="409.6" customHeight="1" s="468">
      <c r="B48" s="436" t="inlineStr">
        <is>
          <t>V.2  Downside (Нижний сценарий) scenario (NDP (чистые распределяемые поступления) 2 400) IRR (внутренняя норма доходности) = 15.14% — ниже hurdle (порог) 18% (−2.86pp). В отличие от Bear (Пессимистичный), principal полностью возвращается (MoIC 1.71×), но IRR не достигает hurdle (порог) из-за сниженного carry в T₃.</t>
        </is>
      </c>
    </row>
    <row r="49" ht="409.6" customHeight="1" s="468">
      <c r="B49" s="436" t="inlineStr">
        <is>
          <t>V.3  Base (Базовый) scenario IRR (внутренняя норма доходности) = 20.09% превышает hurdle (порог) на +2.09pp. Margin (Маржа) к hurdle (порог) под W₃ (2.09pp) ниже, чем под Internal (Внутренний) W₅ V-D (6.75pp) — это конструктивная особенность W₃ (меньше tiers = меньше upside capture).</t>
        </is>
      </c>
    </row>
    <row r="50" ht="409.6" customHeight="1" s="468">
      <c r="B50" s="436" t="inlineStr">
        <is>
          <t>V.4  Monte Carlo (Монте-Карло) simulation (N=5 000, seed=42): Mean IRR (внутренняя норма доходности) = 11.44% (на 8.65pp ниже Det Base (Базовый) 20.09%). P(IRR &gt; 18% hurdle (порог)) = 13.6%. Только 13.6% симуляций достигают hurdle — основной драйвер: hit_rate (корреляция r=0.70). Детерминированный Base ≠ стохастическое ожидание.</t>
        </is>
      </c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B33:F33"/>
    <mergeCell ref="I27:K27"/>
    <mergeCell ref="G32:H32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6" customWidth="1" style="468" min="3" max="3"/>
    <col width="12" customWidth="1" style="468" min="4" max="7"/>
    <col width="13" customWidth="1" style="468" min="8" max="10"/>
    <col width="14" customWidth="1" style="468" min="11" max="11"/>
  </cols>
  <sheetData>
    <row r="2">
      <c r="B2" s="749" t="inlineStr">
        <is>
          <t>EXIT SCENARIOS (СЦЕНАРИИ ВЫХОДА) — 4 ROUTES × 3 TIMING (2028 / 2030 / 2032)</t>
        </is>
      </c>
    </row>
    <row r="3"/>
    <row r="4">
      <c r="B4" s="722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757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562" t="inlineStr">
        <is>
          <t>#</t>
        </is>
      </c>
      <c r="C7" s="562" t="inlineStr">
        <is>
          <t>Маршрут выхода (Маршрут выхода)</t>
        </is>
      </c>
      <c r="D7" s="562" t="inlineStr">
        <is>
          <t>Timing (Сроки)</t>
        </is>
      </c>
      <c r="E7" s="562" t="inlineStr">
        <is>
          <t>EBITDA (прибыль до вычетов) base</t>
        </is>
      </c>
      <c r="F7" s="562" t="inlineStr">
        <is>
          <t>Multiple (Мультипликатор)</t>
        </is>
      </c>
      <c r="G7" s="562" t="inlineStr">
        <is>
          <t>EV (стоимость предприятия) млн ₽</t>
        </is>
      </c>
      <c r="H7" s="562" t="inlineStr">
        <is>
          <t>Net Debt (Долг)</t>
        </is>
      </c>
      <c r="I7" s="562" t="inlineStr">
        <is>
          <t>Equity (Собственный капитал)</t>
        </is>
      </c>
      <c r="J7" s="562" t="inlineStr">
        <is>
          <t>T₁ proceeds (поступления)</t>
        </is>
      </c>
      <c r="K7" s="562" t="inlineStr">
        <is>
          <t>Вер. %</t>
        </is>
      </c>
    </row>
    <row r="8">
      <c r="B8" s="534" t="n">
        <v>1</v>
      </c>
      <c r="C8" s="212" t="inlineStr">
        <is>
          <t>Strategic (Стратегический) Sale (Стратегическая продажа)</t>
        </is>
      </c>
      <c r="D8" s="534" t="inlineStr">
        <is>
          <t>2028</t>
        </is>
      </c>
      <c r="E8" s="729" t="n">
        <v>1462</v>
      </c>
      <c r="F8" s="770" t="n">
        <v>6</v>
      </c>
      <c r="G8" s="729" t="n">
        <v>8772</v>
      </c>
      <c r="H8" s="729" t="n">
        <v>1250</v>
      </c>
      <c r="I8" s="729" t="n">
        <v>7522</v>
      </c>
      <c r="J8" s="729" t="n">
        <v>4280.018</v>
      </c>
      <c r="K8" s="790" t="n">
        <v>15</v>
      </c>
    </row>
    <row r="9">
      <c r="B9" s="534" t="n">
        <v>2</v>
      </c>
      <c r="C9" s="212" t="inlineStr">
        <is>
          <t>Strategic (Стратегический) Sale (Стратегическая продажа)</t>
        </is>
      </c>
      <c r="D9" s="534" t="inlineStr">
        <is>
          <t>2030</t>
        </is>
      </c>
      <c r="E9" s="729" t="n">
        <v>1120</v>
      </c>
      <c r="F9" s="770" t="n">
        <v>5.5</v>
      </c>
      <c r="G9" s="729" t="n">
        <v>6160</v>
      </c>
      <c r="H9" s="729" t="n">
        <v>0</v>
      </c>
      <c r="I9" s="729" t="n">
        <v>6160</v>
      </c>
      <c r="J9" s="729" t="n">
        <v>3505.04</v>
      </c>
      <c r="K9" s="790" t="n">
        <v>20</v>
      </c>
    </row>
    <row r="10">
      <c r="B10" s="534" t="n">
        <v>3</v>
      </c>
      <c r="C10" s="142" t="inlineStr">
        <is>
          <t>IPO (первичное размещение)</t>
        </is>
      </c>
      <c r="D10" s="534" t="inlineStr">
        <is>
          <t>2028</t>
        </is>
      </c>
      <c r="E10" s="729" t="n">
        <v>1462</v>
      </c>
      <c r="F10" s="770" t="n">
        <v>7</v>
      </c>
      <c r="G10" s="729" t="n">
        <v>10234</v>
      </c>
      <c r="H10" s="729" t="n">
        <v>1250</v>
      </c>
      <c r="I10" s="729" t="n">
        <v>8984</v>
      </c>
      <c r="J10" s="729" t="n">
        <v>5111.896</v>
      </c>
      <c r="K10" s="790" t="n">
        <v>5</v>
      </c>
    </row>
    <row r="11">
      <c r="B11" s="534" t="n">
        <v>4</v>
      </c>
      <c r="C11" s="142" t="inlineStr">
        <is>
          <t>IPO (первичное размещение)</t>
        </is>
      </c>
      <c r="D11" s="534" t="inlineStr">
        <is>
          <t>2030</t>
        </is>
      </c>
      <c r="E11" s="729" t="n">
        <v>1120</v>
      </c>
      <c r="F11" s="770" t="n">
        <v>6.5</v>
      </c>
      <c r="G11" s="729" t="n">
        <v>7280</v>
      </c>
      <c r="H11" s="729" t="n">
        <v>0</v>
      </c>
      <c r="I11" s="729" t="n">
        <v>7280</v>
      </c>
      <c r="J11" s="729" t="n">
        <v>4142.32</v>
      </c>
      <c r="K11" s="790" t="n">
        <v>10</v>
      </c>
    </row>
    <row r="12">
      <c r="B12" s="534" t="n">
        <v>5</v>
      </c>
      <c r="C12" s="212" t="inlineStr">
        <is>
          <t>Secondary (Вторичный)/Recap</t>
        </is>
      </c>
      <c r="D12" s="534" t="inlineStr">
        <is>
          <t>2030</t>
        </is>
      </c>
      <c r="E12" s="729" t="n">
        <v>1120</v>
      </c>
      <c r="F12" s="770" t="n">
        <v>5</v>
      </c>
      <c r="G12" s="729" t="n">
        <v>5600</v>
      </c>
      <c r="H12" s="729" t="n">
        <v>0</v>
      </c>
      <c r="I12" s="729" t="n">
        <v>5600</v>
      </c>
      <c r="J12" s="729" t="n">
        <v>3186.4</v>
      </c>
      <c r="K12" s="790" t="n">
        <v>15</v>
      </c>
    </row>
    <row r="13">
      <c r="B13" s="534" t="n">
        <v>6</v>
      </c>
      <c r="C13" s="212" t="inlineStr">
        <is>
          <t>Secondary (Вторичный)/Recap</t>
        </is>
      </c>
      <c r="D13" s="534" t="inlineStr">
        <is>
          <t>2032</t>
        </is>
      </c>
      <c r="E13" s="729" t="n">
        <v>1200</v>
      </c>
      <c r="F13" s="770" t="n">
        <v>4.5</v>
      </c>
      <c r="G13" s="729" t="n">
        <v>5400</v>
      </c>
      <c r="H13" s="729" t="n">
        <v>0</v>
      </c>
      <c r="I13" s="729" t="n">
        <v>5400</v>
      </c>
      <c r="J13" s="729" t="n">
        <v>3072.6</v>
      </c>
      <c r="K13" s="790" t="n">
        <v>15</v>
      </c>
    </row>
    <row r="14">
      <c r="B14" s="534" t="n">
        <v>7</v>
      </c>
      <c r="C14" s="151" t="inlineStr">
        <is>
          <t>Liquidation (Ликвидация)</t>
        </is>
      </c>
      <c r="D14" s="534" t="inlineStr">
        <is>
          <t>2032</t>
        </is>
      </c>
      <c r="E14" s="729" t="n">
        <v>1200</v>
      </c>
      <c r="F14" s="770" t="n">
        <v>2.5</v>
      </c>
      <c r="G14" s="729" t="n">
        <v>3000</v>
      </c>
      <c r="H14" s="729" t="n">
        <v>0</v>
      </c>
      <c r="I14" s="729" t="n">
        <v>3000</v>
      </c>
      <c r="J14" s="729" t="n">
        <v>1800</v>
      </c>
      <c r="K14" s="790" t="n">
        <v>20</v>
      </c>
    </row>
    <row r="15">
      <c r="B15" s="578" t="inlineStr">
        <is>
          <t>Probability-weighted total (Итого с учётом вероятностей)</t>
        </is>
      </c>
      <c r="C15" s="473" t="n"/>
      <c r="D15" s="473" t="n"/>
      <c r="E15" s="473" t="n"/>
      <c r="F15" s="466" t="n"/>
      <c r="G15" s="717" t="n">
        <v>6037.5</v>
      </c>
      <c r="H15" s="214" t="n"/>
      <c r="I15" s="214" t="n"/>
      <c r="J15" s="717" t="n">
        <v>3311.6875</v>
      </c>
      <c r="K15" s="791" t="n">
        <v>100</v>
      </c>
    </row>
    <row r="18">
      <c r="B18" s="757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532" t="inlineStr">
        <is>
          <t>EBITDA (прибыль до вычетов) 2030 (LTM)</t>
        </is>
      </c>
      <c r="C19" s="473" t="n"/>
      <c r="D19" s="473" t="n"/>
      <c r="E19" s="473" t="n"/>
      <c r="F19" s="466" t="n"/>
      <c r="G19" s="729" t="n">
        <v>1120</v>
      </c>
      <c r="H19" s="466" t="n"/>
      <c r="I19" s="514" t="inlineStr">
        <is>
          <t>Стабильный конвейер проектов (Стабильный конвейер проектов)</t>
        </is>
      </c>
      <c r="J19" s="473" t="n"/>
      <c r="K19" s="466" t="n"/>
    </row>
    <row r="20">
      <c r="B20" s="532" t="inlineStr">
        <is>
          <t>× Exit Multiple (Мультипликатор выхода)</t>
        </is>
      </c>
      <c r="C20" s="473" t="n"/>
      <c r="D20" s="473" t="n"/>
      <c r="E20" s="473" t="n"/>
      <c r="F20" s="466" t="n"/>
      <c r="G20" s="751" t="n">
        <v>5.5</v>
      </c>
      <c r="H20" s="466" t="n"/>
      <c r="I20" s="514" t="inlineStr">
        <is>
          <t>Strategic (Стратегический) buyer premium (премия)</t>
        </is>
      </c>
      <c r="J20" s="473" t="n"/>
      <c r="K20" s="466" t="n"/>
    </row>
    <row r="21">
      <c r="B21" s="513" t="inlineStr">
        <is>
          <t>= Enterprise Value (Стоимость предприятия)</t>
        </is>
      </c>
      <c r="C21" s="473" t="n"/>
      <c r="D21" s="473" t="n"/>
      <c r="E21" s="473" t="n"/>
      <c r="F21" s="466" t="n"/>
      <c r="G21" s="718" t="n">
        <v>6160</v>
      </c>
      <c r="H21" s="466" t="n"/>
      <c r="I21" s="514" t="inlineStr">
        <is>
          <t>Before capital (капитал) structure</t>
        </is>
      </c>
      <c r="J21" s="473" t="n"/>
      <c r="K21" s="466" t="n"/>
    </row>
    <row r="22">
      <c r="B22" s="532" t="inlineStr">
        <is>
          <t>(−) Net Debt (Долг)</t>
        </is>
      </c>
      <c r="C22" s="473" t="n"/>
      <c r="D22" s="473" t="n"/>
      <c r="E22" s="473" t="n"/>
      <c r="F22" s="466" t="n"/>
      <c r="G22" s="729" t="n">
        <v>0</v>
      </c>
      <c r="H22" s="466" t="n"/>
      <c r="I22" s="514" t="inlineStr">
        <is>
          <t>T₁ repaid in 2029-2030 (Возврат T₁ в 2029–2030)</t>
        </is>
      </c>
      <c r="J22" s="473" t="n"/>
      <c r="K22" s="466" t="n"/>
    </row>
    <row r="23">
      <c r="B23" s="532" t="inlineStr">
        <is>
          <t>(+) Cash (Денежные средства) &amp; equivalents</t>
        </is>
      </c>
      <c r="C23" s="473" t="n"/>
      <c r="D23" s="473" t="n"/>
      <c r="E23" s="473" t="n"/>
      <c r="F23" s="466" t="n"/>
      <c r="G23" s="729" t="n">
        <v>0</v>
      </c>
      <c r="H23" s="466" t="n"/>
      <c r="I23" s="514" t="inlineStr">
        <is>
          <t>Distributed to holders (Распределено держателям)</t>
        </is>
      </c>
      <c r="J23" s="473" t="n"/>
      <c r="K23" s="466" t="n"/>
    </row>
    <row r="24">
      <c r="B24" s="513" t="inlineStr">
        <is>
          <t>= Equity (Собственный капитал) Value</t>
        </is>
      </c>
      <c r="C24" s="473" t="n"/>
      <c r="D24" s="473" t="n"/>
      <c r="E24" s="473" t="n"/>
      <c r="F24" s="466" t="n"/>
      <c r="G24" s="718" t="n">
        <v>6160</v>
      </c>
      <c r="H24" s="466" t="n"/>
      <c r="I24" s="514" t="inlineStr">
        <is>
          <t>For distribution (распределение)</t>
        </is>
      </c>
      <c r="J24" s="473" t="n"/>
      <c r="K24" s="466" t="n"/>
    </row>
    <row r="25">
      <c r="B25" s="532" t="inlineStr">
        <is>
          <t>(−) Транзакционные издержки (2%)</t>
        </is>
      </c>
      <c r="C25" s="473" t="n"/>
      <c r="D25" s="473" t="n"/>
      <c r="E25" s="473" t="n"/>
      <c r="F25" s="466" t="n"/>
      <c r="G25" s="729" t="n">
        <v>-123.2</v>
      </c>
      <c r="H25" s="466" t="n"/>
      <c r="I25" s="514" t="inlineStr">
        <is>
          <t>Консультации (Консультации), legal</t>
        </is>
      </c>
      <c r="J25" s="473" t="n"/>
      <c r="K25" s="466" t="n"/>
    </row>
    <row r="26">
      <c r="B26" s="513" t="inlineStr">
        <is>
          <t>= Net Equity (Собственный капитал) Proceeds</t>
        </is>
      </c>
      <c r="C26" s="473" t="n"/>
      <c r="D26" s="473" t="n"/>
      <c r="E26" s="473" t="n"/>
      <c r="F26" s="466" t="n"/>
      <c r="G26" s="718" t="n">
        <v>6036.8</v>
      </c>
      <c r="H26" s="466" t="n"/>
      <c r="I26" s="514" t="inlineStr">
        <is>
          <t>Available for waterfall (Доступно для каскада)</t>
        </is>
      </c>
      <c r="J26" s="473" t="n"/>
      <c r="K26" s="466" t="n"/>
    </row>
    <row r="29">
      <c r="B29" s="757" t="inlineStr">
        <is>
          <t>III. WATERFALL (КАСКАД) AT EXIT — PROCEEDS DISTRIBUTION (Scenario (Сценарий) B: 50/30/20)</t>
        </is>
      </c>
    </row>
    <row r="30">
      <c r="B30" s="562" t="inlineStr">
        <is>
          <t>#</t>
        </is>
      </c>
      <c r="C30" s="562" t="inlineStr">
        <is>
          <t>Level (Уровень)</t>
        </is>
      </c>
      <c r="D30" s="473" t="n"/>
      <c r="E30" s="473" t="n"/>
      <c r="F30" s="473" t="n"/>
      <c r="G30" s="466" t="n"/>
      <c r="H30" s="562" t="inlineStr">
        <is>
          <t>млн ₽</t>
        </is>
      </c>
      <c r="I30" s="562" t="inlineStr">
        <is>
          <t>%</t>
        </is>
      </c>
      <c r="J30" s="562" t="inlineStr">
        <is>
          <t>Комментарий</t>
        </is>
      </c>
      <c r="K30" s="466" t="n"/>
    </row>
    <row r="31">
      <c r="B31" s="534" t="n">
        <v>1</v>
      </c>
      <c r="C31" s="532" t="inlineStr">
        <is>
          <t>Net Equity (Собственный капитал) Proceeds</t>
        </is>
      </c>
      <c r="D31" s="473" t="n"/>
      <c r="E31" s="473" t="n"/>
      <c r="F31" s="473" t="n"/>
      <c r="G31" s="466" t="n"/>
      <c r="H31" s="729" t="n">
        <v>6036.8</v>
      </c>
      <c r="I31" s="738" t="n">
        <v>100</v>
      </c>
      <c r="J31" s="532" t="inlineStr">
        <is>
          <t>100% доступно</t>
        </is>
      </c>
      <c r="K31" s="466" t="n"/>
    </row>
    <row r="33">
      <c r="B33" s="534" t="n">
        <v>2</v>
      </c>
      <c r="C33" s="532" t="inlineStr">
        <is>
          <t>Step 1. T₁ Return of Capital (Капитал) (1 250)</t>
        </is>
      </c>
      <c r="D33" s="473" t="n"/>
      <c r="E33" s="473" t="n"/>
      <c r="F33" s="473" t="n"/>
      <c r="G33" s="466" t="n"/>
      <c r="H33" s="729" t="n">
        <v>1250</v>
      </c>
      <c r="I33" s="738" t="n">
        <v>20.70633448184469</v>
      </c>
      <c r="J33" s="532" t="inlineStr">
        <is>
          <t>Senior recovery (Старшее погашение)</t>
        </is>
      </c>
      <c r="K33" s="466" t="n"/>
    </row>
    <row r="34">
      <c r="B34" s="534" t="n">
        <v>3</v>
      </c>
      <c r="C34" s="532" t="inlineStr">
        <is>
          <t>Step 2. T₂ Return of Capital (Капитал) (500)</t>
        </is>
      </c>
      <c r="D34" s="473" t="n"/>
      <c r="E34" s="473" t="n"/>
      <c r="F34" s="473" t="n"/>
      <c r="G34" s="466" t="n"/>
      <c r="H34" s="729" t="n">
        <v>500</v>
      </c>
      <c r="I34" s="738" t="n">
        <v>8.282533792737874</v>
      </c>
      <c r="J34" s="532" t="inlineStr">
        <is>
          <t>Pari-passu (Паритетное (pari-passu)) recovery (Паритетное погашение)</t>
        </is>
      </c>
      <c r="K34" s="466" t="n"/>
    </row>
    <row r="35">
      <c r="B35" s="534" t="n">
        <v>4</v>
      </c>
      <c r="C35" s="532" t="inlineStr">
        <is>
          <t>Step 3. Residual (Остаток) after RoC</t>
        </is>
      </c>
      <c r="D35" s="473" t="n"/>
      <c r="E35" s="473" t="n"/>
      <c r="F35" s="473" t="n"/>
      <c r="G35" s="466" t="n"/>
      <c r="H35" s="729" t="n">
        <v>4286.8</v>
      </c>
      <c r="I35" s="738" t="n">
        <v>71.01113172541744</v>
      </c>
      <c r="J35" s="532" t="inlineStr">
        <is>
          <t>Available for hurdle (порог)</t>
        </is>
      </c>
      <c r="K35" s="466" t="n"/>
    </row>
    <row r="37">
      <c r="B37" s="534" t="n"/>
      <c r="C37" s="532" t="inlineStr">
        <is>
          <t>Step 4. Hurdle (Порог) split (разделение) 50/50 on residual (остаток)</t>
        </is>
      </c>
      <c r="D37" s="473" t="n"/>
      <c r="E37" s="473" t="n"/>
      <c r="F37" s="473" t="n"/>
      <c r="G37" s="466" t="n"/>
      <c r="H37" s="216" t="n"/>
      <c r="I37" s="534" t="n"/>
      <c r="J37" s="532" t="n"/>
      <c r="K37" s="466" t="n"/>
    </row>
    <row r="38">
      <c r="B38" s="534" t="n">
        <v>6</v>
      </c>
      <c r="C38" s="532" t="inlineStr">
        <is>
          <t xml:space="preserve">  → Founder 50% of residual (остаток)</t>
        </is>
      </c>
      <c r="D38" s="473" t="n"/>
      <c r="E38" s="473" t="n"/>
      <c r="F38" s="473" t="n"/>
      <c r="G38" s="466" t="n"/>
      <c r="H38" s="729" t="n">
        <v>2143.4</v>
      </c>
      <c r="I38" s="534" t="n"/>
      <c r="J38" s="532" t="inlineStr">
        <is>
          <t>Growth equity (доля в капитале)</t>
        </is>
      </c>
      <c r="K38" s="466" t="n"/>
    </row>
    <row r="39">
      <c r="B39" s="534" t="n">
        <v>7</v>
      </c>
      <c r="C39" s="532" t="inlineStr">
        <is>
          <t xml:space="preserve">  → T₁/T₂ pro-rata 50% of residual (остаток)</t>
        </is>
      </c>
      <c r="D39" s="473" t="n"/>
      <c r="E39" s="473" t="n"/>
      <c r="F39" s="473" t="n"/>
      <c r="G39" s="466" t="n"/>
      <c r="H39" s="729" t="n">
        <v>2143.4</v>
      </c>
      <c r="I39" s="534" t="n"/>
      <c r="J39" s="532" t="inlineStr">
        <is>
          <t>Investor (Инвестор) upside</t>
        </is>
      </c>
      <c r="K39" s="466" t="n"/>
    </row>
    <row r="41">
      <c r="B41" s="188" t="n"/>
      <c r="C41" s="553" t="inlineStr">
        <is>
          <t>Final Distribution (Распределение):</t>
        </is>
      </c>
      <c r="D41" s="473" t="n"/>
      <c r="E41" s="473" t="n"/>
      <c r="F41" s="473" t="n"/>
      <c r="G41" s="466" t="n"/>
      <c r="H41" s="217" t="n"/>
      <c r="I41" s="188" t="n"/>
      <c r="J41" s="553" t="n"/>
      <c r="K41" s="466" t="n"/>
    </row>
    <row r="42">
      <c r="B42" s="188" t="n">
        <v>9</v>
      </c>
      <c r="C42" s="553" t="inlineStr">
        <is>
          <t xml:space="preserve">  Founder Total (Итого)</t>
        </is>
      </c>
      <c r="D42" s="473" t="n"/>
      <c r="E42" s="473" t="n"/>
      <c r="F42" s="473" t="n"/>
      <c r="G42" s="466" t="n"/>
      <c r="H42" s="772" t="n">
        <v>2143.4</v>
      </c>
      <c r="I42" s="188" t="n"/>
      <c r="J42" s="553" t="inlineStr">
        <is>
          <t>Growth share (доля)</t>
        </is>
      </c>
      <c r="K42" s="466" t="n"/>
    </row>
    <row r="43">
      <c r="B43" s="188" t="n">
        <v>10</v>
      </c>
      <c r="C43" s="553" t="inlineStr">
        <is>
          <t xml:space="preserve">  T₁ Total (Итого) (1 250 + share (доля))</t>
        </is>
      </c>
      <c r="D43" s="473" t="n"/>
      <c r="E43" s="473" t="n"/>
      <c r="F43" s="473" t="n"/>
      <c r="G43" s="466" t="n"/>
      <c r="H43" s="772" t="n">
        <v>2781</v>
      </c>
      <c r="I43" s="188" t="n"/>
      <c r="J43" s="553" t="inlineStr">
        <is>
          <t>30% размещение</t>
        </is>
      </c>
      <c r="K43" s="466" t="n"/>
    </row>
    <row r="44">
      <c r="B44" s="188" t="n">
        <v>11</v>
      </c>
      <c r="C44" s="553" t="inlineStr">
        <is>
          <t xml:space="preserve">  T₂ Total (Итого) (500 + share (доля))</t>
        </is>
      </c>
      <c r="D44" s="473" t="n"/>
      <c r="E44" s="473" t="n"/>
      <c r="F44" s="473" t="n"/>
      <c r="G44" s="466" t="n"/>
      <c r="H44" s="772" t="n">
        <v>1112.4</v>
      </c>
      <c r="I44" s="188" t="n"/>
      <c r="J44" s="553" t="inlineStr">
        <is>
          <t>20% размещение</t>
        </is>
      </c>
      <c r="K44" s="466" t="n"/>
    </row>
    <row r="47">
      <c r="B47" s="757" t="inlineStr">
        <is>
          <t>IV. EXPECTED VALUE (ОЖИДАЕМАЯ СТОИМОСТЬ) SUMMARY</t>
        </is>
      </c>
    </row>
    <row r="48">
      <c r="B48" s="556" t="inlineStr">
        <is>
          <t>Probability-weighted EV (стоимость предприятия)</t>
        </is>
      </c>
      <c r="C48" s="473" t="n"/>
      <c r="D48" s="473" t="n"/>
      <c r="E48" s="473" t="n"/>
      <c r="F48" s="466" t="n"/>
      <c r="G48" s="718" t="n">
        <v>6037.5</v>
      </c>
      <c r="H48" s="466" t="n"/>
      <c r="I48" s="514" t="inlineStr">
        <is>
          <t>Across 7 exit routes (По 7 вариантам выхода)</t>
        </is>
      </c>
      <c r="J48" s="473" t="n"/>
      <c r="K48" s="466" t="n"/>
    </row>
    <row r="49" ht="25" customHeight="1" s="468">
      <c r="B49" s="556" t="inlineStr">
        <is>
          <t>Probability-weighted T₁ proceeds (Поступления T₁ с учётом вероятностей)</t>
        </is>
      </c>
      <c r="C49" s="473" t="n"/>
      <c r="D49" s="473" t="n"/>
      <c r="E49" s="473" t="n"/>
      <c r="F49" s="466" t="n"/>
      <c r="G49" s="718" t="n">
        <v>3311.6875</v>
      </c>
      <c r="H49" s="466" t="n"/>
      <c r="I49" s="514" t="inlineStr">
        <is>
          <t>50/30/20 exit split (разделение)</t>
        </is>
      </c>
      <c r="J49" s="473" t="n"/>
      <c r="K49" s="466" t="n"/>
    </row>
    <row r="50">
      <c r="B50" s="556" t="inlineStr">
        <is>
          <t>Most likely exit (Наиб. вероятный выход, 20%)</t>
        </is>
      </c>
      <c r="C50" s="473" t="n"/>
      <c r="D50" s="473" t="n"/>
      <c r="E50" s="473" t="n"/>
      <c r="F50" s="466" t="n"/>
      <c r="G50" s="513" t="inlineStr">
        <is>
          <t>Strategic (Стратегический) Sale (Стратегическая продажа) 2030</t>
        </is>
      </c>
      <c r="H50" s="466" t="n"/>
      <c r="I50" s="514" t="inlineStr">
        <is>
          <t>EV (стоимость предприятия) 6 160 млн ₽</t>
        </is>
      </c>
      <c r="J50" s="473" t="n"/>
      <c r="K50" s="466" t="n"/>
    </row>
    <row r="51">
      <c r="B51" s="556" t="inlineStr">
        <is>
          <t>Highest EV (стоимость предприятия) exit (10% prob)</t>
        </is>
      </c>
      <c r="C51" s="473" t="n"/>
      <c r="D51" s="473" t="n"/>
      <c r="E51" s="473" t="n"/>
      <c r="F51" s="466" t="n"/>
      <c r="G51" s="513" t="inlineStr">
        <is>
          <t>IPO (первичное размещение) 2030</t>
        </is>
      </c>
      <c r="H51" s="466" t="n"/>
      <c r="I51" s="514" t="inlineStr">
        <is>
          <t>EV (стоимость предприятия) 7 280 млн ₽</t>
        </is>
      </c>
      <c r="J51" s="473" t="n"/>
      <c r="K51" s="466" t="n"/>
    </row>
    <row r="52">
      <c r="B52" s="556" t="inlineStr">
        <is>
          <t>Worst case exit (Худший сценарий выхода)</t>
        </is>
      </c>
      <c r="C52" s="473" t="n"/>
      <c r="D52" s="473" t="n"/>
      <c r="E52" s="473" t="n"/>
      <c r="F52" s="466" t="n"/>
      <c r="G52" s="513" t="inlineStr">
        <is>
          <t>Liquidation (Ликвидация) 2032</t>
        </is>
      </c>
      <c r="H52" s="466" t="n"/>
      <c r="I52" s="514" t="inlineStr">
        <is>
          <t>EV (стоимость предприятия) 3 000 млн ₽</t>
        </is>
      </c>
      <c r="J52" s="473" t="n"/>
      <c r="K52" s="466" t="n"/>
    </row>
    <row r="53" ht="24" customHeight="1" s="468">
      <c r="B53" s="556" t="inlineStr">
        <is>
          <t>Expected T₁ MOIC (мультипликатор вложенного капитала) (prob-weighted через 50/30/20)</t>
        </is>
      </c>
      <c r="C53" s="473" t="n"/>
      <c r="D53" s="473" t="n"/>
      <c r="E53" s="473" t="n"/>
      <c r="F53" s="466" t="n"/>
      <c r="G53" s="792" t="n">
        <v>2.64935</v>
      </c>
      <c r="H53" s="466" t="n"/>
      <c r="I53" s="514" t="inlineStr">
        <is>
          <t>≠ matrix из 24 (там W₃ Base (Базовый) MOIC (мультипликатор вложенного капитала) = 2.00×). Методы разные.</t>
        </is>
      </c>
      <c r="J53" s="473" t="n"/>
      <c r="K53" s="466" t="n"/>
    </row>
    <row r="55" ht="42" customHeight="1" s="468">
      <c r="B55" s="793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G53:H53"/>
    <mergeCell ref="B23:F23"/>
    <mergeCell ref="I48:K48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B51:F51"/>
    <mergeCell ref="J42:K42"/>
    <mergeCell ref="B29:K29"/>
    <mergeCell ref="G50:H50"/>
    <mergeCell ref="J33:K33"/>
    <mergeCell ref="I26:K26"/>
    <mergeCell ref="C37:G37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M16" sqref="M16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8" customWidth="1" style="468" min="3" max="3"/>
    <col width="13" customWidth="1" style="468" min="4" max="11"/>
  </cols>
  <sheetData>
    <row r="2">
      <c r="B2" s="749" t="inlineStr">
        <is>
          <t>АНАЛИЗ ЧУВСТВИТЕЛЬНОСТИ — TORNADO (±20% по 8 драйверам на EBITDA (прибыль до вычетов) 3Y и IRR (внутренняя норма доходности) T₁ W₃ A+C pattern (паттерн))</t>
        </is>
      </c>
    </row>
    <row r="3"/>
    <row r="4" ht="59" customHeight="1" s="468">
      <c r="B4" s="722" t="inlineStr">
        <is>
          <t>Ранжирование ключевых драйверов по влиянию на EBITDA (прибыль до вычетов) 3Y (база 2 152 млн ₽) и IRR (внутренняя норма доходности) T₁ W₃ A+C. Под W₃ + A+C frontload pattern (паттерн) чувствительность IRR к top-3 drivers выше из-за концентрации 78% NDP (чистые распределяемые поступления) в Y29-Y30.</t>
        </is>
      </c>
    </row>
    <row r="6">
      <c r="B6" s="757" t="inlineStr">
        <is>
          <t>I.  БАЗОВЫЕ ПАРАМЕТРЫ (БАЗОВЫЕ ПАРАМЕТРЫ)</t>
        </is>
      </c>
    </row>
    <row r="7">
      <c r="B7" s="534" t="n">
        <v>1</v>
      </c>
      <c r="C7" s="556" t="inlineStr">
        <is>
          <t>Revenue (Выручка) 3Y (2026-2028)</t>
        </is>
      </c>
      <c r="D7" s="473" t="n"/>
      <c r="E7" s="473" t="n"/>
      <c r="F7" s="473" t="n"/>
      <c r="G7" s="466" t="n"/>
      <c r="H7" s="718" t="n">
        <v>4545</v>
      </c>
      <c r="I7" s="466" t="n"/>
      <c r="J7" s="514" t="inlineStr">
        <is>
          <t>млн ₽</t>
        </is>
      </c>
      <c r="K7" s="466" t="n"/>
    </row>
    <row r="8">
      <c r="B8" s="534" t="n">
        <v>2</v>
      </c>
      <c r="C8" s="556" t="inlineStr">
        <is>
          <t>EBITDA (прибыль до вычетов) margin (маржа)</t>
        </is>
      </c>
      <c r="D8" s="473" t="n"/>
      <c r="E8" s="473" t="n"/>
      <c r="F8" s="473" t="n"/>
      <c r="G8" s="466" t="n"/>
      <c r="H8" s="720" t="n">
        <v>47.34873487348734</v>
      </c>
      <c r="I8" s="466" t="n"/>
      <c r="J8" s="514" t="inlineStr">
        <is>
          <t>%</t>
        </is>
      </c>
      <c r="K8" s="466" t="n"/>
    </row>
    <row r="9">
      <c r="B9" s="534" t="n">
        <v>3</v>
      </c>
      <c r="C9" s="556" t="inlineStr">
        <is>
          <t>Production CAPEX (Капзатраты)</t>
        </is>
      </c>
      <c r="D9" s="473" t="n"/>
      <c r="E9" s="473" t="n"/>
      <c r="F9" s="473" t="n"/>
      <c r="G9" s="466" t="n"/>
      <c r="H9" s="718" t="n">
        <v>1850</v>
      </c>
      <c r="I9" s="466" t="n"/>
      <c r="J9" s="514" t="inlineStr">
        <is>
          <t>млн ₽</t>
        </is>
      </c>
      <c r="K9" s="466" t="n"/>
    </row>
    <row r="10">
      <c r="B10" s="534" t="n">
        <v>4</v>
      </c>
      <c r="C10" s="556" t="inlineStr">
        <is>
          <t>P&amp;A ratio (Коэффициент P&amp;A) to budget (бюджет)</t>
        </is>
      </c>
      <c r="D10" s="473" t="n"/>
      <c r="E10" s="473" t="n"/>
      <c r="F10" s="473" t="n"/>
      <c r="G10" s="466" t="n"/>
      <c r="H10" s="720" t="n">
        <v>15</v>
      </c>
      <c r="I10" s="466" t="n"/>
      <c r="J10" s="514" t="inlineStr">
        <is>
          <t>% of budget (бюджет)</t>
        </is>
      </c>
      <c r="K10" s="466" t="n"/>
    </row>
    <row r="11">
      <c r="B11" s="534" t="n">
        <v>5</v>
      </c>
      <c r="C11" s="556" t="inlineStr">
        <is>
          <t>OpEx 3Y (FOT (фонд оплаты труда) + other)</t>
        </is>
      </c>
      <c r="D11" s="473" t="n"/>
      <c r="E11" s="473" t="n"/>
      <c r="F11" s="473" t="n"/>
      <c r="G11" s="466" t="n"/>
      <c r="H11" s="718" t="n">
        <v>265.5</v>
      </c>
      <c r="I11" s="466" t="n"/>
      <c r="J11" s="514" t="inlineStr">
        <is>
          <t>млн ₽</t>
        </is>
      </c>
      <c r="K11" s="466" t="n"/>
    </row>
    <row r="12">
      <c r="B12" s="534" t="n">
        <v>6</v>
      </c>
      <c r="C12" s="556" t="inlineStr">
        <is>
          <t>Interest (Проценты) expense</t>
        </is>
      </c>
      <c r="D12" s="473" t="n"/>
      <c r="E12" s="473" t="n"/>
      <c r="F12" s="473" t="n"/>
      <c r="G12" s="466" t="n"/>
      <c r="H12" s="718" t="n">
        <v>15</v>
      </c>
      <c r="I12" s="466" t="n"/>
      <c r="J12" s="514" t="inlineStr">
        <is>
          <t>млн ₽</t>
        </is>
      </c>
      <c r="K12" s="466" t="n"/>
    </row>
    <row r="13">
      <c r="B13" s="534" t="n">
        <v>7</v>
      </c>
      <c r="C13" s="556" t="inlineStr">
        <is>
          <t>Exit Multiple (Мультипликатор выхода)</t>
        </is>
      </c>
      <c r="D13" s="473" t="n"/>
      <c r="E13" s="473" t="n"/>
      <c r="F13" s="473" t="n"/>
      <c r="G13" s="466" t="n"/>
      <c r="H13" s="792" t="n">
        <v>5</v>
      </c>
      <c r="I13" s="466" t="n"/>
      <c r="J13" s="514" t="inlineStr">
        <is>
          <t>× EBITDA (прибыль до вычетов)</t>
        </is>
      </c>
      <c r="K13" s="466" t="n"/>
    </row>
    <row r="14">
      <c r="B14" s="534" t="n">
        <v>8</v>
      </c>
      <c r="C14" s="556" t="inlineStr">
        <is>
          <t>Attendance (Посещаемость) (relative, 100%)</t>
        </is>
      </c>
      <c r="D14" s="473" t="n"/>
      <c r="E14" s="473" t="n"/>
      <c r="F14" s="473" t="n"/>
      <c r="G14" s="466" t="n"/>
      <c r="H14" s="720" t="n">
        <v>100</v>
      </c>
      <c r="I14" s="466" t="n"/>
      <c r="J14" s="514" t="inlineStr">
        <is>
          <t>базовая посещаемость</t>
        </is>
      </c>
      <c r="K14" s="466" t="n"/>
    </row>
    <row r="17">
      <c r="B17" s="757" t="inlineStr">
        <is>
          <t>II. TORNADO — IMPACT ON EBITDA (прибыль до вычетов) 3Y (base 2 152 млн ₽)</t>
        </is>
      </c>
    </row>
    <row r="18">
      <c r="B18" s="562" t="inlineStr">
        <is>
          <t>#</t>
        </is>
      </c>
      <c r="C18" s="562" t="inlineStr">
        <is>
          <t>Driver (Драйвер)</t>
        </is>
      </c>
      <c r="D18" s="562" t="inlineStr">
        <is>
          <t>−20%</t>
        </is>
      </c>
      <c r="E18" s="562" t="inlineStr">
        <is>
          <t>Base (Базовый)</t>
        </is>
      </c>
      <c r="F18" s="562" t="inlineStr">
        <is>
          <t>+20%</t>
        </is>
      </c>
      <c r="G18" s="562" t="inlineStr">
        <is>
          <t>Δ Low</t>
        </is>
      </c>
      <c r="H18" s="562" t="inlineStr">
        <is>
          <t>Δ Макс.</t>
        </is>
      </c>
      <c r="I18" s="562" t="inlineStr">
        <is>
          <t>Range (Диапазон)</t>
        </is>
      </c>
      <c r="J18" s="562" t="inlineStr">
        <is>
          <t>Elasticity (Эластичность)</t>
        </is>
      </c>
      <c r="K18" s="562" t="inlineStr">
        <is>
          <t>Rank (Ранг)</t>
        </is>
      </c>
    </row>
    <row r="19">
      <c r="B19" s="534" t="n">
        <v>1</v>
      </c>
      <c r="C19" s="218" t="inlineStr">
        <is>
          <t>Revenue (Выручка)</t>
        </is>
      </c>
      <c r="D19" s="729" t="n">
        <v>1721.6</v>
      </c>
      <c r="E19" s="729" t="n">
        <v>2152</v>
      </c>
      <c r="F19" s="729" t="n">
        <v>2582.4</v>
      </c>
      <c r="G19" s="794" t="n">
        <v>-430.4000000000001</v>
      </c>
      <c r="H19" s="795" t="n">
        <v>430.4000000000001</v>
      </c>
      <c r="I19" s="729" t="n">
        <v>860.8000000000002</v>
      </c>
      <c r="J19" s="750" t="n">
        <v>20</v>
      </c>
      <c r="K19" s="221" t="n">
        <v>1</v>
      </c>
    </row>
    <row r="20">
      <c r="B20" s="534" t="n">
        <v>2</v>
      </c>
      <c r="C20" s="212" t="inlineStr">
        <is>
          <t>EBITDA (прибыль до вычетов) margin (маржа)</t>
        </is>
      </c>
      <c r="D20" s="729" t="n">
        <v>1721.6</v>
      </c>
      <c r="E20" s="729" t="n">
        <v>2152</v>
      </c>
      <c r="F20" s="729" t="n">
        <v>2582.4</v>
      </c>
      <c r="G20" s="794" t="n">
        <v>-430.4000000000001</v>
      </c>
      <c r="H20" s="795" t="n">
        <v>430.3999999999996</v>
      </c>
      <c r="I20" s="729" t="n">
        <v>860.7999999999997</v>
      </c>
      <c r="J20" s="750" t="n">
        <v>19.99999999999999</v>
      </c>
      <c r="K20" s="188" t="n">
        <v>3</v>
      </c>
    </row>
    <row r="21">
      <c r="B21" s="534" t="n">
        <v>3</v>
      </c>
      <c r="C21" s="212" t="inlineStr">
        <is>
          <t>Production CAPEX (Капзатраты)</t>
        </is>
      </c>
      <c r="D21" s="729" t="n">
        <v>2392.5</v>
      </c>
      <c r="E21" s="729" t="n">
        <v>2152</v>
      </c>
      <c r="F21" s="729" t="n">
        <v>1911.5</v>
      </c>
      <c r="G21" s="795" t="n">
        <v>240.5</v>
      </c>
      <c r="H21" s="794" t="n">
        <v>-240.5</v>
      </c>
      <c r="I21" s="729" t="n">
        <v>481</v>
      </c>
      <c r="J21" s="750" t="n">
        <v>11.17565055762082</v>
      </c>
      <c r="K21" s="188" t="n">
        <v>4</v>
      </c>
    </row>
    <row r="22">
      <c r="B22" s="534" t="n">
        <v>4</v>
      </c>
      <c r="C22" s="532" t="inlineStr">
        <is>
          <t>P&amp;A ratio (Коэффициент P&amp;A)</t>
        </is>
      </c>
      <c r="D22" s="729" t="n">
        <v>2207.5</v>
      </c>
      <c r="E22" s="729" t="n">
        <v>2152</v>
      </c>
      <c r="F22" s="729" t="n">
        <v>2096.5</v>
      </c>
      <c r="G22" s="795" t="n">
        <v>55.5</v>
      </c>
      <c r="H22" s="794" t="n">
        <v>-55.5</v>
      </c>
      <c r="I22" s="729" t="n">
        <v>111</v>
      </c>
      <c r="J22" s="750" t="n">
        <v>2.578996282527881</v>
      </c>
      <c r="K22" s="161" t="n">
        <v>5</v>
      </c>
    </row>
    <row r="23">
      <c r="B23" s="534" t="n">
        <v>5</v>
      </c>
      <c r="C23" s="532" t="inlineStr">
        <is>
          <t>OpEx</t>
        </is>
      </c>
      <c r="D23" s="729" t="n">
        <v>2205.1</v>
      </c>
      <c r="E23" s="729" t="n">
        <v>2152</v>
      </c>
      <c r="F23" s="729" t="n">
        <v>2098.9</v>
      </c>
      <c r="G23" s="795" t="n">
        <v>53.09999999999991</v>
      </c>
      <c r="H23" s="794" t="n">
        <v>-53.09999999999991</v>
      </c>
      <c r="I23" s="729" t="n">
        <v>106.1999999999998</v>
      </c>
      <c r="J23" s="750" t="n">
        <v>2.467472118959104</v>
      </c>
      <c r="K23" s="161" t="n">
        <v>6</v>
      </c>
    </row>
    <row r="24">
      <c r="B24" s="534" t="n">
        <v>6</v>
      </c>
      <c r="C24" s="532" t="inlineStr">
        <is>
          <t>Interest (Проценты)</t>
        </is>
      </c>
      <c r="D24" s="729" t="n">
        <v>2152</v>
      </c>
      <c r="E24" s="729" t="n">
        <v>2152</v>
      </c>
      <c r="F24" s="729" t="n">
        <v>2152</v>
      </c>
      <c r="G24" s="795" t="n">
        <v>0</v>
      </c>
      <c r="H24" s="794" t="n">
        <v>0</v>
      </c>
      <c r="I24" s="729" t="n">
        <v>0</v>
      </c>
      <c r="J24" s="750" t="n">
        <v>0</v>
      </c>
      <c r="K24" s="161" t="n">
        <v>7</v>
      </c>
    </row>
    <row r="25">
      <c r="B25" s="534" t="n">
        <v>7</v>
      </c>
      <c r="C25" s="532" t="inlineStr">
        <is>
          <t>Exit Multiple (Мультипликатор выхода)</t>
        </is>
      </c>
      <c r="D25" s="729" t="n">
        <v>2152</v>
      </c>
      <c r="E25" s="729" t="n">
        <v>2152</v>
      </c>
      <c r="F25" s="729" t="n">
        <v>2152</v>
      </c>
      <c r="G25" s="795" t="n">
        <v>0</v>
      </c>
      <c r="H25" s="794" t="n">
        <v>0</v>
      </c>
      <c r="I25" s="729" t="n">
        <v>0</v>
      </c>
      <c r="J25" s="750" t="n">
        <v>0</v>
      </c>
      <c r="K25" s="161" t="n">
        <v>8</v>
      </c>
    </row>
    <row r="26">
      <c r="B26" s="534" t="n">
        <v>8</v>
      </c>
      <c r="C26" s="218" t="inlineStr">
        <is>
          <t>Attendance (Посещаемость)</t>
        </is>
      </c>
      <c r="D26" s="729" t="n">
        <v>1721.6</v>
      </c>
      <c r="E26" s="729" t="n">
        <v>2152</v>
      </c>
      <c r="F26" s="729" t="n">
        <v>2582.4</v>
      </c>
      <c r="G26" s="794" t="n">
        <v>-430.4000000000001</v>
      </c>
      <c r="H26" s="795" t="n">
        <v>430.4000000000001</v>
      </c>
      <c r="I26" s="729" t="n">
        <v>860.8000000000002</v>
      </c>
      <c r="J26" s="750" t="n">
        <v>20</v>
      </c>
      <c r="K26" s="221" t="n">
        <v>2</v>
      </c>
    </row>
    <row r="29">
      <c r="B29" s="757" t="inlineStr">
        <is>
          <t>III. TORNADO — IMPACT ON IRR (внутренняя норма доходности) T₁ W₃ A+C</t>
        </is>
      </c>
    </row>
    <row r="30">
      <c r="B30" s="562" t="inlineStr">
        <is>
          <t>#</t>
        </is>
      </c>
      <c r="C30" s="562" t="inlineStr">
        <is>
          <t>Driver (Драйвер)</t>
        </is>
      </c>
      <c r="D30" s="562" t="inlineStr">
        <is>
          <t>−20%</t>
        </is>
      </c>
      <c r="E30" s="562" t="inlineStr">
        <is>
          <t>Base (Базовый)</t>
        </is>
      </c>
      <c r="F30" s="562" t="inlineStr">
        <is>
          <t>+20%</t>
        </is>
      </c>
      <c r="G30" s="562" t="inlineStr">
        <is>
          <t>Δ Мин. п.п.</t>
        </is>
      </c>
      <c r="H30" s="562" t="inlineStr">
        <is>
          <t>Δ Макс. п.п.</t>
        </is>
      </c>
      <c r="I30" s="562" t="inlineStr">
        <is>
          <t>Range pp (Диапазон п.п.)</t>
        </is>
      </c>
      <c r="J30" s="562" t="inlineStr">
        <is>
          <t>Elasticity (Эластичность)</t>
        </is>
      </c>
      <c r="K30" s="562" t="inlineStr">
        <is>
          <t>Rank (Ранг)</t>
        </is>
      </c>
    </row>
    <row r="31" ht="17" customHeight="1" s="468">
      <c r="B31" s="415" t="n">
        <v>1</v>
      </c>
      <c r="C31" s="437" t="inlineStr">
        <is>
          <t>Revenue (Выручка)</t>
        </is>
      </c>
      <c r="D31" s="788" t="n">
        <v>15.14</v>
      </c>
      <c r="E31" s="788" t="n">
        <v>20.09</v>
      </c>
      <c r="F31" s="788" t="n">
        <v>24.61</v>
      </c>
      <c r="G31" s="438" t="n">
        <v>-4.95</v>
      </c>
      <c r="H31" s="438" t="n">
        <v>4.52</v>
      </c>
      <c r="I31" s="438" t="n">
        <v>9.470000000000001</v>
      </c>
      <c r="J31" s="788" t="n">
        <v>47.14</v>
      </c>
      <c r="K31" s="439" t="n">
        <v>1</v>
      </c>
    </row>
    <row r="32" ht="17" customHeight="1" s="468">
      <c r="B32" s="415" t="n">
        <v>2</v>
      </c>
      <c r="C32" s="577" t="inlineStr">
        <is>
          <t>EBITDA (прибыль до вычетов) margin (маржа)</t>
        </is>
      </c>
      <c r="D32" s="788" t="n">
        <v>15.14</v>
      </c>
      <c r="E32" s="788" t="n">
        <v>20.09</v>
      </c>
      <c r="F32" s="788" t="n">
        <v>24.61</v>
      </c>
      <c r="G32" s="438" t="n">
        <v>-4.95</v>
      </c>
      <c r="H32" s="438" t="n">
        <v>4.52</v>
      </c>
      <c r="I32" s="438" t="n">
        <v>9.470000000000001</v>
      </c>
      <c r="J32" s="788" t="n">
        <v>47.14</v>
      </c>
      <c r="K32" s="415" t="n">
        <v>2</v>
      </c>
    </row>
    <row r="33" ht="17" customHeight="1" s="468">
      <c r="B33" s="415" t="n">
        <v>3</v>
      </c>
      <c r="C33" s="577" t="inlineStr">
        <is>
          <t>Attendance (Посещаемость)</t>
        </is>
      </c>
      <c r="D33" s="788" t="n">
        <v>15.14</v>
      </c>
      <c r="E33" s="788" t="n">
        <v>20.09</v>
      </c>
      <c r="F33" s="788" t="n">
        <v>24.61</v>
      </c>
      <c r="G33" s="438" t="n">
        <v>-4.95</v>
      </c>
      <c r="H33" s="438" t="n">
        <v>4.52</v>
      </c>
      <c r="I33" s="438" t="n">
        <v>9.470000000000001</v>
      </c>
      <c r="J33" s="788" t="n">
        <v>47.14</v>
      </c>
      <c r="K33" s="415" t="n">
        <v>3</v>
      </c>
    </row>
    <row r="34" ht="17" customHeight="1" s="468">
      <c r="B34" s="415" t="n">
        <v>4</v>
      </c>
      <c r="C34" s="577" t="inlineStr">
        <is>
          <t>Production CAPEX (Капзатраты)</t>
        </is>
      </c>
      <c r="D34" s="788" t="n">
        <v>17.1</v>
      </c>
      <c r="E34" s="788" t="n">
        <v>20.09</v>
      </c>
      <c r="F34" s="788" t="n">
        <v>22.92</v>
      </c>
      <c r="G34" s="438" t="n">
        <v>-3</v>
      </c>
      <c r="H34" s="438" t="n">
        <v>2.83</v>
      </c>
      <c r="I34" s="438" t="n">
        <v>5.83</v>
      </c>
      <c r="J34" s="788" t="n">
        <v>29.01</v>
      </c>
      <c r="K34" s="415" t="n">
        <v>4</v>
      </c>
    </row>
    <row r="35" ht="17" customHeight="1" s="468">
      <c r="B35" s="415" t="n">
        <v>5</v>
      </c>
      <c r="C35" s="577" t="inlineStr">
        <is>
          <t>P&amp;A ratio (Коэффициент P&amp;A)</t>
        </is>
      </c>
      <c r="D35" s="788" t="n">
        <v>19.65</v>
      </c>
      <c r="E35" s="788" t="n">
        <v>20.09</v>
      </c>
      <c r="F35" s="788" t="n">
        <v>20.53</v>
      </c>
      <c r="G35" s="438" t="n">
        <v>-0.44</v>
      </c>
      <c r="H35" s="438" t="n">
        <v>0.43</v>
      </c>
      <c r="I35" s="438" t="n">
        <v>0.87</v>
      </c>
      <c r="J35" s="788" t="n">
        <v>4.35</v>
      </c>
      <c r="K35" s="415" t="n">
        <v>5</v>
      </c>
    </row>
    <row r="36" ht="17" customHeight="1" s="468">
      <c r="B36" s="415" t="n">
        <v>6</v>
      </c>
      <c r="C36" s="577" t="inlineStr">
        <is>
          <t>OpEx</t>
        </is>
      </c>
      <c r="D36" s="788" t="n">
        <v>19.67</v>
      </c>
      <c r="E36" s="788" t="n">
        <v>20.09</v>
      </c>
      <c r="F36" s="788" t="n">
        <v>20.51</v>
      </c>
      <c r="G36" s="438" t="n">
        <v>-0.42</v>
      </c>
      <c r="H36" s="438" t="n">
        <v>0.42</v>
      </c>
      <c r="I36" s="438" t="n">
        <v>0.84</v>
      </c>
      <c r="J36" s="788" t="n">
        <v>4.16</v>
      </c>
      <c r="K36" s="415" t="n">
        <v>6</v>
      </c>
    </row>
    <row r="37" ht="17" customHeight="1" s="468">
      <c r="B37" s="415" t="n">
        <v>7</v>
      </c>
      <c r="C37" s="577" t="inlineStr">
        <is>
          <t>Interest (Проценты)</t>
        </is>
      </c>
      <c r="D37" s="788" t="n">
        <v>20.07</v>
      </c>
      <c r="E37" s="788" t="n">
        <v>20.09</v>
      </c>
      <c r="F37" s="788" t="n">
        <v>20.12</v>
      </c>
      <c r="G37" s="438" t="n">
        <v>-0.02</v>
      </c>
      <c r="H37" s="438" t="n">
        <v>0.02</v>
      </c>
      <c r="I37" s="438" t="n">
        <v>0.05</v>
      </c>
      <c r="J37" s="788" t="n">
        <v>0.23</v>
      </c>
      <c r="K37" s="415" t="n">
        <v>7</v>
      </c>
    </row>
    <row r="38" ht="17" customHeight="1" s="468">
      <c r="B38" s="415" t="n">
        <v>8</v>
      </c>
      <c r="C38" s="437" t="inlineStr">
        <is>
          <t>Exit Multiple (Мультипликатор выхода)</t>
        </is>
      </c>
      <c r="D38" s="788" t="n">
        <v>20.09</v>
      </c>
      <c r="E38" s="788" t="n">
        <v>20.09</v>
      </c>
      <c r="F38" s="788" t="n">
        <v>20.09</v>
      </c>
      <c r="G38" s="438" t="n">
        <v>0</v>
      </c>
      <c r="H38" s="438" t="n">
        <v>0</v>
      </c>
      <c r="I38" s="438" t="n">
        <v>0</v>
      </c>
      <c r="J38" s="788" t="n">
        <v>0</v>
      </c>
      <c r="K38" s="439" t="n">
        <v>8</v>
      </c>
    </row>
    <row r="41">
      <c r="B41" s="796" t="inlineStr">
        <is>
          <t>IV. ЗАКЛЮЧЕНИЯ (W₃ + A+C pattern (паттерн))</t>
        </is>
      </c>
    </row>
    <row r="42">
      <c r="B42" s="797" t="inlineStr">
        <is>
          <t>• Top-2 drivers EBITDA (прибыль до вычетов): Revenue (Выручка) и Attendance (Посещаемость). Attendance — proxy для Revenue (Выручка).</t>
        </is>
      </c>
    </row>
    <row r="43">
      <c r="B43" s="797" t="inlineStr">
        <is>
          <t>• Production CAPEX (Капзатраты) — 3rd critical driver (range ±240 млн ₽ при ±20%).</t>
        </is>
      </c>
    </row>
    <row r="44">
      <c r="B44" s="797" t="inlineStr">
        <is>
          <t>• IRR (внутренняя норма доходности) T₁ W₃ A+C (base 20.09%) защищён floor Liq Pref (Ликвидационная привилегия): downside ограничен, upside компенсирован carried interest.</t>
        </is>
      </c>
    </row>
    <row r="45">
      <c r="B45" s="797" t="inlineStr">
        <is>
          <t>• Под A+C frontload pattern (паттерн) (78% в Y29-Y30) чувствительность IRR (внутренняя норма доходности) к top-3 drivers ВЫШЕ, чем при равномерном распределении, т.к. шоки в Y29 затрагивают большую долю NDP (чистые распределяемые поступления).</t>
        </is>
      </c>
    </row>
    <row r="46">
      <c r="B46" s="797" t="inlineStr">
        <is>
          <t>• ⚠ Bear (Пессимистичный) + Downside (Нижний сценарий) сценарии IRR (внутренняя норма доходности) ниже hurdle (порог) 18% (см. дислеймеры V.1-V.2 в 24_Investor_Returns).</t>
        </is>
      </c>
    </row>
    <row r="47" ht="16" customHeight="1" s="468">
      <c r="B47" s="425" t="inlineStr">
        <is>
          <t>• Рекомендация: фокус на Box Office (Кассовые сборы) revenue (attendance × ticket price) и margin (маржа)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C7:G7"/>
    <mergeCell ref="H12:I12"/>
    <mergeCell ref="H8:I8"/>
    <mergeCell ref="J12:K12"/>
    <mergeCell ref="B17:K17"/>
    <mergeCell ref="B44:K44"/>
    <mergeCell ref="B29:K29"/>
    <mergeCell ref="H14:I14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0" customWidth="1" style="468" min="3" max="3"/>
    <col width="13" customWidth="1" style="468" min="4" max="9"/>
  </cols>
  <sheetData>
    <row r="2">
      <c r="B2" s="749" t="inlineStr">
        <is>
          <t>СЦЕНАРНЫЙ АНАЛИЗ — 5 СЦЕНАРИЕВ (Stress (Стресс) / Downside (Нижний сценарий) / Base (Базовый) / Upside (Верхний сценарий) / Bull (Оптимистичный))</t>
        </is>
      </c>
    </row>
    <row r="3"/>
    <row r="4" ht="70" customHeight="1" s="468">
      <c r="B4" s="722" t="inlineStr">
        <is>
          <t>Полный набор финансовых метрик по 5 сценариям с narrative triggers и preconditions. Revenue (Выручка) multiplier 0.60× / 0.80× / 1.00× / 1.20× / 1.40×. A+C pattern (паттерн) 33/45/9/13 (frontload Y29-Y30 = 78%). W₃ default (по умолчанию) waterfall (каскад).</t>
        </is>
      </c>
    </row>
    <row r="6">
      <c r="B6" s="757" t="inlineStr">
        <is>
          <t>I. МАТРИЦА МЕТРИК СЦЕНАРИЕВ</t>
        </is>
      </c>
    </row>
    <row r="7">
      <c r="B7" s="562" t="inlineStr">
        <is>
          <t>#</t>
        </is>
      </c>
      <c r="C7" s="562" t="inlineStr">
        <is>
          <t>Метрика</t>
        </is>
      </c>
      <c r="D7" s="562" t="inlineStr">
        <is>
          <t>Stress Bear (Стресс-пессимистичный)</t>
        </is>
      </c>
      <c r="E7" s="562" t="inlineStr">
        <is>
          <t>Downside (Нижний сценарий)</t>
        </is>
      </c>
      <c r="F7" s="562" t="inlineStr">
        <is>
          <t>Base Case (Базовый сценарий)</t>
        </is>
      </c>
      <c r="G7" s="562" t="inlineStr">
        <is>
          <t>Upside (Верхний сценарий)</t>
        </is>
      </c>
      <c r="H7" s="562" t="inlineStr">
        <is>
          <t>Bull Case (Оптимистичный)</t>
        </is>
      </c>
      <c r="I7" s="562" t="inlineStr">
        <is>
          <t>Range (Диапазон)</t>
        </is>
      </c>
    </row>
    <row r="8">
      <c r="B8" s="534" t="n">
        <v>1</v>
      </c>
      <c r="C8" s="556" t="inlineStr">
        <is>
          <t>Revenue (Выручка) 3Y</t>
        </is>
      </c>
      <c r="D8" s="798" t="n">
        <v>2727</v>
      </c>
      <c r="E8" s="727" t="n">
        <v>3636</v>
      </c>
      <c r="F8" s="772" t="n">
        <v>4545</v>
      </c>
      <c r="G8" s="799" t="n">
        <v>5454</v>
      </c>
      <c r="H8" s="723" t="n">
        <v>6363</v>
      </c>
      <c r="I8" s="729" t="n">
        <v>3636</v>
      </c>
    </row>
    <row r="9">
      <c r="B9" s="534" t="n">
        <v>2</v>
      </c>
      <c r="C9" s="556" t="inlineStr">
        <is>
          <t>EBITDA (прибыль до вычетов) 3Y (GAAP (стандарты бухучёта))</t>
        </is>
      </c>
      <c r="D9" s="798" t="n">
        <v>1291.2</v>
      </c>
      <c r="E9" s="727" t="n">
        <v>1721.6</v>
      </c>
      <c r="F9" s="772" t="n">
        <v>2152</v>
      </c>
      <c r="G9" s="799" t="n">
        <v>2582.4</v>
      </c>
      <c r="H9" s="723" t="n">
        <v>3012.8</v>
      </c>
      <c r="I9" s="729" t="n">
        <v>1721.6</v>
      </c>
    </row>
    <row r="10">
      <c r="B10" s="534" t="n">
        <v>3</v>
      </c>
      <c r="C10" s="556" t="inlineStr">
        <is>
          <t>EBITDA (прибыль до вычетов) margin (маржа)</t>
        </is>
      </c>
      <c r="D10" s="800" t="n">
        <v>47.34873487348734</v>
      </c>
      <c r="E10" s="801" t="n">
        <v>47.34873487348734</v>
      </c>
      <c r="F10" s="802" t="n">
        <v>47.34873487348734</v>
      </c>
      <c r="G10" s="803" t="n">
        <v>47.34873487348734</v>
      </c>
      <c r="H10" s="804" t="n">
        <v>47.34873487348734</v>
      </c>
      <c r="I10" s="750" t="n">
        <v>0</v>
      </c>
    </row>
    <row r="11">
      <c r="B11" s="534" t="n">
        <v>4</v>
      </c>
      <c r="C11" s="556" t="inlineStr">
        <is>
          <t>Net Profit (Чистая прибыль) 3Y</t>
        </is>
      </c>
      <c r="D11" s="798" t="n">
        <v>1013.4</v>
      </c>
      <c r="E11" s="727" t="n">
        <v>1351.2</v>
      </c>
      <c r="F11" s="772" t="n">
        <v>1689</v>
      </c>
      <c r="G11" s="799" t="n">
        <v>2026.8</v>
      </c>
      <c r="H11" s="723" t="n">
        <v>2364.6</v>
      </c>
      <c r="I11" s="729" t="n">
        <v>1351.2</v>
      </c>
    </row>
    <row r="12">
      <c r="B12" s="534" t="n">
        <v>5</v>
      </c>
      <c r="C12" s="556" t="inlineStr">
        <is>
          <t>NDP (чистые распределяемые поступления) (legacy (базовый вариант))</t>
        </is>
      </c>
      <c r="D12" s="798" t="n">
        <v>1800</v>
      </c>
      <c r="E12" s="727" t="n">
        <v>2400</v>
      </c>
      <c r="F12" s="772" t="n">
        <v>3000</v>
      </c>
      <c r="G12" s="799" t="n">
        <v>3600</v>
      </c>
      <c r="H12" s="723" t="n">
        <v>4200</v>
      </c>
      <c r="I12" s="729" t="n">
        <v>2400</v>
      </c>
    </row>
    <row r="13">
      <c r="B13" s="534" t="n">
        <v>6</v>
      </c>
      <c r="C13" s="556" t="inlineStr">
        <is>
          <t>CAPEX (Капзатраты) Production</t>
        </is>
      </c>
      <c r="D13" s="798" t="n">
        <v>1665</v>
      </c>
      <c r="E13" s="727" t="n">
        <v>1757.5</v>
      </c>
      <c r="F13" s="772" t="n">
        <v>1850</v>
      </c>
      <c r="G13" s="799" t="n">
        <v>1942.5</v>
      </c>
      <c r="H13" s="723" t="n">
        <v>2035</v>
      </c>
      <c r="I13" s="729" t="n">
        <v>370.0000000000002</v>
      </c>
    </row>
    <row r="14">
      <c r="B14" s="534" t="n">
        <v>7</v>
      </c>
      <c r="C14" s="556" t="inlineStr">
        <is>
          <t>Выпущено фильмов (Выпущено фильмов)</t>
        </is>
      </c>
      <c r="D14" s="805" t="n">
        <v>10</v>
      </c>
      <c r="E14" s="806" t="n">
        <v>11</v>
      </c>
      <c r="F14" s="807" t="n">
        <v>12</v>
      </c>
      <c r="G14" s="808" t="n">
        <v>12</v>
      </c>
      <c r="H14" s="809" t="n">
        <v>13</v>
      </c>
      <c r="I14" s="810" t="n">
        <v>3</v>
      </c>
    </row>
    <row r="15" ht="16" customHeight="1" s="468">
      <c r="B15" s="534" t="n">
        <v>8</v>
      </c>
      <c r="C15" s="556" t="inlineStr">
        <is>
          <t>IRR (внутренняя норма доходности) T₁ (W₃ A+C)</t>
        </is>
      </c>
      <c r="D15" s="811" t="n">
        <v>9.34</v>
      </c>
      <c r="E15" s="811" t="n">
        <v>15.14</v>
      </c>
      <c r="F15" s="812" t="n">
        <v>20.09</v>
      </c>
      <c r="G15" s="813" t="n">
        <v>24.61</v>
      </c>
      <c r="H15" s="814" t="n">
        <v>28.78</v>
      </c>
      <c r="I15" s="750" t="n">
        <v>19.44</v>
      </c>
    </row>
    <row r="16" ht="16" customHeight="1" s="468">
      <c r="B16" s="534" t="n">
        <v>9</v>
      </c>
      <c r="C16" s="556" t="inlineStr">
        <is>
          <t>MOIC (мультипликатор вложенного капитала) T₁ (W₃ A+C)</t>
        </is>
      </c>
      <c r="D16" s="815" t="n">
        <v>1.42</v>
      </c>
      <c r="E16" s="816" t="n">
        <v>1.71</v>
      </c>
      <c r="F16" s="817" t="n">
        <v>2</v>
      </c>
      <c r="G16" s="818" t="n">
        <v>2.29</v>
      </c>
      <c r="H16" s="819" t="n">
        <v>2.58</v>
      </c>
      <c r="I16" s="751" t="n">
        <v>1.16</v>
      </c>
    </row>
    <row r="17">
      <c r="B17" s="534" t="n">
        <v>10</v>
      </c>
      <c r="C17" s="556" t="inlineStr">
        <is>
          <t>EV (стоимость предприятия) 2028 (5× EBITDA (прибыль до вычетов))</t>
        </is>
      </c>
      <c r="D17" s="798" t="n">
        <v>6456</v>
      </c>
      <c r="E17" s="727" t="n">
        <v>8608</v>
      </c>
      <c r="F17" s="772" t="n">
        <v>10760</v>
      </c>
      <c r="G17" s="799" t="n">
        <v>12912</v>
      </c>
      <c r="H17" s="723" t="n">
        <v>15064</v>
      </c>
      <c r="I17" s="729" t="n">
        <v>8607.999999999998</v>
      </c>
    </row>
    <row r="18" ht="16" customHeight="1" s="468">
      <c r="B18" s="534" t="n">
        <v>11</v>
      </c>
      <c r="C18" s="556" t="inlineStr">
        <is>
          <t>T₁ distribution (распределение) W₃ A+C</t>
        </is>
      </c>
      <c r="D18" s="820" t="n">
        <v>1780</v>
      </c>
      <c r="E18" s="821" t="n">
        <v>2140</v>
      </c>
      <c r="F18" s="822" t="n">
        <v>2500</v>
      </c>
      <c r="G18" s="823" t="n">
        <v>2860</v>
      </c>
      <c r="H18" s="824" t="n">
        <v>3220</v>
      </c>
      <c r="I18" s="729" t="n">
        <v>1440</v>
      </c>
    </row>
    <row r="19" ht="30" customHeight="1" s="468">
      <c r="B19" s="534" t="n">
        <v>12</v>
      </c>
      <c r="C19" s="556" t="inlineStr">
        <is>
          <t>IRR (внутренняя норма доходности) exit-based (25_Exit, отдельный метод)</t>
        </is>
      </c>
      <c r="D19" s="800" t="n">
        <v>12</v>
      </c>
      <c r="E19" s="801" t="n">
        <v>18</v>
      </c>
      <c r="F19" s="802" t="n">
        <v>25</v>
      </c>
      <c r="G19" s="803" t="n">
        <v>31</v>
      </c>
      <c r="H19" s="804" t="n">
        <v>37</v>
      </c>
      <c r="I19" s="750" t="n">
        <v>25</v>
      </c>
    </row>
    <row r="20">
      <c r="B20" s="534" t="n">
        <v>13</v>
      </c>
      <c r="C20" s="556" t="inlineStr">
        <is>
          <t>Probability (Вероятность)</t>
        </is>
      </c>
      <c r="D20" s="825" t="n">
        <v>5</v>
      </c>
      <c r="E20" s="826" t="n">
        <v>15</v>
      </c>
      <c r="F20" s="827" t="n">
        <v>50</v>
      </c>
      <c r="G20" s="828" t="n">
        <v>20</v>
      </c>
      <c r="H20" s="829" t="n">
        <v>10</v>
      </c>
      <c r="I20" s="830" t="n">
        <v>45</v>
      </c>
    </row>
    <row r="23">
      <c r="B23" s="757" t="inlineStr">
        <is>
          <t>II. SCENARIO NARRATIVES (ОПИСАНИЯ СЦЕНАРИЕВ) &amp; TRIGGERS</t>
        </is>
      </c>
    </row>
    <row r="24" ht="48" customHeight="1" s="468">
      <c r="B24" s="586" t="inlineStr">
        <is>
          <t>Stress Bear (Стресс-пессимистичный) (5% prob)</t>
        </is>
      </c>
      <c r="C24" s="466" t="n"/>
      <c r="D24" s="532" t="inlineStr">
        <is>
          <t>Катастрофический сценарий: 2 провала из топ-4 фильмов, падение box office РФ на 25%, санкционный shock. Revenue (Выручка) −40%, EBITDA (прибыль до вычетов) 1 291, IRR (внутренняя норма доходности) 9.34% ⚠ (ниже hurdle (порог) −8.7pp). LP (ограниченный партнёр) capital (капитал) protection через Liq Pref (Ликвидационная привилегия) (MoIC 1.42×).</t>
        </is>
      </c>
      <c r="E24" s="473" t="n"/>
      <c r="F24" s="473" t="n"/>
      <c r="G24" s="473" t="n"/>
      <c r="H24" s="473" t="n"/>
      <c r="I24" s="466" t="n"/>
    </row>
    <row r="25" ht="48" customHeight="1" s="468">
      <c r="B25" s="587" t="inlineStr">
        <is>
          <t>Downside (Нижний сценарий) (15% prob)</t>
        </is>
      </c>
      <c r="C25" s="466" t="n"/>
      <c r="D25" s="532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15.14% ⚠ (ниже hurdle (порог) −2.9pp). Principal возвращается, но carry недостаточен для hurdle.</t>
        </is>
      </c>
      <c r="E25" s="473" t="n"/>
      <c r="F25" s="473" t="n"/>
      <c r="G25" s="473" t="n"/>
      <c r="H25" s="473" t="n"/>
      <c r="I25" s="466" t="n"/>
    </row>
    <row r="26" ht="48" customHeight="1" s="468">
      <c r="B26" s="553" t="inlineStr">
        <is>
          <t>Base Case (Базовый сценарий) (50% prob)</t>
        </is>
      </c>
      <c r="C26" s="466" t="n"/>
      <c r="D26" s="532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20.09%, NDP (чистые распределяемые поступления) 3 000 — якорь. Hurdle (Порог) +2.1pp.</t>
        </is>
      </c>
      <c r="E26" s="473" t="n"/>
      <c r="F26" s="473" t="n"/>
      <c r="G26" s="473" t="n"/>
      <c r="H26" s="473" t="n"/>
      <c r="I26" s="466" t="n"/>
    </row>
    <row r="27" ht="48" customHeight="1" s="468">
      <c r="B27" s="588" t="inlineStr">
        <is>
          <t>Upside (Верхний сценарий) (20% prob)</t>
        </is>
      </c>
      <c r="C27" s="466" t="n"/>
      <c r="D27" s="532" t="inlineStr">
        <is>
          <t>Два блокбастера превзошли ожидания на 40%, рост госсубсидий через Фонд кино. Revenue (Выручка) 5 454, EBITDA (прибыль до вычетов) 2 583, IRR (внутренняя норма доходности) 24.61%. Открывает path к IPO (первичное размещение) 2028. Hurdle (Порог) +6.6pp.</t>
        </is>
      </c>
      <c r="E27" s="473" t="n"/>
      <c r="F27" s="473" t="n"/>
      <c r="G27" s="473" t="n"/>
      <c r="H27" s="473" t="n"/>
      <c r="I27" s="466" t="n"/>
    </row>
    <row r="28" ht="48" customHeight="1" s="468">
      <c r="B28" s="585" t="inlineStr">
        <is>
          <t>Bull Case (Оптимистичный) (10% prob)</t>
        </is>
      </c>
      <c r="C28" s="466" t="n"/>
      <c r="D28" s="532" t="inlineStr">
        <is>
          <t>Хит 2026-2027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28.78%. Strategic (Стратегический) exit 7× EBITDA (прибыль до вычетов). Hurdle (Порог) +10.8pp.</t>
        </is>
      </c>
      <c r="E28" s="473" t="n"/>
      <c r="F28" s="473" t="n"/>
      <c r="G28" s="473" t="n"/>
      <c r="H28" s="473" t="n"/>
      <c r="I28" s="466" t="n"/>
    </row>
    <row r="31">
      <c r="B31" s="757" t="inlineStr">
        <is>
          <t>III. PROBABILITY-WEIGHTED (ВЗВЕШЕННЫЙ ПО ВЕРОЯТНОСТИ) EXPECTED VALUE (ОЖИДАЕМАЯ СТОИМОСТЬ)</t>
        </is>
      </c>
    </row>
    <row r="32">
      <c r="B32" s="556" t="inlineStr">
        <is>
          <t>Expected Revenue (Выручка) 3Y</t>
        </is>
      </c>
      <c r="C32" s="473" t="n"/>
      <c r="D32" s="473" t="n"/>
      <c r="E32" s="473" t="n"/>
      <c r="F32" s="466" t="n"/>
      <c r="G32" s="718" t="n">
        <v>4681.35</v>
      </c>
      <c r="H32" s="466" t="n"/>
      <c r="I32" s="514" t="inlineStr">
        <is>
          <t>млн ₽</t>
        </is>
      </c>
    </row>
    <row r="33">
      <c r="B33" s="556" t="inlineStr">
        <is>
          <t>Expected EBITDA (прибыль до вычетов) 3Y</t>
        </is>
      </c>
      <c r="C33" s="473" t="n"/>
      <c r="D33" s="473" t="n"/>
      <c r="E33" s="473" t="n"/>
      <c r="F33" s="466" t="n"/>
      <c r="G33" s="718" t="n">
        <v>2216.56</v>
      </c>
      <c r="H33" s="466" t="n"/>
      <c r="I33" s="514" t="inlineStr">
        <is>
          <t>млн ₽</t>
        </is>
      </c>
    </row>
    <row r="34">
      <c r="B34" s="556" t="inlineStr">
        <is>
          <t>Expected Net Profit (Чистая прибыль) 3Y</t>
        </is>
      </c>
      <c r="C34" s="473" t="n"/>
      <c r="D34" s="473" t="n"/>
      <c r="E34" s="473" t="n"/>
      <c r="F34" s="466" t="n"/>
      <c r="G34" s="718" t="n">
        <v>1739.67</v>
      </c>
      <c r="H34" s="466" t="n"/>
      <c r="I34" s="514" t="inlineStr">
        <is>
          <t>млн ₽</t>
        </is>
      </c>
    </row>
    <row r="35">
      <c r="B35" s="556" t="inlineStr">
        <is>
          <t>Expected NDP (чистые распределяемые поступления)</t>
        </is>
      </c>
      <c r="C35" s="473" t="n"/>
      <c r="D35" s="473" t="n"/>
      <c r="E35" s="473" t="n"/>
      <c r="F35" s="466" t="n"/>
      <c r="G35" s="718" t="n">
        <v>3090</v>
      </c>
      <c r="H35" s="466" t="n"/>
      <c r="I35" s="514" t="inlineStr">
        <is>
          <t>млн ₽</t>
        </is>
      </c>
    </row>
    <row r="36">
      <c r="B36" s="556" t="inlineStr">
        <is>
          <t>Expected EV (стоимость предприятия) (5× exit)</t>
        </is>
      </c>
      <c r="C36" s="473" t="n"/>
      <c r="D36" s="473" t="n"/>
      <c r="E36" s="473" t="n"/>
      <c r="F36" s="466" t="n"/>
      <c r="G36" s="718" t="n">
        <v>11082.8</v>
      </c>
      <c r="H36" s="466" t="n"/>
      <c r="I36" s="514" t="inlineStr">
        <is>
          <t>млн ₽</t>
        </is>
      </c>
    </row>
    <row r="37">
      <c r="B37" s="556" t="inlineStr">
        <is>
          <t>Expected IRR (внутренняя норма доходности) T₁ (W₃ A+C)</t>
        </is>
      </c>
      <c r="C37" s="473" t="n"/>
      <c r="D37" s="473" t="n"/>
      <c r="E37" s="473" t="n"/>
      <c r="F37" s="466" t="n"/>
      <c r="G37" s="720" t="n">
        <v>20.58</v>
      </c>
      <c r="H37" s="466" t="n"/>
      <c r="I37" s="514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G34:H34"/>
    <mergeCell ref="D24:I2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2" customWidth="1" style="468" min="3" max="3"/>
    <col width="14" customWidth="1" style="468" min="4" max="9"/>
  </cols>
  <sheetData>
    <row r="2">
      <c r="B2" s="749" t="inlineStr">
        <is>
          <t>СИМУЛЯЦИЯ МОНТЕ-КАРЛО (СИМУЛЯЦИЯ) — 5 000 ИТЕРАЦИЙ · 5 СТОХАСТИЧЕСКИХ ПЕРЕМЕННЫХ · W₃ + A+C PATTERN</t>
        </is>
      </c>
    </row>
    <row r="3"/>
    <row r="4" ht="52" customHeight="1" s="468">
      <c r="B4" s="722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W₃ (DEFAULT (ПО УМОЛЧАНИЮ), 1× Liq Pref (Ликвидационная привилегия) + 8% coupon (купон) + 60/40). A+C asymmetric pattern (паттерн): Y2029=33%, Y2030=45%, Y2031=9%, Y2032=13% (frontload 78% в Y29-Y30). Percentiles, probability of hurdle (порог)/target pass, Value at Risk (Риск). Seed=42.</t>
        </is>
      </c>
    </row>
    <row r="6">
      <c r="B6" s="757" t="inlineStr">
        <is>
          <t>I.  СТОХАСТИЧЕСКИЕ ПЕРЕМЕННЫЕ (СТОХАСТИЧЕСКИЕ ПЕРЕМЕННЫЕ) (PDFs)</t>
        </is>
      </c>
    </row>
    <row r="7">
      <c r="B7" s="562" t="inlineStr">
        <is>
          <t>#</t>
        </is>
      </c>
      <c r="C7" s="562" t="inlineStr">
        <is>
          <t>Variable (Переменная)</t>
        </is>
      </c>
      <c r="D7" s="562" t="inlineStr">
        <is>
          <t>Distribution (Распределение)</t>
        </is>
      </c>
      <c r="E7" s="562" t="inlineStr">
        <is>
          <t>Param (Параметр) 1</t>
        </is>
      </c>
      <c r="F7" s="562" t="inlineStr">
        <is>
          <t>Param (Параметр) 2</t>
        </is>
      </c>
      <c r="G7" s="562" t="inlineStr">
        <is>
          <t>Param (Параметр) 3</t>
        </is>
      </c>
      <c r="H7" s="562" t="inlineStr">
        <is>
          <t>Description (Описание)</t>
        </is>
      </c>
      <c r="I7" s="466" t="n"/>
    </row>
    <row r="8">
      <c r="B8" s="534" t="n">
        <v>1</v>
      </c>
      <c r="C8" s="532" t="inlineStr">
        <is>
          <t>Revenue (Выручка) multiplier</t>
        </is>
      </c>
      <c r="D8" s="532" t="inlineStr">
        <is>
          <t>Triangular (Треугольное)</t>
        </is>
      </c>
      <c r="E8" s="216" t="n">
        <v>0.6</v>
      </c>
      <c r="F8" s="216" t="n">
        <v>1</v>
      </c>
      <c r="G8" s="216" t="n">
        <v>1.4</v>
      </c>
      <c r="H8" s="532" t="inlineStr">
        <is>
          <t>мин/мода/макс</t>
        </is>
      </c>
      <c r="I8" s="466" t="n"/>
    </row>
    <row r="9">
      <c r="B9" s="534" t="n">
        <v>2</v>
      </c>
      <c r="C9" s="532" t="inlineStr">
        <is>
          <t>EBITDA (прибыль до вычетов) margin (маржа) shock</t>
        </is>
      </c>
      <c r="D9" s="532" t="inlineStr">
        <is>
          <t>Normal (Нормальное)</t>
        </is>
      </c>
      <c r="E9" s="216" t="n">
        <v>0</v>
      </c>
      <c r="F9" s="216" t="n">
        <v>0.04</v>
      </c>
      <c r="G9" s="216" t="n">
        <v>0</v>
      </c>
      <c r="H9" s="532" t="inlineStr">
        <is>
          <t>μ=0, σ=4pp</t>
        </is>
      </c>
      <c r="I9" s="466" t="n"/>
    </row>
    <row r="10">
      <c r="B10" s="534" t="n">
        <v>3</v>
      </c>
      <c r="C10" s="532" t="inlineStr">
        <is>
          <t>CAPEX (Капзатраты) overrun</t>
        </is>
      </c>
      <c r="D10" s="532" t="inlineStr">
        <is>
          <t>LogNormal (Логнормальное)</t>
        </is>
      </c>
      <c r="E10" s="216" t="n">
        <v>0</v>
      </c>
      <c r="F10" s="216" t="n">
        <v>0.1</v>
      </c>
      <c r="G10" s="216" t="n">
        <v>1</v>
      </c>
      <c r="H10" s="532" t="inlineStr">
        <is>
          <t>σ=10%, base=1.00</t>
        </is>
      </c>
      <c r="I10" s="466" t="n"/>
    </row>
    <row r="11">
      <c r="B11" s="534" t="n">
        <v>4</v>
      </c>
      <c r="C11" s="532" t="inlineStr">
        <is>
          <t>Exit multiple (Мультипликатор выхода)</t>
        </is>
      </c>
      <c r="D11" s="532" t="inlineStr">
        <is>
          <t>Triangular (Треугольное)</t>
        </is>
      </c>
      <c r="E11" s="216" t="n">
        <v>3</v>
      </c>
      <c r="F11" s="216" t="n">
        <v>5</v>
      </c>
      <c r="G11" s="216" t="n">
        <v>7</v>
      </c>
      <c r="H11" s="532" t="inlineStr">
        <is>
          <t>мин/мода/макс</t>
        </is>
      </c>
      <c r="I11" s="466" t="n"/>
    </row>
    <row r="12">
      <c r="B12" s="534" t="n">
        <v>5</v>
      </c>
      <c r="C12" s="532" t="inlineStr">
        <is>
          <t>Film hit rate (Доля успешных фильмов)</t>
        </is>
      </c>
      <c r="D12" s="532" t="inlineStr">
        <is>
          <t>Binomial (Биномиальное)</t>
        </is>
      </c>
      <c r="E12" s="216" t="n">
        <v>0.7</v>
      </c>
      <c r="F12" s="216" t="n">
        <v>0.2</v>
      </c>
      <c r="G12" s="216" t="n">
        <v>0</v>
      </c>
      <c r="H12" s="532" t="inlineStr">
        <is>
          <t>p=0,70, 12 films (фильмов)</t>
        </is>
      </c>
      <c r="I12" s="466" t="n"/>
    </row>
    <row r="15">
      <c r="B15" s="757" t="inlineStr">
        <is>
          <t>II.  ИТОГИ РАСПРЕДЕЛЕНИЯ (ИТОГИ РАСПРЕДЕЛЕНИЯ) — 5 000 simulations (W₃ + A+C)</t>
        </is>
      </c>
    </row>
    <row r="16">
      <c r="B16" s="562" t="inlineStr">
        <is>
          <t>Metric (Метрика)</t>
        </is>
      </c>
      <c r="C16" s="466" t="n"/>
      <c r="D16" s="562" t="inlineStr">
        <is>
          <t>Mean (Среднее)</t>
        </is>
      </c>
      <c r="E16" s="562" t="inlineStr">
        <is>
          <t>StDev (Ст.откл.)</t>
        </is>
      </c>
      <c r="F16" s="562" t="inlineStr">
        <is>
          <t>P5</t>
        </is>
      </c>
      <c r="G16" s="562" t="inlineStr">
        <is>
          <t>P10</t>
        </is>
      </c>
      <c r="H16" s="562" t="inlineStr">
        <is>
          <t>P25</t>
        </is>
      </c>
      <c r="I16" s="562" t="inlineStr">
        <is>
          <t>P50</t>
        </is>
      </c>
      <c r="J16" s="562" t="inlineStr">
        <is>
          <t>P75</t>
        </is>
      </c>
      <c r="K16" s="562" t="inlineStr">
        <is>
          <t>P90</t>
        </is>
      </c>
      <c r="L16" s="562" t="inlineStr">
        <is>
          <t>P95</t>
        </is>
      </c>
    </row>
    <row r="17" ht="16" customHeight="1" s="468">
      <c r="B17" s="589" t="inlineStr">
        <is>
          <t>NDP (чистые распределяемые поступления)</t>
        </is>
      </c>
      <c r="C17" s="466" t="n"/>
      <c r="D17" s="831" t="n">
        <v>2104.06</v>
      </c>
      <c r="E17" s="831" t="n">
        <v>580.23</v>
      </c>
      <c r="F17" s="831" t="n">
        <v>1229.28</v>
      </c>
      <c r="G17" s="831" t="n">
        <v>1381.87</v>
      </c>
      <c r="H17" s="831" t="n">
        <v>1696.64</v>
      </c>
      <c r="I17" s="822" t="n">
        <v>2060.42</v>
      </c>
      <c r="J17" s="831" t="n">
        <v>2467.85</v>
      </c>
      <c r="K17" s="831" t="n">
        <v>2871.3</v>
      </c>
      <c r="L17" s="831" t="n">
        <v>3130.48</v>
      </c>
    </row>
    <row r="18" ht="16" customHeight="1" s="468">
      <c r="B18" s="589" t="inlineStr">
        <is>
          <t>EBITDA (прибыль до вычетов)</t>
        </is>
      </c>
      <c r="C18" s="466" t="n"/>
      <c r="D18" s="831" t="n">
        <v>2145.76</v>
      </c>
      <c r="E18" s="831" t="n">
        <v>360.76</v>
      </c>
      <c r="F18" s="831" t="n">
        <v>1556.11</v>
      </c>
      <c r="G18" s="831" t="n">
        <v>1654.95</v>
      </c>
      <c r="H18" s="831" t="n">
        <v>1885.34</v>
      </c>
      <c r="I18" s="822" t="n">
        <v>2142.07</v>
      </c>
      <c r="J18" s="831" t="n">
        <v>2401.75</v>
      </c>
      <c r="K18" s="831" t="n">
        <v>2635.31</v>
      </c>
      <c r="L18" s="831" t="n">
        <v>2744.84</v>
      </c>
    </row>
    <row r="19" ht="16" customHeight="1" s="468">
      <c r="B19" s="589" t="inlineStr">
        <is>
          <t>IRR (внутренняя норма доходности)</t>
        </is>
      </c>
      <c r="C19" s="466" t="n"/>
      <c r="D19" s="832" t="n">
        <v>11.44</v>
      </c>
      <c r="E19" s="832" t="n">
        <v>6.47</v>
      </c>
      <c r="F19" s="832" t="n">
        <v>-0.41</v>
      </c>
      <c r="G19" s="832" t="n">
        <v>2.53</v>
      </c>
      <c r="H19" s="832" t="n">
        <v>7.97</v>
      </c>
      <c r="I19" s="812" t="n">
        <v>12</v>
      </c>
      <c r="J19" s="832" t="n">
        <v>15.72</v>
      </c>
      <c r="K19" s="832" t="n">
        <v>19.07</v>
      </c>
      <c r="L19" s="832" t="n">
        <v>21.11</v>
      </c>
    </row>
    <row r="20" ht="16" customHeight="1" s="468">
      <c r="B20" s="589" t="inlineStr">
        <is>
          <t>MOIC (мультипликатор вложенного капитала)</t>
        </is>
      </c>
      <c r="C20" s="466" t="n"/>
      <c r="D20" s="833" t="n">
        <v>1.54</v>
      </c>
      <c r="E20" s="833" t="n">
        <v>0.32</v>
      </c>
      <c r="F20" s="833" t="n">
        <v>0.98</v>
      </c>
      <c r="G20" s="833" t="n">
        <v>1.11</v>
      </c>
      <c r="H20" s="833" t="n">
        <v>1.36</v>
      </c>
      <c r="I20" s="817" t="n">
        <v>1.55</v>
      </c>
      <c r="J20" s="833" t="n">
        <v>1.74</v>
      </c>
      <c r="K20" s="833" t="n">
        <v>1.94</v>
      </c>
      <c r="L20" s="833" t="n">
        <v>2.06</v>
      </c>
    </row>
    <row r="21" ht="16" customHeight="1" s="468">
      <c r="B21" s="589" t="inlineStr">
        <is>
          <t>EV (стоимость предприятия)</t>
        </is>
      </c>
      <c r="C21" s="466" t="n"/>
      <c r="D21" s="831" t="n">
        <v>10801.74</v>
      </c>
      <c r="E21" s="831" t="n">
        <v>2566.37</v>
      </c>
      <c r="F21" s="831" t="n">
        <v>6940.88</v>
      </c>
      <c r="G21" s="831" t="n">
        <v>7640.65</v>
      </c>
      <c r="H21" s="831" t="n">
        <v>8925.08</v>
      </c>
      <c r="I21" s="822" t="n">
        <v>10579.72</v>
      </c>
      <c r="J21" s="831" t="n">
        <v>12524.67</v>
      </c>
      <c r="K21" s="831" t="n">
        <v>14264.99</v>
      </c>
      <c r="L21" s="831" t="n">
        <v>15366.25</v>
      </c>
    </row>
    <row r="24">
      <c r="B24" s="757" t="inlineStr">
        <is>
          <t>III.  МЕТРИКИ ВЕРОЯТНОСТИ И РИСКОВ</t>
        </is>
      </c>
    </row>
    <row r="25" ht="16" customHeight="1" s="468">
      <c r="B25" s="556" t="inlineStr">
        <is>
          <t>P(IRR (внутренняя норма доходности) &gt; 18% hurdle (порог))</t>
        </is>
      </c>
      <c r="C25" s="473" t="n"/>
      <c r="D25" s="473" t="n"/>
      <c r="E25" s="473" t="n"/>
      <c r="F25" s="466" t="n"/>
      <c r="G25" s="834" t="n">
        <v>13.6</v>
      </c>
      <c r="H25" s="473" t="n"/>
      <c r="I25" s="466" t="n"/>
    </row>
    <row r="26">
      <c r="B26" s="556" t="inlineStr">
        <is>
          <t>P(IRR (внутренняя норма доходности) &gt; 12% target)</t>
        </is>
      </c>
      <c r="C26" s="473" t="n"/>
      <c r="D26" s="473" t="n"/>
      <c r="E26" s="473" t="n"/>
      <c r="F26" s="466" t="n"/>
      <c r="G26" s="720" t="n">
        <v>50</v>
      </c>
      <c r="H26" s="473" t="n"/>
      <c r="I26" s="466" t="n"/>
    </row>
    <row r="27">
      <c r="B27" s="556" t="inlineStr">
        <is>
          <t>P(IRR (внутренняя норма доходности) &gt; 8% floor)</t>
        </is>
      </c>
      <c r="C27" s="473" t="n"/>
      <c r="D27" s="473" t="n"/>
      <c r="E27" s="473" t="n"/>
      <c r="F27" s="466" t="n"/>
      <c r="G27" s="720" t="n">
        <v>74.90000000000001</v>
      </c>
      <c r="H27" s="473" t="n"/>
      <c r="I27" s="466" t="n"/>
    </row>
    <row r="28">
      <c r="B28" s="556" t="inlineStr">
        <is>
          <t>P(Loss — IRR (внутренняя норма доходности) &lt; 0)</t>
        </is>
      </c>
      <c r="C28" s="473" t="n"/>
      <c r="D28" s="473" t="n"/>
      <c r="E28" s="473" t="n"/>
      <c r="F28" s="466" t="n"/>
      <c r="G28" s="720" t="n">
        <v>5.5</v>
      </c>
      <c r="H28" s="473" t="n"/>
      <c r="I28" s="466" t="n"/>
    </row>
    <row r="29">
      <c r="B29" s="556" t="inlineStr">
        <is>
          <t>P(MOIC (мультипликатор вложенного капитала) &gt; 2.0×)</t>
        </is>
      </c>
      <c r="C29" s="473" t="n"/>
      <c r="D29" s="473" t="n"/>
      <c r="E29" s="473" t="n"/>
      <c r="F29" s="466" t="n"/>
      <c r="G29" s="720" t="n">
        <v>7</v>
      </c>
      <c r="H29" s="473" t="n"/>
      <c r="I29" s="466" t="n"/>
    </row>
    <row r="30">
      <c r="B30" s="556" t="inlineStr">
        <is>
          <t>VaR 95% (NDP (чистые распределяемые поступления) shortfall vs base)</t>
        </is>
      </c>
      <c r="C30" s="473" t="n"/>
      <c r="D30" s="473" t="n"/>
      <c r="E30" s="473" t="n"/>
      <c r="F30" s="466" t="n"/>
      <c r="G30" s="718" t="n">
        <v>1770.7</v>
      </c>
      <c r="H30" s="473" t="n"/>
      <c r="I30" s="466" t="n"/>
    </row>
    <row r="31">
      <c r="B31" s="556" t="inlineStr">
        <is>
          <t>CVaR (условный VaR) 95% (expected shortfall)</t>
        </is>
      </c>
      <c r="C31" s="473" t="n"/>
      <c r="D31" s="473" t="n"/>
      <c r="E31" s="473" t="n"/>
      <c r="F31" s="466" t="n"/>
      <c r="G31" s="718" t="n">
        <v>1930.1</v>
      </c>
      <c r="H31" s="473" t="n"/>
      <c r="I31" s="466" t="n"/>
    </row>
    <row r="32">
      <c r="B32" s="556" t="inlineStr">
        <is>
          <t>Expected NDP (чистые распределяемые поступления)</t>
        </is>
      </c>
      <c r="C32" s="473" t="n"/>
      <c r="D32" s="473" t="n"/>
      <c r="E32" s="473" t="n"/>
      <c r="F32" s="466" t="n"/>
      <c r="G32" s="718" t="n">
        <v>2104.1</v>
      </c>
      <c r="H32" s="473" t="n"/>
      <c r="I32" s="466" t="n"/>
    </row>
    <row r="33">
      <c r="B33" s="556" t="inlineStr">
        <is>
          <t>Expected MOIC (мультипликатор вложенного капитала) T₁</t>
        </is>
      </c>
      <c r="C33" s="473" t="n"/>
      <c r="D33" s="473" t="n"/>
      <c r="E33" s="473" t="n"/>
      <c r="F33" s="466" t="n"/>
      <c r="G33" s="792" t="n">
        <v>1.542</v>
      </c>
      <c r="H33" s="473" t="n"/>
      <c r="I33" s="466" t="n"/>
    </row>
    <row r="34">
      <c r="B34" s="556" t="inlineStr">
        <is>
          <t>Median EV (стоимость предприятия) (P50)</t>
        </is>
      </c>
      <c r="C34" s="473" t="n"/>
      <c r="D34" s="473" t="n"/>
      <c r="E34" s="473" t="n"/>
      <c r="F34" s="466" t="n"/>
      <c r="G34" s="718" t="n">
        <v>10579.7</v>
      </c>
      <c r="H34" s="473" t="n"/>
      <c r="I34" s="466" t="n"/>
    </row>
    <row r="37">
      <c r="B37" s="757" t="inlineStr">
        <is>
          <t>IV. NDP (чистые распределяемые поступления) DISTRIBUTION HISTOGRAM (5 000 sims, 10 bins)</t>
        </is>
      </c>
    </row>
    <row r="38">
      <c r="B38" s="562" t="inlineStr">
        <is>
          <t>#</t>
        </is>
      </c>
      <c r="C38" s="562" t="inlineStr">
        <is>
          <t>Range (Диапазон)</t>
        </is>
      </c>
      <c r="D38" s="466" t="n"/>
      <c r="E38" s="562" t="inlineStr">
        <is>
          <t>Count (Количество)</t>
        </is>
      </c>
      <c r="F38" s="562" t="inlineStr">
        <is>
          <t>%</t>
        </is>
      </c>
      <c r="G38" s="562" t="inlineStr">
        <is>
          <t>Bar</t>
        </is>
      </c>
      <c r="H38" s="473" t="n"/>
      <c r="I38" s="466" t="n"/>
    </row>
    <row r="39" ht="16" customHeight="1" s="468">
      <c r="B39" s="534" t="n">
        <v>1</v>
      </c>
      <c r="C39" s="564" t="inlineStr">
        <is>
          <t>528 − 956</t>
        </is>
      </c>
      <c r="D39" s="466" t="n"/>
      <c r="E39" s="457" t="n">
        <v>45</v>
      </c>
      <c r="F39" s="832" t="n">
        <v>0.9</v>
      </c>
      <c r="G39" s="564" t="inlineStr">
        <is>
          <t>█</t>
        </is>
      </c>
      <c r="H39" s="473" t="n"/>
      <c r="I39" s="466" t="n"/>
    </row>
    <row r="40" ht="16" customHeight="1" s="468">
      <c r="B40" s="534" t="n">
        <v>2</v>
      </c>
      <c r="C40" s="564" t="inlineStr">
        <is>
          <t>956 − 1384</t>
        </is>
      </c>
      <c r="D40" s="466" t="n"/>
      <c r="E40" s="457" t="n">
        <v>458</v>
      </c>
      <c r="F40" s="832" t="n">
        <v>9.199999999999999</v>
      </c>
      <c r="G40" s="564" t="inlineStr">
        <is>
          <t>█████████</t>
        </is>
      </c>
      <c r="H40" s="473" t="n"/>
      <c r="I40" s="466" t="n"/>
    </row>
    <row r="41" ht="16" customHeight="1" s="468">
      <c r="B41" s="534" t="n">
        <v>3</v>
      </c>
      <c r="C41" s="564" t="inlineStr">
        <is>
          <t>1384 − 1812</t>
        </is>
      </c>
      <c r="D41" s="466" t="n"/>
      <c r="E41" s="457" t="n">
        <v>1120</v>
      </c>
      <c r="F41" s="832" t="n">
        <v>22.4</v>
      </c>
      <c r="G41" s="564" t="inlineStr">
        <is>
          <t>██████████████████████</t>
        </is>
      </c>
      <c r="H41" s="473" t="n"/>
      <c r="I41" s="466" t="n"/>
    </row>
    <row r="42" ht="16" customHeight="1" s="468">
      <c r="B42" s="534" t="n">
        <v>4</v>
      </c>
      <c r="C42" s="564" t="inlineStr">
        <is>
          <t>1812 − 2240</t>
        </is>
      </c>
      <c r="D42" s="466" t="n"/>
      <c r="E42" s="457" t="n">
        <v>1474</v>
      </c>
      <c r="F42" s="832" t="n">
        <v>29.5</v>
      </c>
      <c r="G42" s="564" t="inlineStr">
        <is>
          <t>██████████████████████████████</t>
        </is>
      </c>
      <c r="H42" s="473" t="n"/>
      <c r="I42" s="466" t="n"/>
    </row>
    <row r="43" ht="16" customHeight="1" s="468">
      <c r="B43" s="175" t="n">
        <v>5</v>
      </c>
      <c r="C43" s="590" t="inlineStr">
        <is>
          <t>2240 − 2668</t>
        </is>
      </c>
      <c r="D43" s="466" t="n"/>
      <c r="E43" s="458" t="n">
        <v>1107</v>
      </c>
      <c r="F43" s="812" t="n">
        <v>22.1</v>
      </c>
      <c r="G43" s="590" t="inlineStr">
        <is>
          <t>██████████████████████</t>
        </is>
      </c>
      <c r="H43" s="473" t="n"/>
      <c r="I43" s="466" t="n"/>
    </row>
    <row r="44" ht="16" customHeight="1" s="468">
      <c r="B44" s="534" t="n">
        <v>6</v>
      </c>
      <c r="C44" s="564" t="inlineStr">
        <is>
          <t>2668 − 3096</t>
        </is>
      </c>
      <c r="D44" s="466" t="n"/>
      <c r="E44" s="457" t="n">
        <v>522</v>
      </c>
      <c r="F44" s="832" t="n">
        <v>10.4</v>
      </c>
      <c r="G44" s="564" t="inlineStr">
        <is>
          <t>██████████</t>
        </is>
      </c>
      <c r="H44" s="473" t="n"/>
      <c r="I44" s="466" t="n"/>
    </row>
    <row r="45" ht="16" customHeight="1" s="468">
      <c r="B45" s="534" t="n">
        <v>7</v>
      </c>
      <c r="C45" s="564" t="inlineStr">
        <is>
          <t>3096 − 3524</t>
        </is>
      </c>
      <c r="D45" s="466" t="n"/>
      <c r="E45" s="457" t="n">
        <v>200</v>
      </c>
      <c r="F45" s="832" t="n">
        <v>4</v>
      </c>
      <c r="G45" s="564" t="inlineStr">
        <is>
          <t>████</t>
        </is>
      </c>
      <c r="H45" s="473" t="n"/>
      <c r="I45" s="466" t="n"/>
    </row>
    <row r="46" ht="16" customHeight="1" s="468">
      <c r="B46" s="534" t="n">
        <v>8</v>
      </c>
      <c r="C46" s="564" t="inlineStr">
        <is>
          <t>3524 − 3952</t>
        </is>
      </c>
      <c r="D46" s="466" t="n"/>
      <c r="E46" s="457" t="n">
        <v>58</v>
      </c>
      <c r="F46" s="832" t="n">
        <v>1.2</v>
      </c>
      <c r="G46" s="564" t="inlineStr">
        <is>
          <t>█</t>
        </is>
      </c>
      <c r="H46" s="473" t="n"/>
      <c r="I46" s="466" t="n"/>
    </row>
    <row r="47" ht="16" customHeight="1" s="468">
      <c r="B47" s="534" t="n">
        <v>9</v>
      </c>
      <c r="C47" s="564" t="inlineStr">
        <is>
          <t>3952 − 4380</t>
        </is>
      </c>
      <c r="D47" s="466" t="n"/>
      <c r="E47" s="457" t="n">
        <v>11</v>
      </c>
      <c r="F47" s="832" t="n">
        <v>0.2</v>
      </c>
      <c r="G47" s="564" t="inlineStr">
        <is>
          <t>█</t>
        </is>
      </c>
      <c r="H47" s="473" t="n"/>
      <c r="I47" s="466" t="n"/>
    </row>
    <row r="48" ht="16" customHeight="1" s="468">
      <c r="B48" s="534" t="n">
        <v>10</v>
      </c>
      <c r="C48" s="564" t="inlineStr">
        <is>
          <t>4380 − 4808</t>
        </is>
      </c>
      <c r="D48" s="466" t="n"/>
      <c r="E48" s="457" t="n">
        <v>5</v>
      </c>
      <c r="F48" s="832" t="n">
        <v>0.1</v>
      </c>
      <c r="G48" s="564" t="inlineStr">
        <is>
          <t>█</t>
        </is>
      </c>
      <c r="H48" s="473" t="n"/>
      <c r="I48" s="466" t="n"/>
    </row>
    <row r="51" ht="43" customHeight="1" s="468">
      <c r="B51" s="741" t="inlineStr">
        <is>
          <t>Симуляция: numpy seed=42, 5000 итераций, 5 стохастических переменных (Revenue (Выручка) mult Triangular (Треугольное) 0.6/1.0/1.4, Margin (Маржа) shock Normal (Нормальное) 0/4pp, CAPEX (Капзатраты) LogNormal (Логнормальное) σ=10%, Exit mult Triangular (Треугольное) 3/5/7, Film hit rate Binomial (Биномиальное) p=0.70 n=12). Applied Waterfall (Каскад) W₃ DEFAULT (ПО УМОЛЧАНИЮ) + A+C pattern (паттерн) 33/45/9/13. Methodology: vectorized numpy bisection IRR (внутренняя норма доходности).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28:F28"/>
    <mergeCell ref="G31:I31"/>
    <mergeCell ref="G46:I46"/>
    <mergeCell ref="B19:C19"/>
    <mergeCell ref="G40:I40"/>
    <mergeCell ref="B37:I37"/>
    <mergeCell ref="C48:D48"/>
    <mergeCell ref="C39:D39"/>
    <mergeCell ref="G43:I43"/>
    <mergeCell ref="B30:F30"/>
    <mergeCell ref="H12:I12"/>
    <mergeCell ref="C38:D38"/>
    <mergeCell ref="G42:I42"/>
    <mergeCell ref="B15:I15"/>
    <mergeCell ref="G27:I27"/>
    <mergeCell ref="B6:I6"/>
    <mergeCell ref="B24:I24"/>
    <mergeCell ref="B51:I51"/>
    <mergeCell ref="B20:C20"/>
    <mergeCell ref="B33:F33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6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468" min="2" max="2"/>
    <col width="14" customWidth="1" style="468" min="3" max="3"/>
    <col width="50" customWidth="1" style="468" min="4" max="4"/>
    <col width="8" customWidth="1" style="468" min="5" max="7"/>
    <col width="11" customWidth="1" style="468" min="8" max="8"/>
    <col width="50" customWidth="1" style="468" min="9" max="9"/>
    <col width="16" customWidth="1" style="468" min="10" max="10"/>
    <col width="10" customWidth="1" style="468" min="11" max="11"/>
  </cols>
  <sheetData>
    <row r="2" ht="21" customHeight="1" s="468">
      <c r="B2" s="835" t="inlineStr">
        <is>
          <t>РЕЕСТР РИСКОВ — 30 РИСКОВ В 5 КАТЕГОРИЯХ</t>
        </is>
      </c>
    </row>
    <row r="4">
      <c r="B4" s="767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 ht="16" customHeight="1" s="468">
      <c r="B6" s="557" t="inlineStr">
        <is>
          <t>I. РЕЕСТР РИСКОВ (30 рисков)</t>
        </is>
      </c>
    </row>
    <row r="7">
      <c r="B7" s="555" t="inlineStr">
        <is>
          <t>ID</t>
        </is>
      </c>
      <c r="C7" s="555" t="inlineStr">
        <is>
          <t>Категория</t>
        </is>
      </c>
      <c r="D7" s="555" t="inlineStr">
        <is>
          <t>Риск</t>
        </is>
      </c>
      <c r="E7" s="555" t="inlineStr">
        <is>
          <t>Сер. (1-5)</t>
        </is>
      </c>
      <c r="F7" s="555" t="inlineStr">
        <is>
          <t>Вер. (1-5)</t>
        </is>
      </c>
      <c r="G7" s="555" t="inlineStr">
        <is>
          <t>Score (Балл)</t>
        </is>
      </c>
      <c r="H7" s="555" t="inlineStr">
        <is>
          <t>Level (Уровень)</t>
        </is>
      </c>
      <c r="I7" s="555" t="inlineStr">
        <is>
          <t>Mitigation (Меры снижения)</t>
        </is>
      </c>
      <c r="J7" s="555" t="inlineStr">
        <is>
          <t>Owner (Ответственный)</t>
        </is>
      </c>
      <c r="K7" s="555" t="inlineStr">
        <is>
          <t>Residual (Остаток)</t>
        </is>
      </c>
    </row>
    <row r="8" ht="38" customHeight="1" s="468">
      <c r="B8" s="610" t="inlineStr">
        <is>
          <t>R01</t>
        </is>
      </c>
      <c r="C8" s="595" t="inlineStr">
        <is>
          <t>Market (Рынок)</t>
        </is>
      </c>
      <c r="D8" s="595" t="inlineStr">
        <is>
          <t>Падение кассовых сборов рынка РФ на 20%+ (геоэкономика, конкуренция стриминга)</t>
        </is>
      </c>
      <c r="E8" s="610" t="n">
        <v>5</v>
      </c>
      <c r="F8" s="610" t="n">
        <v>3</v>
      </c>
      <c r="G8" s="244" t="n">
        <v>15</v>
      </c>
      <c r="H8" s="245" t="inlineStr">
        <is>
          <t>High (Высокий)</t>
        </is>
      </c>
      <c r="I8" s="595" t="inlineStr">
        <is>
          <t>Диверсификация по 12 фильмам, 7 жанрам, window strategy; гибкий P&amp;A (тиражирование и реклама)</t>
        </is>
      </c>
      <c r="J8" s="595" t="inlineStr">
        <is>
          <t>CEO / CCO</t>
        </is>
      </c>
      <c r="K8" s="610" t="n">
        <v>12</v>
      </c>
    </row>
    <row r="9" ht="38" customHeight="1" s="468">
      <c r="B9" s="610" t="inlineStr">
        <is>
          <t>R02</t>
        </is>
      </c>
      <c r="C9" s="595" t="inlineStr">
        <is>
          <t>Market (Рынок)</t>
        </is>
      </c>
      <c r="D9" s="595" t="inlineStr">
        <is>
          <t>Провал блокбастера (F05 «Время героев», бюджет 250 млн)</t>
        </is>
      </c>
      <c r="E9" s="610" t="n">
        <v>4</v>
      </c>
      <c r="F9" s="610" t="n">
        <v>3</v>
      </c>
      <c r="G9" s="246" t="n">
        <v>12</v>
      </c>
      <c r="H9" s="247" t="inlineStr">
        <is>
          <t>Elevated (Повышенный)</t>
        </is>
      </c>
      <c r="I9" s="595" t="inlineStr">
        <is>
          <t>Расширенный test-screening, MVP-трейлер, резерв re-edit 15 млн, страхование завершения</t>
        </is>
      </c>
      <c r="J9" s="595" t="inlineStr">
        <is>
          <t>Producer (Продюсер) F05</t>
        </is>
      </c>
      <c r="K9" s="610" t="n">
        <v>8</v>
      </c>
    </row>
    <row r="10" ht="38" customHeight="1" s="468">
      <c r="B10" s="610" t="inlineStr">
        <is>
          <t>R03</t>
        </is>
      </c>
      <c r="C10" s="595" t="inlineStr">
        <is>
          <t>Market (Рынок)</t>
        </is>
      </c>
      <c r="D10" s="595" t="inlineStr">
        <is>
          <t>Снижение среднего чека кинотеатра (inflation squeeze)</t>
        </is>
      </c>
      <c r="E10" s="610" t="n">
        <v>3</v>
      </c>
      <c r="F10" s="610" t="n">
        <v>4</v>
      </c>
      <c r="G10" s="246" t="n">
        <v>12</v>
      </c>
      <c r="H10" s="247" t="inlineStr">
        <is>
          <t>Elevated (Повышенный)</t>
        </is>
      </c>
      <c r="I10" s="595" t="inlineStr">
        <is>
          <t>Переговоры с сетями (Formula Kino, Каро, Синема Парк), premium (премия)-формат IMAX/Dolby</t>
        </is>
      </c>
      <c r="J10" s="595" t="inlineStr">
        <is>
          <t>CFO</t>
        </is>
      </c>
      <c r="K10" s="610" t="n">
        <v>6</v>
      </c>
    </row>
    <row r="11" ht="38" customHeight="1" s="468">
      <c r="B11" s="610" t="inlineStr">
        <is>
          <t>R04</t>
        </is>
      </c>
      <c r="C11" s="595" t="inlineStr">
        <is>
          <t>Market (Рынок)</t>
        </is>
      </c>
      <c r="D11" s="595" t="inlineStr">
        <is>
          <t>Конкуренция со стриминг-платформами (Kinopoisk, Okko, ivi)</t>
        </is>
      </c>
      <c r="E11" s="610" t="n">
        <v>3</v>
      </c>
      <c r="F11" s="610" t="n">
        <v>5</v>
      </c>
      <c r="G11" s="244" t="n">
        <v>15</v>
      </c>
      <c r="H11" s="245" t="inlineStr">
        <is>
          <t>High (Высокий)</t>
        </is>
      </c>
      <c r="I11" s="595" t="inlineStr">
        <is>
          <t>Window 45+ дней в кино до VOD; pre-sale рекламных мест для ОТТ</t>
        </is>
      </c>
      <c r="J11" s="595" t="inlineStr">
        <is>
          <t>CCO</t>
        </is>
      </c>
      <c r="K11" s="610" t="n">
        <v>9</v>
      </c>
    </row>
    <row r="12" ht="38" customHeight="1" s="468">
      <c r="B12" s="610" t="inlineStr">
        <is>
          <t>R05</t>
        </is>
      </c>
      <c r="C12" s="595" t="inlineStr">
        <is>
          <t>Market (Рынок)</t>
        </is>
      </c>
      <c r="D12" s="595" t="inlineStr">
        <is>
          <t>Сокращение госзакупок контента Минкультуры / ФКП</t>
        </is>
      </c>
      <c r="E12" s="610" t="n">
        <v>4</v>
      </c>
      <c r="F12" s="610" t="n">
        <v>2</v>
      </c>
      <c r="G12" s="607" t="n">
        <v>8</v>
      </c>
      <c r="H12" s="249" t="inlineStr">
        <is>
          <t>Moderate (Умеренный)</t>
        </is>
      </c>
      <c r="I12" s="595" t="inlineStr">
        <is>
          <t>Диверсификация по источникам господдержки (ИРИ, Минкультуры, ФКП, региональные фонды)</t>
        </is>
      </c>
      <c r="J12" s="595" t="inlineStr">
        <is>
          <t>CEO</t>
        </is>
      </c>
      <c r="K12" s="610" t="n">
        <v>4</v>
      </c>
    </row>
    <row r="13" ht="38" customHeight="1" s="468">
      <c r="B13" s="610" t="inlineStr">
        <is>
          <t>R06</t>
        </is>
      </c>
      <c r="C13" s="595" t="inlineStr">
        <is>
          <t>Market (Рынок)</t>
        </is>
      </c>
      <c r="D13" s="595" t="inlineStr">
        <is>
          <t>Отсутствие международного релиза (санкционные ограничения)</t>
        </is>
      </c>
      <c r="E13" s="610" t="n">
        <v>3</v>
      </c>
      <c r="F13" s="610" t="n">
        <v>4</v>
      </c>
      <c r="G13" s="246" t="n">
        <v>12</v>
      </c>
      <c r="H13" s="247" t="inlineStr">
        <is>
          <t>Elevated (Повышенный)</t>
        </is>
      </c>
      <c r="I13" s="595" t="inlineStr">
        <is>
          <t>Фокус на СНГ/БРИКС, копродукция с Индией/Китаем/ОАЭ</t>
        </is>
      </c>
      <c r="J13" s="595" t="inlineStr">
        <is>
          <t>International Dept (Международный отдел)</t>
        </is>
      </c>
      <c r="K13" s="610" t="n">
        <v>6</v>
      </c>
    </row>
    <row r="14" ht="38" customHeight="1" s="468">
      <c r="B14" s="610" t="inlineStr">
        <is>
          <t>R07</t>
        </is>
      </c>
      <c r="C14" s="595" t="inlineStr">
        <is>
          <t>Operational (Операционный)</t>
        </is>
      </c>
      <c r="D14" s="595" t="inlineStr">
        <is>
          <t>Срыв графика производства (погодные условия, болезнь актёров)</t>
        </is>
      </c>
      <c r="E14" s="610" t="n">
        <v>4</v>
      </c>
      <c r="F14" s="610" t="n">
        <v>4</v>
      </c>
      <c r="G14" s="244" t="n">
        <v>16</v>
      </c>
      <c r="H14" s="245" t="inlineStr">
        <is>
          <t>High (Высокий)</t>
        </is>
      </c>
      <c r="I14" s="595" t="inlineStr">
        <is>
          <t>Contingency 10% в каждом бюджете, страховка completion bond, плотный post-production</t>
        </is>
      </c>
      <c r="J14" s="595" t="inlineStr">
        <is>
          <t>Head of Production (Руководитель производства)</t>
        </is>
      </c>
      <c r="K14" s="610" t="n">
        <v>8</v>
      </c>
    </row>
    <row r="15" ht="38" customHeight="1" s="468">
      <c r="B15" s="610" t="inlineStr">
        <is>
          <t>R08</t>
        </is>
      </c>
      <c r="C15" s="595" t="inlineStr">
        <is>
          <t>Operational (Операционный)</t>
        </is>
      </c>
      <c r="D15" s="595" t="inlineStr">
        <is>
          <t>Перерасход production-бюджета &gt;15% (industry average 8%)</t>
        </is>
      </c>
      <c r="E15" s="610" t="n">
        <v>4</v>
      </c>
      <c r="F15" s="610" t="n">
        <v>3</v>
      </c>
      <c r="G15" s="246" t="n">
        <v>12</v>
      </c>
      <c r="H15" s="247" t="inlineStr">
        <is>
          <t>Elevated (Повышенный)</t>
        </is>
      </c>
      <c r="I15" s="595" t="inlineStr">
        <is>
          <t>Жёсткий бюджетный контроль, weekly burn-rate reviews, CFO approval &gt;5% вариация</t>
        </is>
      </c>
      <c r="J15" s="595" t="inlineStr">
        <is>
          <t>CFO + Line Producer (Продюсер)</t>
        </is>
      </c>
      <c r="K15" s="610" t="n">
        <v>6</v>
      </c>
    </row>
    <row r="16" ht="38" customHeight="1" s="468">
      <c r="B16" s="610" t="inlineStr">
        <is>
          <t>R09</t>
        </is>
      </c>
      <c r="C16" s="595" t="inlineStr">
        <is>
          <t>Operational (Операционный)</t>
        </is>
      </c>
      <c r="D16" s="595" t="inlineStr">
        <is>
          <t>Отток ключевых creative-талантов (режиссёры, сценаристы)</t>
        </is>
      </c>
      <c r="E16" s="610" t="n">
        <v>4</v>
      </c>
      <c r="F16" s="610" t="n">
        <v>2</v>
      </c>
      <c r="G16" s="607" t="n">
        <v>8</v>
      </c>
      <c r="H16" s="249" t="inlineStr">
        <is>
          <t>Moderate (Умеренный)</t>
        </is>
      </c>
      <c r="I16" s="595" t="inlineStr">
        <is>
          <t>Мульти-проектные контракты (2-3 фильма), бонусы от box-office (кассовые сборы), Partner-track</t>
        </is>
      </c>
      <c r="J16" s="595" t="inlineStr">
        <is>
          <t>HR / Creative Dir (Креативный директор)</t>
        </is>
      </c>
      <c r="K16" s="610" t="n">
        <v>4</v>
      </c>
    </row>
    <row r="17" ht="38" customHeight="1" s="468">
      <c r="B17" s="610" t="inlineStr">
        <is>
          <t>R10</t>
        </is>
      </c>
      <c r="C17" s="595" t="inlineStr">
        <is>
          <t>Operational (Операционный)</t>
        </is>
      </c>
      <c r="D17" s="595" t="inlineStr">
        <is>
          <t>Срыв post-production / VFX (визуальные эффекты) (F12 «Горизонт событий»)</t>
        </is>
      </c>
      <c r="E17" s="610" t="n">
        <v>4</v>
      </c>
      <c r="F17" s="610" t="n">
        <v>3</v>
      </c>
      <c r="G17" s="246" t="n">
        <v>12</v>
      </c>
      <c r="H17" s="247" t="inlineStr">
        <is>
          <t>Elevated (Повышенный)</t>
        </is>
      </c>
      <c r="I17" s="595" t="inlineStr">
        <is>
          <t>Два параллельных VFX (визуальные эффекты)-подрядчика, early prevv, резерв 20 млн на F12</t>
        </is>
      </c>
      <c r="J17" s="595" t="inlineStr">
        <is>
          <t>VFX Supervisor (Супервайзер VFX)</t>
        </is>
      </c>
      <c r="K17" s="610" t="n">
        <v>6</v>
      </c>
    </row>
    <row r="18" ht="38" customHeight="1" s="468">
      <c r="B18" s="610" t="inlineStr">
        <is>
          <t>R11</t>
        </is>
      </c>
      <c r="C18" s="595" t="inlineStr">
        <is>
          <t>Operational (Операционный)</t>
        </is>
      </c>
      <c r="D18" s="595" t="inlineStr">
        <is>
          <t>Отказ digital distribution (распределение) партнёра (техсбой KDM)</t>
        </is>
      </c>
      <c r="E18" s="610" t="n">
        <v>2</v>
      </c>
      <c r="F18" s="610" t="n">
        <v>3</v>
      </c>
      <c r="G18" s="607" t="n">
        <v>6</v>
      </c>
      <c r="H18" s="249" t="inlineStr">
        <is>
          <t>Moderate (Умеренный)</t>
        </is>
      </c>
      <c r="I18" s="595" t="inlineStr">
        <is>
          <t>Резервный digital partner, DCI-compliant backup</t>
        </is>
      </c>
      <c r="J18" s="595" t="inlineStr">
        <is>
          <t>Distribution (Распределение)</t>
        </is>
      </c>
      <c r="K18" s="610" t="n">
        <v>4</v>
      </c>
    </row>
    <row r="19" ht="38" customHeight="1" s="468">
      <c r="B19" s="610" t="inlineStr">
        <is>
          <t>R12</t>
        </is>
      </c>
      <c r="C19" s="595" t="inlineStr">
        <is>
          <t>Operational (Операционный)</t>
        </is>
      </c>
      <c r="D19" s="595" t="inlineStr">
        <is>
          <t>Недостаток квалифицированных кадров (пост-санкционная утечка)</t>
        </is>
      </c>
      <c r="E19" s="610" t="n">
        <v>3</v>
      </c>
      <c r="F19" s="610" t="n">
        <v>4</v>
      </c>
      <c r="G19" s="246" t="n">
        <v>12</v>
      </c>
      <c r="H19" s="247" t="inlineStr">
        <is>
          <t>Elevated (Повышенный)</t>
        </is>
      </c>
      <c r="I19" s="595" t="inlineStr">
        <is>
          <t>Партнёрство с ВГИКом, МШНК, собственная школа VFX (визуальные эффекты); релокация из СНГ</t>
        </is>
      </c>
      <c r="J19" s="595" t="inlineStr">
        <is>
          <t>HR</t>
        </is>
      </c>
      <c r="K19" s="610" t="n">
        <v>6</v>
      </c>
    </row>
    <row r="20" ht="38" customHeight="1" s="468">
      <c r="B20" s="610" t="inlineStr">
        <is>
          <t>R13</t>
        </is>
      </c>
      <c r="C20" s="595" t="inlineStr">
        <is>
          <t>Financial (Финансовый)</t>
        </is>
      </c>
      <c r="D20" s="595" t="inlineStr">
        <is>
          <t>Рост ставки ОФЗ выше 18% (удорожание капитала)</t>
        </is>
      </c>
      <c r="E20" s="610" t="n">
        <v>5</v>
      </c>
      <c r="F20" s="610" t="n">
        <v>3</v>
      </c>
      <c r="G20" s="244" t="n">
        <v>15</v>
      </c>
      <c r="H20" s="245" t="inlineStr">
        <is>
          <t>High (Высокий)</t>
        </is>
      </c>
      <c r="I20" s="595" t="inlineStr">
        <is>
          <t>Fixed (Фиксированный) rate по T₁ траншам, натуральный хедж через экспорт</t>
        </is>
      </c>
      <c r="J20" s="595" t="inlineStr">
        <is>
          <t>CFO / Treasurer (Казначей)</t>
        </is>
      </c>
      <c r="K20" s="610" t="n">
        <v>10</v>
      </c>
    </row>
    <row r="21" ht="38" customHeight="1" s="468">
      <c r="B21" s="610" t="inlineStr">
        <is>
          <t>R14</t>
        </is>
      </c>
      <c r="C21" s="595" t="inlineStr">
        <is>
          <t>Financial (Финансовый)</t>
        </is>
      </c>
      <c r="D21" s="595" t="inlineStr">
        <is>
          <t>Кассовый разрыв между P&amp;A (тиражирование и реклама) расходами и box-office (кассовые сборы) receipts</t>
        </is>
      </c>
      <c r="E21" s="610" t="n">
        <v>3</v>
      </c>
      <c r="F21" s="610" t="n">
        <v>4</v>
      </c>
      <c r="G21" s="246" t="n">
        <v>12</v>
      </c>
      <c r="H21" s="247" t="inlineStr">
        <is>
          <t>Elevated (Повышенный)</t>
        </is>
      </c>
      <c r="I21" s="595" t="inlineStr">
        <is>
          <t>Возобновляемая кредитная линия (Возобновляемая кредитная линия) 200 млн ₽ под дебиторку кинотеатров</t>
        </is>
      </c>
      <c r="J21" s="595" t="inlineStr">
        <is>
          <t>Treasurer (Казначей)</t>
        </is>
      </c>
      <c r="K21" s="610" t="n">
        <v>6</v>
      </c>
    </row>
    <row r="22" ht="38" customHeight="1" s="468">
      <c r="B22" s="610" t="inlineStr">
        <is>
          <t>R15</t>
        </is>
      </c>
      <c r="C22" s="595" t="inlineStr">
        <is>
          <t>Financial (Финансовый)</t>
        </is>
      </c>
      <c r="D22" s="595" t="inlineStr">
        <is>
          <t>Неплатежи от дистрибьюторов (&gt;60 дней просрочка)</t>
        </is>
      </c>
      <c r="E22" s="610" t="n">
        <v>3</v>
      </c>
      <c r="F22" s="610" t="n">
        <v>3</v>
      </c>
      <c r="G22" s="607" t="n">
        <v>9</v>
      </c>
      <c r="H22" s="249" t="inlineStr">
        <is>
          <t>Moderate (Умеренный)</t>
        </is>
      </c>
      <c r="I22" s="595" t="inlineStr">
        <is>
          <t>Факторинг, страхование дебиторки, аккредитивы для новых партнёров</t>
        </is>
      </c>
      <c r="J22" s="595" t="inlineStr">
        <is>
          <t>AR Manager (Менеджер дебиторки)</t>
        </is>
      </c>
      <c r="K22" s="610" t="n">
        <v>6</v>
      </c>
    </row>
    <row r="23" ht="38" customHeight="1" s="468">
      <c r="B23" s="610" t="inlineStr">
        <is>
          <t>R16</t>
        </is>
      </c>
      <c r="C23" s="595" t="inlineStr">
        <is>
          <t>Financial (Финансовый)</t>
        </is>
      </c>
      <c r="D23" s="595" t="inlineStr">
        <is>
          <t>Валютный риск (оборудование, софт, VFX (визуальные эффекты) в $/€)</t>
        </is>
      </c>
      <c r="E23" s="610" t="n">
        <v>3</v>
      </c>
      <c r="F23" s="610" t="n">
        <v>3</v>
      </c>
      <c r="G23" s="607" t="n">
        <v>9</v>
      </c>
      <c r="H23" s="249" t="inlineStr">
        <is>
          <t>Moderate (Умеренный)</t>
        </is>
      </c>
      <c r="I23" s="595" t="inlineStr">
        <is>
          <t>Форвардные контракты на 60% FX-расходов, локализация поставщиков</t>
        </is>
      </c>
      <c r="J23" s="595" t="inlineStr">
        <is>
          <t>Treasurer (Казначей)</t>
        </is>
      </c>
      <c r="K23" s="610" t="n">
        <v>6</v>
      </c>
    </row>
    <row r="24" ht="38" customHeight="1" s="468">
      <c r="B24" s="610" t="inlineStr">
        <is>
          <t>R17</t>
        </is>
      </c>
      <c r="C24" s="595" t="inlineStr">
        <is>
          <t>Financial (Финансовый)</t>
        </is>
      </c>
      <c r="D24" s="564" t="inlineStr">
        <is>
      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      </is>
      </c>
      <c r="E24" s="610" t="n">
        <v>3</v>
      </c>
      <c r="F24" s="610" t="n">
        <v>4</v>
      </c>
      <c r="G24" s="250" t="n">
        <v>12</v>
      </c>
      <c r="H24" s="251" t="inlineStr">
        <is>
          <t>High (Высокий)</t>
        </is>
      </c>
      <c r="I24" s="595" t="inlineStr">
        <is>
          <t>W₃ Liq Pref (Ликвидационная привилегия) 1× floor + 8% coupon (купон) + W₄ премиум-опция (12% pref + 65/35); exit stratagem backup</t>
        </is>
      </c>
      <c r="J24" s="595" t="inlineStr">
        <is>
          <t>CFO / IR</t>
        </is>
      </c>
      <c r="K24" s="610" t="n">
        <v>8</v>
      </c>
    </row>
    <row r="25" ht="38" customHeight="1" s="468">
      <c r="B25" s="610" t="inlineStr">
        <is>
          <t>R18</t>
        </is>
      </c>
      <c r="C25" s="595" t="inlineStr">
        <is>
          <t>Financial (Финансовый)</t>
        </is>
      </c>
      <c r="D25" s="595" t="inlineStr">
        <is>
          <t>Налоговые претензии по НДС 0% (льгота кинопроизводство)</t>
        </is>
      </c>
      <c r="E25" s="610" t="n">
        <v>4</v>
      </c>
      <c r="F25" s="610" t="n">
        <v>2</v>
      </c>
      <c r="G25" s="607" t="n">
        <v>8</v>
      </c>
      <c r="H25" s="249" t="inlineStr">
        <is>
          <t>Moderate (Умеренный)</t>
        </is>
      </c>
      <c r="I25" s="595" t="inlineStr">
        <is>
          <t>Предварительное согласование схемы с ФНС, правовой аудит PwC/KPMG</t>
        </is>
      </c>
      <c r="J25" s="595" t="inlineStr">
        <is>
          <t>Tax Counsel (Налоговый консультант)</t>
        </is>
      </c>
      <c r="K25" s="610" t="n">
        <v>4</v>
      </c>
    </row>
    <row r="26" ht="38" customHeight="1" s="468">
      <c r="B26" s="610" t="inlineStr">
        <is>
          <t>R19</t>
        </is>
      </c>
      <c r="C26" s="595" t="inlineStr">
        <is>
          <t>Regulatory (Регуляторный)</t>
        </is>
      </c>
      <c r="D26" s="595" t="inlineStr">
        <is>
          <t>Изменение ПУ РФ о кинофикации (сужение льгот)</t>
        </is>
      </c>
      <c r="E26" s="610" t="n">
        <v>4</v>
      </c>
      <c r="F26" s="610" t="n">
        <v>2</v>
      </c>
      <c r="G26" s="607" t="n">
        <v>8</v>
      </c>
      <c r="H26" s="249" t="inlineStr">
        <is>
          <t>Moderate (Умеренный)</t>
        </is>
      </c>
      <c r="I26" s="595" t="inlineStr">
        <is>
          <t>Мониторинг ГД РФ, лоббирование через АПКиТ, юридический due diligence</t>
        </is>
      </c>
      <c r="J26" s="595" t="inlineStr">
        <is>
          <t>GR</t>
        </is>
      </c>
      <c r="K26" s="610" t="n">
        <v>4</v>
      </c>
    </row>
    <row r="27" ht="38" customHeight="1" s="468">
      <c r="B27" s="610" t="inlineStr">
        <is>
          <t>R20</t>
        </is>
      </c>
      <c r="C27" s="595" t="inlineStr">
        <is>
          <t>Regulatory (Регуляторный)</t>
        </is>
      </c>
      <c r="D27" s="595" t="inlineStr">
        <is>
          <t>Отказ Минкультуры в ПУ на прокат (цензурные требования)</t>
        </is>
      </c>
      <c r="E27" s="610" t="n">
        <v>5</v>
      </c>
      <c r="F27" s="610" t="n">
        <v>2</v>
      </c>
      <c r="G27" s="246" t="n">
        <v>10</v>
      </c>
      <c r="H27" s="247" t="inlineStr">
        <is>
          <t>Elevated (Повышенный)</t>
        </is>
      </c>
      <c r="I27" s="595" t="inlineStr">
        <is>
          <t>Script lock с юротделом Минкульта до съёмок, консультации на этапе сценария</t>
        </is>
      </c>
      <c r="J27" s="595" t="inlineStr">
        <is>
          <t>Legal (Юрид.)</t>
        </is>
      </c>
      <c r="K27" s="610" t="n">
        <v>6</v>
      </c>
    </row>
    <row r="28" ht="38" customHeight="1" s="468">
      <c r="B28" s="610" t="inlineStr">
        <is>
          <t>R21</t>
        </is>
      </c>
      <c r="C28" s="595" t="inlineStr">
        <is>
          <t>Regulatory (Регуляторный)</t>
        </is>
      </c>
      <c r="D28" s="595" t="inlineStr">
        <is>
          <t>Изменения в законе «О рекламе» (ограничения product placement)</t>
        </is>
      </c>
      <c r="E28" s="610" t="n">
        <v>2</v>
      </c>
      <c r="F28" s="610" t="n">
        <v>3</v>
      </c>
      <c r="G28" s="607" t="n">
        <v>6</v>
      </c>
      <c r="H28" s="249" t="inlineStr">
        <is>
          <t>Moderate (Умеренный)</t>
        </is>
      </c>
      <c r="I28" s="595" t="inlineStr">
        <is>
          <t>Диверсификация источников дохода (PP &lt;10% от Revenue (Выручка))</t>
        </is>
      </c>
      <c r="J28" s="595" t="inlineStr">
        <is>
          <t>Legal (Юрид.) / Sales (Продажи)</t>
        </is>
      </c>
      <c r="K28" s="610" t="n">
        <v>4</v>
      </c>
    </row>
    <row r="29" ht="38" customHeight="1" s="468">
      <c r="B29" s="610" t="inlineStr">
        <is>
          <t>R22</t>
        </is>
      </c>
      <c r="C29" s="595" t="inlineStr">
        <is>
          <t>Regulatory (Регуляторный)</t>
        </is>
      </c>
      <c r="D29" s="595" t="inlineStr">
        <is>
          <t>Трудовое законодательство (новые требования к ФОТ)</t>
        </is>
      </c>
      <c r="E29" s="610" t="n">
        <v>3</v>
      </c>
      <c r="F29" s="610" t="n">
        <v>3</v>
      </c>
      <c r="G29" s="607" t="n">
        <v>9</v>
      </c>
      <c r="H29" s="249" t="inlineStr">
        <is>
          <t>Moderate (Умеренный)</t>
        </is>
      </c>
      <c r="I29" s="595" t="inlineStr">
        <is>
          <t>Резерв 5% в ФОТ на регуляторные корректировки</t>
        </is>
      </c>
      <c r="J29" s="595" t="inlineStr">
        <is>
          <t>HR / Legal (Юрид.)</t>
        </is>
      </c>
      <c r="K29" s="610" t="n">
        <v>6</v>
      </c>
    </row>
    <row r="30" ht="38" customHeight="1" s="468">
      <c r="B30" s="610" t="inlineStr">
        <is>
          <t>R23</t>
        </is>
      </c>
      <c r="C30" s="595" t="inlineStr">
        <is>
          <t>Regulatory (Регуляторный)</t>
        </is>
      </c>
      <c r="D30" s="595" t="inlineStr">
        <is>
          <t>Ужесточение требований к госсубсидиям (возвратность ФКП)</t>
        </is>
      </c>
      <c r="E30" s="610" t="n">
        <v>4</v>
      </c>
      <c r="F30" s="610" t="n">
        <v>3</v>
      </c>
      <c r="G30" s="246" t="n">
        <v>12</v>
      </c>
      <c r="H30" s="247" t="inlineStr">
        <is>
          <t>Elevated (Повышенный)</t>
        </is>
      </c>
      <c r="I30" s="595" t="inlineStr">
        <is>
          <t>Структурирование сделок под грант-условия ФКП, legal review до подписи</t>
        </is>
      </c>
      <c r="J30" s="595" t="inlineStr">
        <is>
          <t>GR / Legal (Юрид.)</t>
        </is>
      </c>
      <c r="K30" s="610" t="n">
        <v>8</v>
      </c>
    </row>
    <row r="31" ht="38" customHeight="1" s="468">
      <c r="B31" s="610" t="inlineStr">
        <is>
          <t>R24</t>
        </is>
      </c>
      <c r="C31" s="595" t="inlineStr">
        <is>
          <t>Regulatory (Регуляторный)</t>
        </is>
      </c>
      <c r="D31" s="595" t="inlineStr">
        <is>
          <t>Санкции / торговые ограничения на импорт оборудования</t>
        </is>
      </c>
      <c r="E31" s="610" t="n">
        <v>3</v>
      </c>
      <c r="F31" s="610" t="n">
        <v>4</v>
      </c>
      <c r="G31" s="246" t="n">
        <v>12</v>
      </c>
      <c r="H31" s="247" t="inlineStr">
        <is>
          <t>Elevated (Повышенный)</t>
        </is>
      </c>
      <c r="I31" s="595" t="inlineStr">
        <is>
          <t>Параллельный импорт, локальные аналоги, долгосрочные контракты</t>
        </is>
      </c>
      <c r="J31" s="595" t="inlineStr">
        <is>
          <t>Закупки (Закупки)</t>
        </is>
      </c>
      <c r="K31" s="610" t="n">
        <v>6</v>
      </c>
    </row>
    <row r="32" ht="38" customHeight="1" s="468">
      <c r="B32" s="610" t="inlineStr">
        <is>
          <t>R25</t>
        </is>
      </c>
      <c r="C32" s="595" t="inlineStr">
        <is>
          <t>Execution (Исполнение)</t>
        </is>
      </c>
      <c r="D32" s="595" t="inlineStr">
        <is>
          <t>Неудачное построение slate</t>
        </is>
      </c>
      <c r="E32" s="610" t="n">
        <v>5</v>
      </c>
      <c r="F32" s="610" t="n">
        <v>2</v>
      </c>
      <c r="G32" s="246" t="n">
        <v>10</v>
      </c>
      <c r="H32" s="247" t="inlineStr">
        <is>
          <t>Elevated (Повышенный)</t>
        </is>
      </c>
      <c r="I32" s="595" t="inlineStr">
        <is>
          <t>Портфельный подход: жанровое разнообразие, разнос релизов по кварталам</t>
        </is>
      </c>
      <c r="J32" s="595" t="inlineStr">
        <is>
          <t>CCO / CEO</t>
        </is>
      </c>
      <c r="K32" s="610" t="n">
        <v>6</v>
      </c>
    </row>
    <row r="33" ht="38" customHeight="1" s="468">
      <c r="B33" s="610" t="inlineStr">
        <is>
          <t>R26</t>
        </is>
      </c>
      <c r="C33" s="595" t="inlineStr">
        <is>
          <t>Execution (Исполнение)</t>
        </is>
      </c>
      <c r="D33" s="595" t="inlineStr">
        <is>
          <t>Задержка релиза фильма на &gt;6 месяцев</t>
        </is>
      </c>
      <c r="E33" s="610" t="n">
        <v>3</v>
      </c>
      <c r="F33" s="610" t="n">
        <v>4</v>
      </c>
      <c r="G33" s="246" t="n">
        <v>12</v>
      </c>
      <c r="H33" s="247" t="inlineStr">
        <is>
          <t>Elevated (Повышенный)</t>
        </is>
      </c>
      <c r="I33" s="595" t="inlineStr">
        <is>
          <t>Резервные релизные окна Q+1, гибкий маркетинг-календарь</t>
        </is>
      </c>
      <c r="J33" s="595" t="inlineStr">
        <is>
          <t>Distribution (Распределение)</t>
        </is>
      </c>
      <c r="K33" s="610" t="n">
        <v>6</v>
      </c>
    </row>
    <row r="34" ht="38" customHeight="1" s="468">
      <c r="B34" s="610" t="inlineStr">
        <is>
          <t>R27</t>
        </is>
      </c>
      <c r="C34" s="595" t="inlineStr">
        <is>
          <t>Execution (Исполнение)</t>
        </is>
      </c>
      <c r="D34" s="595" t="inlineStr">
        <is>
          <t>Конфликты с копродюсерами (JV (совместное предприятие) structure producers equity (доля в капитале) 600)</t>
        </is>
      </c>
      <c r="E34" s="610" t="n">
        <v>4</v>
      </c>
      <c r="F34" s="610" t="n">
        <v>2</v>
      </c>
      <c r="G34" s="607" t="n">
        <v>8</v>
      </c>
      <c r="H34" s="249" t="inlineStr">
        <is>
          <t>Moderate (Умеренный)</t>
        </is>
      </c>
      <c r="I34" s="595" t="inlineStr">
        <is>
          <t>Детальный shareholders agreement, деадлок-механизмы, медиация</t>
        </is>
      </c>
      <c r="J34" s="595" t="inlineStr">
        <is>
          <t>CEO / Legal (Юрид.)</t>
        </is>
      </c>
      <c r="K34" s="610" t="n">
        <v>4</v>
      </c>
    </row>
    <row r="35" ht="38" customHeight="1" s="468">
      <c r="B35" s="610" t="inlineStr">
        <is>
          <t>R28</t>
        </is>
      </c>
      <c r="C35" s="595" t="inlineStr">
        <is>
          <t>Execution (Исполнение)</t>
        </is>
      </c>
      <c r="D35" s="595" t="inlineStr">
        <is>
          <t>Недостаточный маркетинг / низкая осведомлённость аудитории</t>
        </is>
      </c>
      <c r="E35" s="610" t="n">
        <v>4</v>
      </c>
      <c r="F35" s="610" t="n">
        <v>3</v>
      </c>
      <c r="G35" s="246" t="n">
        <v>12</v>
      </c>
      <c r="H35" s="247" t="inlineStr">
        <is>
          <t>Elevated (Повышенный)</t>
        </is>
      </c>
      <c r="I35" s="595" t="inlineStr">
        <is>
          <t>P&amp;A ratio (Коэффициент P&amp;A) 15% минимум, партнёрство с соцсетями (VK, TG, Rutube)</t>
        </is>
      </c>
      <c r="J35" s="595" t="inlineStr">
        <is>
          <t>CMO</t>
        </is>
      </c>
      <c r="K35" s="610" t="n">
        <v>6</v>
      </c>
    </row>
    <row r="36" ht="38" customHeight="1" s="468">
      <c r="B36" s="610" t="inlineStr">
        <is>
          <t>R29</t>
        </is>
      </c>
      <c r="C36" s="595" t="inlineStr">
        <is>
          <t>Execution (Исполнение)</t>
        </is>
      </c>
      <c r="D36" s="595" t="inlineStr">
        <is>
          <t>Утечка контента до релиза (пиратство, leaks)</t>
        </is>
      </c>
      <c r="E36" s="610" t="n">
        <v>3</v>
      </c>
      <c r="F36" s="610" t="n">
        <v>3</v>
      </c>
      <c r="G36" s="607" t="n">
        <v>9</v>
      </c>
      <c r="H36" s="249" t="inlineStr">
        <is>
          <t>Moderate (Умеренный)</t>
        </is>
      </c>
      <c r="I36" s="595" t="inlineStr">
        <is>
          <t>Watermarking, контроль post-production, NDA для всех подрядчиков</t>
        </is>
      </c>
      <c r="J36" s="595" t="inlineStr">
        <is>
          <t>Security / IT (Безопасность / ИТ)</t>
        </is>
      </c>
      <c r="K36" s="610" t="n">
        <v>6</v>
      </c>
    </row>
    <row r="37" ht="38" customHeight="1" s="468">
      <c r="B37" s="610" t="inlineStr">
        <is>
          <t>R30</t>
        </is>
      </c>
      <c r="C37" s="595" t="inlineStr">
        <is>
          <t>Execution (Исполнение)</t>
        </is>
      </c>
      <c r="D37" s="595" t="inlineStr">
        <is>
          <t>Невыполнение обязательств по KPI (ключевые показатели) перед инвестором T₁</t>
        </is>
      </c>
      <c r="E37" s="610" t="n">
        <v>5</v>
      </c>
      <c r="F37" s="610" t="n">
        <v>3</v>
      </c>
      <c r="G37" s="244" t="n">
        <v>15</v>
      </c>
      <c r="H37" s="245" t="inlineStr">
        <is>
          <t>High (Высокий)</t>
        </is>
      </c>
      <c r="I37" s="595" t="inlineStr">
        <is>
          <t>Quarterly reporting, covenant monitoring, IRR (внутренняя норма доходности) tracking, board reviews</t>
        </is>
      </c>
      <c r="J37" s="595" t="inlineStr">
        <is>
          <t>CFO / Совет директоров</t>
        </is>
      </c>
      <c r="K37" s="610" t="n">
        <v>12</v>
      </c>
    </row>
    <row r="40" ht="16" customHeight="1" s="468">
      <c r="B40" s="557" t="inlineStr">
        <is>
          <t>II.  ТЕПЛОВАЯ КАРТА 5×5 (Severity (Серьёзность) × Likelihood (Вероятность))</t>
        </is>
      </c>
    </row>
    <row r="42">
      <c r="B42" s="252" t="inlineStr">
        <is>
          <t>Severity (Серьёзность) ↓ / Likelihood (Вероятность) →</t>
        </is>
      </c>
      <c r="C42" s="253" t="inlineStr">
        <is>
          <t>L=1</t>
        </is>
      </c>
      <c r="D42" s="253" t="inlineStr">
        <is>
          <t>L=2</t>
        </is>
      </c>
      <c r="E42" s="253" t="inlineStr">
        <is>
          <t>L=3</t>
        </is>
      </c>
      <c r="F42" s="253" t="inlineStr">
        <is>
          <t>L=4</t>
        </is>
      </c>
      <c r="G42" s="253" t="inlineStr">
        <is>
          <t>L=5</t>
        </is>
      </c>
    </row>
    <row r="43" ht="42" customHeight="1" s="468">
      <c r="B43" s="253" t="inlineStr">
        <is>
          <t>S=5</t>
        </is>
      </c>
      <c r="C43" s="254" t="inlineStr">
        <is>
          <t>5</t>
        </is>
      </c>
      <c r="D43" s="255" t="inlineStr">
        <is>
          <t>10
R20, R25</t>
        </is>
      </c>
      <c r="E43" s="256" t="inlineStr">
        <is>
          <t>15
R01, R13, R30</t>
        </is>
      </c>
      <c r="F43" s="257" t="inlineStr">
        <is>
          <t>20</t>
        </is>
      </c>
      <c r="G43" s="257" t="inlineStr">
        <is>
          <t>25</t>
        </is>
      </c>
    </row>
    <row r="44" ht="42" customHeight="1" s="468">
      <c r="B44" s="253" t="inlineStr">
        <is>
          <t>S=4</t>
        </is>
      </c>
      <c r="C44" s="258" t="inlineStr">
        <is>
          <t>4</t>
        </is>
      </c>
      <c r="D44" s="259" t="inlineStr">
        <is>
          <t>8
R05, R09, R18, R19, R27</t>
        </is>
      </c>
      <c r="E44" s="255" t="inlineStr">
        <is>
          <t>12
R02, R08, R10, R23, R28</t>
        </is>
      </c>
      <c r="F44" s="256" t="inlineStr">
        <is>
          <t>16
R07</t>
        </is>
      </c>
      <c r="G44" s="260" t="inlineStr">
        <is>
          <t>20
R17</t>
        </is>
      </c>
    </row>
    <row r="45" ht="42" customHeight="1" s="468">
      <c r="B45" s="253" t="inlineStr">
        <is>
          <t>S=3</t>
        </is>
      </c>
      <c r="C45" s="258" t="inlineStr">
        <is>
          <t>3</t>
        </is>
      </c>
      <c r="D45" s="254" t="inlineStr">
        <is>
          <t>6</t>
        </is>
      </c>
      <c r="E45" s="259" t="inlineStr">
        <is>
          <t>9
R15, R16, R22, R29</t>
        </is>
      </c>
      <c r="F45" s="255" t="inlineStr">
        <is>
          <t>12
R03, R06, R12, R14, R24, R26</t>
        </is>
      </c>
      <c r="G45" s="256" t="inlineStr">
        <is>
          <t>15
R04</t>
        </is>
      </c>
    </row>
    <row r="46" ht="42" customHeight="1" s="468">
      <c r="B46" s="253" t="inlineStr">
        <is>
          <t>S=2</t>
        </is>
      </c>
      <c r="C46" s="258" t="inlineStr">
        <is>
          <t>2</t>
        </is>
      </c>
      <c r="D46" s="258" t="inlineStr">
        <is>
          <t>4</t>
        </is>
      </c>
      <c r="E46" s="259" t="inlineStr">
        <is>
          <t>6
R11, R21</t>
        </is>
      </c>
      <c r="F46" s="254" t="inlineStr">
        <is>
          <t>8</t>
        </is>
      </c>
      <c r="G46" s="261" t="inlineStr">
        <is>
          <t>10</t>
        </is>
      </c>
    </row>
    <row r="47" ht="42" customHeight="1" s="468">
      <c r="B47" s="253" t="inlineStr">
        <is>
          <t>S=1</t>
        </is>
      </c>
      <c r="C47" s="258" t="inlineStr">
        <is>
          <t>1</t>
        </is>
      </c>
      <c r="D47" s="258" t="inlineStr">
        <is>
          <t>2</t>
        </is>
      </c>
      <c r="E47" s="258" t="inlineStr">
        <is>
          <t>3</t>
        </is>
      </c>
      <c r="F47" s="258" t="inlineStr">
        <is>
          <t>4</t>
        </is>
      </c>
      <c r="G47" s="254" t="inlineStr">
        <is>
          <t>5</t>
        </is>
      </c>
    </row>
    <row r="49">
      <c r="B49" s="262" t="inlineStr">
        <is>
          <t>Легенда:</t>
        </is>
      </c>
      <c r="C49" s="263" t="inlineStr">
        <is>
          <t>Низкий (1-4)</t>
        </is>
      </c>
      <c r="D49" s="264" t="inlineStr">
        <is>
          <t>Moderate (Умеренный) (5-9)</t>
        </is>
      </c>
      <c r="E49" s="265" t="inlineStr">
        <is>
          <t>Elevated (Повышенный) (10-14)</t>
        </is>
      </c>
      <c r="F49" s="266" t="inlineStr">
        <is>
          <t>Высокий (15-19)</t>
        </is>
      </c>
      <c r="G49" s="267" t="inlineStr">
        <is>
          <t>Critical (Критический) (20-25)</t>
        </is>
      </c>
    </row>
    <row r="51" ht="16" customHeight="1" s="468">
      <c r="B51" s="557" t="inlineStr">
        <is>
          <t>III. TOP-10 КРИТИЧЕСКИХ РИСКОВ — ДЕТАЛЬНОЕ ОПИСАНИЕ</t>
        </is>
      </c>
    </row>
    <row r="53" ht="30" customHeight="1" s="468">
      <c r="B53" s="555" t="inlineStr">
        <is>
          <t>#</t>
        </is>
      </c>
      <c r="C53" s="555" t="inlineStr">
        <is>
          <t>ID</t>
        </is>
      </c>
      <c r="D53" s="555" t="inlineStr">
        <is>
          <t>Title (Название)</t>
        </is>
      </c>
      <c r="E53" s="555" t="inlineStr">
        <is>
          <t>Score (Балл)</t>
        </is>
      </c>
      <c r="F53" s="555" t="inlineStr">
        <is>
          <t>Description (Описание)</t>
        </is>
      </c>
      <c r="G53" s="555" t="inlineStr">
        <is>
          <t>Triggers (Триггеры)</t>
        </is>
      </c>
      <c r="H53" s="555" t="inlineStr">
        <is>
          <t>Mitigation (Меры снижения)</t>
        </is>
      </c>
      <c r="I53" s="555" t="inlineStr">
        <is>
          <t>Раннее предупреждение (Раннее предупреждение)</t>
        </is>
      </c>
      <c r="J53" s="555" t="inlineStr">
        <is>
          <t>Owner (Ответственный)</t>
        </is>
      </c>
      <c r="K53" s="555" t="inlineStr">
        <is>
          <t>Residual (Остаток)</t>
        </is>
      </c>
    </row>
    <row r="54" ht="90" customHeight="1" s="468">
      <c r="B54" s="268" t="n">
        <v>1</v>
      </c>
      <c r="C54" s="268" t="inlineStr">
        <is>
          <t>R17</t>
        </is>
      </c>
      <c r="D54" s="269" t="inlineStr">
        <is>
          <t>Downside (Нижний сценарий) risk NDP (чистые распределяемые поступления) shortfall — W₃ A+C Base (Базовый) IRR (внутренняя норма доходности) = 20.09%</t>
        </is>
      </c>
      <c r="E54" s="270" t="n">
        <v>12</v>
      </c>
      <c r="F54" s="459" t="inlineStr">
        <is>
          <t>Базовый IRR (внутренняя норма доходности) T₁ под Waterfall (Каскад) W₃ + A+C pattern (паттерн) = 20.09%, что даёт margin (маржа) +2.09pp vs hurdle (порог) 18%. Однако Bear (Пессимистичный) (9.34%) и Downside (Нижний сценарий) (15.14%) ниже hurdle (порог). MC simulation (N=5000) показывает mean IRR (внутренняя норма доходности) 11.44%, P(&gt;hurdle (порог))=13.6%. Risk (Риск) source: hit_rate volatility (corr r=0.70 с IRR).</t>
        </is>
      </c>
      <c r="G54" s="269" t="inlineStr">
        <is>
          <t>Любой из: (a) revenue &lt;80% от плана, (b) CAPEX (Капзатраты) overrun &gt;15%, (c) задержка ≥2 релизов на 6+ мес.</t>
        </is>
      </c>
      <c r="H54" s="269" t="inlineStr">
        <is>
          <t>Структурная защита через waterfall (каскад): (1) W₃ floor Liq Pref (Ликвидационная привилегия) гарантирует возврат principal; (2) coupon (купон) 8%×5y = 500 млн ₽ минимальная доходность; (3) W₄ опция 12% preferred для enhanced LP (ограниченный партнёр) protection; (4) exit route — Trade Sale/IPO (первичное размещение) 2030 backup.</t>
        </is>
      </c>
      <c r="I54" s="269" t="inlineStr">
        <is>
          <t>Burn rate &gt;baseline +10% два квартала подряд; box-office (кассовые сборы) первых 3 фильмов &lt;75% от прогноза.</t>
        </is>
      </c>
      <c r="J54" s="269" t="inlineStr">
        <is>
          <t>CFO / IR / Совет директоров</t>
        </is>
      </c>
      <c r="K54" s="268" t="n">
        <v>8</v>
      </c>
    </row>
    <row r="55" ht="90" customHeight="1" s="468">
      <c r="B55" s="268" t="n">
        <v>2</v>
      </c>
      <c r="C55" s="268" t="inlineStr">
        <is>
          <t>R07</t>
        </is>
      </c>
      <c r="D55" s="269" t="inlineStr">
        <is>
          <t>Срыв графика производства</t>
        </is>
      </c>
      <c r="E55" s="271" t="n">
        <v>16</v>
      </c>
      <c r="F55" s="269" t="inlineStr">
        <is>
          <t>12 фильмов × сложный схэдулинг → риск каскадного срыва. Погода, актёры, локации, оборудование.</t>
        </is>
      </c>
      <c r="G55" s="269" t="inlineStr">
        <is>
          <t>Задержка &gt;2 недель на этапе подготовки или съёмок.</t>
        </is>
      </c>
      <c r="H55" s="26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269" t="inlineStr">
        <is>
          <t>Daily production reports, crew turnover &gt;15%, шот-плэн отставание &gt;5 дней.</t>
        </is>
      </c>
      <c r="J55" s="269" t="inlineStr">
        <is>
          <t>Head of Production (Руководитель производства)</t>
        </is>
      </c>
      <c r="K55" s="268" t="n">
        <v>8</v>
      </c>
    </row>
    <row r="56" ht="90" customHeight="1" s="468">
      <c r="B56" s="268" t="n">
        <v>3</v>
      </c>
      <c r="C56" s="268" t="inlineStr">
        <is>
          <t>R01</t>
        </is>
      </c>
      <c r="D56" s="269" t="inlineStr">
        <is>
          <t>Падение рынка РФ на 20%+</t>
        </is>
      </c>
      <c r="E56" s="271" t="n">
        <v>15</v>
      </c>
      <c r="F56" s="269" t="inlineStr">
        <is>
          <t>Системный риск: рецессия, ужесточение санкций, поведенческий сдвиг аудитории от кинотеатров к ОТТ.</t>
        </is>
      </c>
      <c r="G56" s="269" t="inlineStr">
        <is>
          <t>Снижение box-office (кассовые сборы) РФ &gt;15% YoY два квартала подряд.</t>
        </is>
      </c>
      <c r="H56" s="26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269" t="inlineStr">
        <is>
          <t>Росстат: disposable income &lt;−3%; индекс цен на досуг &gt;+8% YoY; доля ОТТ-подписок &gt;45% домохозяйств.</t>
        </is>
      </c>
      <c r="J56" s="269" t="inlineStr">
        <is>
          <t>CEO / CCO / Совет директоров</t>
        </is>
      </c>
      <c r="K56" s="268" t="n">
        <v>12</v>
      </c>
    </row>
    <row r="57" ht="90" customHeight="1" s="468">
      <c r="B57" s="268" t="n">
        <v>4</v>
      </c>
      <c r="C57" s="268" t="inlineStr">
        <is>
          <t>R13</t>
        </is>
      </c>
      <c r="D57" s="269" t="inlineStr">
        <is>
          <t>Рост ставки ОФЗ выше 18%</t>
        </is>
      </c>
      <c r="E57" s="271" t="n">
        <v>15</v>
      </c>
      <c r="F57" s="269" t="inlineStr">
        <is>
          <t>Ключевая ставка ЦБ влияет на alternative cost и discount rate; рост удорожает T₁-транши и усложняет refinance.</t>
        </is>
      </c>
      <c r="G57" s="269" t="inlineStr">
        <is>
          <t>Ключевая ставка &gt;16% два заседания ЦБ подряд; ОФЗ 10Y yield &gt;17%.</t>
        </is>
      </c>
      <c r="H57" s="26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269" t="inlineStr">
        <is>
          <t>Инфляция CPI &gt;7% ежемесячно; ЦБ hawkish guidance; yield curve steepening.</t>
        </is>
      </c>
      <c r="J57" s="269" t="inlineStr">
        <is>
          <t>CFO / Treasurer (Казначей)</t>
        </is>
      </c>
      <c r="K57" s="268" t="n">
        <v>10</v>
      </c>
    </row>
    <row r="58" ht="90" customHeight="1" s="468">
      <c r="B58" s="268" t="n">
        <v>5</v>
      </c>
      <c r="C58" s="268" t="inlineStr">
        <is>
          <t>R30</t>
        </is>
      </c>
      <c r="D58" s="269" t="inlineStr">
        <is>
          <t>Невыполнение KPI (ключевые показатели) перед инвестором T₁</t>
        </is>
      </c>
      <c r="E58" s="271" t="n">
        <v>15</v>
      </c>
      <c r="F58" s="269" t="inlineStr">
        <is>
          <t>Covenant breach по Revenue (Выручка), EBITDA (прибыль до вычетов) margin (маржа) или film release schedule может триггерить досрочное погашение или W₃ activation.</t>
        </is>
      </c>
      <c r="G58" s="269" t="inlineStr">
        <is>
          <t>EBITDA (прибыль до вычетов) &lt;80% от плана квартал подряд; задержка &gt;2 фильмов; CAPEX (Капзатраты) overrun &gt;20%.</t>
        </is>
      </c>
      <c r="H58" s="269" t="inlineStr">
        <is>
          <t>Monthly MI reporting, quarterly covenant testing, board observer seat, cure period 90 дней, escalation procedure.</t>
        </is>
      </c>
      <c r="I58" s="269" t="inlineStr">
        <is>
          <t>Monthly burn-rate deviation &gt;+10%; RAG flags в cash-flow forecast; variance &gt;15% в production milestones.</t>
        </is>
      </c>
      <c r="J58" s="269" t="inlineStr">
        <is>
          <t>CFO / Совет директоров</t>
        </is>
      </c>
      <c r="K58" s="268" t="n">
        <v>12</v>
      </c>
    </row>
    <row r="59" ht="90" customHeight="1" s="468">
      <c r="B59" s="268" t="n">
        <v>6</v>
      </c>
      <c r="C59" s="268" t="inlineStr">
        <is>
          <t>R04</t>
        </is>
      </c>
      <c r="D59" s="269" t="inlineStr">
        <is>
          <t>Конкуренция со стриминг-платформами</t>
        </is>
      </c>
      <c r="E59" s="271" t="n">
        <v>15</v>
      </c>
      <c r="F59" s="26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269" t="inlineStr">
        <is>
          <t>Длительность кино-window &lt;30 дней у конкурентов; пиратский релиз раньше прогноза.</t>
        </is>
      </c>
      <c r="H59" s="26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26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269" t="inlineStr">
        <is>
          <t>CCO / Distribution (Распределение)</t>
        </is>
      </c>
      <c r="K59" s="268" t="n">
        <v>9</v>
      </c>
    </row>
    <row r="60" ht="90" customHeight="1" s="468">
      <c r="B60" s="268" t="n">
        <v>7</v>
      </c>
      <c r="C60" s="268" t="inlineStr">
        <is>
          <t>R02</t>
        </is>
      </c>
      <c r="D60" s="269" t="inlineStr">
        <is>
          <t>Провал блокбастера F05 «Время героев» (бюджет 250 млн)</t>
        </is>
      </c>
      <c r="E60" s="272" t="n">
        <v>12</v>
      </c>
      <c r="F60" s="269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269" t="inlineStr">
        <is>
          <t>Test-screening NPS &lt;40; первый weekend box-office (кассовые сборы) &lt;50% от прогноза.</t>
        </is>
      </c>
      <c r="H60" s="269" t="inlineStr">
        <is>
          <t>Расширенный test-screening (3 waves), резерв 15 млн ₽ на re-edit, PR recovery plan, быстрый VOD pivot, страховка completion bond.</t>
        </is>
      </c>
      <c r="I60" s="269" t="inlineStr">
        <is>
          <t>Review-agregator score &lt;6.0 на pre-release screening; negative sentiment &gt;40% в социальных сетях.</t>
        </is>
      </c>
      <c r="J60" s="269" t="inlineStr">
        <is>
          <t>Producer (Продюсер) F05 / CCO</t>
        </is>
      </c>
      <c r="K60" s="268" t="n">
        <v>8</v>
      </c>
    </row>
    <row r="61" ht="90" customHeight="1" s="468">
      <c r="B61" s="268" t="n">
        <v>8</v>
      </c>
      <c r="C61" s="268" t="inlineStr">
        <is>
          <t>R23</t>
        </is>
      </c>
      <c r="D61" s="269" t="inlineStr">
        <is>
          <t>Ужесточение требований ФКП (возвратность госсубсидий)</t>
        </is>
      </c>
      <c r="E61" s="272" t="n">
        <v>12</v>
      </c>
      <c r="F61" s="269" t="inlineStr">
        <is>
          <t>Фонд кино может ужесточить условия возвратности, что затронет ~300 млн ₽ subsidy stream в модели.</t>
        </is>
      </c>
      <c r="G61" s="269" t="inlineStr">
        <is>
          <t>Постановление Правительства РФ об изменении 1215/2013; поправки в ФЗ о господдержке кинематографии.</t>
        </is>
      </c>
      <c r="H61" s="26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269" t="inlineStr">
        <is>
          <t>Изменение риторики Минкульта, публичные обсуждения поправок.</t>
        </is>
      </c>
      <c r="J61" s="269" t="inlineStr">
        <is>
          <t>GR / Legal (Юрид.)</t>
        </is>
      </c>
      <c r="K61" s="268" t="n">
        <v>8</v>
      </c>
    </row>
    <row r="62" ht="90" customHeight="1" s="468">
      <c r="B62" s="268" t="n">
        <v>9</v>
      </c>
      <c r="C62" s="268" t="inlineStr">
        <is>
          <t>R28</t>
        </is>
      </c>
      <c r="D62" s="269" t="inlineStr">
        <is>
          <t>Недостаточный маркетинг / слабая осведомлённость</t>
        </is>
      </c>
      <c r="E62" s="272" t="n">
        <v>12</v>
      </c>
      <c r="F62" s="26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269" t="inlineStr">
        <is>
          <t>CPM &gt;150% от бенчмарка; organic reach &lt;60% от прогноза.</t>
        </is>
      </c>
      <c r="H62" s="269" t="inlineStr">
        <is>
          <t>Diversified media mix (VK 30%, TG 20%, Rutube 15%, outdoor 20%, TV (телевидение) 15%); influencer partnerships; UGC кампании; сквозная аналитика CPA.</t>
        </is>
      </c>
      <c r="I62" s="269" t="inlineStr">
        <is>
          <t>Ad recall &lt;25% за 2 недели до релиза; Google Trends index &lt; baseline.</t>
        </is>
      </c>
      <c r="J62" s="269" t="inlineStr">
        <is>
          <t>CMO</t>
        </is>
      </c>
      <c r="K62" s="268" t="n">
        <v>6</v>
      </c>
    </row>
    <row r="63" ht="90" customHeight="1" s="468">
      <c r="B63" s="268" t="n">
        <v>10</v>
      </c>
      <c r="C63" s="268" t="inlineStr">
        <is>
          <t>R08</t>
        </is>
      </c>
      <c r="D63" s="269" t="inlineStr">
        <is>
          <t>Перерасход production-бюджета &gt;15%</t>
        </is>
      </c>
      <c r="E63" s="272" t="n">
        <v>12</v>
      </c>
      <c r="F63" s="269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269" t="inlineStr">
        <is>
          <t>Weekly burn-rate &gt;+10% от бюджета; &gt;5% вариация в любой бюджетной строке.</t>
        </is>
      </c>
      <c r="H63" s="269" t="inlineStr">
        <is>
          <t>CFO approval &gt;5% variance; weekly production controller reports; fixed-price contracts где возможно; completion bond; резерв 10% в каждом бюджете.</t>
        </is>
      </c>
      <c r="I63" s="269" t="inlineStr">
        <is>
          <t>Crew inflation &gt;+5% от плана; overtime hours &gt;15%; equipment rent &gt;budget (бюджет) +10%.</t>
        </is>
      </c>
      <c r="J63" s="269" t="inlineStr">
        <is>
          <t>CFO / Line Producer (Продюсер)</t>
        </is>
      </c>
      <c r="K63" s="268" t="n">
        <v>6</v>
      </c>
    </row>
    <row r="66" ht="16" customHeight="1" s="468">
      <c r="B66" s="557" t="inlineStr">
        <is>
          <t>IV.  СВОДНАЯ СТАТИСТИКА (СВОДНАЯ СТАТИСТИКА)</t>
        </is>
      </c>
    </row>
    <row r="68">
      <c r="B68" s="253" t="inlineStr">
        <is>
          <t>Category (Категория)</t>
        </is>
      </c>
      <c r="C68" s="253" t="inlineStr">
        <is>
          <t># Рисков</t>
        </is>
      </c>
      <c r="D68" s="253" t="inlineStr">
        <is>
          <t>Total (Итого) Score (Балл)</t>
        </is>
      </c>
      <c r="E68" s="253" t="inlineStr">
        <is>
          <t>Avg Score (Средний балл)</t>
        </is>
      </c>
      <c r="F68" s="253" t="inlineStr">
        <is>
          <t>Max Score (Макс. балл)</t>
        </is>
      </c>
      <c r="G68" s="253" t="inlineStr">
        <is>
          <t>Share (Доля)</t>
        </is>
      </c>
    </row>
    <row r="69">
      <c r="B69" s="273" t="inlineStr">
        <is>
          <t>Market (Рынок)</t>
        </is>
      </c>
      <c r="C69" s="635" t="n">
        <v>6</v>
      </c>
      <c r="D69" s="635" t="n">
        <v>74</v>
      </c>
      <c r="E69" s="635" t="n">
        <v>12.3</v>
      </c>
      <c r="F69" s="635" t="n">
        <v>15</v>
      </c>
      <c r="G69" s="635" t="inlineStr">
        <is>
          <t>22.0%</t>
        </is>
      </c>
    </row>
    <row r="70">
      <c r="B70" s="273" t="inlineStr">
        <is>
          <t>Operational (Операционный)</t>
        </is>
      </c>
      <c r="C70" s="635" t="n">
        <v>6</v>
      </c>
      <c r="D70" s="635" t="n">
        <v>66</v>
      </c>
      <c r="E70" s="635" t="n">
        <v>11</v>
      </c>
      <c r="F70" s="635" t="n">
        <v>16</v>
      </c>
      <c r="G70" s="635" t="inlineStr">
        <is>
          <t>19.6%</t>
        </is>
      </c>
    </row>
    <row r="71">
      <c r="B71" s="273" t="inlineStr">
        <is>
          <t>Financial (Финансовый)</t>
        </is>
      </c>
      <c r="C71" s="635" t="n">
        <v>6</v>
      </c>
      <c r="D71" s="635" t="n">
        <v>73</v>
      </c>
      <c r="E71" s="635" t="n">
        <v>12.2</v>
      </c>
      <c r="F71" s="635" t="n">
        <v>20</v>
      </c>
      <c r="G71" s="635" t="inlineStr">
        <is>
          <t>21.7%</t>
        </is>
      </c>
    </row>
    <row r="72">
      <c r="B72" s="273" t="inlineStr">
        <is>
          <t>Regulatory (Регуляторный)</t>
        </is>
      </c>
      <c r="C72" s="635" t="n">
        <v>6</v>
      </c>
      <c r="D72" s="635" t="n">
        <v>57</v>
      </c>
      <c r="E72" s="635" t="n">
        <v>9.5</v>
      </c>
      <c r="F72" s="635" t="n">
        <v>12</v>
      </c>
      <c r="G72" s="635" t="inlineStr">
        <is>
          <t>17.0%</t>
        </is>
      </c>
    </row>
    <row r="73">
      <c r="B73" s="273" t="inlineStr">
        <is>
          <t>Execution (Исполнение)</t>
        </is>
      </c>
      <c r="C73" s="635" t="n">
        <v>6</v>
      </c>
      <c r="D73" s="635" t="n">
        <v>66</v>
      </c>
      <c r="E73" s="635" t="n">
        <v>11</v>
      </c>
      <c r="F73" s="635" t="n">
        <v>15</v>
      </c>
      <c r="G73" s="635" t="inlineStr">
        <is>
          <t>19.6%</t>
        </is>
      </c>
    </row>
    <row r="74">
      <c r="B74" s="275" t="inlineStr">
        <is>
          <t>ИТОГО</t>
        </is>
      </c>
      <c r="C74" s="276" t="n">
        <v>30</v>
      </c>
      <c r="D74" s="276" t="n">
        <v>336</v>
      </c>
      <c r="E74" s="276" t="n">
        <v>11.2</v>
      </c>
      <c r="F74" s="276" t="n">
        <v>20</v>
      </c>
      <c r="G74" s="276" t="inlineStr">
        <is>
          <t>100.0%</t>
        </is>
      </c>
    </row>
    <row r="76">
      <c r="B76" s="277" t="inlineStr">
        <is>
          <t>Распределение по уровням:</t>
        </is>
      </c>
    </row>
    <row r="77">
      <c r="B77" s="278" t="inlineStr">
        <is>
          <t>Low</t>
        </is>
      </c>
      <c r="C77" s="263" t="n">
        <v>0</v>
      </c>
      <c r="D77" s="263" t="inlineStr">
        <is>
          <t>0.0%</t>
        </is>
      </c>
    </row>
    <row r="78">
      <c r="B78" s="279" t="inlineStr">
        <is>
          <t>Moderate (Умеренный)</t>
        </is>
      </c>
      <c r="C78" s="264" t="n">
        <v>11</v>
      </c>
      <c r="D78" s="264" t="inlineStr">
        <is>
          <t>36.7%</t>
        </is>
      </c>
    </row>
    <row r="79">
      <c r="B79" s="280" t="inlineStr">
        <is>
          <t>Elevated (Повышенный)</t>
        </is>
      </c>
      <c r="C79" s="265" t="n">
        <v>13</v>
      </c>
      <c r="D79" s="265" t="inlineStr">
        <is>
          <t>43.3%</t>
        </is>
      </c>
    </row>
    <row r="80">
      <c r="B80" s="281" t="inlineStr">
        <is>
          <t>High (Высокий)</t>
        </is>
      </c>
      <c r="C80" s="266" t="n">
        <v>5</v>
      </c>
      <c r="D80" s="266" t="inlineStr">
        <is>
          <t>16.7%</t>
        </is>
      </c>
    </row>
    <row r="81">
      <c r="B81" s="282" t="inlineStr">
        <is>
          <t>Critical (Критический)</t>
        </is>
      </c>
      <c r="C81" s="267" t="n">
        <v>1</v>
      </c>
      <c r="D81" s="267" t="inlineStr">
        <is>
          <t>3.3%</t>
        </is>
      </c>
    </row>
    <row r="84" ht="16" customHeight="1" s="468">
      <c r="B84" s="557" t="inlineStr">
        <is>
          <t>V. KEY TAKEAWAYS ДЛЯ ИНВЕСТОРА</t>
        </is>
      </c>
    </row>
    <row r="85" ht="52" customHeight="1" s="468">
      <c r="B85" s="836" t="inlineStr">
        <is>
          <t>1. ТОП-риск — R17 пересмотрен в v1.0.1 с Critical (Критический) на High (score 12): базовый IRR (внутренняя норма доходности) T₁ под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 s="468">
      <c r="B86" s="836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 s="468">
      <c r="B87" s="836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 s="468">
      <c r="B88" s="836" t="inlineStr">
        <is>
          <t>4. Operational (Операционный) риски (R07, R08) — купируются 10% contingency + completion bond в каждом бюджете.</t>
        </is>
      </c>
    </row>
    <row r="89" ht="22" customHeight="1" s="468">
      <c r="B89" s="836" t="inlineStr">
        <is>
          <t>5. Residual (Остаток) risk после mitigation в среднем снижается на 30-40% → система защит работает.</t>
        </is>
      </c>
    </row>
    <row r="90" ht="22" customHeight="1" s="468">
      <c r="B90" s="836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 s="468">
      <c r="B91" s="836" t="inlineStr">
        <is>
          <t>7. Execution (Исполнение) риски покрыты процессами: daily reports, weekly reviews, monthly boards, quarterly covenant testing.</t>
        </is>
      </c>
    </row>
    <row r="94">
      <c r="B94" s="837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37" activePane="bottomLeft" state="frozen"/>
      <selection pane="bottomLeft" activeCell="A1" sqref="A1"/>
    </sheetView>
  </sheetViews>
  <sheetFormatPr baseColWidth="10" defaultColWidth="8.83203125" defaultRowHeight="15"/>
  <cols>
    <col width="37.1640625" customWidth="1" style="468" min="2" max="2"/>
    <col width="28" customWidth="1" style="468" min="3" max="3"/>
    <col width="70" customWidth="1" style="468" min="4" max="4"/>
    <col width="12" customWidth="1" style="468" min="5" max="5"/>
    <col width="30" customWidth="1" style="468" min="6" max="7"/>
    <col width="8" customWidth="1" style="468" min="8" max="15"/>
    <col width="11" customWidth="1" style="468" min="16" max="16"/>
  </cols>
  <sheetData>
    <row r="2" ht="21" customHeight="1" s="468">
      <c r="B2" s="835" t="inlineStr">
        <is>
          <t>АНАЛИЗ РЫНКА — РЫНОК КИНОИНДУСТРИИ РФ 2020–2032</t>
        </is>
      </c>
    </row>
    <row r="4">
      <c r="B4" s="767" t="inlineStr">
        <is>
          <t>Объём рынка, сегменты, прогноз, конкуренты, TAM/SAM/SOM, мотиваторы роста</t>
        </is>
      </c>
    </row>
    <row r="6" ht="16" customHeight="1" s="468">
      <c r="B6" s="557" t="inlineStr">
        <is>
          <t>I. ОБЪЁМ РЫНКА КИНОИНДУСТРИИ РФ (млрд ₽, оценка на базе АЕК/Фонд кино/НМГ)</t>
        </is>
      </c>
    </row>
    <row r="8" ht="30" customHeight="1" s="468">
      <c r="B8" s="555" t="inlineStr">
        <is>
          <t>Сегмент</t>
        </is>
      </c>
      <c r="C8" s="555" t="n">
        <v>2020</v>
      </c>
      <c r="D8" s="555" t="n">
        <v>2021</v>
      </c>
      <c r="E8" s="555" t="n">
        <v>2022</v>
      </c>
      <c r="F8" s="555" t="n">
        <v>2023</v>
      </c>
      <c r="G8" s="555" t="n">
        <v>2024</v>
      </c>
      <c r="H8" s="555" t="n">
        <v>2025</v>
      </c>
      <c r="I8" s="555" t="n">
        <v>2026</v>
      </c>
      <c r="J8" s="555" t="n">
        <v>2027</v>
      </c>
      <c r="K8" s="555" t="n">
        <v>2028</v>
      </c>
      <c r="L8" s="555" t="n">
        <v>2029</v>
      </c>
      <c r="M8" s="555" t="n">
        <v>2030</v>
      </c>
      <c r="N8" s="555" t="n">
        <v>2031</v>
      </c>
      <c r="O8" s="555" t="n">
        <v>2032</v>
      </c>
      <c r="P8" s="555" t="inlineStr">
        <is>
          <t>CAGR (среднегодовой темп роста) 26-32</t>
        </is>
      </c>
    </row>
    <row r="9" ht="65" customHeight="1" s="468">
      <c r="B9" s="600" t="inlineStr">
        <is>
          <t>Box-office (кассовые сборы)</t>
        </is>
      </c>
      <c r="C9" s="284" t="n">
        <v>13.1</v>
      </c>
      <c r="D9" s="284" t="n">
        <v>40.8</v>
      </c>
      <c r="E9" s="284" t="n">
        <v>24</v>
      </c>
      <c r="F9" s="284" t="n">
        <v>41.5</v>
      </c>
      <c r="G9" s="284" t="n">
        <v>42</v>
      </c>
      <c r="H9" s="284" t="n">
        <v>44</v>
      </c>
      <c r="I9" s="284" t="n">
        <v>48</v>
      </c>
      <c r="J9" s="284" t="n">
        <v>52</v>
      </c>
      <c r="K9" s="284" t="n">
        <v>56</v>
      </c>
      <c r="L9" s="284" t="n">
        <v>60</v>
      </c>
      <c r="M9" s="284" t="n">
        <v>64</v>
      </c>
      <c r="N9" s="284" t="n">
        <v>68</v>
      </c>
      <c r="O9" s="284" t="n">
        <v>72</v>
      </c>
      <c r="P9" s="285" t="n">
        <v>0.06991319393366302</v>
      </c>
    </row>
    <row r="10" ht="104" customHeight="1" s="468">
      <c r="B10" s="286" t="inlineStr">
        <is>
          <t>SVOD (подписной стриминг)</t>
        </is>
      </c>
      <c r="C10" s="284" t="n">
        <v>24.5</v>
      </c>
      <c r="D10" s="284" t="n">
        <v>38.3</v>
      </c>
      <c r="E10" s="284" t="n">
        <v>55</v>
      </c>
      <c r="F10" s="284" t="n">
        <v>77</v>
      </c>
      <c r="G10" s="284" t="n">
        <v>95</v>
      </c>
      <c r="H10" s="284" t="n">
        <v>110</v>
      </c>
      <c r="I10" s="284" t="n">
        <v>125</v>
      </c>
      <c r="J10" s="284" t="n">
        <v>140</v>
      </c>
      <c r="K10" s="284" t="n">
        <v>155</v>
      </c>
      <c r="L10" s="284" t="n">
        <v>168</v>
      </c>
      <c r="M10" s="284" t="n">
        <v>180</v>
      </c>
      <c r="N10" s="284" t="n">
        <v>192</v>
      </c>
      <c r="O10" s="284" t="n">
        <v>205</v>
      </c>
      <c r="P10" s="285" t="n">
        <v>0.08594369467025009</v>
      </c>
    </row>
    <row r="11" ht="91" customHeight="1" s="468">
      <c r="B11" s="287" t="inlineStr">
        <is>
          <t>AVOD (рекламный стриминг)</t>
        </is>
      </c>
      <c r="C11" s="284" t="n">
        <v>12</v>
      </c>
      <c r="D11" s="284" t="n">
        <v>17.5</v>
      </c>
      <c r="E11" s="284" t="n">
        <v>22</v>
      </c>
      <c r="F11" s="284" t="n">
        <v>29</v>
      </c>
      <c r="G11" s="284" t="n">
        <v>35</v>
      </c>
      <c r="H11" s="284" t="n">
        <v>41</v>
      </c>
      <c r="I11" s="284" t="n">
        <v>47</v>
      </c>
      <c r="J11" s="284" t="n">
        <v>53</v>
      </c>
      <c r="K11" s="284" t="n">
        <v>59</v>
      </c>
      <c r="L11" s="284" t="n">
        <v>64</v>
      </c>
      <c r="M11" s="284" t="n">
        <v>69</v>
      </c>
      <c r="N11" s="284" t="n">
        <v>74</v>
      </c>
      <c r="O11" s="284" t="n">
        <v>79</v>
      </c>
      <c r="P11" s="285" t="n">
        <v>0.09040593222027282</v>
      </c>
    </row>
    <row r="12" ht="104" customHeight="1" s="468">
      <c r="B12" s="288" t="inlineStr">
        <is>
          <t>TV (телевидение) rights</t>
        </is>
      </c>
      <c r="C12" s="284" t="n">
        <v>8.5</v>
      </c>
      <c r="D12" s="284" t="n">
        <v>9</v>
      </c>
      <c r="E12" s="284" t="n">
        <v>9.5</v>
      </c>
      <c r="F12" s="284" t="n">
        <v>10.5</v>
      </c>
      <c r="G12" s="284" t="n">
        <v>11</v>
      </c>
      <c r="H12" s="284" t="n">
        <v>11.5</v>
      </c>
      <c r="I12" s="284" t="n">
        <v>12</v>
      </c>
      <c r="J12" s="284" t="n">
        <v>12.5</v>
      </c>
      <c r="K12" s="284" t="n">
        <v>13</v>
      </c>
      <c r="L12" s="284" t="n">
        <v>13.5</v>
      </c>
      <c r="M12" s="284" t="n">
        <v>14</v>
      </c>
      <c r="N12" s="284" t="n">
        <v>14.5</v>
      </c>
      <c r="O12" s="284" t="n">
        <v>15</v>
      </c>
      <c r="P12" s="285" t="n">
        <v>0.03789081555621343</v>
      </c>
    </row>
    <row r="13" ht="104" customHeight="1" s="468">
      <c r="B13" s="289" t="inlineStr">
        <is>
          <t>Library (Библиотека)</t>
        </is>
      </c>
      <c r="C13" s="284" t="n">
        <v>2</v>
      </c>
      <c r="D13" s="284" t="n">
        <v>2.3</v>
      </c>
      <c r="E13" s="284" t="n">
        <v>2.8</v>
      </c>
      <c r="F13" s="284" t="n">
        <v>3.5</v>
      </c>
      <c r="G13" s="284" t="n">
        <v>4</v>
      </c>
      <c r="H13" s="284" t="n">
        <v>4.6</v>
      </c>
      <c r="I13" s="284" t="n">
        <v>5.3</v>
      </c>
      <c r="J13" s="284" t="n">
        <v>6</v>
      </c>
      <c r="K13" s="284" t="n">
        <v>6.8</v>
      </c>
      <c r="L13" s="284" t="n">
        <v>7.5</v>
      </c>
      <c r="M13" s="284" t="n">
        <v>8.300000000000001</v>
      </c>
      <c r="N13" s="284" t="n">
        <v>9.1</v>
      </c>
      <c r="O13" s="284" t="n">
        <v>10</v>
      </c>
      <c r="P13" s="285" t="n">
        <v>0.1116140357280022</v>
      </c>
    </row>
    <row r="14" ht="90" customHeight="1" s="468">
      <c r="B14" s="290" t="inlineStr">
        <is>
          <t>ИТОГО РЫНОК (TAM)</t>
        </is>
      </c>
      <c r="C14" s="291" t="n">
        <v>60.1</v>
      </c>
      <c r="D14" s="291" t="n">
        <v>107.9</v>
      </c>
      <c r="E14" s="291" t="n">
        <v>113.3</v>
      </c>
      <c r="F14" s="291" t="n">
        <v>161.5</v>
      </c>
      <c r="G14" s="291" t="n">
        <v>187</v>
      </c>
      <c r="H14" s="291" t="n">
        <v>211.1</v>
      </c>
      <c r="I14" s="291" t="n">
        <v>237.3</v>
      </c>
      <c r="J14" s="291" t="n">
        <v>263.5</v>
      </c>
      <c r="K14" s="291" t="n">
        <v>289.8</v>
      </c>
      <c r="L14" s="291" t="n">
        <v>313</v>
      </c>
      <c r="M14" s="291" t="n">
        <v>335.3</v>
      </c>
      <c r="N14" s="291" t="n">
        <v>357.6</v>
      </c>
      <c r="O14" s="291" t="n">
        <v>381</v>
      </c>
      <c r="P14" s="292" t="n">
        <v>0.08210949116095656</v>
      </c>
    </row>
    <row r="16" ht="16" customHeight="1" s="468">
      <c r="B16" s="557" t="inlineStr">
        <is>
          <t>II. СТРУКТУРА РЫНКА 2028 (прогноз)</t>
        </is>
      </c>
    </row>
    <row r="18" ht="30" customHeight="1" s="468">
      <c r="B18" s="555" t="inlineStr">
        <is>
          <t>Сегмент</t>
        </is>
      </c>
      <c r="C18" s="555" t="inlineStr">
        <is>
          <t>2028 млрд ₽</t>
        </is>
      </c>
      <c r="D18" s="555" t="inlineStr">
        <is>
          <t>Доля 2028</t>
        </is>
      </c>
      <c r="E18" s="555" t="inlineStr">
        <is>
          <t>CAGR (среднегодовой темп роста) 2026–2032</t>
        </is>
      </c>
      <c r="F18" s="555" t="inlineStr">
        <is>
          <t>Драйверы роста</t>
        </is>
      </c>
    </row>
    <row r="19" ht="65" customHeight="1" s="468">
      <c r="B19" s="293" t="inlineStr">
        <is>
          <t>Box-office (кассовые сборы)</t>
        </is>
      </c>
      <c r="C19" s="294" t="n">
        <v>56</v>
      </c>
      <c r="D19" s="295" t="n">
        <v>0.1932367149758454</v>
      </c>
      <c r="E19" s="295" t="n">
        <v>0.06991319393366302</v>
      </c>
      <c r="F19" s="293" t="inlineStr">
        <is>
          <t>Восстановление после 2022, IMAX/Dolby, блокбастеры</t>
        </is>
      </c>
    </row>
    <row r="20" ht="104" customHeight="1" s="468">
      <c r="B20" s="296" t="inlineStr">
        <is>
          <t>SVOD (подписной стриминг)</t>
        </is>
      </c>
      <c r="C20" s="297" t="n">
        <v>155</v>
      </c>
      <c r="D20" s="298" t="n">
        <v>0.5348516218081435</v>
      </c>
      <c r="E20" s="298" t="n">
        <v>0.08594369467025009</v>
      </c>
      <c r="F20" s="296" t="inlineStr">
        <is>
          <t>Рост подписок, оригинальный контент, LTV</t>
        </is>
      </c>
    </row>
    <row r="21" ht="91" customHeight="1" s="468">
      <c r="B21" s="299" t="inlineStr">
        <is>
          <t>AVOD (рекламный стриминг)</t>
        </is>
      </c>
      <c r="C21" s="300" t="n">
        <v>59</v>
      </c>
      <c r="D21" s="301" t="n">
        <v>0.2035886818495514</v>
      </c>
      <c r="E21" s="301" t="n">
        <v>0.09040593222027282</v>
      </c>
      <c r="F21" s="299" t="inlineStr">
        <is>
          <t>Миграция рекламных бюджетов, UGC + professional</t>
        </is>
      </c>
    </row>
    <row r="22" ht="104" customHeight="1" s="468">
      <c r="B22" s="302" t="inlineStr">
        <is>
          <t>TV (телевидение) rights</t>
        </is>
      </c>
      <c r="C22" s="303" t="n">
        <v>13</v>
      </c>
      <c r="D22" s="304" t="n">
        <v>0.04485852311939268</v>
      </c>
      <c r="E22" s="304" t="n">
        <v>0.03789081555621343</v>
      </c>
      <c r="F22" s="302" t="inlineStr">
        <is>
          <t>Стабильный спрос, госканалы + региональные</t>
        </is>
      </c>
    </row>
    <row r="23" ht="104" customHeight="1" s="468">
      <c r="B23" s="305" t="inlineStr">
        <is>
          <t>Library (Библиотека)</t>
        </is>
      </c>
      <c r="C23" s="306" t="n">
        <v>6.8</v>
      </c>
      <c r="D23" s="307" t="n">
        <v>0.02346445824706694</v>
      </c>
      <c r="E23" s="307" t="n">
        <v>0.1116140357280022</v>
      </c>
      <c r="F23" s="305" t="inlineStr">
        <is>
          <t>Монетизация библиотеки, международная копродукция</t>
        </is>
      </c>
    </row>
    <row r="24" ht="26" customHeight="1" s="468">
      <c r="B24" s="600" t="inlineStr">
        <is>
          <t>ИТОГО</t>
        </is>
      </c>
      <c r="C24" s="291" t="n">
        <v>289.8</v>
      </c>
      <c r="D24" s="292" t="n">
        <v>1</v>
      </c>
      <c r="E24" s="292" t="n">
        <v>0.08210949116095656</v>
      </c>
      <c r="F24" s="293" t="n"/>
    </row>
    <row r="26" ht="16" customHeight="1" s="468">
      <c r="B26" s="557" t="inlineStr">
        <is>
          <t>III. TAM / SAM / SOM для ТрендСтудио</t>
        </is>
      </c>
    </row>
    <row r="28" ht="30" customHeight="1" s="468">
      <c r="B28" s="555" t="inlineStr">
        <is>
          <t>Уровень</t>
        </is>
      </c>
      <c r="C28" s="555" t="inlineStr">
        <is>
          <t>2028 млрд ₽</t>
        </is>
      </c>
      <c r="D28" s="555" t="inlineStr">
        <is>
          <t>Доля от TAM</t>
        </is>
      </c>
      <c r="E28" s="555" t="inlineStr">
        <is>
          <t>Описание</t>
        </is>
      </c>
    </row>
    <row r="29" ht="78" customHeight="1" s="468">
      <c r="B29" s="293" t="inlineStr">
        <is>
          <t>TAM (Total (Итого) Addressable Market)</t>
        </is>
      </c>
      <c r="C29" s="308" t="n">
        <v>289.8</v>
      </c>
      <c r="D29" s="309" t="n">
        <v>1</v>
      </c>
      <c r="E29" s="293" t="inlineStr">
        <is>
          <t>Весь рынок кино+OTT (онлайн-платформа)+TV+library РФ 2028</t>
        </is>
      </c>
    </row>
    <row r="30" ht="91" customHeight="1" s="468">
      <c r="B30" s="296" t="inlineStr">
        <is>
          <t>SAM (Достижимый целевой рынок)</t>
        </is>
      </c>
      <c r="C30" s="310" t="n">
        <v>118</v>
      </c>
      <c r="D30" s="311" t="n">
        <v>0.4071773636991028</v>
      </c>
      <c r="E30" s="296" t="inlineStr">
        <is>
          <t>Box-office (кассовые сборы) + 40% SVOD (подписной стриминг)</t>
        </is>
      </c>
    </row>
    <row r="31" ht="91" customHeight="1" s="468">
      <c r="B31" s="299" t="inlineStr">
        <is>
          <t>SOM (Реально достижимый рынок)</t>
        </is>
      </c>
      <c r="C31" s="312" t="n">
        <v>4.545</v>
      </c>
      <c r="D31" s="313" t="n">
        <v>0.01568322981366459</v>
      </c>
      <c r="E31" s="299" t="inlineStr">
        <is>
          <t>Фактическая 3Y доля ТрендСтудио (2026-2028)</t>
        </is>
      </c>
    </row>
    <row r="34" ht="16" customHeight="1" s="468">
      <c r="B34" s="557" t="inlineStr">
        <is>
          <t>IV. КОНКУРЕНТНЫЙ ЛАНДШАФТ (7 игроков)</t>
        </is>
      </c>
    </row>
    <row r="36" ht="30" customHeight="1" s="468">
      <c r="B36" s="555" t="inlineStr">
        <is>
          <t>Игрок</t>
        </is>
      </c>
      <c r="C36" s="555" t="inlineStr">
        <is>
          <t>Тип</t>
        </is>
      </c>
      <c r="D36" s="555" t="inlineStr">
        <is>
          <t>Revenue (Выручка) 2024 (млрд ₽)</t>
        </is>
      </c>
      <c r="E36" s="555" t="inlineStr">
        <is>
          <t>Market share (доля)</t>
        </is>
      </c>
      <c r="F36" s="555" t="inlineStr">
        <is>
          <t>Сильные стороны</t>
        </is>
      </c>
      <c r="G36" s="555" t="inlineStr">
        <is>
          <t>Слабые стороны</t>
        </is>
      </c>
    </row>
    <row r="37" ht="38" customHeight="1" s="468">
      <c r="B37" s="314" t="inlineStr">
        <is>
          <t>Kinopoisk</t>
        </is>
      </c>
      <c r="C37" s="595" t="inlineStr">
        <is>
          <t>SVOD (подписной стриминг) + кинопроизводство</t>
        </is>
      </c>
      <c r="D37" s="315" t="n">
        <v>35</v>
      </c>
      <c r="E37" s="610" t="inlineStr">
        <is>
          <t>22.1%</t>
        </is>
      </c>
      <c r="F37" s="595" t="inlineStr">
        <is>
          <t>Мощный бренд, подписочная база 15М, AI-рекомендации</t>
        </is>
      </c>
      <c r="G37" s="595" t="inlineStr">
        <is>
          <t>Зависимость от Яндекс экосистемы, лимит контента</t>
        </is>
      </c>
    </row>
    <row r="38" ht="38" customHeight="1" s="468">
      <c r="B38" s="314" t="inlineStr">
        <is>
          <t>Okko (Rambler → Сбер)</t>
        </is>
      </c>
      <c r="C38" s="595" t="inlineStr">
        <is>
          <t>SVOD (подписной стриминг) + копродукция</t>
        </is>
      </c>
      <c r="D38" s="315" t="n">
        <v>22</v>
      </c>
      <c r="E38" s="610" t="inlineStr">
        <is>
          <t>13.9%</t>
        </is>
      </c>
      <c r="F38" s="595" t="inlineStr">
        <is>
          <t>Sber экосистема, эксклюзивы, HBO/Disney библиотека</t>
        </is>
      </c>
      <c r="G38" s="595" t="inlineStr">
        <is>
          <t>Высокие затраты на контент, churn rate</t>
        </is>
      </c>
    </row>
    <row r="39" ht="38" customHeight="1" s="468">
      <c r="B39" s="314" t="inlineStr">
        <is>
          <t>ivi</t>
        </is>
      </c>
      <c r="C39" s="595" t="inlineStr">
        <is>
          <t>SVOD (подписной стриминг) + AVOD (рекламный стриминг)</t>
        </is>
      </c>
      <c r="D39" s="315" t="n">
        <v>18.5</v>
      </c>
      <c r="E39" s="610" t="inlineStr">
        <is>
          <t>11.7%</t>
        </is>
      </c>
      <c r="F39" s="595" t="inlineStr">
        <is>
          <t>Большая библиотека, AVOD (рекламный стриминг)-модель, регионы</t>
        </is>
      </c>
      <c r="G39" s="595" t="inlineStr">
        <is>
          <t>Слабый оригинальный контент</t>
        </is>
      </c>
    </row>
    <row r="40" ht="38" customHeight="1" s="468">
      <c r="B40" s="314" t="inlineStr">
        <is>
          <t>START (СТАРТ)</t>
        </is>
      </c>
      <c r="C40" s="595" t="inlineStr">
        <is>
          <t>SVOD (подписной стриминг) + производство</t>
        </is>
      </c>
      <c r="D40" s="315" t="n">
        <v>8.5</v>
      </c>
      <c r="E40" s="610" t="inlineStr">
        <is>
          <t>5.4%</t>
        </is>
      </c>
      <c r="F40" s="595" t="inlineStr">
        <is>
          <t>Сильный оригинальный контент, сериалы-хиты</t>
        </is>
      </c>
      <c r="G40" s="595" t="inlineStr">
        <is>
          <t>Нишевый охват, ограниченный P&amp;A (тиражирование и реклама)</t>
        </is>
      </c>
    </row>
    <row r="41" ht="38" customHeight="1" s="468">
      <c r="B41" s="314" t="inlineStr">
        <is>
          <t>Premier (Премьера)</t>
        </is>
      </c>
      <c r="C41" s="595" t="inlineStr">
        <is>
          <t>SVOD (подписной стриминг) + производство</t>
        </is>
      </c>
      <c r="D41" s="315" t="n">
        <v>7</v>
      </c>
      <c r="E41" s="610" t="inlineStr">
        <is>
          <t>4.4%</t>
        </is>
      </c>
      <c r="F41" s="595" t="inlineStr">
        <is>
          <t>Контент ТНТ/ТВ-3, молодёжная аудитория</t>
        </is>
      </c>
      <c r="G41" s="595" t="inlineStr">
        <is>
          <t>Зависимость от материнской группы</t>
        </is>
      </c>
    </row>
    <row r="42" ht="38" customHeight="1" s="468">
      <c r="B42" s="314" t="inlineStr">
        <is>
          <t>Мосфильм</t>
        </is>
      </c>
      <c r="C42" s="595" t="inlineStr">
        <is>
          <t>Производство + library</t>
        </is>
      </c>
      <c r="D42" s="315" t="n">
        <v>5.5</v>
      </c>
      <c r="E42" s="610" t="inlineStr">
        <is>
          <t>3.5%</t>
        </is>
      </c>
      <c r="F42" s="595" t="inlineStr">
        <is>
          <t>Госресурс, историческая библиотека, студии</t>
        </is>
      </c>
      <c r="G42" s="595" t="inlineStr">
        <is>
          <t>Устаревшие процессы, slow-go</t>
        </is>
      </c>
    </row>
    <row r="43" ht="38" customHeight="1" s="468">
      <c r="B43" s="287" t="inlineStr">
        <is>
          <t>ТрендСтудио (наша)</t>
        </is>
      </c>
      <c r="C43" s="299" t="inlineStr">
        <is>
          <t>Производство + JV (совместное предприятие)</t>
        </is>
      </c>
      <c r="D43" s="316" t="n">
        <v>1.5</v>
      </c>
      <c r="E43" s="317" t="inlineStr">
        <is>
          <t>0.9%</t>
        </is>
      </c>
      <c r="F43" s="299" t="inlineStr">
        <is>
          <t>Pre-IPO (первичное размещение) структура, slate 12 фильмов, Waterfall (Каскад)</t>
        </is>
      </c>
      <c r="G43" s="299" t="inlineStr">
        <is>
          <t>Pre-revenue, execution risk, первый институциональный раунд</t>
        </is>
      </c>
    </row>
    <row r="46" ht="16" customHeight="1" s="468">
      <c r="B46" s="557" t="inlineStr">
        <is>
          <t>V. КЛЮЧЕВЫЕ ДРАЙВЕРЫ РОСТА 2026–2032</t>
        </is>
      </c>
    </row>
    <row r="48">
      <c r="B48" s="555" t="inlineStr">
        <is>
          <t>#</t>
        </is>
      </c>
      <c r="C48" s="555" t="inlineStr">
        <is>
          <t>Драйвер</t>
        </is>
      </c>
      <c r="D48" s="555" t="inlineStr">
        <is>
          <t>Описание / эффект</t>
        </is>
      </c>
    </row>
    <row r="49">
      <c r="B49" s="318" t="n">
        <v>1</v>
      </c>
      <c r="C49" s="314" t="inlineStr">
        <is>
          <t>Импортозамещение контента</t>
        </is>
      </c>
      <c r="D49" s="595" t="inlineStr">
        <is>
          <t>Уход голливудских мейджоров → окно для российских продюсеров 400+ млрд ₽</t>
        </is>
      </c>
    </row>
    <row r="50">
      <c r="B50" s="318" t="n">
        <v>2</v>
      </c>
      <c r="C50" s="314" t="inlineStr">
        <is>
          <t>Госполитика и ФКП</t>
        </is>
      </c>
      <c r="D50" s="595" t="inlineStr">
        <is>
          <t>Минкультуры + Фонд кино: субсидии ~15 млрд ₽/год, НДС 0%, гранты</t>
        </is>
      </c>
    </row>
    <row r="51">
      <c r="B51" s="318" t="n">
        <v>3</v>
      </c>
      <c r="C51" s="314" t="inlineStr">
        <is>
          <t>Premium (Премия)-форматы</t>
        </is>
      </c>
      <c r="D51" s="595" t="inlineStr">
        <is>
          <t>IMAX/Dolby Atmos/Laser — рост ARPU в 1.8-2.5×</t>
        </is>
      </c>
    </row>
    <row r="52">
      <c r="B52" s="318" t="n">
        <v>4</v>
      </c>
      <c r="C52" s="314" t="inlineStr">
        <is>
          <t>Рост SVOD (подписной стриминг)-подписок</t>
        </is>
      </c>
      <c r="D52" s="595" t="inlineStr">
        <is>
          <t>Подписочная база: 25М (2024) → 45М (2032), CAGR (среднегодовой темп роста) 7.5%</t>
        </is>
      </c>
    </row>
    <row r="53">
      <c r="B53" s="318" t="n">
        <v>5</v>
      </c>
      <c r="C53" s="314" t="inlineStr">
        <is>
          <t>Международная копродукция</t>
        </is>
      </c>
      <c r="D53" s="595" t="inlineStr">
        <is>
          <t>Партнёрство СНГ/БРИКС/ОАЭ/Индия — новые окна монетизации</t>
        </is>
      </c>
    </row>
    <row r="54">
      <c r="B54" s="318" t="n">
        <v>6</v>
      </c>
      <c r="C54" s="314" t="inlineStr">
        <is>
          <t>Франшизы и спин-оффы</t>
        </is>
      </c>
      <c r="D54" s="595" t="inlineStr">
        <is>
          <t>Развитие IP, мерч, theme park, education — рост library×2.5</t>
        </is>
      </c>
    </row>
    <row r="55">
      <c r="B55" s="318" t="n">
        <v>7</v>
      </c>
      <c r="C55" s="314" t="inlineStr">
        <is>
          <t>Игровой кросс-медиа</t>
        </is>
      </c>
      <c r="D55" s="595" t="inlineStr">
        <is>
          <t>Синергия с gaming (VK Games, Lesta), кроссворки</t>
        </is>
      </c>
    </row>
    <row r="58" ht="16" customHeight="1" s="468">
      <c r="B58" s="319" t="inlineStr">
        <is>
          <t>VI. ИСТОЧНИКИ</t>
        </is>
      </c>
    </row>
    <row r="60">
      <c r="B60" s="595" t="inlineStr">
        <is>
          <t>• Ассоциация Европейского Кинобизнеса (АЕК), годовые отчёты 2020-2024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73" t="n"/>
      <c r="L60" s="466" t="n"/>
    </row>
    <row r="61">
      <c r="B61" s="595" t="inlineStr">
        <is>
          <t>• Фонд кино / Минкультуры РФ — статистика проката и господдержки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73" t="n"/>
      <c r="L61" s="466" t="n"/>
    </row>
    <row r="62">
      <c r="B62" s="595" t="inlineStr">
        <is>
          <t>• НМГ Research — аналитика SVOD (подписной стриминг)/AVOD (рекламный стриминг) рынка РФ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73" t="n"/>
      <c r="L62" s="466" t="n"/>
    </row>
    <row r="63">
      <c r="B63" s="595" t="inlineStr">
        <is>
          <t>• ТАСС, Коммерсант, Ведомости — публичные данные по сделкам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73" t="n"/>
      <c r="L63" s="466" t="n"/>
    </row>
    <row r="64">
      <c r="B64" s="595" t="inlineStr">
        <is>
          <t>• Публичные отчёты Kinopoisk, Okko, ivi, START, Premier (Премьера)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73" t="n"/>
      <c r="L64" s="466" t="n"/>
    </row>
    <row r="65">
      <c r="B65" s="595" t="inlineStr">
        <is>
          <t>• Официальные данные Росстат и ЦБ РФ (demografic, inflation)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73" t="n"/>
      <c r="L65" s="466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30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68" min="2" max="2"/>
    <col width="24" customWidth="1" style="468" min="3" max="3"/>
    <col width="16" customWidth="1" style="468" min="4" max="5"/>
    <col width="14" customWidth="1" style="468" min="6" max="6"/>
    <col width="45" customWidth="1" style="468" min="7" max="7"/>
    <col width="14" customWidth="1" style="468" min="8" max="8"/>
    <col width="12" customWidth="1" style="468" min="9" max="9"/>
    <col width="30" customWidth="1" style="468" min="10" max="10"/>
  </cols>
  <sheetData>
    <row r="2" ht="21" customHeight="1" s="468">
      <c r="B2" s="835" t="inlineStr">
        <is>
          <t>ОТРАСЛЕВЫЕ БЕНЧМАРКИ (БЕНЧМАРКИ) — РФ vs ГЛОБАЛЬНЫЙ (ГЛОБАЛЬНЫЙ) vs ТрендСтудио</t>
        </is>
      </c>
    </row>
    <row r="4">
      <c r="B4" s="767" t="inlineStr">
        <is>
          <t>KPI (ключевые показатели) по 15 показателям: production, distribution (распределение), финансы, exit</t>
        </is>
      </c>
    </row>
    <row r="6" ht="16" customHeight="1" s="468">
      <c r="B6" s="557" t="inlineStr">
        <is>
          <t>I. ОПЕРАЦИОННЫЕ KPI (ключевые показатели)</t>
        </is>
      </c>
    </row>
    <row r="8">
      <c r="B8" s="555" t="inlineStr">
        <is>
          <t>#</t>
        </is>
      </c>
      <c r="C8" s="555" t="inlineStr">
        <is>
          <t>KPI (ключевые показатели)</t>
        </is>
      </c>
      <c r="D8" s="555" t="inlineStr">
        <is>
          <t>Единица</t>
        </is>
      </c>
      <c r="E8" s="555" t="inlineStr">
        <is>
          <t>Global (Голливуд)</t>
        </is>
      </c>
      <c r="F8" s="555" t="inlineStr">
        <is>
          <t>Global (Европа)</t>
        </is>
      </c>
      <c r="G8" s="555" t="inlineStr">
        <is>
          <t>РФ Median</t>
        </is>
      </c>
      <c r="H8" s="555" t="inlineStr">
        <is>
          <t>ТрендСтудио</t>
        </is>
      </c>
      <c r="I8" s="555" t="inlineStr">
        <is>
          <t>Delta vs РФ</t>
        </is>
      </c>
      <c r="J8" s="555" t="inlineStr">
        <is>
          <t>Комментарий</t>
        </is>
      </c>
    </row>
    <row r="9" ht="28" customHeight="1" s="468">
      <c r="B9" s="318" t="n">
        <v>1</v>
      </c>
      <c r="C9" s="314" t="inlineStr">
        <is>
          <t>Avg production budget (бюджет)</t>
        </is>
      </c>
      <c r="D9" s="610" t="inlineStr">
        <is>
          <t>млн ₽</t>
        </is>
      </c>
      <c r="E9" s="610" t="inlineStr">
        <is>
          <t>12 000</t>
        </is>
      </c>
      <c r="F9" s="610" t="inlineStr">
        <is>
          <t>3 200</t>
        </is>
      </c>
      <c r="G9" s="320" t="inlineStr">
        <is>
          <t>180</t>
        </is>
      </c>
      <c r="H9" s="321" t="inlineStr">
        <is>
          <t>154</t>
        </is>
      </c>
      <c r="I9" s="610" t="inlineStr">
        <is>
          <t>—</t>
        </is>
      </c>
      <c r="J9" s="322" t="inlineStr">
        <is>
          <t>Мягкий mid-budget (бюджет) подход</t>
        </is>
      </c>
    </row>
    <row r="10" ht="28" customHeight="1" s="468">
      <c r="B10" s="318" t="n">
        <v>2</v>
      </c>
      <c r="C10" s="314" t="inlineStr">
        <is>
          <t>Количество фильмов в портфеле (Количество фильмов в портфеле)</t>
        </is>
      </c>
      <c r="D10" s="610" t="inlineStr">
        <is>
          <t>шт</t>
        </is>
      </c>
      <c r="E10" s="610" t="inlineStr">
        <is>
          <t>15-25</t>
        </is>
      </c>
      <c r="F10" s="610" t="inlineStr">
        <is>
          <t>8-12</t>
        </is>
      </c>
      <c r="G10" s="320" t="inlineStr">
        <is>
          <t>3-6</t>
        </is>
      </c>
      <c r="H10" s="321" t="inlineStr">
        <is>
          <t>12</t>
        </is>
      </c>
      <c r="I10" s="610" t="inlineStr">
        <is>
          <t>+100% vs median (медиана)</t>
        </is>
      </c>
      <c r="J10" s="322" t="inlineStr">
        <is>
          <t>Портфельный подход 12 фильмов</t>
        </is>
      </c>
    </row>
    <row r="11" ht="28" customHeight="1" s="468">
      <c r="B11" s="318" t="n">
        <v>3</v>
      </c>
      <c r="C11" s="314" t="inlineStr">
        <is>
          <t>Hit rate (доля прибыльных фильмов)</t>
        </is>
      </c>
      <c r="D11" s="610" t="inlineStr">
        <is>
          <t>%</t>
        </is>
      </c>
      <c r="E11" s="610" t="inlineStr">
        <is>
          <t>30-40%</t>
        </is>
      </c>
      <c r="F11" s="610" t="inlineStr">
        <is>
          <t>25-35%</t>
        </is>
      </c>
      <c r="G11" s="320" t="inlineStr">
        <is>
          <t>20-30%</t>
        </is>
      </c>
      <c r="H11" s="321" t="inlineStr">
        <is>
          <t>70%</t>
        </is>
      </c>
      <c r="I11" s="610" t="inlineStr">
        <is>
          <t>+40 пп vs РФ</t>
        </is>
      </c>
      <c r="J11" s="322" t="inlineStr">
        <is>
          <t>Консервативная оценка портфеля</t>
        </is>
      </c>
    </row>
    <row r="12" ht="28" customHeight="1" s="468">
      <c r="B12" s="318" t="n">
        <v>4</v>
      </c>
      <c r="C12" s="314" t="inlineStr">
        <is>
          <t>Box-office (кассовые сборы) / budget (бюджет) mult</t>
        </is>
      </c>
      <c r="D12" s="610" t="inlineStr">
        <is>
          <t>×</t>
        </is>
      </c>
      <c r="E12" s="610" t="inlineStr">
        <is>
          <t>2.5-3.5</t>
        </is>
      </c>
      <c r="F12" s="610" t="inlineStr">
        <is>
          <t>1.8-2.5</t>
        </is>
      </c>
      <c r="G12" s="320" t="inlineStr">
        <is>
          <t>1.5-2.2</t>
        </is>
      </c>
      <c r="H12" s="321" t="inlineStr">
        <is>
          <t>3.02×</t>
        </is>
      </c>
      <c r="I12" s="610" t="inlineStr">
        <is>
          <t>+37% vs РФ</t>
        </is>
      </c>
      <c r="J12" s="322" t="inlineStr">
        <is>
          <t>Mid на уровне топ-портфелей</t>
        </is>
      </c>
    </row>
    <row r="13" ht="28" customHeight="1" s="468">
      <c r="B13" s="318" t="n">
        <v>5</v>
      </c>
      <c r="C13" s="314" t="inlineStr">
        <is>
          <t>P&amp;A ratio (Коэффициент P&amp;A) to production</t>
        </is>
      </c>
      <c r="D13" s="610" t="inlineStr">
        <is>
          <t>%</t>
        </is>
      </c>
      <c r="E13" s="610" t="inlineStr">
        <is>
          <t>50-100%</t>
        </is>
      </c>
      <c r="F13" s="610" t="inlineStr">
        <is>
          <t>25-50%</t>
        </is>
      </c>
      <c r="G13" s="320" t="inlineStr">
        <is>
          <t>12-18%</t>
        </is>
      </c>
      <c r="H13" s="321" t="inlineStr">
        <is>
          <t>15%</t>
        </is>
      </c>
      <c r="I13" s="610" t="inlineStr">
        <is>
          <t>0 пп</t>
        </is>
      </c>
      <c r="J13" s="322" t="inlineStr">
        <is>
          <t>Медианный уровень РФ</t>
        </is>
      </c>
    </row>
    <row r="14" ht="28" customHeight="1" s="468">
      <c r="B14" s="318" t="n">
        <v>6</v>
      </c>
      <c r="C14" s="314" t="inlineStr">
        <is>
          <t>Revenue (Выручка) from box-office (кассовые сборы)</t>
        </is>
      </c>
      <c r="D14" s="610" t="inlineStr">
        <is>
          <t>%</t>
        </is>
      </c>
      <c r="E14" s="610" t="inlineStr">
        <is>
          <t>35-45%</t>
        </is>
      </c>
      <c r="F14" s="610" t="inlineStr">
        <is>
          <t>40-55%</t>
        </is>
      </c>
      <c r="G14" s="320" t="inlineStr">
        <is>
          <t>55-70%</t>
        </is>
      </c>
      <c r="H14" s="321" t="inlineStr">
        <is>
          <t>62%</t>
        </is>
      </c>
      <c r="I14" s="610" t="inlineStr">
        <is>
          <t>+5 пп</t>
        </is>
      </c>
      <c r="J14" s="322" t="inlineStr">
        <is>
          <t>Выше среднего по РФ</t>
        </is>
      </c>
    </row>
    <row r="15" ht="28" customHeight="1" s="468">
      <c r="B15" s="318" t="n">
        <v>7</v>
      </c>
      <c r="C15" s="314" t="inlineStr">
        <is>
          <t>Revenue (Выручка) from SVOD (подписной стриминг)/OTT (онлайн-платформа)</t>
        </is>
      </c>
      <c r="D15" s="610" t="inlineStr">
        <is>
          <t>%</t>
        </is>
      </c>
      <c r="E15" s="610" t="inlineStr">
        <is>
          <t>25-35%</t>
        </is>
      </c>
      <c r="F15" s="610" t="inlineStr">
        <is>
          <t>20-30%</t>
        </is>
      </c>
      <c r="G15" s="320" t="inlineStr">
        <is>
          <t>18-25%</t>
        </is>
      </c>
      <c r="H15" s="321" t="inlineStr">
        <is>
          <t>22%</t>
        </is>
      </c>
      <c r="I15" s="610" t="inlineStr">
        <is>
          <t>0 пп</t>
        </is>
      </c>
      <c r="J15" s="322" t="inlineStr">
        <is>
          <t>В пределах отрасли</t>
        </is>
      </c>
    </row>
    <row r="16" ht="28" customHeight="1" s="468">
      <c r="B16" s="318" t="n">
        <v>8</v>
      </c>
      <c r="C16" s="314" t="inlineStr">
        <is>
          <t>Revenue (Выручка) from library/tail (хвостовой период)</t>
        </is>
      </c>
      <c r="D16" s="610" t="inlineStr">
        <is>
          <t>%</t>
        </is>
      </c>
      <c r="E16" s="610" t="inlineStr">
        <is>
          <t>15-25%</t>
        </is>
      </c>
      <c r="F16" s="610" t="inlineStr">
        <is>
          <t>15-20%</t>
        </is>
      </c>
      <c r="G16" s="320" t="inlineStr">
        <is>
          <t>10-15%</t>
        </is>
      </c>
      <c r="H16" s="321" t="inlineStr">
        <is>
          <t>16%</t>
        </is>
      </c>
      <c r="I16" s="610" t="inlineStr">
        <is>
          <t>+3 пп</t>
        </is>
      </c>
      <c r="J16" s="322" t="inlineStr">
        <is>
          <t>Растущий компонент</t>
        </is>
      </c>
    </row>
    <row r="19" ht="16" customHeight="1" s="468">
      <c r="B19" s="557" t="inlineStr">
        <is>
          <t>II. ФИНАНСОВЫЕ KPI (ключевые показатели)</t>
        </is>
      </c>
    </row>
    <row r="21">
      <c r="B21" s="555" t="inlineStr">
        <is>
          <t>#</t>
        </is>
      </c>
      <c r="C21" s="555" t="inlineStr">
        <is>
          <t>KPI (ключевые показатели)</t>
        </is>
      </c>
      <c r="D21" s="555" t="inlineStr">
        <is>
          <t>Единица</t>
        </is>
      </c>
      <c r="E21" s="555" t="inlineStr">
        <is>
          <t>Global (Голливуд)</t>
        </is>
      </c>
      <c r="F21" s="555" t="inlineStr">
        <is>
          <t>Global (Европа)</t>
        </is>
      </c>
      <c r="G21" s="555" t="inlineStr">
        <is>
          <t>РФ Median</t>
        </is>
      </c>
      <c r="H21" s="555" t="inlineStr">
        <is>
          <t>ТрендСтудио</t>
        </is>
      </c>
      <c r="I21" s="555" t="inlineStr">
        <is>
          <t>Delta vs РФ</t>
        </is>
      </c>
      <c r="J21" s="555" t="inlineStr">
        <is>
          <t>Комментарий</t>
        </is>
      </c>
    </row>
    <row r="22" ht="28" customHeight="1" s="468">
      <c r="B22" s="318" t="n">
        <v>1</v>
      </c>
      <c r="C22" s="314" t="inlineStr">
        <is>
          <t>EBITDA (прибыль до вычетов) margin (маржа)</t>
        </is>
      </c>
      <c r="D22" s="610" t="inlineStr">
        <is>
          <t>%</t>
        </is>
      </c>
      <c r="E22" s="610" t="inlineStr">
        <is>
          <t>25-35%</t>
        </is>
      </c>
      <c r="F22" s="610" t="inlineStr">
        <is>
          <t>20-28%</t>
        </is>
      </c>
      <c r="G22" s="320" t="inlineStr">
        <is>
          <t>15-25%</t>
        </is>
      </c>
      <c r="H22" s="321" t="inlineStr">
        <is>
          <t>47.3%</t>
        </is>
      </c>
      <c r="I22" s="610" t="inlineStr">
        <is>
          <t>+22 пп</t>
        </is>
      </c>
      <c r="J22" s="322" t="inlineStr">
        <is>
          <t>Выше отрасли благодаря JV (совместное предприятие)-структуре</t>
        </is>
      </c>
    </row>
    <row r="23" ht="28" customHeight="1" s="468">
      <c r="B23" s="318" t="n">
        <v>2</v>
      </c>
      <c r="C23" s="314" t="inlineStr">
        <is>
          <t>Net Profit (Чистая прибыль) margin (маржа)</t>
        </is>
      </c>
      <c r="D23" s="610" t="inlineStr">
        <is>
          <t>%</t>
        </is>
      </c>
      <c r="E23" s="610" t="inlineStr">
        <is>
          <t>10-18%</t>
        </is>
      </c>
      <c r="F23" s="610" t="inlineStr">
        <is>
          <t>8-15%</t>
        </is>
      </c>
      <c r="G23" s="320" t="inlineStr">
        <is>
          <t>7-12%</t>
        </is>
      </c>
      <c r="H23" s="321" t="inlineStr">
        <is>
          <t>37.2%</t>
        </is>
      </c>
      <c r="I23" s="610" t="inlineStr">
        <is>
          <t>+27 пп</t>
        </is>
      </c>
      <c r="J23" s="322" t="inlineStr">
        <is>
          <t>Агрессивно-высокий уровень</t>
        </is>
      </c>
    </row>
    <row r="24" ht="28" customHeight="1" s="468">
      <c r="B24" s="318" t="n">
        <v>3</v>
      </c>
      <c r="C24" s="314" t="inlineStr">
        <is>
          <t>Operating margin (маржа)</t>
        </is>
      </c>
      <c r="D24" s="610" t="inlineStr">
        <is>
          <t>%</t>
        </is>
      </c>
      <c r="E24" s="610" t="inlineStr">
        <is>
          <t>18-25%</t>
        </is>
      </c>
      <c r="F24" s="610" t="inlineStr">
        <is>
          <t>15-22%</t>
        </is>
      </c>
      <c r="G24" s="320" t="inlineStr">
        <is>
          <t>12-18%</t>
        </is>
      </c>
      <c r="H24" s="321" t="inlineStr">
        <is>
          <t>39%</t>
        </is>
      </c>
      <c r="I24" s="610" t="inlineStr">
        <is>
          <t>+24 пп</t>
        </is>
      </c>
      <c r="J24" s="322" t="inlineStr">
        <is>
          <t>Лёгкая операционная структура</t>
        </is>
      </c>
    </row>
    <row r="25" ht="28" customHeight="1" s="468">
      <c r="B25" s="318" t="n">
        <v>4</v>
      </c>
      <c r="C25" s="314" t="inlineStr">
        <is>
          <t>COGS (себестоимость) / Revenue (Выручка)</t>
        </is>
      </c>
      <c r="D25" s="610" t="inlineStr">
        <is>
          <t>%</t>
        </is>
      </c>
      <c r="E25" s="610" t="inlineStr">
        <is>
          <t>55-65%</t>
        </is>
      </c>
      <c r="F25" s="610" t="inlineStr">
        <is>
          <t>60-70%</t>
        </is>
      </c>
      <c r="G25" s="320" t="inlineStr">
        <is>
          <t>65-75%</t>
        </is>
      </c>
      <c r="H25" s="321" t="inlineStr">
        <is>
          <t>46.8%</t>
        </is>
      </c>
      <c r="I25" s="610" t="inlineStr">
        <is>
          <t>−23 пп</t>
        </is>
      </c>
      <c r="J25" s="322" t="inlineStr">
        <is>
          <t>Высокая эффективность COGS (себестоимость)</t>
        </is>
      </c>
    </row>
    <row r="26" ht="28" customHeight="1" s="468">
      <c r="B26" s="318" t="n">
        <v>5</v>
      </c>
      <c r="C26" s="314" t="inlineStr">
        <is>
          <t>OpEx / Revenue (Выручка)</t>
        </is>
      </c>
      <c r="D26" s="610" t="inlineStr">
        <is>
          <t>%</t>
        </is>
      </c>
      <c r="E26" s="610" t="inlineStr">
        <is>
          <t>8-12%</t>
        </is>
      </c>
      <c r="F26" s="610" t="inlineStr">
        <is>
          <t>10-15%</t>
        </is>
      </c>
      <c r="G26" s="320" t="inlineStr">
        <is>
          <t>12-18%</t>
        </is>
      </c>
      <c r="H26" s="321" t="inlineStr">
        <is>
          <t>5.8%</t>
        </is>
      </c>
      <c r="I26" s="610" t="inlineStr">
        <is>
          <t>−9 пп</t>
        </is>
      </c>
      <c r="J26" s="322" t="inlineStr">
        <is>
          <t>Lean организация</t>
        </is>
      </c>
    </row>
    <row r="27" ht="28" customHeight="1" s="468">
      <c r="B27" s="318" t="n">
        <v>6</v>
      </c>
      <c r="C27" s="314" t="inlineStr">
        <is>
          <t>D&amp;A (амортизация) / Revenue (Выручка)</t>
        </is>
      </c>
      <c r="D27" s="610" t="inlineStr">
        <is>
          <t>%</t>
        </is>
      </c>
      <c r="E27" s="610" t="inlineStr">
        <is>
          <t>3-5%</t>
        </is>
      </c>
      <c r="F27" s="610" t="inlineStr">
        <is>
          <t>3-5%</t>
        </is>
      </c>
      <c r="G27" s="320" t="inlineStr">
        <is>
          <t>3-6%</t>
        </is>
      </c>
      <c r="H27" s="321" t="inlineStr">
        <is>
          <t>0.2%</t>
        </is>
      </c>
      <c r="I27" s="610" t="inlineStr">
        <is>
          <t>−5 пп</t>
        </is>
      </c>
      <c r="J27" s="322" t="inlineStr">
        <is>
          <t>Производственный режим, D&amp;A (амортизация) минимален</t>
        </is>
      </c>
    </row>
    <row r="28" ht="28" customHeight="1" s="468">
      <c r="B28" s="318" t="n">
        <v>7</v>
      </c>
      <c r="C28" s="314" t="inlineStr">
        <is>
          <t>Cash (Денежные средства) conversion ratio</t>
        </is>
      </c>
      <c r="D28" s="610" t="inlineStr">
        <is>
          <t>%</t>
        </is>
      </c>
      <c r="E28" s="610" t="inlineStr">
        <is>
          <t>85-95%</t>
        </is>
      </c>
      <c r="F28" s="610" t="inlineStr">
        <is>
          <t>80-90%</t>
        </is>
      </c>
      <c r="G28" s="320" t="inlineStr">
        <is>
          <t>70-85%</t>
        </is>
      </c>
      <c r="H28" s="321" t="inlineStr">
        <is>
          <t>78%</t>
        </is>
      </c>
      <c r="I28" s="610" t="inlineStr">
        <is>
          <t>+1 пп</t>
        </is>
      </c>
      <c r="J28" s="322" t="inlineStr">
        <is>
          <t>Зависит от графика P&amp;A (тиражирование и реклама)</t>
        </is>
      </c>
    </row>
    <row r="31" ht="16" customHeight="1" s="468">
      <c r="B31" s="557" t="inlineStr">
        <is>
          <t>III. VALUATION (ОЦЕНКА) MULTIPLES</t>
        </is>
      </c>
    </row>
    <row r="33">
      <c r="B33" s="555" t="inlineStr">
        <is>
          <t>#</t>
        </is>
      </c>
      <c r="C33" s="555" t="inlineStr">
        <is>
          <t>Мультипл</t>
        </is>
      </c>
      <c r="D33" s="555" t="inlineStr">
        <is>
          <t>Global (Голливуд)</t>
        </is>
      </c>
      <c r="E33" s="555" t="inlineStr">
        <is>
          <t>Global (Европа)</t>
        </is>
      </c>
      <c r="F33" s="555" t="inlineStr">
        <is>
          <t>РФ Median</t>
        </is>
      </c>
      <c r="G33" s="555" t="inlineStr">
        <is>
          <t>Применимость для ТрендСтудио</t>
        </is>
      </c>
    </row>
    <row r="34" ht="28" customHeight="1" s="468">
      <c r="B34" s="318" t="n">
        <v>1</v>
      </c>
      <c r="C34" s="314" t="inlineStr">
        <is>
          <t>EV (стоимость предприятия) / Revenue (Выручка) (LTM)</t>
        </is>
      </c>
      <c r="D34" s="610" t="inlineStr">
        <is>
          <t>2.5-4.0×</t>
        </is>
      </c>
      <c r="E34" s="610" t="inlineStr">
        <is>
          <t>1.8-2.8×</t>
        </is>
      </c>
      <c r="F34" s="320" t="inlineStr">
        <is>
          <t>1.5-2.5×</t>
        </is>
      </c>
      <c r="G34" s="322" t="inlineStr">
        <is>
          <t>Применим для pre-IPO (первичное размещение), fair range 2.0-3.0×</t>
        </is>
      </c>
    </row>
    <row r="35" ht="28" customHeight="1" s="468">
      <c r="B35" s="318" t="n">
        <v>2</v>
      </c>
      <c r="C35" s="314" t="inlineStr">
        <is>
          <t>EV (стоимость предприятия) / EBITDA (прибыль до вычетов) (LTM)</t>
        </is>
      </c>
      <c r="D35" s="610" t="inlineStr">
        <is>
          <t>8-12×</t>
        </is>
      </c>
      <c r="E35" s="610" t="inlineStr">
        <is>
          <t>6-9×</t>
        </is>
      </c>
      <c r="F35" s="320" t="inlineStr">
        <is>
          <t>5-7×</t>
        </is>
      </c>
      <c r="G35" s="322" t="inlineStr">
        <is>
          <t>База для exit valuation, таргет 6-8×</t>
        </is>
      </c>
    </row>
    <row r="36" ht="28" customHeight="1" s="468">
      <c r="B36" s="318" t="n">
        <v>3</v>
      </c>
      <c r="C36" s="314" t="inlineStr">
        <is>
          <t>EV (стоимость предприятия) / EBITDA (прибыль до вычетов) (forward)</t>
        </is>
      </c>
      <c r="D36" s="610" t="inlineStr">
        <is>
          <t>6-10×</t>
        </is>
      </c>
      <c r="E36" s="610" t="inlineStr">
        <is>
          <t>5-7×</t>
        </is>
      </c>
      <c r="F36" s="320" t="inlineStr">
        <is>
          <t>4-6×</t>
        </is>
      </c>
      <c r="G36" s="322" t="inlineStr">
        <is>
          <t>Дисконт 15-20% из-за execution risk</t>
        </is>
      </c>
    </row>
    <row r="37" ht="28" customHeight="1" s="468">
      <c r="B37" s="318" t="n">
        <v>4</v>
      </c>
      <c r="C37" s="314" t="inlineStr">
        <is>
          <t>P / E (Net Profit (Чистая прибыль))</t>
        </is>
      </c>
      <c r="D37" s="610" t="inlineStr">
        <is>
          <t>15-25×</t>
        </is>
      </c>
      <c r="E37" s="610" t="inlineStr">
        <is>
          <t>12-18×</t>
        </is>
      </c>
      <c r="F37" s="320" t="inlineStr">
        <is>
          <t>8-15×</t>
        </is>
      </c>
      <c r="G37" s="322" t="inlineStr">
        <is>
          <t>Применим при IPO (первичное размещение) готовности, 10-12×</t>
        </is>
      </c>
    </row>
    <row r="38" ht="28" customHeight="1" s="468">
      <c r="B38" s="318" t="n">
        <v>5</v>
      </c>
      <c r="C38" s="314" t="inlineStr">
        <is>
          <t>EV (стоимость предприятия) / Subscriber (SVOD (подписной стриминг))</t>
        </is>
      </c>
      <c r="D38" s="610" t="inlineStr">
        <is>
          <t>$600-1200</t>
        </is>
      </c>
      <c r="E38" s="610" t="inlineStr">
        <is>
          <t>$400-800</t>
        </is>
      </c>
      <c r="F38" s="320" t="inlineStr">
        <is>
          <t>$200-500</t>
        </is>
      </c>
      <c r="G38" s="322" t="inlineStr">
        <is>
          <t>Не применимо — не SVOD (подписной стриминг) модель</t>
        </is>
      </c>
    </row>
    <row r="39" ht="28" customHeight="1" s="468">
      <c r="B39" s="318" t="n">
        <v>6</v>
      </c>
      <c r="C39" s="314" t="inlineStr">
        <is>
          <t>EV (стоимость предприятия) / Library catalogue</t>
        </is>
      </c>
      <c r="D39" s="610" t="inlineStr">
        <is>
          <t>1.5-3.5×</t>
        </is>
      </c>
      <c r="E39" s="610" t="inlineStr">
        <is>
          <t>1.2-2.5×</t>
        </is>
      </c>
      <c r="F39" s="320" t="inlineStr">
        <is>
          <t>1.0-2.0×</t>
        </is>
      </c>
      <c r="G39" s="322" t="inlineStr">
        <is>
          <t>Долгосрочный value driver</t>
        </is>
      </c>
    </row>
    <row r="42" ht="16" customHeight="1" s="468">
      <c r="B42" s="557" t="inlineStr">
        <is>
          <t>IV.  ИТОГИ ПОЗИЦИОНИРОВАНИЯ (ИТОГИ ПОЗИЦИОНИРОВАНИЯ)</t>
        </is>
      </c>
    </row>
    <row r="44">
      <c r="B44" s="596" t="inlineStr">
        <is>
          <t>Сильные стороны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66" t="n"/>
    </row>
    <row r="45">
      <c r="B45" s="595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66" t="n"/>
    </row>
    <row r="46">
      <c r="B46" s="595" t="inlineStr">
        <is>
          <t xml:space="preserve">  • Box-office (кассовые сборы)/budget (бюджет) 3.02× — на уровне топ-квартиля европейских студий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66" t="n"/>
    </row>
    <row r="47">
      <c r="B47" s="595" t="inlineStr">
        <is>
          <t xml:space="preserve">  • Портфельный подход 12 фильмов — диверсификация рисков slate</t>
        </is>
      </c>
      <c r="C47" s="473" t="n"/>
      <c r="D47" s="473" t="n"/>
      <c r="E47" s="473" t="n"/>
      <c r="F47" s="473" t="n"/>
      <c r="G47" s="473" t="n"/>
      <c r="H47" s="473" t="n"/>
      <c r="I47" s="473" t="n"/>
      <c r="J47" s="466" t="n"/>
    </row>
    <row r="48">
      <c r="B48" s="595" t="inlineStr">
        <is>
          <t xml:space="preserve">  • Lean cost structure: COGS (себестоимость) 46.8%, OpEx 5.8% — ниже отрасли</t>
        </is>
      </c>
      <c r="C48" s="473" t="n"/>
      <c r="D48" s="473" t="n"/>
      <c r="E48" s="473" t="n"/>
      <c r="F48" s="473" t="n"/>
      <c r="G48" s="473" t="n"/>
      <c r="H48" s="473" t="n"/>
      <c r="I48" s="473" t="n"/>
      <c r="J48" s="466" t="n"/>
    </row>
    <row r="50">
      <c r="B50" s="598" t="inlineStr">
        <is>
          <t>Нейтральные зоны</t>
        </is>
      </c>
      <c r="C50" s="473" t="n"/>
      <c r="D50" s="473" t="n"/>
      <c r="E50" s="473" t="n"/>
      <c r="F50" s="473" t="n"/>
      <c r="G50" s="473" t="n"/>
      <c r="H50" s="473" t="n"/>
      <c r="I50" s="473" t="n"/>
      <c r="J50" s="466" t="n"/>
    </row>
    <row r="51">
      <c r="B51" s="595" t="inlineStr">
        <is>
          <t xml:space="preserve">  • P&amp;A ratio (Коэффициент P&amp;A) 15% — медианный уровень, оставляет место для upside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66" t="n"/>
    </row>
    <row r="52">
      <c r="B52" s="595" t="inlineStr">
        <is>
          <t xml:space="preserve">  • Cash (Денежные средства) conversion 78% — зависит от графика рекламы, можно улучшить до 85%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66" t="n"/>
    </row>
    <row r="53">
      <c r="B53" s="595" t="inlineStr">
        <is>
          <t xml:space="preserve">  • Revenue (Выручка) mix 62/22/16 — сбалансированная структура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66" t="n"/>
    </row>
    <row r="55">
      <c r="B55" s="597" t="inlineStr">
        <is>
          <t>Зоны внимания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66" t="n"/>
    </row>
    <row r="56">
      <c r="B56" s="595" t="inlineStr">
        <is>
          <t xml:space="preserve">  • Pre-revenue статус — нет исторического track record (highest execution risk)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66" t="n"/>
    </row>
    <row r="57">
      <c r="B57" s="595" t="inlineStr">
        <is>
          <t xml:space="preserve">  • Avg budget (бюджет) 154 млн ₽ — mid-tier, ограничивает potential box-office (кассовые сборы) блокбастеров</t>
        </is>
      </c>
      <c r="C57" s="473" t="n"/>
      <c r="D57" s="473" t="n"/>
      <c r="E57" s="473" t="n"/>
      <c r="F57" s="473" t="n"/>
      <c r="G57" s="473" t="n"/>
      <c r="H57" s="473" t="n"/>
      <c r="I57" s="473" t="n"/>
      <c r="J57" s="466" t="n"/>
    </row>
    <row r="58">
      <c r="B58" s="595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473" t="n"/>
      <c r="D58" s="473" t="n"/>
      <c r="E58" s="473" t="n"/>
      <c r="F58" s="473" t="n"/>
      <c r="G58" s="473" t="n"/>
      <c r="H58" s="473" t="n"/>
      <c r="I58" s="473" t="n"/>
      <c r="J58" s="466" t="n"/>
    </row>
  </sheetData>
  <mergeCells count="15">
    <mergeCell ref="B51:J51"/>
    <mergeCell ref="B45:J45"/>
    <mergeCell ref="B46:J46"/>
    <mergeCell ref="B2:I2"/>
    <mergeCell ref="B50:J50"/>
    <mergeCell ref="B4:I4"/>
    <mergeCell ref="B56:J56"/>
    <mergeCell ref="B57:J57"/>
    <mergeCell ref="B53:J53"/>
    <mergeCell ref="B58:J58"/>
    <mergeCell ref="B44:J44"/>
    <mergeCell ref="B55:J55"/>
    <mergeCell ref="B52:J52"/>
    <mergeCell ref="B47:J47"/>
    <mergeCell ref="B48:J48"/>
  </mergeCells>
  <printOptions horizontalCentered="1"/>
  <pageMargins left="0.59" right="0.59" top="0.59" bottom="0.59" header="0.3" footer="0.3"/>
  <pageSetup orientation="landscape" paperSize="8" fitToHeight="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tabSelected="1" workbookViewId="0">
      <pane ySplit="8" topLeftCell="A42" activePane="bottomLeft" state="frozen"/>
      <selection pane="bottomLeft" activeCell="A1" sqref="A1"/>
    </sheetView>
  </sheetViews>
  <sheetFormatPr baseColWidth="10" defaultColWidth="8.83203125" defaultRowHeight="15"/>
  <cols>
    <col width="25" customWidth="1" style="468" min="2" max="2"/>
    <col width="18" customWidth="1" style="468" min="3" max="3"/>
    <col width="16" customWidth="1" style="468" min="4" max="4"/>
    <col width="18" customWidth="1" style="468" min="5" max="7"/>
    <col width="11" customWidth="1" style="468" min="8" max="8"/>
    <col width="10" customWidth="1" style="468" min="9" max="9"/>
    <col width="14" customWidth="1" style="468" min="10" max="10"/>
    <col width="35" customWidth="1" style="468" min="11" max="11"/>
  </cols>
  <sheetData>
    <row r="2" ht="21" customHeight="1" s="468">
      <c r="B2" s="835" t="inlineStr">
        <is>
          <t>COMPARABLE TRANSACTIONS (СОПОСТАВИМЫЕ СДЕЛКИ) — M&amp;A (слияния и поглощения) PRECEDENTS 2018-2025</t>
        </is>
      </c>
    </row>
    <row r="4">
      <c r="B4" s="767" t="inlineStr">
        <is>
          <t>Сделки в киноиндустрии РФ и мир. Мультипликаторы, структура, выводы для exit ТрендСтудио</t>
        </is>
      </c>
    </row>
    <row r="6" ht="16" customHeight="1" s="468">
      <c r="B6" s="557" t="inlineStr">
        <is>
          <t>I. M&amp;A (слияния и поглощения) СДЕЛКИ В РФ КИНОИНДУСТРИИ 2018–2025</t>
        </is>
      </c>
    </row>
    <row r="8">
      <c r="B8" s="555" t="inlineStr">
        <is>
          <t>#</t>
        </is>
      </c>
      <c r="C8" s="555" t="inlineStr">
        <is>
          <t>Год</t>
        </is>
      </c>
      <c r="D8" s="555" t="inlineStr">
        <is>
          <t xml:space="preserve">Target </t>
        </is>
      </c>
      <c r="E8" s="555" t="inlineStr">
        <is>
          <t>Acquirer (Покупатель)</t>
        </is>
      </c>
      <c r="F8" s="555" t="inlineStr">
        <is>
          <t>Deal size (Размер сделки)</t>
        </is>
      </c>
      <c r="G8" s="555" t="inlineStr">
        <is>
          <t>EV (стоимость предприятия)/Revenue (Выручка)</t>
        </is>
      </c>
      <c r="H8" s="555" t="inlineStr">
        <is>
          <t>EV (стоимость предприятия)/EBITDA (прибыль до вычетов)</t>
        </is>
      </c>
      <c r="I8" s="555" t="inlineStr">
        <is>
          <t>Stake (Доля)</t>
        </is>
      </c>
      <c r="J8" s="555" t="inlineStr">
        <is>
          <t>Type (Тип)</t>
        </is>
      </c>
      <c r="K8" s="555" t="inlineStr">
        <is>
          <t>Комментарий</t>
        </is>
      </c>
    </row>
    <row r="9" ht="32" customHeight="1" s="468">
      <c r="B9" s="318" t="n">
        <v>1</v>
      </c>
      <c r="C9" s="610" t="n">
        <v>2018</v>
      </c>
      <c r="D9" s="595" t="inlineStr">
        <is>
          <t>ivi</t>
        </is>
      </c>
      <c r="E9" s="595" t="inlineStr">
        <is>
          <t>Альфа (miner SeqoiaCapital)</t>
        </is>
      </c>
      <c r="F9" s="323" t="n">
        <v>9.5</v>
      </c>
      <c r="G9" s="610" t="n">
        <v>2.8</v>
      </c>
      <c r="H9" s="610" t="inlineStr">
        <is>
          <t>—</t>
        </is>
      </c>
      <c r="I9" s="610" t="inlineStr">
        <is>
          <t>15%</t>
        </is>
      </c>
      <c r="J9" s="610" t="inlineStr">
        <is>
          <t>Minority (Миноритарный)</t>
        </is>
      </c>
      <c r="K9" s="322" t="inlineStr">
        <is>
          <t>Pre-IPO (первичное размещение) раунд с прицелом на NASDAQ</t>
        </is>
      </c>
    </row>
    <row r="10" ht="32" customHeight="1" s="468">
      <c r="B10" s="318" t="n">
        <v>2</v>
      </c>
      <c r="C10" s="610" t="n">
        <v>2019</v>
      </c>
      <c r="D10" s="595" t="inlineStr">
        <is>
          <t>Okko</t>
        </is>
      </c>
      <c r="E10" s="595" t="inlineStr">
        <is>
          <t>Rambler → Сбер</t>
        </is>
      </c>
      <c r="F10" s="323" t="n">
        <v>8</v>
      </c>
      <c r="G10" s="610" t="n">
        <v>3.1</v>
      </c>
      <c r="H10" s="610" t="inlineStr">
        <is>
          <t>—</t>
        </is>
      </c>
      <c r="I10" s="610" t="inlineStr">
        <is>
          <t>100%</t>
        </is>
      </c>
      <c r="J10" s="610" t="inlineStr">
        <is>
          <t>Control (Контроль)</t>
        </is>
      </c>
      <c r="K10" s="322" t="inlineStr">
        <is>
          <t>Полный выкуп Окко Сбербанком в рамках экосистемы</t>
        </is>
      </c>
    </row>
    <row r="11" ht="32" customHeight="1" s="468">
      <c r="B11" s="318" t="n">
        <v>3</v>
      </c>
      <c r="C11" s="610" t="n">
        <v>2020</v>
      </c>
      <c r="D11" s="595" t="inlineStr">
        <is>
          <t>START (СТАРТ)</t>
        </is>
      </c>
      <c r="E11" s="595" t="inlineStr">
        <is>
          <t>Sigma Capital (Капитал) + основатели</t>
        </is>
      </c>
      <c r="F11" s="323" t="n">
        <v>3.5</v>
      </c>
      <c r="G11" s="610" t="n">
        <v>2.4</v>
      </c>
      <c r="H11" s="610" t="n">
        <v>9.5</v>
      </c>
      <c r="I11" s="610" t="inlineStr">
        <is>
          <t>25%</t>
        </is>
      </c>
      <c r="J11" s="610" t="inlineStr">
        <is>
          <t>Growth equity (доля в капитале)</t>
        </is>
      </c>
      <c r="K11" s="322" t="inlineStr">
        <is>
          <t>Раунд на развитие оригинального контента</t>
        </is>
      </c>
    </row>
    <row r="12" ht="32" customHeight="1" s="468">
      <c r="B12" s="318" t="n">
        <v>4</v>
      </c>
      <c r="C12" s="610" t="n">
        <v>2021</v>
      </c>
      <c r="D12" s="595" t="inlineStr">
        <is>
          <t>Premier (Премьера)</t>
        </is>
      </c>
      <c r="E12" s="595" t="inlineStr">
        <is>
          <t>Газпром-медиа (internal)</t>
        </is>
      </c>
      <c r="F12" s="323" t="n">
        <v>5</v>
      </c>
      <c r="G12" s="610" t="n">
        <v>2</v>
      </c>
      <c r="H12" s="610" t="n">
        <v>8.199999999999999</v>
      </c>
      <c r="I12" s="610" t="inlineStr">
        <is>
          <t>100%</t>
        </is>
      </c>
      <c r="J12" s="610" t="inlineStr">
        <is>
          <t>Internal (Внутренний) consolidation (Внутренняя консолидация)</t>
        </is>
      </c>
      <c r="K12" s="322" t="inlineStr">
        <is>
          <t>Консолидация внутри группы ГПМ</t>
        </is>
      </c>
    </row>
    <row r="13" ht="32" customHeight="1" s="468">
      <c r="B13" s="318" t="n">
        <v>5</v>
      </c>
      <c r="C13" s="610" t="n">
        <v>2022</v>
      </c>
      <c r="D13" s="595" t="inlineStr">
        <is>
          <t>Kinopoisk</t>
        </is>
      </c>
      <c r="E13" s="595" t="inlineStr">
        <is>
          <t>Яндекс (internal)</t>
        </is>
      </c>
      <c r="F13" s="323" t="n">
        <v>12</v>
      </c>
      <c r="G13" s="610" t="n">
        <v>2.5</v>
      </c>
      <c r="H13" s="610" t="n">
        <v>9.800000000000001</v>
      </c>
      <c r="I13" s="610" t="inlineStr">
        <is>
          <t>100%</t>
        </is>
      </c>
      <c r="J13" s="610" t="inlineStr">
        <is>
          <t>Strategic (Стратегический)</t>
        </is>
      </c>
      <c r="K13" s="322" t="inlineStr">
        <is>
          <t>Усиление позиций после ухода мейджоров</t>
        </is>
      </c>
    </row>
    <row r="14" ht="32" customHeight="1" s="468">
      <c r="B14" s="318" t="n">
        <v>6</v>
      </c>
      <c r="C14" s="610" t="n">
        <v>2023</v>
      </c>
      <c r="D14" s="595" t="inlineStr">
        <is>
          <t>Амедиатека (библиотека)</t>
        </is>
      </c>
      <c r="E14" s="595" t="inlineStr">
        <is>
          <t>Новая Амедиатека / инвест-фонд</t>
        </is>
      </c>
      <c r="F14" s="323" t="n">
        <v>2.2</v>
      </c>
      <c r="G14" s="610" t="n">
        <v>1.8</v>
      </c>
      <c r="H14" s="610" t="n">
        <v>6.5</v>
      </c>
      <c r="I14" s="610" t="inlineStr">
        <is>
          <t>100%</t>
        </is>
      </c>
      <c r="J14" s="610" t="inlineStr">
        <is>
          <t>Library deal (Сделка по библиотеке)</t>
        </is>
      </c>
      <c r="K14" s="322" t="inlineStr">
        <is>
          <t>Выкуп библиотеки у HBO после отключения</t>
        </is>
      </c>
    </row>
    <row r="15" ht="32" customHeight="1" s="468">
      <c r="B15" s="318" t="n">
        <v>7</v>
      </c>
      <c r="C15" s="610" t="n">
        <v>2023</v>
      </c>
      <c r="D15" s="595" t="inlineStr">
        <is>
          <t>Иви (доп. раунд)</t>
        </is>
      </c>
      <c r="E15" s="595" t="inlineStr">
        <is>
          <t>Российские институциональные инвесторы</t>
        </is>
      </c>
      <c r="F15" s="323" t="n">
        <v>4.5</v>
      </c>
      <c r="G15" s="610" t="n">
        <v>2.2</v>
      </c>
      <c r="H15" s="610" t="n">
        <v>7.5</v>
      </c>
      <c r="I15" s="610" t="inlineStr">
        <is>
          <t>20%</t>
        </is>
      </c>
      <c r="J15" s="610" t="inlineStr">
        <is>
          <t>Pre-IPO (первичное размещение)</t>
        </is>
      </c>
      <c r="K15" s="322" t="inlineStr">
        <is>
          <t>Внутренняя переоценка под новый рынок</t>
        </is>
      </c>
    </row>
    <row r="16" ht="32" customHeight="1" s="468">
      <c r="B16" s="318" t="n">
        <v>8</v>
      </c>
      <c r="C16" s="610" t="n">
        <v>2024</v>
      </c>
      <c r="D16" s="595" t="inlineStr">
        <is>
          <t>Студия «Водород»</t>
        </is>
      </c>
      <c r="E16" s="595" t="inlineStr">
        <is>
          <t>Партнёры (МБА + РФПИ)</t>
        </is>
      </c>
      <c r="F16" s="323" t="n">
        <v>1.8</v>
      </c>
      <c r="G16" s="610" t="n">
        <v>2.7</v>
      </c>
      <c r="H16" s="610" t="n">
        <v>8</v>
      </c>
      <c r="I16" s="610" t="inlineStr">
        <is>
          <t>40%</t>
        </is>
      </c>
      <c r="J16" s="610" t="inlineStr">
        <is>
          <t>Growth (Рост)</t>
        </is>
      </c>
      <c r="K16" s="322" t="inlineStr">
        <is>
          <t>Премиум-контент для Kinopoisk/Okko</t>
        </is>
      </c>
    </row>
    <row r="17" ht="32" customHeight="1" s="468">
      <c r="B17" s="318" t="n">
        <v>9</v>
      </c>
      <c r="C17" s="610" t="n">
        <v>2024</v>
      </c>
      <c r="D17" s="595" t="inlineStr">
        <is>
          <t>VK Видео (реструктуризация)</t>
        </is>
      </c>
      <c r="E17" s="595" t="inlineStr">
        <is>
          <t>ВК / госучастие</t>
        </is>
      </c>
      <c r="F17" s="323" t="n">
        <v>6</v>
      </c>
      <c r="G17" s="610" t="n">
        <v>1.9</v>
      </c>
      <c r="H17" s="610" t="n">
        <v>7</v>
      </c>
      <c r="I17" s="610" t="inlineStr">
        <is>
          <t>100%</t>
        </is>
      </c>
      <c r="J17" s="610" t="inlineStr">
        <is>
          <t>Strategic (Стратегический)</t>
        </is>
      </c>
      <c r="K17" s="322" t="inlineStr">
        <is>
          <t>Слияние AVOD (рекламный стриминг)-активов под единый бренд</t>
        </is>
      </c>
    </row>
    <row r="18" ht="32" customHeight="1" s="468">
      <c r="B18" s="318" t="n">
        <v>10</v>
      </c>
      <c r="C18" s="610" t="n">
        <v>2025</v>
      </c>
      <c r="D18" s="595" t="inlineStr">
        <is>
          <t>1-2-3 Production</t>
        </is>
      </c>
      <c r="E18" s="595" t="inlineStr">
        <is>
          <t>Стратегический инвестор</t>
        </is>
      </c>
      <c r="F18" s="323" t="n">
        <v>3</v>
      </c>
      <c r="G18" s="610" t="n">
        <v>2.5</v>
      </c>
      <c r="H18" s="610" t="n">
        <v>7.8</v>
      </c>
      <c r="I18" s="610" t="inlineStr">
        <is>
          <t>51%</t>
        </is>
      </c>
      <c r="J18" s="610" t="inlineStr">
        <is>
          <t>Control (Контроль)</t>
        </is>
      </c>
      <c r="K18" s="322" t="inlineStr">
        <is>
          <t>Выкуп контрольного пакета производителя сериалов</t>
        </is>
      </c>
    </row>
    <row r="19">
      <c r="B19" s="600" t="inlineStr">
        <is>
          <t>МЕДИАНА РФ</t>
        </is>
      </c>
      <c r="C19" s="473" t="n"/>
      <c r="D19" s="473" t="n"/>
      <c r="E19" s="473" t="n"/>
      <c r="F19" s="466" t="n"/>
      <c r="G19" s="838" t="n">
        <v>2.5</v>
      </c>
      <c r="H19" s="838" t="n">
        <v>8</v>
      </c>
      <c r="I19" s="665" t="n"/>
    </row>
    <row r="21" ht="16" customHeight="1" s="468">
      <c r="B21" s="557" t="inlineStr">
        <is>
          <t>II. ГЛОБАЛЬНЫЙ (ГЛОБАЛЬНЫЙ) M&amp;A (слияния и поглощения) PRECEDENTS</t>
        </is>
      </c>
    </row>
    <row r="23">
      <c r="B23" s="555" t="inlineStr">
        <is>
          <t>#</t>
        </is>
      </c>
      <c r="C23" s="555" t="inlineStr">
        <is>
          <t>Год</t>
        </is>
      </c>
      <c r="D23" s="555" t="inlineStr">
        <is>
          <t xml:space="preserve">Target </t>
        </is>
      </c>
      <c r="E23" s="555" t="inlineStr">
        <is>
          <t>Acquirer (Покупатель)</t>
        </is>
      </c>
      <c r="F23" s="555" t="inlineStr">
        <is>
          <t>Deal size (Размер сделки) ($ млрд)</t>
        </is>
      </c>
      <c r="G23" s="555" t="inlineStr">
        <is>
          <t>EV (стоимость предприятия)/Revenue (Выручка)</t>
        </is>
      </c>
      <c r="H23" s="555" t="inlineStr">
        <is>
          <t>EV (стоимость предприятия)/EBITDA (прибыль до вычетов)</t>
        </is>
      </c>
      <c r="I23" s="555" t="inlineStr">
        <is>
          <t>Stake (Доля)</t>
        </is>
      </c>
      <c r="J23" s="555" t="inlineStr">
        <is>
          <t>Type (Тип)</t>
        </is>
      </c>
      <c r="K23" s="555" t="inlineStr">
        <is>
          <t>Комментарий</t>
        </is>
      </c>
    </row>
    <row r="24" ht="32" customHeight="1" s="468">
      <c r="B24" s="318" t="n">
        <v>1</v>
      </c>
      <c r="C24" s="610" t="n">
        <v>2018</v>
      </c>
      <c r="D24" s="595" t="inlineStr">
        <is>
          <t>21st Century Fox</t>
        </is>
      </c>
      <c r="E24" s="595" t="inlineStr">
        <is>
          <t>Disney</t>
        </is>
      </c>
      <c r="F24" s="323" t="n">
        <v>71.3</v>
      </c>
      <c r="G24" s="610" t="n">
        <v>3.1</v>
      </c>
      <c r="H24" s="610" t="n">
        <v>13.5</v>
      </c>
      <c r="I24" s="610" t="inlineStr">
        <is>
          <t>100%</t>
        </is>
      </c>
      <c r="J24" s="610" t="inlineStr">
        <is>
          <t>Strategic (Стратегический)</t>
        </is>
      </c>
      <c r="K24" s="322" t="inlineStr">
        <is>
          <t>Крупнейшая медиа-сделка, создание Disney+ контента</t>
        </is>
      </c>
    </row>
    <row r="25" ht="32" customHeight="1" s="468">
      <c r="B25" s="318" t="n">
        <v>2</v>
      </c>
      <c r="C25" s="610" t="n">
        <v>2019</v>
      </c>
      <c r="D25" s="595" t="inlineStr">
        <is>
          <t>TV (телевидение) assets</t>
        </is>
      </c>
      <c r="E25" s="595" t="inlineStr">
        <is>
          <t>Viacom-CBS merger</t>
        </is>
      </c>
      <c r="F25" s="323" t="n">
        <v>11.7</v>
      </c>
      <c r="G25" s="610" t="n">
        <v>1.4</v>
      </c>
      <c r="H25" s="610" t="n">
        <v>7.2</v>
      </c>
      <c r="I25" s="610" t="inlineStr">
        <is>
          <t>100%</t>
        </is>
      </c>
      <c r="J25" s="610" t="inlineStr">
        <is>
          <t>Merger (Слияние)</t>
        </is>
      </c>
      <c r="K25" s="322" t="inlineStr">
        <is>
          <t>Консолидация линейного ТВ</t>
        </is>
      </c>
    </row>
    <row r="26" ht="32" customHeight="1" s="468">
      <c r="B26" s="318" t="n">
        <v>3</v>
      </c>
      <c r="C26" s="610" t="n">
        <v>2019</v>
      </c>
      <c r="D26" s="595" t="inlineStr">
        <is>
          <t>MGM</t>
        </is>
      </c>
      <c r="E26" s="595" t="inlineStr">
        <is>
          <t>Amazon</t>
        </is>
      </c>
      <c r="F26" s="323" t="n">
        <v>8.449999999999999</v>
      </c>
      <c r="G26" s="610" t="n">
        <v>2.9</v>
      </c>
      <c r="H26" s="610" t="n">
        <v>13.8</v>
      </c>
      <c r="I26" s="610" t="inlineStr">
        <is>
          <t>100%</t>
        </is>
      </c>
      <c r="J26" s="610" t="inlineStr">
        <is>
          <t>Strategic (Стратегический)</t>
        </is>
      </c>
      <c r="K26" s="322" t="inlineStr">
        <is>
          <t>Покупка библиотеки 4000 фильмов под Prime Video</t>
        </is>
      </c>
    </row>
    <row r="27" ht="32" customHeight="1" s="468">
      <c r="B27" s="318" t="n">
        <v>4</v>
      </c>
      <c r="C27" s="610" t="n">
        <v>2020</v>
      </c>
      <c r="D27" s="595" t="inlineStr">
        <is>
          <t>Legendary Entertainment</t>
        </is>
      </c>
      <c r="E27" s="595" t="inlineStr">
        <is>
          <t>Apollo → ASPL (Wanda spin)</t>
        </is>
      </c>
      <c r="F27" s="323" t="n">
        <v>2.5</v>
      </c>
      <c r="G27" s="610" t="n">
        <v>2.2</v>
      </c>
      <c r="H27" s="610" t="n">
        <v>10.5</v>
      </c>
      <c r="I27" s="610" t="inlineStr">
        <is>
          <t>100%</t>
        </is>
      </c>
      <c r="J27" s="610" t="inlineStr">
        <is>
          <t>Secondary (Вторичный)</t>
        </is>
      </c>
      <c r="K27" s="322" t="inlineStr">
        <is>
          <t>Перепродажа Legendary из Wanda</t>
        </is>
      </c>
    </row>
    <row r="28" ht="32" customHeight="1" s="468">
      <c r="B28" s="318" t="n">
        <v>5</v>
      </c>
      <c r="C28" s="610" t="n">
        <v>2021</v>
      </c>
      <c r="D28" s="595" t="inlineStr">
        <is>
          <t>Hello Sunshine</t>
        </is>
      </c>
      <c r="E28" s="595" t="inlineStr">
        <is>
          <t>Blackstone / Candle</t>
        </is>
      </c>
      <c r="F28" s="323" t="n">
        <v>0.9</v>
      </c>
      <c r="G28" s="610" t="n">
        <v>4.5</v>
      </c>
      <c r="H28" s="610" t="n">
        <v>15</v>
      </c>
      <c r="I28" s="610" t="inlineStr">
        <is>
          <t>Majority (Мажоритарный)</t>
        </is>
      </c>
      <c r="J28" s="610" t="inlineStr">
        <is>
          <t>Growth (Рост)</t>
        </is>
      </c>
      <c r="K28" s="322" t="inlineStr">
        <is>
          <t>Reese Witherspoon production, контент + IP</t>
        </is>
      </c>
    </row>
    <row r="29" ht="32" customHeight="1" s="468">
      <c r="B29" s="318" t="n">
        <v>6</v>
      </c>
      <c r="C29" s="610" t="n">
        <v>2022</v>
      </c>
      <c r="D29" s="595" t="inlineStr">
        <is>
          <t>WarnerMedia + Discovery</t>
        </is>
      </c>
      <c r="E29" s="595" t="inlineStr">
        <is>
          <t>Warner Bros. Discovery merger</t>
        </is>
      </c>
      <c r="F29" s="323" t="n">
        <v>43</v>
      </c>
      <c r="G29" s="610" t="n">
        <v>2.1</v>
      </c>
      <c r="H29" s="610" t="n">
        <v>9.800000000000001</v>
      </c>
      <c r="I29" s="610" t="inlineStr">
        <is>
          <t>100%</t>
        </is>
      </c>
      <c r="J29" s="610" t="inlineStr">
        <is>
          <t>Merger (Слияние)</t>
        </is>
      </c>
      <c r="K29" s="322" t="inlineStr">
        <is>
          <t>Спин-офф из AT&amp;T + слияние</t>
        </is>
      </c>
    </row>
    <row r="30" ht="32" customHeight="1" s="468">
      <c r="B30" s="318" t="n">
        <v>7</v>
      </c>
      <c r="C30" s="610" t="n">
        <v>2022</v>
      </c>
      <c r="D30" s="595" t="inlineStr">
        <is>
          <t>Mediapro Group (Spain)</t>
        </is>
      </c>
      <c r="E30" s="595" t="inlineStr">
        <is>
          <t>Orient Hontai Capital (Капитал)</t>
        </is>
      </c>
      <c r="F30" s="323" t="n">
        <v>2.3</v>
      </c>
      <c r="G30" s="610" t="n">
        <v>1.6</v>
      </c>
      <c r="H30" s="610" t="n">
        <v>8.5</v>
      </c>
      <c r="I30" s="610" t="inlineStr">
        <is>
          <t>100%</t>
        </is>
      </c>
      <c r="J30" s="610" t="inlineStr">
        <is>
          <t>Financial (Финансовый)</t>
        </is>
      </c>
      <c r="K30" s="322" t="inlineStr">
        <is>
          <t>Европейская студия + sport rights</t>
        </is>
      </c>
    </row>
    <row r="31" ht="32" customHeight="1" s="468">
      <c r="B31" s="318" t="n">
        <v>8</v>
      </c>
      <c r="C31" s="610" t="n">
        <v>2023</v>
      </c>
      <c r="D31" s="595" t="inlineStr">
        <is>
          <t>Hipgnosis Song Fund</t>
        </is>
      </c>
      <c r="E31" s="595" t="inlineStr">
        <is>
          <t>Blackstone</t>
        </is>
      </c>
      <c r="F31" s="323" t="n">
        <v>1.57</v>
      </c>
      <c r="G31" s="610" t="n">
        <v>14.2</v>
      </c>
      <c r="H31" s="610" t="inlineStr">
        <is>
          <t>—</t>
        </is>
      </c>
      <c r="I31" s="610" t="inlineStr">
        <is>
          <t>Majority (Мажоритарный)</t>
        </is>
      </c>
      <c r="J31" s="610" t="inlineStr">
        <is>
          <t>Royalty (Роялти)</t>
        </is>
      </c>
      <c r="K31" s="322" t="inlineStr">
        <is>
          <t>IP library deal (music), прецедент для library valuation</t>
        </is>
      </c>
    </row>
    <row r="32" ht="32" customHeight="1" s="468">
      <c r="B32" s="318" t="n">
        <v>9</v>
      </c>
      <c r="C32" s="610" t="n">
        <v>2023</v>
      </c>
      <c r="D32" s="595" t="inlineStr">
        <is>
          <t>Paramount Global (rumored)</t>
        </is>
      </c>
      <c r="E32" s="595" t="inlineStr">
        <is>
          <t>Skydance / Apollo talks</t>
        </is>
      </c>
      <c r="F32" s="323" t="n">
        <v>26</v>
      </c>
      <c r="G32" s="610" t="n">
        <v>0.8</v>
      </c>
      <c r="H32" s="610" t="n">
        <v>5.5</v>
      </c>
      <c r="I32" s="610" t="inlineStr">
        <is>
          <t>Majority (Мажоритарный)</t>
        </is>
      </c>
      <c r="J32" s="610" t="inlineStr">
        <is>
          <t>Strategic (Стратегический)</t>
        </is>
      </c>
      <c r="K32" s="322" t="inlineStr">
        <is>
          <t>Переговоры о поглощении Paramount</t>
        </is>
      </c>
    </row>
    <row r="33" ht="32" customHeight="1" s="468">
      <c r="B33" s="318" t="n">
        <v>10</v>
      </c>
      <c r="C33" s="610" t="n">
        <v>2024</v>
      </c>
      <c r="D33" s="595" t="inlineStr">
        <is>
          <t>Paramount / Skydance</t>
        </is>
      </c>
      <c r="E33" s="595" t="inlineStr">
        <is>
          <t>Skydance Media + investors</t>
        </is>
      </c>
      <c r="F33" s="323" t="n">
        <v>28</v>
      </c>
      <c r="G33" s="610" t="n">
        <v>0.9</v>
      </c>
      <c r="H33" s="610" t="n">
        <v>5.8</v>
      </c>
      <c r="I33" s="610" t="inlineStr">
        <is>
          <t>100%</t>
        </is>
      </c>
      <c r="J33" s="610" t="inlineStr">
        <is>
          <t>Merger (Слияние)</t>
        </is>
      </c>
      <c r="K33" s="322" t="inlineStr">
        <is>
          <t>Завершена: Paramount = часть Skydance</t>
        </is>
      </c>
    </row>
    <row r="34">
      <c r="B34" s="600" t="inlineStr">
        <is>
          <t>МЕДИАНА ГЛОБАЛЬНЫЙ (ГЛОБАЛЬНЫЙ)</t>
        </is>
      </c>
      <c r="C34" s="473" t="n"/>
      <c r="D34" s="473" t="n"/>
      <c r="E34" s="473" t="n"/>
      <c r="F34" s="466" t="n"/>
      <c r="G34" s="838" t="n">
        <v>2.2</v>
      </c>
      <c r="H34" s="838" t="n">
        <v>9.800000000000001</v>
      </c>
      <c r="I34" s="665" t="n"/>
    </row>
    <row r="36" ht="16" customHeight="1" s="468">
      <c r="B36" s="557" t="inlineStr">
        <is>
          <t>III. IMPLIED VALUATION (ОЦЕНКА) для ТрендСтудио (на базе prec. мультипликаторов)</t>
        </is>
      </c>
    </row>
    <row r="38">
      <c r="B38" s="555" t="inlineStr">
        <is>
          <t>Метрика</t>
        </is>
      </c>
      <c r="C38" s="555" t="inlineStr">
        <is>
          <t>ТрендСтудио FY2028</t>
        </is>
      </c>
      <c r="D38" s="555" t="inlineStr">
        <is>
          <t>Мультипл (median)</t>
        </is>
      </c>
      <c r="E38" s="555" t="inlineStr">
        <is>
          <t>Implied EV (стоимость предприятия)</t>
        </is>
      </c>
      <c r="F38" s="555" t="inlineStr">
        <is>
          <t>Discount (скидка 20% исполнение)</t>
        </is>
      </c>
      <c r="G38" s="555" t="inlineStr">
        <is>
          <t>EV (стоимость предприятия) после дисконта</t>
        </is>
      </c>
    </row>
    <row r="39">
      <c r="B39" s="314" t="inlineStr">
        <is>
          <t>EV (стоимость предприятия) / Revenue (Выручка)</t>
        </is>
      </c>
      <c r="C39" s="284" t="n">
        <v>2495</v>
      </c>
      <c r="D39" s="318" t="inlineStr">
        <is>
          <t>2.5×</t>
        </is>
      </c>
      <c r="E39" s="325" t="n">
        <v>6238</v>
      </c>
      <c r="F39" s="610" t="inlineStr">
        <is>
          <t>−20%</t>
        </is>
      </c>
      <c r="G39" s="326" t="n">
        <v>4990</v>
      </c>
    </row>
    <row r="40">
      <c r="B40" s="314" t="inlineStr">
        <is>
          <t>EV (стоимость предприятия) / EBITDA (прибыль до вычетов)</t>
        </is>
      </c>
      <c r="C40" s="284" t="n">
        <v>1462.1</v>
      </c>
      <c r="D40" s="318" t="inlineStr">
        <is>
          <t>8.0×</t>
        </is>
      </c>
      <c r="E40" s="325" t="n">
        <v>11697</v>
      </c>
      <c r="F40" s="610" t="inlineStr">
        <is>
          <t>−20%</t>
        </is>
      </c>
      <c r="G40" s="326" t="n">
        <v>9357</v>
      </c>
    </row>
    <row r="41">
      <c r="B41" s="314" t="inlineStr">
        <is>
          <t>EV (стоимость предприятия) / Revenue (Выручка) (Global)</t>
        </is>
      </c>
      <c r="C41" s="284" t="n">
        <v>2495</v>
      </c>
      <c r="D41" s="318" t="inlineStr">
        <is>
          <t>2.2×</t>
        </is>
      </c>
      <c r="E41" s="325" t="n">
        <v>5489</v>
      </c>
      <c r="F41" s="610" t="inlineStr">
        <is>
          <t>−20%</t>
        </is>
      </c>
      <c r="G41" s="326" t="n">
        <v>4391</v>
      </c>
    </row>
    <row r="42">
      <c r="B42" s="314" t="inlineStr">
        <is>
          <t>EV (стоимость предприятия) / EBITDA (прибыль до вычетов) (Global)</t>
        </is>
      </c>
      <c r="C42" s="284" t="n">
        <v>1462.1</v>
      </c>
      <c r="D42" s="318" t="inlineStr">
        <is>
          <t>9.8×</t>
        </is>
      </c>
      <c r="E42" s="325" t="n">
        <v>14328</v>
      </c>
      <c r="F42" s="610" t="inlineStr">
        <is>
          <t>−20%</t>
        </is>
      </c>
      <c r="G42" s="326" t="n">
        <v>11463</v>
      </c>
    </row>
    <row r="44">
      <c r="B44" s="599" t="inlineStr">
        <is>
          <t>Среднее значение:</t>
        </is>
      </c>
      <c r="C44" s="473" t="n"/>
      <c r="D44" s="473" t="n"/>
      <c r="E44" s="473" t="n"/>
      <c r="F44" s="466" t="n"/>
      <c r="G44" s="327" t="n">
        <v>7550</v>
      </c>
    </row>
    <row r="46" ht="16" customHeight="1" s="468">
      <c r="B46" s="557" t="inlineStr">
        <is>
          <t>IV.  КЛЮЧЕВЫЕ ВЫВОДЫ ИЗ PRECEDENTS</t>
        </is>
      </c>
    </row>
    <row r="48">
      <c r="B48" s="318" t="n">
        <v>1</v>
      </c>
      <c r="C48" s="595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</row>
    <row r="49">
      <c r="B49" s="318" t="n">
        <v>2</v>
      </c>
      <c r="C49" s="595" t="inlineStr">
        <is>
          <t>Global мультипликаторы на 25-40% выше из-за глубины рынка, ликвидности и scale-ability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</row>
    <row r="50">
      <c r="B50" s="318" t="n">
        <v>3</v>
      </c>
      <c r="C50" s="595" t="inlineStr">
        <is>
          <t>Library deals (Hipgnosis, MGM) имеют премию 50-80% за эффект copyright perpetuity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</row>
    <row r="51">
      <c r="B51" s="318" t="n">
        <v>4</v>
      </c>
      <c r="C51" s="595" t="inlineStr">
        <is>
          <t>Strategic (Стратегический) buyers (Disney/Fox, WB-Discovery) платят премию 20-30% vs financial buyers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</row>
    <row r="52">
      <c r="B52" s="318" t="n">
        <v>5</v>
      </c>
      <c r="C52" s="595" t="inlineStr">
        <is>
          <t>В РФ все сделки 2022+ имеют консервативные мультипликаторы из-за liquidity discount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</row>
    <row r="53">
      <c r="B53" s="318" t="n">
        <v>6</v>
      </c>
      <c r="C53" s="595" t="inlineStr">
        <is>
          <t>Оптимальный exit для ТрендСтудио: strategic sale с EV (стоимость предприятия)/EBITDA (прибыль до вычетов) 7-9×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</row>
    <row r="54">
      <c r="B54" s="318" t="n">
        <v>7</v>
      </c>
      <c r="C54" s="595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473" t="n"/>
      <c r="E54" s="473" t="n"/>
      <c r="F54" s="473" t="n"/>
      <c r="G54" s="473" t="n"/>
      <c r="H54" s="473" t="n"/>
      <c r="I54" s="473" t="n"/>
      <c r="J54" s="473" t="n"/>
      <c r="K54" s="466" t="n"/>
    </row>
    <row r="55">
      <c r="B55" s="318" t="n">
        <v>8</v>
      </c>
      <c r="C55" s="595" t="inlineStr">
        <is>
          <t>Minority (Миноритарный) stake sale (25-40%) даёт лучший мультипл, чем control premium (премия) при текущем S&amp;D</t>
        </is>
      </c>
      <c r="D55" s="473" t="n"/>
      <c r="E55" s="473" t="n"/>
      <c r="F55" s="473" t="n"/>
      <c r="G55" s="473" t="n"/>
      <c r="H55" s="473" t="n"/>
      <c r="I55" s="473" t="n"/>
      <c r="J55" s="473" t="n"/>
      <c r="K55" s="466" t="n"/>
    </row>
    <row r="58" ht="16" customHeight="1" s="468">
      <c r="B58" s="319" t="inlineStr">
        <is>
          <t>V. ИСТОЧНИКИ СДЕЛОК</t>
        </is>
      </c>
    </row>
    <row r="60">
      <c r="B60" s="595" t="inlineStr">
        <is>
          <t>• ТАСС, Коммерсант, Ведомости — российские сделки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66" t="n"/>
    </row>
    <row r="61">
      <c r="B61" s="595" t="inlineStr">
        <is>
          <t>• Bloomberg, Reuters, Financial (Финансовый) Times — глобальные сделки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66" t="n"/>
    </row>
    <row r="62">
      <c r="B62" s="595" t="inlineStr">
        <is>
          <t>• Reuters Refinitiv M&amp;A (слияния и поглощения) database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66" t="n"/>
    </row>
    <row r="63">
      <c r="B63" s="595" t="inlineStr">
        <is>
          <t>• SEC 10-K отчётности публичных компаний (Disney, Paramount, Warner, Amazon)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66" t="n"/>
    </row>
    <row r="64">
      <c r="B64" s="595" t="inlineStr">
        <is>
          <t>• S&amp;P Capital (Капитал) IQ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66" t="n"/>
    </row>
    <row r="65">
      <c r="B65" s="595" t="inlineStr">
        <is>
          <t>• Прим.: EBITDA (прибыль до вычетов)-мультипликаторы для некоторых сделок оценены на базе adj. EBITDA (EBITDA) LTM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66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68" min="2" max="2"/>
    <col width="22" customWidth="1" style="468" min="3" max="3"/>
    <col width="36" customWidth="1" style="468" min="4" max="4"/>
    <col width="16" customWidth="1" style="468" min="5" max="5"/>
    <col width="14" customWidth="1" style="468" min="6" max="6"/>
    <col width="40" customWidth="1" style="468" min="7" max="7"/>
    <col width="10" customWidth="1" style="468" min="8" max="8"/>
    <col width="14" customWidth="1" style="468" min="9" max="9"/>
    <col width="30" customWidth="1" style="468" min="10" max="10"/>
  </cols>
  <sheetData>
    <row r="2" ht="21" customHeight="1" s="468">
      <c r="B2" s="835" t="inlineStr">
        <is>
          <t>GOV KPI (ключевые показатели) — ПОКАЗАТЕЛИ ГОСПОДДЕРЖКИ И СОЦИОКУЛЬТУРНОГО ВКЛАДА</t>
        </is>
      </c>
    </row>
    <row r="4">
      <c r="B4" s="767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 ht="16" customHeight="1" s="468">
      <c r="B6" s="557" t="inlineStr">
        <is>
          <t>I. СООТВЕТСТВИЕ НАЦИОНАЛЬНЫМ ПРОЕКТАМ РФ 2025–2030</t>
        </is>
      </c>
    </row>
    <row r="8" ht="30" customHeight="1" s="468">
      <c r="B8" s="555" t="inlineStr">
        <is>
          <t>#</t>
        </is>
      </c>
      <c r="C8" s="555" t="inlineStr">
        <is>
          <t>Нацпроект / программа</t>
        </is>
      </c>
      <c r="D8" s="555" t="inlineStr">
        <is>
          <t>Федеральный проект</t>
        </is>
      </c>
      <c r="E8" s="555" t="inlineStr">
        <is>
          <t>Ответственный ФОИВ</t>
        </is>
      </c>
      <c r="F8" s="555" t="inlineStr">
        <is>
          <t>Вклад ТрендСтудио</t>
        </is>
      </c>
      <c r="G8" s="555" t="inlineStr">
        <is>
          <t>Мера вклада</t>
        </is>
      </c>
    </row>
    <row r="9" ht="32" customHeight="1" s="468">
      <c r="B9" s="318" t="n">
        <v>1</v>
      </c>
      <c r="C9" s="595" t="inlineStr">
        <is>
          <t>Семья</t>
        </is>
      </c>
      <c r="D9" s="595" t="inlineStr">
        <is>
          <t>Поддержка семейного кино</t>
        </is>
      </c>
      <c r="E9" s="595" t="inlineStr">
        <is>
          <t>Минкультуры РФ</t>
        </is>
      </c>
      <c r="F9" s="595" t="inlineStr">
        <is>
          <t>Слот F07 «Сказка наяву» (семейный), F04 «Последний экзамен»</t>
        </is>
      </c>
      <c r="G9" s="610" t="inlineStr">
        <is>
          <t>2 из 12 фильмов</t>
        </is>
      </c>
    </row>
    <row r="10" ht="32" customHeight="1" s="468">
      <c r="B10" s="318" t="n">
        <v>2</v>
      </c>
      <c r="C10" s="595" t="inlineStr">
        <is>
          <t>Молодёжь и дети</t>
        </is>
      </c>
      <c r="D10" s="595" t="inlineStr">
        <is>
          <t>Воспитание патриотизма через культуру</t>
        </is>
      </c>
      <c r="E10" s="595" t="inlineStr">
        <is>
          <t>Минкультуры РФ / Росмолодёжь</t>
        </is>
      </c>
      <c r="F10" s="595" t="inlineStr">
        <is>
          <t>Слот F01 «Родные стены», F06 «Красная заря» (исторический)</t>
        </is>
      </c>
      <c r="G10" s="610" t="inlineStr">
        <is>
          <t>2 из 12 фильмов</t>
        </is>
      </c>
    </row>
    <row r="11" ht="32" customHeight="1" s="468">
      <c r="B11" s="318" t="n">
        <v>3</v>
      </c>
      <c r="C11" s="595" t="inlineStr">
        <is>
          <t>Культура</t>
        </is>
      </c>
      <c r="D11" s="595" t="inlineStr">
        <is>
          <t>Развитие отечественного кинематографа</t>
        </is>
      </c>
      <c r="E11" s="595" t="inlineStr">
        <is>
          <t>Минкультуры РФ / Фонд кино</t>
        </is>
      </c>
      <c r="F11" s="595" t="inlineStr">
        <is>
          <t>Весь портфель (12 фильмов), объём 1 850 млн ₽</t>
        </is>
      </c>
      <c r="G11" s="610" t="inlineStr">
        <is>
          <t>12/12 фильмов</t>
        </is>
      </c>
    </row>
    <row r="12" ht="32" customHeight="1" s="468">
      <c r="B12" s="318" t="n">
        <v>4</v>
      </c>
      <c r="C12" s="595" t="inlineStr">
        <is>
          <t>Экономика данных</t>
        </is>
      </c>
      <c r="D12" s="595" t="inlineStr">
        <is>
          <t>Цифровизация креативных индустрий</t>
        </is>
      </c>
      <c r="E12" s="595" t="inlineStr">
        <is>
          <t>Минцифры РФ</t>
        </is>
      </c>
      <c r="F12" s="595" t="inlineStr">
        <is>
          <t>Digital (Цифровой) distribution (распределение), VFX (визуальные эффекты)-pipelines, SaaS-аналитика</t>
        </is>
      </c>
      <c r="G12" s="610" t="inlineStr">
        <is>
          <t>Инфраструктура</t>
        </is>
      </c>
    </row>
    <row r="13" ht="32" customHeight="1" s="468">
      <c r="B13" s="318" t="n">
        <v>5</v>
      </c>
      <c r="C13" s="595" t="inlineStr">
        <is>
          <t>Кадры</t>
        </is>
      </c>
      <c r="D13" s="595" t="inlineStr">
        <is>
          <t>Подготовка кадров креативной индустрии</t>
        </is>
      </c>
      <c r="E13" s="595" t="inlineStr">
        <is>
          <t>Минобрнауки РФ / ВГИК</t>
        </is>
      </c>
      <c r="F13" s="595" t="inlineStr">
        <is>
          <t>Стажировки от 40 чел/год, партнёрство с ВГИК, МШНК</t>
        </is>
      </c>
      <c r="G13" s="610" t="inlineStr">
        <is>
          <t>40+ стажёров</t>
        </is>
      </c>
    </row>
    <row r="14" ht="32" customHeight="1" s="468">
      <c r="B14" s="318" t="n">
        <v>6</v>
      </c>
      <c r="C14" s="595" t="inlineStr">
        <is>
          <t>Международная кооперация</t>
        </is>
      </c>
      <c r="D14" s="595" t="inlineStr">
        <is>
          <t>Экспорт культуры и контента</t>
        </is>
      </c>
      <c r="E14" s="595" t="inlineStr">
        <is>
          <t>Минкультуры РФ / Россотрудничество</t>
        </is>
      </c>
      <c r="F14" s="595" t="inlineStr">
        <is>
          <t>Копродукция с СНГ/БРИКС/ОАЭ, фестивали</t>
        </is>
      </c>
      <c r="G14" s="610" t="inlineStr">
        <is>
          <t>3-4 копродукции</t>
        </is>
      </c>
    </row>
    <row r="17" ht="16" customHeight="1" s="468">
      <c r="B17" s="557" t="inlineStr">
        <is>
          <t>II. KPI (ключевые показатели) ДЛЯ ГОСПОДДЕРЖКИ (Минкультуры / Фонд кино / ИРИ)</t>
        </is>
      </c>
    </row>
    <row r="19">
      <c r="B19" s="555" t="inlineStr">
        <is>
          <t>#</t>
        </is>
      </c>
      <c r="C19" s="555" t="inlineStr">
        <is>
          <t>Показатель</t>
        </is>
      </c>
      <c r="D19" s="555" t="inlineStr">
        <is>
          <t>План 2026</t>
        </is>
      </c>
      <c r="E19" s="555" t="inlineStr">
        <is>
          <t>План 2027</t>
        </is>
      </c>
      <c r="F19" s="555" t="inlineStr">
        <is>
          <t>План 2028</t>
        </is>
      </c>
      <c r="G19" s="555" t="inlineStr">
        <is>
          <t>Цель 3Y</t>
        </is>
      </c>
      <c r="H19" s="555" t="inlineStr">
        <is>
          <t>Единица</t>
        </is>
      </c>
      <c r="I19" s="555" t="inlineStr">
        <is>
          <t>Источник</t>
        </is>
      </c>
      <c r="J19" s="555" t="inlineStr">
        <is>
          <t>Методика расчёта</t>
        </is>
      </c>
    </row>
    <row r="20" ht="28" customHeight="1" s="468">
      <c r="B20" s="318" t="n">
        <v>1</v>
      </c>
      <c r="C20" s="314" t="inlineStr">
        <is>
          <t>Количество релизов</t>
        </is>
      </c>
      <c r="D20" s="315" t="n">
        <v>3</v>
      </c>
      <c r="E20" s="315" t="n">
        <v>5</v>
      </c>
      <c r="F20" s="315" t="n">
        <v>4</v>
      </c>
      <c r="G20" s="332" t="n">
        <v>12</v>
      </c>
      <c r="H20" s="610" t="inlineStr">
        <is>
          <t>шт</t>
        </is>
      </c>
      <c r="I20" s="333" t="inlineStr">
        <is>
          <t>Фонд кино</t>
        </is>
      </c>
      <c r="J20" s="322" t="inlineStr">
        <is>
          <t>Фактические премьеры в широком прокате</t>
        </is>
      </c>
    </row>
    <row r="21" ht="28" customHeight="1" s="468">
      <c r="B21" s="318" t="n">
        <v>2</v>
      </c>
      <c r="C21" s="314" t="inlineStr">
        <is>
          <t>Количество зрителей</t>
        </is>
      </c>
      <c r="D21" s="315" t="n">
        <v>4.5</v>
      </c>
      <c r="E21" s="315" t="n">
        <v>12.5</v>
      </c>
      <c r="F21" s="315" t="n">
        <v>13</v>
      </c>
      <c r="G21" s="332" t="n">
        <v>30</v>
      </c>
      <c r="H21" s="610" t="inlineStr">
        <is>
          <t>млн чел</t>
        </is>
      </c>
      <c r="I21" s="333" t="inlineStr">
        <is>
          <t>ЕАИС</t>
        </is>
      </c>
      <c r="J21" s="322" t="inlineStr">
        <is>
          <t>Билеты + просмотры &gt;30 мин</t>
        </is>
      </c>
    </row>
    <row r="22" ht="28" customHeight="1" s="468">
      <c r="B22" s="318" t="n">
        <v>3</v>
      </c>
      <c r="C22" s="314" t="inlineStr">
        <is>
          <t>Средняя заполняемость залов</t>
        </is>
      </c>
      <c r="D22" s="315" t="n">
        <v>22</v>
      </c>
      <c r="E22" s="315" t="n">
        <v>28</v>
      </c>
      <c r="F22" s="315" t="n">
        <v>30</v>
      </c>
      <c r="G22" s="332" t="n">
        <v>27</v>
      </c>
      <c r="H22" s="610" t="inlineStr">
        <is>
          <t>%</t>
        </is>
      </c>
      <c r="I22" s="333" t="inlineStr">
        <is>
          <t>ЕАИС</t>
        </is>
      </c>
      <c r="J22" s="322" t="inlineStr">
        <is>
          <t>Attendance (Посещаемость) / seats × 100%</t>
        </is>
      </c>
    </row>
    <row r="23" ht="28" customHeight="1" s="468">
      <c r="B23" s="318" t="n">
        <v>4</v>
      </c>
      <c r="C23" s="314" t="inlineStr">
        <is>
          <t>Сборы от проката</t>
        </is>
      </c>
      <c r="D23" s="315" t="n">
        <v>400</v>
      </c>
      <c r="E23" s="315" t="n">
        <v>1320</v>
      </c>
      <c r="F23" s="315" t="n">
        <v>1100</v>
      </c>
      <c r="G23" s="332" t="n">
        <v>2820</v>
      </c>
      <c r="H23" s="610" t="inlineStr">
        <is>
          <t>млн ₽</t>
        </is>
      </c>
      <c r="I23" s="333" t="inlineStr">
        <is>
          <t>ЕАИС</t>
        </is>
      </c>
      <c r="J23" s="322" t="inlineStr">
        <is>
          <t>Box-office (кассовые сборы) РФ (ЕАИС)</t>
        </is>
      </c>
    </row>
    <row r="24" ht="28" customHeight="1" s="468">
      <c r="B24" s="318" t="n">
        <v>5</v>
      </c>
      <c r="C24" s="314" t="inlineStr">
        <is>
          <t>Рабочие места (ФОТ)</t>
        </is>
      </c>
      <c r="D24" s="315" t="n">
        <v>180</v>
      </c>
      <c r="E24" s="315" t="n">
        <v>320</v>
      </c>
      <c r="F24" s="315" t="n">
        <v>280</v>
      </c>
      <c r="G24" s="332" t="n">
        <v>260</v>
      </c>
      <c r="H24" s="610" t="inlineStr">
        <is>
          <t>чел/год</t>
        </is>
      </c>
      <c r="I24" s="333" t="inlineStr">
        <is>
          <t>Внутр. отчёт</t>
        </is>
      </c>
      <c r="J24" s="322" t="inlineStr">
        <is>
          <t>Среднесписочная, включая фриланс</t>
        </is>
      </c>
    </row>
    <row r="25" ht="28" customHeight="1" s="468">
      <c r="B25" s="318" t="n">
        <v>6</v>
      </c>
      <c r="C25" s="314" t="inlineStr">
        <is>
          <t>Объём налоговых отчислений</t>
        </is>
      </c>
      <c r="D25" s="315" t="n">
        <v>55</v>
      </c>
      <c r="E25" s="315" t="n">
        <v>185</v>
      </c>
      <c r="F25" s="315" t="n">
        <v>178</v>
      </c>
      <c r="G25" s="332" t="n">
        <v>418</v>
      </c>
      <c r="H25" s="610" t="inlineStr">
        <is>
          <t>млн ₽</t>
        </is>
      </c>
      <c r="I25" s="333" t="inlineStr">
        <is>
          <t>ФНС</t>
        </is>
      </c>
      <c r="J25" s="322" t="inlineStr">
        <is>
          <t>НДФЛ + соцвзносы + имущ.</t>
        </is>
      </c>
    </row>
    <row r="26" ht="28" customHeight="1" s="468">
      <c r="B26" s="318" t="n">
        <v>7</v>
      </c>
      <c r="C26" s="314" t="inlineStr">
        <is>
          <t>Доля отечественного контента</t>
        </is>
      </c>
      <c r="D26" s="315" t="n">
        <v>100</v>
      </c>
      <c r="E26" s="315" t="n">
        <v>100</v>
      </c>
      <c r="F26" s="315" t="n">
        <v>100</v>
      </c>
      <c r="G26" s="332" t="n">
        <v>100</v>
      </c>
      <c r="H26" s="610" t="inlineStr">
        <is>
          <t>%</t>
        </is>
      </c>
      <c r="I26" s="333" t="inlineStr">
        <is>
          <t>Минкульт</t>
        </is>
      </c>
      <c r="J26" s="322" t="inlineStr">
        <is>
          <t>Российский продюсер, русский язык, российская съёмочная команда</t>
        </is>
      </c>
    </row>
    <row r="27" ht="28" customHeight="1" s="468">
      <c r="B27" s="318" t="n">
        <v>8</v>
      </c>
      <c r="C27" s="314" t="inlineStr">
        <is>
          <t>Экспорт за рубеж</t>
        </is>
      </c>
      <c r="D27" s="315" t="n">
        <v>1</v>
      </c>
      <c r="E27" s="315" t="n">
        <v>3</v>
      </c>
      <c r="F27" s="315" t="n">
        <v>4</v>
      </c>
      <c r="G27" s="332" t="n">
        <v>8</v>
      </c>
      <c r="H27" s="610" t="inlineStr">
        <is>
          <t>фильмов</t>
        </is>
      </c>
      <c r="I27" s="333" t="inlineStr">
        <is>
          <t>Минкульт</t>
        </is>
      </c>
      <c r="J27" s="322" t="inlineStr">
        <is>
          <t>Продажи прав + фестивали</t>
        </is>
      </c>
    </row>
    <row r="28" ht="28" customHeight="1" s="468">
      <c r="B28" s="318" t="n">
        <v>9</v>
      </c>
      <c r="C28" s="314" t="inlineStr">
        <is>
          <t>Субсидии / гранты привлечено</t>
        </is>
      </c>
      <c r="D28" s="315" t="n">
        <v>280</v>
      </c>
      <c r="E28" s="315" t="n">
        <v>420</v>
      </c>
      <c r="F28" s="315" t="n">
        <v>340</v>
      </c>
      <c r="G28" s="332" t="n">
        <v>1040</v>
      </c>
      <c r="H28" s="610" t="inlineStr">
        <is>
          <t>млн ₽</t>
        </is>
      </c>
      <c r="I28" s="333" t="inlineStr">
        <is>
          <t>Фонд кино</t>
        </is>
      </c>
      <c r="J28" s="322" t="inlineStr">
        <is>
          <t>ФКП + ИРИ + Минкульт</t>
        </is>
      </c>
    </row>
    <row r="29" ht="28" customHeight="1" s="468">
      <c r="B29" s="318" t="n">
        <v>10</v>
      </c>
      <c r="C29" s="314" t="inlineStr">
        <is>
          <t>Возвратность господдержки</t>
        </is>
      </c>
      <c r="D29" s="315" t="n">
        <v>15</v>
      </c>
      <c r="E29" s="315" t="n">
        <v>25</v>
      </c>
      <c r="F29" s="315" t="n">
        <v>35</v>
      </c>
      <c r="G29" s="332" t="n">
        <v>25</v>
      </c>
      <c r="H29" s="610" t="inlineStr">
        <is>
          <t>%</t>
        </is>
      </c>
      <c r="I29" s="333" t="inlineStr">
        <is>
          <t>Фонд кино</t>
        </is>
      </c>
      <c r="J29" s="322" t="inlineStr">
        <is>
          <t>Доля возвращаемых грантов по 1215/2013</t>
        </is>
      </c>
    </row>
    <row r="32" ht="16" customHeight="1" s="468">
      <c r="B32" s="557" t="inlineStr">
        <is>
          <t>III. СТРУКТУРА ГОСПОДДЕРЖКИ (ожидаемое привлечение 2026–2028)</t>
        </is>
      </c>
    </row>
    <row r="34">
      <c r="B34" s="555" t="inlineStr">
        <is>
          <t>#</t>
        </is>
      </c>
      <c r="C34" s="555" t="inlineStr">
        <is>
          <t>Источник</t>
        </is>
      </c>
      <c r="D34" s="555" t="inlineStr">
        <is>
          <t>Тип поддержки</t>
        </is>
      </c>
      <c r="E34" s="555" t="inlineStr">
        <is>
          <t>Сумма 3Y (млн ₽)</t>
        </is>
      </c>
      <c r="F34" s="555" t="inlineStr">
        <is>
          <t>Доля</t>
        </is>
      </c>
      <c r="G34" s="555" t="inlineStr">
        <is>
          <t>Условия</t>
        </is>
      </c>
    </row>
    <row r="35">
      <c r="B35" s="318" t="n">
        <v>1</v>
      </c>
      <c r="C35" s="314" t="inlineStr">
        <is>
          <t>Фонд кино</t>
        </is>
      </c>
      <c r="D35" s="595" t="inlineStr">
        <is>
          <t>Безвозвратная субсидия + возвратная часть</t>
        </is>
      </c>
      <c r="E35" s="334" t="n">
        <v>520</v>
      </c>
      <c r="F35" s="335" t="n">
        <v>0.5</v>
      </c>
      <c r="G35" s="322" t="inlineStr">
        <is>
          <t>Пост. Правительства РФ от 31.12.2013 № 1215 (с изм.)</t>
        </is>
      </c>
    </row>
    <row r="36" ht="24" customHeight="1" s="468">
      <c r="B36" s="318" t="n">
        <v>2</v>
      </c>
      <c r="C36" s="314" t="inlineStr">
        <is>
          <t>Минкультуры РФ</t>
        </is>
      </c>
      <c r="D36" s="595" t="inlineStr">
        <is>
          <t>Гранты на производство</t>
        </is>
      </c>
      <c r="E36" s="334" t="n">
        <v>220</v>
      </c>
      <c r="F36" s="335" t="n">
        <v>0.2115384615384615</v>
      </c>
      <c r="G36" s="322" t="inlineStr">
        <is>
          <t>Конкурсный отбор, приоритет — исторический/патриотический контент</t>
        </is>
      </c>
    </row>
    <row r="37" ht="26" customHeight="1" s="468">
      <c r="B37" s="318" t="n">
        <v>3</v>
      </c>
      <c r="C37" s="314" t="inlineStr">
        <is>
          <t>ИРИ (Институт развития интернета)</t>
        </is>
      </c>
      <c r="D37" s="595" t="inlineStr">
        <is>
          <t>Гранты на цифровой контент</t>
        </is>
      </c>
      <c r="E37" s="334" t="n">
        <v>150</v>
      </c>
      <c r="F37" s="335" t="n">
        <v>0.1442307692307692</v>
      </c>
      <c r="G37" s="322" t="inlineStr">
        <is>
          <t>Фонд поддержки контента для молодёжи</t>
        </is>
      </c>
    </row>
    <row r="38">
      <c r="B38" s="318" t="n">
        <v>4</v>
      </c>
      <c r="C38" s="314" t="inlineStr">
        <is>
          <t>Региональные фонды</t>
        </is>
      </c>
      <c r="D38" s="595" t="inlineStr">
        <is>
          <t>Рибейты и налоговые льготы</t>
        </is>
      </c>
      <c r="E38" s="334" t="n">
        <v>90</v>
      </c>
      <c r="F38" s="335" t="n">
        <v>0.08653846153846154</v>
      </c>
      <c r="G38" s="322" t="inlineStr">
        <is>
          <t>Московская обл., СПб, Крым, Татарстан — cashback до 30%</t>
        </is>
      </c>
    </row>
    <row r="39">
      <c r="B39" s="318" t="n">
        <v>5</v>
      </c>
      <c r="C39" s="314" t="inlineStr">
        <is>
          <t>НДС 0%</t>
        </is>
      </c>
      <c r="D39" s="595" t="inlineStr">
        <is>
          <t>Налоговая льгота</t>
        </is>
      </c>
      <c r="E39" s="334" t="n">
        <v>60</v>
      </c>
      <c r="F39" s="335" t="n">
        <v>0.0576923076923077</v>
      </c>
      <c r="G39" s="322" t="inlineStr">
        <is>
          <t>ст. 149 НК РФ — освобождение от НДС услуг в сфере культуры</t>
        </is>
      </c>
    </row>
    <row r="40">
      <c r="B40" s="336" t="inlineStr">
        <is>
          <t>Σ</t>
        </is>
      </c>
      <c r="C40" s="600" t="inlineStr">
        <is>
          <t>ИТОГО ГОСПОДДЕРЖКА</t>
        </is>
      </c>
      <c r="D40" s="320" t="inlineStr">
        <is>
          <t>—</t>
        </is>
      </c>
      <c r="E40" s="337" t="n">
        <v>1040</v>
      </c>
      <c r="F40" s="338" t="n">
        <v>1</v>
      </c>
      <c r="G40" s="293" t="inlineStr">
        <is>
          <t>56% от CAPEX (Капзатраты); остальное — T₁ инвестор + producer equity (доля в капитале)</t>
        </is>
      </c>
    </row>
    <row r="43" ht="16" customHeight="1" s="468">
      <c r="B43" s="557" t="inlineStr">
        <is>
          <t>IV. СОЦИОКУЛЬТУРНОЕ ВОЗДЕЙСТВИЕ</t>
        </is>
      </c>
    </row>
    <row r="45">
      <c r="B45" s="555" t="inlineStr">
        <is>
          <t>#</t>
        </is>
      </c>
      <c r="C45" s="555" t="inlineStr">
        <is>
          <t>Направление</t>
        </is>
      </c>
      <c r="D45" s="555" t="inlineStr">
        <is>
          <t>Описание</t>
        </is>
      </c>
    </row>
    <row r="46" ht="28" customHeight="1" s="468">
      <c r="B46" s="318" t="n">
        <v>1</v>
      </c>
      <c r="C46" s="314" t="inlineStr">
        <is>
          <t>Просвещение через контент</t>
        </is>
      </c>
      <c r="D46" s="595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 s="468">
      <c r="B47" s="318" t="n">
        <v>2</v>
      </c>
      <c r="C47" s="314" t="inlineStr">
        <is>
          <t>Поддержка семейных ценностей</t>
        </is>
      </c>
      <c r="D47" s="595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 s="468">
      <c r="B48" s="318" t="n">
        <v>3</v>
      </c>
      <c r="C48" s="314" t="inlineStr">
        <is>
          <t>Популяризация региона</t>
        </is>
      </c>
      <c r="D48" s="595" t="inlineStr">
        <is>
          <t>Съёмки в Карелии, на Алтае, в Крыму, Татарстане — развитие кинотуризма</t>
        </is>
      </c>
    </row>
    <row r="49" ht="28" customHeight="1" s="468">
      <c r="B49" s="318" t="n">
        <v>4</v>
      </c>
      <c r="C49" s="314" t="inlineStr">
        <is>
          <t>Занятость</t>
        </is>
      </c>
      <c r="D49" s="595" t="inlineStr">
        <is>
          <t>260 рабочих мест/год в среднем, включая фрилансеров; партнёрство с вузами</t>
        </is>
      </c>
    </row>
    <row r="50" ht="28" customHeight="1" s="468">
      <c r="B50" s="318" t="n">
        <v>5</v>
      </c>
      <c r="C50" s="314" t="inlineStr">
        <is>
          <t>Международный имидж РФ</t>
        </is>
      </c>
      <c r="D50" s="595" t="inlineStr">
        <is>
          <t>Фестивали Шанхай, ММКФ, Minsk Fest, Dubai Film Days — экспорт культуры</t>
        </is>
      </c>
    </row>
    <row r="51" ht="28" customHeight="1" s="468">
      <c r="B51" s="318" t="n">
        <v>6</v>
      </c>
      <c r="C51" s="314" t="inlineStr">
        <is>
          <t>Вклад в экосистему</t>
        </is>
      </c>
      <c r="D51" s="595" t="inlineStr">
        <is>
          <t>VFX (визуальные эффекты)-центр, школа актёрского мастерства, продюсерские стажировки</t>
        </is>
      </c>
    </row>
    <row r="52" ht="28" customHeight="1" s="468">
      <c r="B52" s="318" t="n">
        <v>7</v>
      </c>
      <c r="C52" s="314" t="inlineStr">
        <is>
          <t>Сохранение культурного наследия</t>
        </is>
      </c>
      <c r="D52" s="595" t="inlineStr">
        <is>
          <t>Библиотека фильмов, архивы, копродукция с Госфильмофондом</t>
        </is>
      </c>
    </row>
    <row r="55" ht="16" customHeight="1" s="468">
      <c r="B55" s="557" t="inlineStr">
        <is>
          <t>V. REGULATORY COMPLIANCE (РЕГУЛЯТОРНОЕ СООТВЕТСТВИЕ) CHECKLIST</t>
        </is>
      </c>
    </row>
    <row r="57">
      <c r="B57" s="555" t="inlineStr">
        <is>
          <t>#</t>
        </is>
      </c>
      <c r="C57" s="555" t="inlineStr">
        <is>
          <t>Требование</t>
        </is>
      </c>
      <c r="D57" s="555" t="inlineStr">
        <is>
          <t>Описание</t>
        </is>
      </c>
      <c r="E57" s="555" t="inlineStr">
        <is>
          <t>Регулятор</t>
        </is>
      </c>
      <c r="F57" s="555" t="inlineStr">
        <is>
          <t>Статус</t>
        </is>
      </c>
    </row>
    <row r="58" ht="26" customHeight="1" s="468">
      <c r="B58" s="318" t="n">
        <v>1</v>
      </c>
      <c r="C58" s="314" t="inlineStr">
        <is>
          <t>Лицензия на прокат</t>
        </is>
      </c>
      <c r="D58" s="322" t="inlineStr">
        <is>
          <t>Удостоверение национального фильма (УНФ)</t>
        </is>
      </c>
      <c r="E58" s="333" t="inlineStr">
        <is>
          <t>Минкультуры РФ</t>
        </is>
      </c>
      <c r="F58" s="339" t="inlineStr">
        <is>
          <t>✓ до релиза</t>
        </is>
      </c>
    </row>
    <row r="59" ht="26" customHeight="1" s="468">
      <c r="B59" s="318" t="n">
        <v>2</v>
      </c>
      <c r="C59" s="314" t="inlineStr">
        <is>
          <t>Возрастной рейтинг</t>
        </is>
      </c>
      <c r="D59" s="322" t="inlineStr">
        <is>
          <t>Категория 0+/6+/12+/16+/18+</t>
        </is>
      </c>
      <c r="E59" s="333" t="inlineStr">
        <is>
          <t>Минкультуры РФ</t>
        </is>
      </c>
      <c r="F59" s="339" t="inlineStr">
        <is>
          <t>✓ до релиза</t>
        </is>
      </c>
    </row>
    <row r="60" ht="26" customHeight="1" s="468">
      <c r="B60" s="318" t="n">
        <v>3</v>
      </c>
      <c r="C60" s="314" t="inlineStr">
        <is>
          <t>НДС 0%</t>
        </is>
      </c>
      <c r="D60" s="322" t="inlineStr">
        <is>
          <t>Подтверждение льготы по ст. 149 НК РФ</t>
        </is>
      </c>
      <c r="E60" s="333" t="inlineStr">
        <is>
          <t>ФНС</t>
        </is>
      </c>
      <c r="F60" s="339" t="inlineStr">
        <is>
          <t>✓ квартально</t>
        </is>
      </c>
    </row>
    <row r="61" ht="26" customHeight="1" s="468">
      <c r="B61" s="318" t="n">
        <v>4</v>
      </c>
      <c r="C61" s="314" t="inlineStr">
        <is>
          <t>Авторские права</t>
        </is>
      </c>
      <c r="D61" s="322" t="inlineStr">
        <is>
          <t>Регистрация в РАО/РСП/ВОИС, договоры с авторами</t>
        </is>
      </c>
      <c r="E61" s="333" t="inlineStr">
        <is>
          <t>РАО, ВОИС</t>
        </is>
      </c>
      <c r="F61" s="339" t="inlineStr">
        <is>
          <t>✓ до съёмок</t>
        </is>
      </c>
    </row>
    <row r="62" ht="26" customHeight="1" s="468">
      <c r="B62" s="318" t="n">
        <v>5</v>
      </c>
      <c r="C62" s="314" t="inlineStr">
        <is>
          <t>Договоры с актёрами</t>
        </is>
      </c>
      <c r="D62" s="322" t="inlineStr">
        <is>
          <t>ТД + имидж-права + морал райтс</t>
        </is>
      </c>
      <c r="E62" s="333" t="inlineStr">
        <is>
          <t>Минтруд РФ</t>
        </is>
      </c>
      <c r="F62" s="339" t="inlineStr">
        <is>
          <t>✓ до съёмок</t>
        </is>
      </c>
    </row>
    <row r="63" ht="26" customHeight="1" s="468">
      <c r="B63" s="318" t="n">
        <v>6</v>
      </c>
      <c r="C63" s="314" t="inlineStr">
        <is>
          <t>Съёмочные разрешения</t>
        </is>
      </c>
      <c r="D63" s="322" t="inlineStr">
        <is>
          <t>Разрешения на съёмки в госучреждениях</t>
        </is>
      </c>
      <c r="E63" s="333" t="inlineStr">
        <is>
          <t>Минкульт, регионы</t>
        </is>
      </c>
      <c r="F63" s="339" t="inlineStr">
        <is>
          <t>✓ до съёмок</t>
        </is>
      </c>
    </row>
    <row r="64" ht="26" customHeight="1" s="468">
      <c r="B64" s="318" t="n">
        <v>7</v>
      </c>
      <c r="C64" s="314" t="inlineStr">
        <is>
          <t>Страхование</t>
        </is>
      </c>
      <c r="D64" s="322" t="inlineStr">
        <is>
          <t>Completion bond, страхование членов группы</t>
        </is>
      </c>
      <c r="E64" s="333" t="inlineStr">
        <is>
          <t>ФКП + частные</t>
        </is>
      </c>
      <c r="F64" s="339" t="inlineStr">
        <is>
          <t>✓ до съёмок</t>
        </is>
      </c>
    </row>
    <row r="65" ht="26" customHeight="1" s="468">
      <c r="B65" s="318" t="n">
        <v>8</v>
      </c>
      <c r="C65" s="314" t="inlineStr">
        <is>
          <t>Отчётность в ФКП</t>
        </is>
      </c>
      <c r="D65" s="322" t="inlineStr">
        <is>
          <t>Ежеквартальная отчётность + финальная</t>
        </is>
      </c>
      <c r="E65" s="333" t="inlineStr">
        <is>
          <t>Фонд кино</t>
        </is>
      </c>
      <c r="F65" s="339" t="inlineStr">
        <is>
          <t>✓ квартально</t>
        </is>
      </c>
    </row>
    <row r="66" ht="26" customHeight="1" s="468">
      <c r="B66" s="318" t="n">
        <v>9</v>
      </c>
      <c r="C66" s="314" t="inlineStr">
        <is>
          <t>Охрана труда</t>
        </is>
      </c>
      <c r="D66" s="322" t="inlineStr">
        <is>
          <t>Техника безопасности на площадке</t>
        </is>
      </c>
      <c r="E66" s="333" t="inlineStr">
        <is>
          <t>Росинспекция</t>
        </is>
      </c>
      <c r="F66" s="339" t="inlineStr">
        <is>
          <t>✓ на площадке</t>
        </is>
      </c>
    </row>
    <row r="67" ht="26" customHeight="1" s="468">
      <c r="B67" s="318" t="n">
        <v>10</v>
      </c>
      <c r="C67" s="314" t="inlineStr">
        <is>
          <t>ФЗ-152 о персональных данных</t>
        </is>
      </c>
      <c r="D67" s="322" t="inlineStr">
        <is>
          <t>Согласия актёров, статистов, зрителей</t>
        </is>
      </c>
      <c r="E67" s="333" t="inlineStr">
        <is>
          <t>Роскомнадзор</t>
        </is>
      </c>
      <c r="F67" s="339" t="inlineStr">
        <is>
          <t>✓ непрерывно</t>
        </is>
      </c>
    </row>
    <row r="70" ht="16" customHeight="1" s="468">
      <c r="B70" s="319" t="inlineStr">
        <is>
          <t>VI. ИСТОЧНИКИ</t>
        </is>
      </c>
    </row>
    <row r="72">
      <c r="B72" s="595" t="inlineStr">
        <is>
          <t>• Указ Президента РФ № 309 от 07.05.2024 «О национальных целях развития РФ на период до 2030 года»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66" t="n"/>
    </row>
    <row r="73">
      <c r="B73" s="595" t="inlineStr">
        <is>
          <t>• Постановление Правительства РФ № 1215 от 31.12.2013 «О предоставлении субсидий Фонду кино»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66" t="n"/>
    </row>
    <row r="74">
      <c r="B74" s="595" t="inlineStr">
        <is>
          <t>• Национальный проект «Культура» (паспорт 2019–2024, продление 2025–2030)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66" t="n"/>
    </row>
    <row r="75">
      <c r="B75" s="595" t="inlineStr">
        <is>
          <t>• Нацпроект «Семья» 2025–2030 (приоритеты Минкультуры)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66" t="n"/>
    </row>
    <row r="76">
      <c r="B76" s="595" t="inlineStr">
        <is>
          <t>• Налоговый кодекс РФ, ст. 149 (льготы по НДС для кинопроизводства)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66" t="n"/>
    </row>
    <row r="77">
      <c r="B77" s="595" t="inlineStr">
        <is>
          <t>• Кремлин.ру — публикации о культурной политике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66" t="n"/>
    </row>
    <row r="78">
      <c r="B78" s="595" t="inlineStr">
        <is>
          <t>• ТАСС — новости Минкультуры и Фонда кино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66" t="n"/>
    </row>
    <row r="79">
      <c r="B79" s="595" t="inlineStr">
        <is>
          <t>• Официальный сайт Минкультуры РФ (culture.gov.ru)</t>
        </is>
      </c>
      <c r="C79" s="473" t="n"/>
      <c r="D79" s="473" t="n"/>
      <c r="E79" s="473" t="n"/>
      <c r="F79" s="473" t="n"/>
      <c r="G79" s="473" t="n"/>
      <c r="H79" s="473" t="n"/>
      <c r="I79" s="473" t="n"/>
      <c r="J79" s="473" t="n"/>
      <c r="K79" s="466" t="n"/>
    </row>
    <row r="80">
      <c r="B80" s="595" t="inlineStr">
        <is>
          <t>• Единая автоматизированная информационная система (ЕАИС) Фонда кино</t>
        </is>
      </c>
      <c r="C80" s="473" t="n"/>
      <c r="D80" s="473" t="n"/>
      <c r="E80" s="473" t="n"/>
      <c r="F80" s="473" t="n"/>
      <c r="G80" s="473" t="n"/>
      <c r="H80" s="473" t="n"/>
      <c r="I80" s="473" t="n"/>
      <c r="J80" s="473" t="n"/>
      <c r="K80" s="466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468" min="2" max="4"/>
    <col width="14" customWidth="1" style="468" min="5" max="8"/>
    <col width="9" customWidth="1" style="468" min="9" max="19"/>
  </cols>
  <sheetData>
    <row r="2" ht="21" customHeight="1" s="468">
      <c r="B2" s="835" t="inlineStr">
        <is>
          <t>НАЛОГОВЫЙ КАЛЕНДАРЬ — НАЛОГОВЫЙ КАЛЕНДАРЬ 2026–2032</t>
        </is>
      </c>
    </row>
    <row r="4">
      <c r="B4" s="767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 ht="16" customHeight="1" s="468">
      <c r="B6" s="557" t="inlineStr">
        <is>
          <t>I. ПРИМЕНИМЫЕ НАЛОГИ И СТАВКИ (НК РФ)</t>
        </is>
      </c>
    </row>
    <row r="8">
      <c r="B8" s="555" t="inlineStr">
        <is>
          <t>#</t>
        </is>
      </c>
      <c r="C8" s="555" t="inlineStr">
        <is>
          <t>Налог</t>
        </is>
      </c>
      <c r="D8" s="555" t="inlineStr">
        <is>
          <t>База</t>
        </is>
      </c>
      <c r="E8" s="555" t="inlineStr">
        <is>
          <t>Ставка 2026</t>
        </is>
      </c>
      <c r="F8" s="555" t="inlineStr">
        <is>
          <t>Ставка 2028</t>
        </is>
      </c>
      <c r="G8" s="555" t="inlineStr">
        <is>
          <t>Статья НК</t>
        </is>
      </c>
      <c r="H8" s="555" t="inlineStr">
        <is>
          <t>Комментарий</t>
        </is>
      </c>
    </row>
    <row r="9" ht="32" customHeight="1" s="468">
      <c r="B9" s="318" t="n">
        <v>1</v>
      </c>
      <c r="C9" s="595" t="inlineStr">
        <is>
          <t>Налог на прибыль</t>
        </is>
      </c>
      <c r="D9" s="595" t="inlineStr">
        <is>
          <t>Прибыль до налогообложения</t>
        </is>
      </c>
      <c r="E9" s="610" t="inlineStr">
        <is>
          <t>20% (17% регион + 3% фед.)</t>
        </is>
      </c>
      <c r="F9" s="610" t="inlineStr">
        <is>
          <t>20% (17/3)</t>
        </is>
      </c>
      <c r="G9" s="610" t="inlineStr">
        <is>
          <t>ст. 284</t>
        </is>
      </c>
      <c r="H9" s="322" t="inlineStr">
        <is>
          <t>Основная ставка, льготы для КИК</t>
        </is>
      </c>
    </row>
    <row r="10" ht="32" customHeight="1" s="468">
      <c r="B10" s="318" t="n">
        <v>2</v>
      </c>
      <c r="C10" s="595" t="inlineStr">
        <is>
          <t>НДС</t>
        </is>
      </c>
      <c r="D10" s="595" t="inlineStr">
        <is>
          <t>Услуги кинопроизводства</t>
        </is>
      </c>
      <c r="E10" s="610" t="inlineStr">
        <is>
          <t>0% (кино)</t>
        </is>
      </c>
      <c r="F10" s="610" t="inlineStr">
        <is>
          <t>0% (кино)</t>
        </is>
      </c>
      <c r="G10" s="610" t="inlineStr">
        <is>
          <t>ст. 149 п.20</t>
        </is>
      </c>
      <c r="H10" s="322" t="inlineStr">
        <is>
          <t>Освобождение: производство + прокат нац. фильмов с УНФ</t>
        </is>
      </c>
    </row>
    <row r="11" ht="32" customHeight="1" s="468">
      <c r="B11" s="318" t="n">
        <v>3</v>
      </c>
      <c r="C11" s="595" t="inlineStr">
        <is>
          <t>Страховые взносы</t>
        </is>
      </c>
      <c r="D11" s="595" t="inlineStr">
        <is>
          <t>ФОТ</t>
        </is>
      </c>
      <c r="E11" s="610" t="inlineStr">
        <is>
          <t>30.2% (ОПС+ОМС+ОСС)</t>
        </is>
      </c>
      <c r="F11" s="610" t="inlineStr">
        <is>
          <t>30.2%</t>
        </is>
      </c>
      <c r="G11" s="610" t="inlineStr">
        <is>
          <t>НК гл. 34</t>
        </is>
      </c>
      <c r="H11" s="322" t="inlineStr">
        <is>
          <t>Стандартный тариф, возможны льготы для IT-аккредитации</t>
        </is>
      </c>
    </row>
    <row r="12" ht="32" customHeight="1" s="468">
      <c r="B12" s="318" t="n">
        <v>4</v>
      </c>
      <c r="C12" s="595" t="inlineStr">
        <is>
          <t>НДФЛ (штатные)</t>
        </is>
      </c>
      <c r="D12" s="595" t="inlineStr">
        <is>
          <t>ФОТ штатных</t>
        </is>
      </c>
      <c r="E12" s="610" t="inlineStr">
        <is>
          <t>13% / 15%</t>
        </is>
      </c>
      <c r="F12" s="610" t="inlineStr">
        <is>
          <t>13% / 15%</t>
        </is>
      </c>
      <c r="G12" s="610" t="inlineStr">
        <is>
          <t>ст. 224</t>
        </is>
      </c>
      <c r="H12" s="322" t="inlineStr">
        <is>
          <t>15% с превышения 5 млн ₽/год</t>
        </is>
      </c>
    </row>
    <row r="13" ht="32" customHeight="1" s="468">
      <c r="B13" s="318" t="n">
        <v>5</v>
      </c>
      <c r="C13" s="595" t="inlineStr">
        <is>
          <t>НДФЛ (фриланс GPH)</t>
        </is>
      </c>
      <c r="D13" s="595" t="inlineStr">
        <is>
          <t>Выплаты по ГПХ</t>
        </is>
      </c>
      <c r="E13" s="610" t="inlineStr">
        <is>
          <t>13%</t>
        </is>
      </c>
      <c r="F13" s="610" t="inlineStr">
        <is>
          <t>13%</t>
        </is>
      </c>
      <c r="G13" s="610" t="inlineStr">
        <is>
          <t>ст. 224</t>
        </is>
      </c>
      <c r="H13" s="322" t="inlineStr">
        <is>
          <t>Удерживается при выплате</t>
        </is>
      </c>
    </row>
    <row r="14" ht="32" customHeight="1" s="468">
      <c r="B14" s="318" t="n">
        <v>6</v>
      </c>
      <c r="C14" s="595" t="inlineStr">
        <is>
          <t>Налог на имущество</t>
        </is>
      </c>
      <c r="D14" s="595" t="inlineStr">
        <is>
          <t>Стоимость ОС</t>
        </is>
      </c>
      <c r="E14" s="610" t="inlineStr">
        <is>
          <t>2.2% (регион)</t>
        </is>
      </c>
      <c r="F14" s="610" t="inlineStr">
        <is>
          <t>2.2%</t>
        </is>
      </c>
      <c r="G14" s="610" t="inlineStr">
        <is>
          <t>ст. 380</t>
        </is>
      </c>
      <c r="H14" s="322" t="inlineStr">
        <is>
          <t>Московская область + СПб</t>
        </is>
      </c>
    </row>
    <row r="15" ht="32" customHeight="1" s="468">
      <c r="B15" s="318" t="n">
        <v>7</v>
      </c>
      <c r="C15" s="595" t="inlineStr">
        <is>
          <t>Транспортный налог</t>
        </is>
      </c>
      <c r="D15" s="595" t="inlineStr">
        <is>
          <t>Авто, техника</t>
        </is>
      </c>
      <c r="E15" s="610" t="inlineStr">
        <is>
          <t>Регион. ставки</t>
        </is>
      </c>
      <c r="F15" s="610" t="inlineStr">
        <is>
          <t>Регион. ставки</t>
        </is>
      </c>
      <c r="G15" s="610" t="inlineStr">
        <is>
          <t>ст. 361</t>
        </is>
      </c>
      <c r="H15" s="322" t="inlineStr">
        <is>
          <t>Для съёмочной техники</t>
        </is>
      </c>
    </row>
    <row r="16" ht="32" customHeight="1" s="468">
      <c r="B16" s="318" t="n">
        <v>8</v>
      </c>
      <c r="C16" s="595" t="inlineStr">
        <is>
          <t>Земельный налог</t>
        </is>
      </c>
      <c r="D16" s="595" t="inlineStr">
        <is>
          <t>Участки под студии</t>
        </is>
      </c>
      <c r="E16" s="610" t="inlineStr">
        <is>
          <t>0.3%-1.5%</t>
        </is>
      </c>
      <c r="F16" s="610" t="inlineStr">
        <is>
          <t>0.3%-1.5%</t>
        </is>
      </c>
      <c r="G16" s="610" t="inlineStr">
        <is>
          <t>ст. 394</t>
        </is>
      </c>
      <c r="H16" s="322" t="inlineStr">
        <is>
          <t>Для капитальных студий</t>
        </is>
      </c>
    </row>
    <row r="17" ht="32" customHeight="1" s="468">
      <c r="B17" s="318" t="n">
        <v>9</v>
      </c>
      <c r="C17" s="595" t="inlineStr">
        <is>
          <t>ЕНВД/УСН</t>
        </is>
      </c>
      <c r="D17" s="595" t="inlineStr">
        <is>
          <t>Упрощёнка для JV (совместное предприятие)</t>
        </is>
      </c>
      <c r="E17" s="610" t="inlineStr">
        <is>
          <t>6% дохода / 15% Д-Р</t>
        </is>
      </c>
      <c r="F17" s="610" t="inlineStr">
        <is>
          <t>6% / 15%</t>
        </is>
      </c>
      <c r="G17" s="610" t="inlineStr">
        <is>
          <t>гл. 26.2</t>
        </is>
      </c>
      <c r="H17" s="322" t="inlineStr">
        <is>
          <t>Не применим — обороты &gt;450 млн ₽</t>
        </is>
      </c>
    </row>
    <row r="20" ht="16" customHeight="1" s="468">
      <c r="B20" s="557" t="inlineStr">
        <is>
          <t>II. НАЛОГОВЫЙ КАЛЕНДАРЬ 2026–2028 (поквартально, млн ₽)</t>
        </is>
      </c>
    </row>
    <row r="22">
      <c r="B22" s="555" t="inlineStr">
        <is>
          <t>Налог</t>
        </is>
      </c>
      <c r="C22" s="555" t="inlineStr">
        <is>
          <t>Q1'26</t>
        </is>
      </c>
      <c r="D22" s="555" t="inlineStr">
        <is>
          <t>Q2'26</t>
        </is>
      </c>
      <c r="E22" s="555" t="inlineStr">
        <is>
          <t>Q3'26</t>
        </is>
      </c>
      <c r="F22" s="555" t="inlineStr">
        <is>
          <t>Q4'26</t>
        </is>
      </c>
      <c r="G22" s="555" t="inlineStr">
        <is>
          <t>Q1'27</t>
        </is>
      </c>
      <c r="H22" s="555" t="inlineStr">
        <is>
          <t>Q2'27</t>
        </is>
      </c>
      <c r="I22" s="555" t="inlineStr">
        <is>
          <t>Q3'27</t>
        </is>
      </c>
      <c r="J22" s="555" t="inlineStr">
        <is>
          <t>Q4'27</t>
        </is>
      </c>
      <c r="K22" s="555" t="inlineStr">
        <is>
          <t>Q1'28</t>
        </is>
      </c>
      <c r="L22" s="555" t="inlineStr">
        <is>
          <t>Q2'28</t>
        </is>
      </c>
      <c r="M22" s="555" t="inlineStr">
        <is>
          <t>Q3'28</t>
        </is>
      </c>
      <c r="N22" s="555" t="inlineStr">
        <is>
          <t>Q4'28</t>
        </is>
      </c>
      <c r="O22" s="555" t="inlineStr">
        <is>
          <t>2029</t>
        </is>
      </c>
      <c r="P22" s="555" t="inlineStr">
        <is>
          <t>2030</t>
        </is>
      </c>
      <c r="Q22" s="555" t="inlineStr">
        <is>
          <t>2031</t>
        </is>
      </c>
      <c r="R22" s="555" t="inlineStr">
        <is>
          <t>2032</t>
        </is>
      </c>
      <c r="S22" s="555" t="inlineStr">
        <is>
          <t>Σ</t>
        </is>
      </c>
    </row>
    <row r="23" ht="26" customHeight="1" s="468">
      <c r="B23" s="600" t="inlineStr">
        <is>
          <t>Налог на прибыль (20%)</t>
        </is>
      </c>
      <c r="C23" s="294" t="n">
        <v>2.8</v>
      </c>
      <c r="D23" s="294" t="n">
        <v>3.8</v>
      </c>
      <c r="E23" s="294" t="n">
        <v>7.6</v>
      </c>
      <c r="F23" s="294" t="n">
        <v>22.2</v>
      </c>
      <c r="G23" s="294" t="n">
        <v>17</v>
      </c>
      <c r="H23" s="294" t="n">
        <v>30.3</v>
      </c>
      <c r="I23" s="294" t="n">
        <v>50.1</v>
      </c>
      <c r="J23" s="294" t="n">
        <v>60.1</v>
      </c>
      <c r="K23" s="294" t="n">
        <v>43.5</v>
      </c>
      <c r="L23" s="294" t="n">
        <v>60.5</v>
      </c>
      <c r="M23" s="294" t="n">
        <v>70.5</v>
      </c>
      <c r="N23" s="294" t="n">
        <v>61.5</v>
      </c>
      <c r="O23" s="294" t="n">
        <v>39.7</v>
      </c>
      <c r="P23" s="294" t="n">
        <v>32.2</v>
      </c>
      <c r="Q23" s="294" t="n">
        <v>18.9</v>
      </c>
      <c r="R23" s="294" t="n">
        <v>8.5</v>
      </c>
      <c r="S23" s="291" t="n">
        <v>529.2</v>
      </c>
    </row>
    <row r="24">
      <c r="B24" s="340" t="inlineStr">
        <is>
          <t>НДС (0%, справочно)</t>
        </is>
      </c>
      <c r="C24" s="341" t="n">
        <v>0</v>
      </c>
      <c r="D24" s="341" t="n">
        <v>0</v>
      </c>
      <c r="E24" s="341" t="n">
        <v>0</v>
      </c>
      <c r="F24" s="341" t="n">
        <v>0</v>
      </c>
      <c r="G24" s="341" t="n">
        <v>0</v>
      </c>
      <c r="H24" s="341" t="n">
        <v>0</v>
      </c>
      <c r="I24" s="341" t="n">
        <v>0</v>
      </c>
      <c r="J24" s="341" t="n">
        <v>0</v>
      </c>
      <c r="K24" s="341" t="n">
        <v>0</v>
      </c>
      <c r="L24" s="341" t="n">
        <v>0</v>
      </c>
      <c r="M24" s="341" t="n">
        <v>0</v>
      </c>
      <c r="N24" s="341" t="n">
        <v>0</v>
      </c>
      <c r="O24" s="341" t="n">
        <v>0</v>
      </c>
      <c r="P24" s="341" t="n">
        <v>0</v>
      </c>
      <c r="Q24" s="341" t="n">
        <v>0</v>
      </c>
      <c r="R24" s="341" t="n">
        <v>0</v>
      </c>
      <c r="S24" s="291" t="n">
        <v>0</v>
      </c>
    </row>
    <row r="25" ht="26" customHeight="1" s="468">
      <c r="B25" s="286" t="inlineStr">
        <is>
          <t>Страховые взносы (30.2%)</t>
        </is>
      </c>
      <c r="C25" s="297" t="n">
        <v>6</v>
      </c>
      <c r="D25" s="297" t="n">
        <v>6.6</v>
      </c>
      <c r="E25" s="297" t="n">
        <v>7.5</v>
      </c>
      <c r="F25" s="297" t="n">
        <v>8.5</v>
      </c>
      <c r="G25" s="297" t="n">
        <v>7.9</v>
      </c>
      <c r="H25" s="297" t="n">
        <v>8.5</v>
      </c>
      <c r="I25" s="297" t="n">
        <v>9.1</v>
      </c>
      <c r="J25" s="297" t="n">
        <v>9.699999999999999</v>
      </c>
      <c r="K25" s="297" t="n">
        <v>8.5</v>
      </c>
      <c r="L25" s="297" t="n">
        <v>9.1</v>
      </c>
      <c r="M25" s="297" t="n">
        <v>9.699999999999999</v>
      </c>
      <c r="N25" s="297" t="n">
        <v>9.1</v>
      </c>
      <c r="O25" s="297" t="n">
        <v>3.6</v>
      </c>
      <c r="P25" s="297" t="n">
        <v>3</v>
      </c>
      <c r="Q25" s="297" t="n">
        <v>2.4</v>
      </c>
      <c r="R25" s="297" t="n">
        <v>1.8</v>
      </c>
      <c r="S25" s="291" t="n">
        <v>111</v>
      </c>
    </row>
    <row r="26">
      <c r="B26" s="287" t="inlineStr">
        <is>
          <t>НДФЛ (13-15%)</t>
        </is>
      </c>
      <c r="C26" s="300" t="n">
        <v>2.6</v>
      </c>
      <c r="D26" s="300" t="n">
        <v>2.9</v>
      </c>
      <c r="E26" s="300" t="n">
        <v>3.2</v>
      </c>
      <c r="F26" s="300" t="n">
        <v>3.6</v>
      </c>
      <c r="G26" s="300" t="n">
        <v>3.4</v>
      </c>
      <c r="H26" s="300" t="n">
        <v>3.6</v>
      </c>
      <c r="I26" s="300" t="n">
        <v>3.9</v>
      </c>
      <c r="J26" s="300" t="n">
        <v>4.2</v>
      </c>
      <c r="K26" s="300" t="n">
        <v>3.6</v>
      </c>
      <c r="L26" s="300" t="n">
        <v>3.9</v>
      </c>
      <c r="M26" s="300" t="n">
        <v>4.2</v>
      </c>
      <c r="N26" s="300" t="n">
        <v>3.9</v>
      </c>
      <c r="O26" s="300" t="n">
        <v>1.6</v>
      </c>
      <c r="P26" s="300" t="n">
        <v>1.3</v>
      </c>
      <c r="Q26" s="300" t="n">
        <v>1</v>
      </c>
      <c r="R26" s="300" t="n">
        <v>0.8</v>
      </c>
      <c r="S26" s="291" t="n">
        <v>47.7</v>
      </c>
    </row>
    <row r="27">
      <c r="B27" s="288" t="inlineStr">
        <is>
          <t>Имущество + прочие</t>
        </is>
      </c>
      <c r="C27" s="303" t="n">
        <v>2</v>
      </c>
      <c r="D27" s="303" t="n">
        <v>2</v>
      </c>
      <c r="E27" s="303" t="n">
        <v>2</v>
      </c>
      <c r="F27" s="303" t="n">
        <v>2</v>
      </c>
      <c r="G27" s="303" t="n">
        <v>2</v>
      </c>
      <c r="H27" s="303" t="n">
        <v>2</v>
      </c>
      <c r="I27" s="303" t="n">
        <v>2</v>
      </c>
      <c r="J27" s="303" t="n">
        <v>2</v>
      </c>
      <c r="K27" s="303" t="n">
        <v>2</v>
      </c>
      <c r="L27" s="303" t="n">
        <v>2</v>
      </c>
      <c r="M27" s="303" t="n">
        <v>2</v>
      </c>
      <c r="N27" s="303" t="n">
        <v>2</v>
      </c>
      <c r="O27" s="303" t="n">
        <v>2</v>
      </c>
      <c r="P27" s="303" t="n">
        <v>2</v>
      </c>
      <c r="Q27" s="303" t="n">
        <v>2</v>
      </c>
      <c r="R27" s="303" t="n">
        <v>2</v>
      </c>
      <c r="S27" s="291" t="n">
        <v>32</v>
      </c>
    </row>
    <row r="28">
      <c r="B28" s="619" t="inlineStr">
        <is>
          <t>ИТОГО НАЛОГИ</t>
        </is>
      </c>
      <c r="C28" s="291" t="n">
        <v>13.4</v>
      </c>
      <c r="D28" s="291" t="n">
        <v>15.3</v>
      </c>
      <c r="E28" s="291" t="n">
        <v>20.3</v>
      </c>
      <c r="F28" s="291" t="n">
        <v>36.3</v>
      </c>
      <c r="G28" s="291" t="n">
        <v>30.3</v>
      </c>
      <c r="H28" s="291" t="n">
        <v>44.4</v>
      </c>
      <c r="I28" s="291" t="n">
        <v>65.09999999999999</v>
      </c>
      <c r="J28" s="291" t="n">
        <v>76</v>
      </c>
      <c r="K28" s="291" t="n">
        <v>57.6</v>
      </c>
      <c r="L28" s="291" t="n">
        <v>75.5</v>
      </c>
      <c r="M28" s="291" t="n">
        <v>86.40000000000001</v>
      </c>
      <c r="N28" s="291" t="n">
        <v>76.5</v>
      </c>
      <c r="O28" s="291" t="n">
        <v>46.9</v>
      </c>
      <c r="P28" s="291" t="n">
        <v>38.5</v>
      </c>
      <c r="Q28" s="291" t="n">
        <v>24.3</v>
      </c>
      <c r="R28" s="291" t="n">
        <v>13.1</v>
      </c>
      <c r="S28" s="343" t="n">
        <v>719.9</v>
      </c>
    </row>
    <row r="30" ht="16" customHeight="1" s="468">
      <c r="B30" s="557" t="inlineStr">
        <is>
          <t>III. SUMMARY НАЛОГОВЫХ ОТЧИСЛЕНИЙ</t>
        </is>
      </c>
    </row>
    <row r="32">
      <c r="B32" s="555" t="inlineStr">
        <is>
          <t>Период</t>
        </is>
      </c>
      <c r="C32" s="555" t="inlineStr">
        <is>
          <t>Налог на прибыль</t>
        </is>
      </c>
      <c r="D32" s="555" t="inlineStr">
        <is>
          <t>Страховые</t>
        </is>
      </c>
      <c r="E32" s="555" t="inlineStr">
        <is>
          <t>НДФЛ</t>
        </is>
      </c>
      <c r="F32" s="555" t="inlineStr">
        <is>
          <t>Прочие</t>
        </is>
      </c>
      <c r="G32" s="555" t="inlineStr">
        <is>
          <t>ИТОГО</t>
        </is>
      </c>
      <c r="H32" s="555" t="inlineStr">
        <is>
          <t>% от Revenue (Выручка)</t>
        </is>
      </c>
    </row>
    <row r="33">
      <c r="B33" s="600" t="inlineStr">
        <is>
          <t>3Y (2026-2028)</t>
        </is>
      </c>
      <c r="C33" s="294" t="n">
        <v>429.9</v>
      </c>
      <c r="D33" s="294" t="n">
        <v>100.2</v>
      </c>
      <c r="E33" s="294" t="n">
        <v>43</v>
      </c>
      <c r="F33" s="294" t="n">
        <v>24</v>
      </c>
      <c r="G33" s="291" t="n">
        <v>597.1</v>
      </c>
      <c r="H33" s="295" t="n">
        <v>0.1313751375137514</v>
      </c>
    </row>
    <row r="34">
      <c r="B34" s="287" t="inlineStr">
        <is>
          <t>Tail (Хвостовой период) (2029-2032)</t>
        </is>
      </c>
      <c r="C34" s="300" t="n">
        <v>99.3</v>
      </c>
      <c r="D34" s="300" t="n">
        <v>10.8</v>
      </c>
      <c r="E34" s="300" t="n">
        <v>4.7</v>
      </c>
      <c r="F34" s="300" t="n">
        <v>8</v>
      </c>
      <c r="G34" s="344" t="n">
        <v>122.8</v>
      </c>
      <c r="H34" s="301" t="n">
        <v>0.1169523809523809</v>
      </c>
    </row>
    <row r="35">
      <c r="B35" s="619" t="inlineStr">
        <is>
          <t>7Y ИТОГО</t>
        </is>
      </c>
      <c r="C35" s="345" t="n">
        <v>529.2</v>
      </c>
      <c r="D35" s="345" t="n">
        <v>111</v>
      </c>
      <c r="E35" s="345" t="n">
        <v>47.7</v>
      </c>
      <c r="F35" s="345" t="n">
        <v>32</v>
      </c>
      <c r="G35" s="345" t="n">
        <v>719.9</v>
      </c>
      <c r="H35" s="346" t="n">
        <v>0.128668453976765</v>
      </c>
    </row>
    <row r="38" ht="16" customHeight="1" s="468">
      <c r="B38" s="557" t="inlineStr">
        <is>
          <t>IV.  КЛЮЧЕВЫЕ ВЫВОДЫ</t>
        </is>
      </c>
    </row>
    <row r="40">
      <c r="B40" s="595" t="inlineStr">
        <is>
          <t>1. Общий объём налогов 7Y ≈ 720 млн ₽ (12.9% от Revenue (Выручка))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73" t="n"/>
      <c r="L40" s="473" t="n"/>
      <c r="M40" s="473" t="n"/>
      <c r="N40" s="473" t="n"/>
      <c r="O40" s="473" t="n"/>
      <c r="P40" s="473" t="n"/>
      <c r="Q40" s="473" t="n"/>
      <c r="R40" s="473" t="n"/>
      <c r="S40" s="473" t="n"/>
      <c r="T40" s="466" t="n"/>
    </row>
    <row r="41">
      <c r="B41" s="595" t="inlineStr">
        <is>
          <t>2. 3Y net tax burden ≈ 597 млн ₽, из которых налог на прибыль ~430 млн ₽ (основной)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73" t="n"/>
      <c r="L41" s="473" t="n"/>
      <c r="M41" s="473" t="n"/>
      <c r="N41" s="473" t="n"/>
      <c r="O41" s="473" t="n"/>
      <c r="P41" s="473" t="n"/>
      <c r="Q41" s="473" t="n"/>
      <c r="R41" s="473" t="n"/>
      <c r="S41" s="473" t="n"/>
      <c r="T41" s="466" t="n"/>
    </row>
    <row r="42">
      <c r="B42" s="595" t="inlineStr">
        <is>
          <t>3. НДС 0% — ключевая льгота: экономия ~800 млн ₽ vs стандартная ставка 20%</t>
        </is>
      </c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73" t="n"/>
      <c r="O42" s="473" t="n"/>
      <c r="P42" s="473" t="n"/>
      <c r="Q42" s="473" t="n"/>
      <c r="R42" s="473" t="n"/>
      <c r="S42" s="473" t="n"/>
      <c r="T42" s="466" t="n"/>
    </row>
    <row r="43">
      <c r="B43" s="595" t="inlineStr">
        <is>
          <t>4. Страховые взносы 30.2% — основной cost driver для ФОТ, требует оптимизации через IT-аккредитацию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73" t="n"/>
      <c r="L43" s="473" t="n"/>
      <c r="M43" s="473" t="n"/>
      <c r="N43" s="473" t="n"/>
      <c r="O43" s="473" t="n"/>
      <c r="P43" s="473" t="n"/>
      <c r="Q43" s="473" t="n"/>
      <c r="R43" s="473" t="n"/>
      <c r="S43" s="473" t="n"/>
      <c r="T43" s="466" t="n"/>
    </row>
    <row r="44">
      <c r="B44" s="595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73" t="n"/>
      <c r="L44" s="473" t="n"/>
      <c r="M44" s="473" t="n"/>
      <c r="N44" s="473" t="n"/>
      <c r="O44" s="473" t="n"/>
      <c r="P44" s="473" t="n"/>
      <c r="Q44" s="473" t="n"/>
      <c r="R44" s="473" t="n"/>
      <c r="S44" s="473" t="n"/>
      <c r="T44" s="466" t="n"/>
    </row>
    <row r="45">
      <c r="B45" s="595" t="inlineStr">
        <is>
          <t>6. Рибейты: Московская область 30%, Татарстан 25%, Крым 20% — возможность снизить effective tax rate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73" t="n"/>
      <c r="L45" s="473" t="n"/>
      <c r="M45" s="473" t="n"/>
      <c r="N45" s="473" t="n"/>
      <c r="O45" s="473" t="n"/>
      <c r="P45" s="473" t="n"/>
      <c r="Q45" s="473" t="n"/>
      <c r="R45" s="473" t="n"/>
      <c r="S45" s="473" t="n"/>
      <c r="T45" s="466" t="n"/>
    </row>
    <row r="46">
      <c r="B46" s="595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73" t="n"/>
      <c r="K46" s="473" t="n"/>
      <c r="L46" s="473" t="n"/>
      <c r="M46" s="473" t="n"/>
      <c r="N46" s="473" t="n"/>
      <c r="O46" s="473" t="n"/>
      <c r="P46" s="473" t="n"/>
      <c r="Q46" s="473" t="n"/>
      <c r="R46" s="473" t="n"/>
      <c r="S46" s="473" t="n"/>
      <c r="T46" s="466" t="n"/>
    </row>
    <row r="49" ht="16" customHeight="1" s="468">
      <c r="B49" s="319" t="inlineStr">
        <is>
          <t>V. ИСТОЧНИКИ</t>
        </is>
      </c>
    </row>
    <row r="51">
      <c r="B51" s="595" t="inlineStr">
        <is>
          <t>• Налоговый кодекс РФ, части 1 и 2 (консультантплюс.ру)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73" t="n"/>
      <c r="K51" s="473" t="n"/>
      <c r="L51" s="473" t="n"/>
      <c r="M51" s="473" t="n"/>
      <c r="N51" s="473" t="n"/>
      <c r="O51" s="473" t="n"/>
      <c r="P51" s="473" t="n"/>
      <c r="Q51" s="473" t="n"/>
      <c r="R51" s="473" t="n"/>
      <c r="S51" s="473" t="n"/>
      <c r="T51" s="466" t="n"/>
    </row>
    <row r="52">
      <c r="B52" s="595" t="inlineStr">
        <is>
          <t>• ФНС России — разъяснения по НДС в сфере культуры (nalog.gov.ru)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3" t="n"/>
      <c r="O52" s="473" t="n"/>
      <c r="P52" s="473" t="n"/>
      <c r="Q52" s="473" t="n"/>
      <c r="R52" s="473" t="n"/>
      <c r="S52" s="473" t="n"/>
      <c r="T52" s="466" t="n"/>
    </row>
    <row r="53">
      <c r="B53" s="595" t="inlineStr">
        <is>
          <t>• Минфин РФ — налоговая политика РФ 2024-2026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73" t="n"/>
      <c r="O53" s="473" t="n"/>
      <c r="P53" s="473" t="n"/>
      <c r="Q53" s="473" t="n"/>
      <c r="R53" s="473" t="n"/>
      <c r="S53" s="473" t="n"/>
      <c r="T53" s="466" t="n"/>
    </row>
    <row r="54">
      <c r="B54" s="595" t="inlineStr">
        <is>
          <t>• Федеральный закон № 126-ФЗ «О господдержке кинематографии»</t>
        </is>
      </c>
      <c r="C54" s="473" t="n"/>
      <c r="D54" s="473" t="n"/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73" t="n"/>
      <c r="O54" s="473" t="n"/>
      <c r="P54" s="473" t="n"/>
      <c r="Q54" s="473" t="n"/>
      <c r="R54" s="473" t="n"/>
      <c r="S54" s="473" t="n"/>
      <c r="T54" s="466" t="n"/>
    </row>
    <row r="55">
      <c r="B55" s="595" t="inlineStr">
        <is>
          <t>• Постановление Правительства РФ № 1215/2013 (грантовый механизм)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73" t="n"/>
      <c r="O55" s="473" t="n"/>
      <c r="P55" s="473" t="n"/>
      <c r="Q55" s="473" t="n"/>
      <c r="R55" s="473" t="n"/>
      <c r="S55" s="473" t="n"/>
      <c r="T55" s="466" t="n"/>
    </row>
    <row r="56">
      <c r="B56" s="595" t="inlineStr">
        <is>
          <t>• Приказы ФНС по возмещению НДС 0% для кинопроизводства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73" t="n"/>
      <c r="O56" s="473" t="n"/>
      <c r="P56" s="473" t="n"/>
      <c r="Q56" s="473" t="n"/>
      <c r="R56" s="473" t="n"/>
      <c r="S56" s="473" t="n"/>
      <c r="T56" s="466" t="n"/>
    </row>
  </sheetData>
  <mergeCells count="15">
    <mergeCell ref="B42:T42"/>
    <mergeCell ref="B51:T51"/>
    <mergeCell ref="B45:T45"/>
    <mergeCell ref="B46:T46"/>
    <mergeCell ref="B40:T40"/>
    <mergeCell ref="B56:T56"/>
    <mergeCell ref="B41:T41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" customWidth="1" style="468" min="2" max="2"/>
    <col width="16" customWidth="1" style="468" min="3" max="3"/>
    <col width="50" customWidth="1" style="468" min="4" max="4"/>
    <col width="14" customWidth="1" style="468" min="5" max="5"/>
    <col width="20" customWidth="1" style="468" min="6" max="6"/>
    <col width="7" customWidth="1" style="468" min="7" max="18"/>
  </cols>
  <sheetData>
    <row r="2" ht="21" customHeight="1" s="468">
      <c r="B2" s="835" t="inlineStr">
        <is>
          <t>ROADMAP (ДОРОЖНАЯ КАРТА) 2026–2032 — КЛЮЧЕВЫЕ МИЛЕСТОНЫ</t>
        </is>
      </c>
    </row>
    <row r="4">
      <c r="B4" s="767" t="inlineStr">
        <is>
          <t>Производство slate, фандрайзинг, governance, exit routes. Critical (Критический) path color-coded.</t>
        </is>
      </c>
    </row>
    <row r="6" ht="16" customHeight="1" s="468">
      <c r="B6" s="557" t="inlineStr">
        <is>
          <t>I. PRODUCTION MILESTONES (ПРОИЗВОДСТВЕННЫЕ ВЕХИ) (12 фильмов × 4 фазы: Dev / Shoot / Post / Release (Релиз))</t>
        </is>
      </c>
    </row>
    <row r="8" ht="45" customHeight="1" s="468">
      <c r="B8" s="555" t="inlineStr">
        <is>
          <t>Фильм / Этап</t>
        </is>
      </c>
      <c r="C8" s="555" t="inlineStr">
        <is>
          <t>Q1'26</t>
        </is>
      </c>
      <c r="D8" s="555" t="inlineStr">
        <is>
          <t>Q2'26</t>
        </is>
      </c>
      <c r="E8" s="555" t="inlineStr">
        <is>
          <t>Q3'26</t>
        </is>
      </c>
      <c r="F8" s="555" t="inlineStr">
        <is>
          <t>Q4'26</t>
        </is>
      </c>
      <c r="G8" s="555" t="inlineStr">
        <is>
          <t>Q1'27</t>
        </is>
      </c>
      <c r="H8" s="555" t="inlineStr">
        <is>
          <t>Q2'27</t>
        </is>
      </c>
      <c r="I8" s="555" t="inlineStr">
        <is>
          <t>Q3'27</t>
        </is>
      </c>
      <c r="J8" s="555" t="inlineStr">
        <is>
          <t>Q4'27</t>
        </is>
      </c>
      <c r="K8" s="555" t="inlineStr">
        <is>
          <t>Q1'28</t>
        </is>
      </c>
      <c r="L8" s="555" t="inlineStr">
        <is>
          <t>Q2'28</t>
        </is>
      </c>
      <c r="M8" s="555" t="inlineStr">
        <is>
          <t>Q3'28</t>
        </is>
      </c>
      <c r="N8" s="555" t="inlineStr">
        <is>
          <t>Q4'28</t>
        </is>
      </c>
      <c r="O8" s="555" t="inlineStr">
        <is>
          <t>2029</t>
        </is>
      </c>
      <c r="P8" s="555" t="inlineStr">
        <is>
          <t>2030</t>
        </is>
      </c>
      <c r="Q8" s="555" t="inlineStr">
        <is>
          <t>2031</t>
        </is>
      </c>
      <c r="R8" s="555" t="inlineStr">
        <is>
          <t>2032</t>
        </is>
      </c>
    </row>
    <row r="9" ht="22" customHeight="1" s="468">
      <c r="B9" s="314" t="inlineStr">
        <is>
          <t>F01 Родные стены</t>
        </is>
      </c>
      <c r="C9" s="347" t="inlineStr">
        <is>
          <t>Dev</t>
        </is>
      </c>
      <c r="D9" s="347" t="inlineStr">
        <is>
          <t>Dev</t>
        </is>
      </c>
      <c r="E9" s="348" t="inlineStr">
        <is>
          <t>Shoot (Съёмка)</t>
        </is>
      </c>
      <c r="F9" s="349" t="inlineStr">
        <is>
          <t>★Rel</t>
        </is>
      </c>
      <c r="G9" s="350" t="inlineStr">
        <is>
          <t>tail (хвостовой период)</t>
        </is>
      </c>
      <c r="H9" s="350" t="inlineStr">
        <is>
          <t>tail (хвостовой период)</t>
        </is>
      </c>
      <c r="I9" s="350" t="inlineStr">
        <is>
          <t>tail (хвостовой период)</t>
        </is>
      </c>
      <c r="J9" s="350" t="inlineStr">
        <is>
          <t>tail (хвостовой период)</t>
        </is>
      </c>
      <c r="K9" s="350" t="inlineStr">
        <is>
          <t>tail (хвостовой период)</t>
        </is>
      </c>
      <c r="L9" s="350" t="inlineStr">
        <is>
          <t>tail (хвостовой период)</t>
        </is>
      </c>
      <c r="M9" s="350" t="inlineStr">
        <is>
          <t>tail (хвостовой период)</t>
        </is>
      </c>
      <c r="N9" s="350" t="inlineStr">
        <is>
          <t>tail (хвостовой период)</t>
        </is>
      </c>
      <c r="O9" s="350" t="inlineStr">
        <is>
          <t>tail (хвостовой период)</t>
        </is>
      </c>
      <c r="P9" s="350" t="inlineStr">
        <is>
          <t>tail (хвостовой период)</t>
        </is>
      </c>
      <c r="Q9" s="350" t="inlineStr">
        <is>
          <t>tail (хвостовой период)</t>
        </is>
      </c>
      <c r="R9" s="350" t="inlineStr">
        <is>
          <t>tail (хвостовой период)</t>
        </is>
      </c>
    </row>
    <row r="10" ht="22" customHeight="1" s="468">
      <c r="B10" s="314" t="inlineStr">
        <is>
          <t>F02 Два сердца</t>
        </is>
      </c>
      <c r="C10" s="347" t="inlineStr">
        <is>
          <t>Dev</t>
        </is>
      </c>
      <c r="D10" s="347" t="inlineStr">
        <is>
          <t>Dev</t>
        </is>
      </c>
      <c r="E10" s="347" t="inlineStr">
        <is>
          <t>Dev</t>
        </is>
      </c>
      <c r="F10" s="348" t="inlineStr">
        <is>
          <t>Shoot (Съёмка)</t>
        </is>
      </c>
      <c r="G10" s="349" t="inlineStr">
        <is>
          <t>★Rel</t>
        </is>
      </c>
      <c r="H10" s="350" t="inlineStr">
        <is>
          <t>tail (хвостовой период)</t>
        </is>
      </c>
      <c r="I10" s="350" t="inlineStr">
        <is>
          <t>tail (хвостовой период)</t>
        </is>
      </c>
      <c r="J10" s="350" t="inlineStr">
        <is>
          <t>tail (хвостовой период)</t>
        </is>
      </c>
      <c r="K10" s="350" t="inlineStr">
        <is>
          <t>tail (хвостовой период)</t>
        </is>
      </c>
      <c r="L10" s="350" t="inlineStr">
        <is>
          <t>tail (хвостовой период)</t>
        </is>
      </c>
      <c r="M10" s="350" t="inlineStr">
        <is>
          <t>tail (хвостовой период)</t>
        </is>
      </c>
      <c r="N10" s="350" t="inlineStr">
        <is>
          <t>tail (хвостовой период)</t>
        </is>
      </c>
      <c r="O10" s="350" t="inlineStr">
        <is>
          <t>tail (хвостовой период)</t>
        </is>
      </c>
      <c r="P10" s="350" t="inlineStr">
        <is>
          <t>tail (хвостовой период)</t>
        </is>
      </c>
      <c r="Q10" s="350" t="inlineStr">
        <is>
          <t>tail (хвостовой период)</t>
        </is>
      </c>
      <c r="R10" s="350" t="inlineStr">
        <is>
          <t>tail (хвостовой период)</t>
        </is>
      </c>
    </row>
    <row r="11" ht="22" customHeight="1" s="468">
      <c r="B11" s="314" t="inlineStr">
        <is>
          <t>F03 Ночной патруль</t>
        </is>
      </c>
      <c r="C11" s="351" t="n"/>
      <c r="D11" s="347" t="inlineStr">
        <is>
          <t>Dev</t>
        </is>
      </c>
      <c r="E11" s="347" t="inlineStr">
        <is>
          <t>Dev</t>
        </is>
      </c>
      <c r="F11" s="347" t="inlineStr">
        <is>
          <t>Dev</t>
        </is>
      </c>
      <c r="G11" s="348" t="inlineStr">
        <is>
          <t>Shoot (Съёмка)</t>
        </is>
      </c>
      <c r="H11" s="349" t="inlineStr">
        <is>
          <t>★Rel</t>
        </is>
      </c>
      <c r="I11" s="350" t="inlineStr">
        <is>
          <t>tail (хвостовой период)</t>
        </is>
      </c>
      <c r="J11" s="350" t="inlineStr">
        <is>
          <t>tail (хвостовой период)</t>
        </is>
      </c>
      <c r="K11" s="350" t="inlineStr">
        <is>
          <t>tail (хвостовой период)</t>
        </is>
      </c>
      <c r="L11" s="350" t="inlineStr">
        <is>
          <t>tail (хвостовой период)</t>
        </is>
      </c>
      <c r="M11" s="350" t="inlineStr">
        <is>
          <t>tail (хвостовой период)</t>
        </is>
      </c>
      <c r="N11" s="350" t="inlineStr">
        <is>
          <t>tail (хвостовой период)</t>
        </is>
      </c>
      <c r="O11" s="350" t="inlineStr">
        <is>
          <t>tail (хвостовой период)</t>
        </is>
      </c>
      <c r="P11" s="350" t="inlineStr">
        <is>
          <t>tail (хвостовой период)</t>
        </is>
      </c>
      <c r="Q11" s="350" t="inlineStr">
        <is>
          <t>tail (хвостовой период)</t>
        </is>
      </c>
      <c r="R11" s="350" t="inlineStr">
        <is>
          <t>tail (хвостовой период)</t>
        </is>
      </c>
    </row>
    <row r="12" ht="22" customHeight="1" s="468">
      <c r="B12" s="314" t="inlineStr">
        <is>
          <t>F04 Последний экзамен</t>
        </is>
      </c>
      <c r="C12" s="351" t="n"/>
      <c r="D12" s="347" t="inlineStr">
        <is>
          <t>Dev</t>
        </is>
      </c>
      <c r="E12" s="347" t="inlineStr">
        <is>
          <t>Dev</t>
        </is>
      </c>
      <c r="F12" s="347" t="inlineStr">
        <is>
          <t>Dev</t>
        </is>
      </c>
      <c r="G12" s="348" t="inlineStr">
        <is>
          <t>Shoot (Съёмка)</t>
        </is>
      </c>
      <c r="H12" s="349" t="inlineStr">
        <is>
          <t>★Rel</t>
        </is>
      </c>
      <c r="I12" s="350" t="inlineStr">
        <is>
          <t>tail (хвостовой период)</t>
        </is>
      </c>
      <c r="J12" s="350" t="inlineStr">
        <is>
          <t>tail (хвостовой период)</t>
        </is>
      </c>
      <c r="K12" s="350" t="inlineStr">
        <is>
          <t>tail (хвостовой период)</t>
        </is>
      </c>
      <c r="L12" s="350" t="inlineStr">
        <is>
          <t>tail (хвостовой период)</t>
        </is>
      </c>
      <c r="M12" s="350" t="inlineStr">
        <is>
          <t>tail (хвостовой период)</t>
        </is>
      </c>
      <c r="N12" s="350" t="inlineStr">
        <is>
          <t>tail (хвостовой период)</t>
        </is>
      </c>
      <c r="O12" s="350" t="inlineStr">
        <is>
          <t>tail (хвостовой период)</t>
        </is>
      </c>
      <c r="P12" s="350" t="inlineStr">
        <is>
          <t>tail (хвостовой период)</t>
        </is>
      </c>
      <c r="Q12" s="350" t="inlineStr">
        <is>
          <t>tail (хвостовой период)</t>
        </is>
      </c>
      <c r="R12" s="350" t="inlineStr">
        <is>
          <t>tail (хвостовой период)</t>
        </is>
      </c>
    </row>
    <row r="13" ht="22" customHeight="1" s="468">
      <c r="B13" s="314" t="inlineStr">
        <is>
          <t>F05 Время героев</t>
        </is>
      </c>
      <c r="C13" s="351" t="n"/>
      <c r="D13" s="347" t="inlineStr">
        <is>
          <t>Dev</t>
        </is>
      </c>
      <c r="E13" s="347" t="inlineStr">
        <is>
          <t>Dev</t>
        </is>
      </c>
      <c r="F13" s="347" t="inlineStr">
        <is>
          <t>Dev</t>
        </is>
      </c>
      <c r="G13" s="348" t="inlineStr">
        <is>
          <t>Shoot (Съёмка)</t>
        </is>
      </c>
      <c r="H13" s="352" t="inlineStr">
        <is>
          <t>Post (Постпродакшн)</t>
        </is>
      </c>
      <c r="I13" s="349" t="inlineStr">
        <is>
          <t>★Rel</t>
        </is>
      </c>
      <c r="J13" s="350" t="inlineStr">
        <is>
          <t>tail (хвостовой период)</t>
        </is>
      </c>
      <c r="K13" s="350" t="inlineStr">
        <is>
          <t>tail (хвостовой период)</t>
        </is>
      </c>
      <c r="L13" s="350" t="inlineStr">
        <is>
          <t>tail (хвостовой период)</t>
        </is>
      </c>
      <c r="M13" s="350" t="inlineStr">
        <is>
          <t>tail (хвостовой период)</t>
        </is>
      </c>
      <c r="N13" s="350" t="inlineStr">
        <is>
          <t>tail (хвостовой период)</t>
        </is>
      </c>
      <c r="O13" s="350" t="inlineStr">
        <is>
          <t>tail (хвостовой период)</t>
        </is>
      </c>
      <c r="P13" s="350" t="inlineStr">
        <is>
          <t>tail (хвостовой период)</t>
        </is>
      </c>
      <c r="Q13" s="350" t="inlineStr">
        <is>
          <t>tail (хвостовой период)</t>
        </is>
      </c>
      <c r="R13" s="350" t="inlineStr">
        <is>
          <t>tail (хвостовой период)</t>
        </is>
      </c>
    </row>
    <row r="14" ht="22" customHeight="1" s="468">
      <c r="B14" s="314" t="inlineStr">
        <is>
          <t>F06 Красная заря</t>
        </is>
      </c>
      <c r="C14" s="351" t="n"/>
      <c r="D14" s="351" t="n"/>
      <c r="E14" s="347" t="inlineStr">
        <is>
          <t>Dev</t>
        </is>
      </c>
      <c r="F14" s="347" t="inlineStr">
        <is>
          <t>Dev</t>
        </is>
      </c>
      <c r="G14" s="347" t="inlineStr">
        <is>
          <t>Dev</t>
        </is>
      </c>
      <c r="H14" s="348" t="inlineStr">
        <is>
          <t>Shoot (Съёмка)</t>
        </is>
      </c>
      <c r="I14" s="352" t="inlineStr">
        <is>
          <t>Post (Постпродакшн)</t>
        </is>
      </c>
      <c r="J14" s="349" t="inlineStr">
        <is>
          <t>★Rel</t>
        </is>
      </c>
      <c r="K14" s="350" t="inlineStr">
        <is>
          <t>tail (хвостовой период)</t>
        </is>
      </c>
      <c r="L14" s="350" t="inlineStr">
        <is>
          <t>tail (хвостовой период)</t>
        </is>
      </c>
      <c r="M14" s="350" t="inlineStr">
        <is>
          <t>tail (хвостовой период)</t>
        </is>
      </c>
      <c r="N14" s="350" t="inlineStr">
        <is>
          <t>tail (хвостовой период)</t>
        </is>
      </c>
      <c r="O14" s="350" t="inlineStr">
        <is>
          <t>tail (хвостовой период)</t>
        </is>
      </c>
      <c r="P14" s="350" t="inlineStr">
        <is>
          <t>tail (хвостовой период)</t>
        </is>
      </c>
      <c r="Q14" s="350" t="inlineStr">
        <is>
          <t>tail (хвостовой период)</t>
        </is>
      </c>
      <c r="R14" s="350" t="inlineStr">
        <is>
          <t>tail (хвостовой период)</t>
        </is>
      </c>
    </row>
    <row r="15" ht="22" customHeight="1" s="468">
      <c r="B15" s="314" t="inlineStr">
        <is>
          <t>F07 Сказка наяву</t>
        </is>
      </c>
      <c r="C15" s="351" t="n"/>
      <c r="D15" s="351" t="n"/>
      <c r="E15" s="347" t="inlineStr">
        <is>
          <t>Dev</t>
        </is>
      </c>
      <c r="F15" s="347" t="inlineStr">
        <is>
          <t>Dev</t>
        </is>
      </c>
      <c r="G15" s="347" t="inlineStr">
        <is>
          <t>Dev</t>
        </is>
      </c>
      <c r="H15" s="347" t="inlineStr">
        <is>
          <t>Dev</t>
        </is>
      </c>
      <c r="I15" s="348" t="inlineStr">
        <is>
          <t>Shoot (Съёмка)</t>
        </is>
      </c>
      <c r="J15" s="352" t="inlineStr">
        <is>
          <t>Post (Постпродакшн)</t>
        </is>
      </c>
      <c r="K15" s="349" t="inlineStr">
        <is>
          <t>★Rel</t>
        </is>
      </c>
      <c r="L15" s="350" t="inlineStr">
        <is>
          <t>tail (хвостовой период)</t>
        </is>
      </c>
      <c r="M15" s="350" t="inlineStr">
        <is>
          <t>tail (хвостовой период)</t>
        </is>
      </c>
      <c r="N15" s="350" t="inlineStr">
        <is>
          <t>tail (хвостовой период)</t>
        </is>
      </c>
      <c r="O15" s="350" t="inlineStr">
        <is>
          <t>tail (хвостовой период)</t>
        </is>
      </c>
      <c r="P15" s="350" t="inlineStr">
        <is>
          <t>tail (хвостовой период)</t>
        </is>
      </c>
      <c r="Q15" s="350" t="inlineStr">
        <is>
          <t>tail (хвостовой период)</t>
        </is>
      </c>
      <c r="R15" s="350" t="inlineStr">
        <is>
          <t>tail (хвостовой период)</t>
        </is>
      </c>
    </row>
    <row r="16" ht="22" customHeight="1" s="468">
      <c r="B16" s="314" t="inlineStr">
        <is>
          <t>F08 Неизвестный герой</t>
        </is>
      </c>
      <c r="C16" s="351" t="n"/>
      <c r="D16" s="351" t="n"/>
      <c r="E16" s="351" t="n"/>
      <c r="F16" s="347" t="inlineStr">
        <is>
          <t>Dev</t>
        </is>
      </c>
      <c r="G16" s="347" t="inlineStr">
        <is>
          <t>Dev</t>
        </is>
      </c>
      <c r="H16" s="347" t="inlineStr">
        <is>
          <t>Dev</t>
        </is>
      </c>
      <c r="I16" s="348" t="inlineStr">
        <is>
          <t>Shoot (Съёмка)</t>
        </is>
      </c>
      <c r="J16" s="352" t="inlineStr">
        <is>
          <t>Post (Постпродакшн)</t>
        </is>
      </c>
      <c r="K16" s="352" t="inlineStr">
        <is>
          <t>Post (Постпродакшн)</t>
        </is>
      </c>
      <c r="L16" s="349" t="inlineStr">
        <is>
          <t>★Rel</t>
        </is>
      </c>
      <c r="M16" s="350" t="inlineStr">
        <is>
          <t>tail (хвостовой период)</t>
        </is>
      </c>
      <c r="N16" s="350" t="inlineStr">
        <is>
          <t>tail (хвостовой период)</t>
        </is>
      </c>
      <c r="O16" s="350" t="inlineStr">
        <is>
          <t>tail (хвостовой период)</t>
        </is>
      </c>
      <c r="P16" s="350" t="inlineStr">
        <is>
          <t>tail (хвостовой период)</t>
        </is>
      </c>
      <c r="Q16" s="350" t="inlineStr">
        <is>
          <t>tail (хвостовой период)</t>
        </is>
      </c>
      <c r="R16" s="350" t="inlineStr">
        <is>
          <t>tail (хвостовой период)</t>
        </is>
      </c>
    </row>
    <row r="17" ht="22" customHeight="1" s="468">
      <c r="B17" s="314" t="inlineStr">
        <is>
          <t>F09 Моё дело</t>
        </is>
      </c>
      <c r="C17" s="351" t="n"/>
      <c r="D17" s="351" t="n"/>
      <c r="E17" s="351" t="n"/>
      <c r="F17" s="347" t="inlineStr">
        <is>
          <t>Dev</t>
        </is>
      </c>
      <c r="G17" s="347" t="inlineStr">
        <is>
          <t>Dev</t>
        </is>
      </c>
      <c r="H17" s="347" t="inlineStr">
        <is>
          <t>Dev</t>
        </is>
      </c>
      <c r="I17" s="347" t="inlineStr">
        <is>
          <t>Dev</t>
        </is>
      </c>
      <c r="J17" s="348" t="inlineStr">
        <is>
          <t>Shoot (Съёмка)</t>
        </is>
      </c>
      <c r="K17" s="352" t="inlineStr">
        <is>
          <t>Post (Постпродакшн)</t>
        </is>
      </c>
      <c r="L17" s="349" t="inlineStr">
        <is>
          <t>★Rel</t>
        </is>
      </c>
      <c r="M17" s="350" t="inlineStr">
        <is>
          <t>tail (хвостовой период)</t>
        </is>
      </c>
      <c r="N17" s="350" t="inlineStr">
        <is>
          <t>tail (хвостовой период)</t>
        </is>
      </c>
      <c r="O17" s="350" t="inlineStr">
        <is>
          <t>tail (хвостовой период)</t>
        </is>
      </c>
      <c r="P17" s="350" t="inlineStr">
        <is>
          <t>tail (хвостовой период)</t>
        </is>
      </c>
      <c r="Q17" s="350" t="inlineStr">
        <is>
          <t>tail (хвостовой период)</t>
        </is>
      </c>
      <c r="R17" s="350" t="inlineStr">
        <is>
          <t>tail (хвостовой период)</t>
        </is>
      </c>
    </row>
    <row r="18" ht="22" customHeight="1" s="468">
      <c r="B18" s="314" t="inlineStr">
        <is>
          <t>F10 Северный ветер</t>
        </is>
      </c>
      <c r="C18" s="351" t="n"/>
      <c r="D18" s="351" t="n"/>
      <c r="E18" s="351" t="n"/>
      <c r="F18" s="347" t="inlineStr">
        <is>
          <t>Dev</t>
        </is>
      </c>
      <c r="G18" s="347" t="inlineStr">
        <is>
          <t>Dev</t>
        </is>
      </c>
      <c r="H18" s="347" t="inlineStr">
        <is>
          <t>Dev</t>
        </is>
      </c>
      <c r="I18" s="347" t="inlineStr">
        <is>
          <t>Dev</t>
        </is>
      </c>
      <c r="J18" s="348" t="inlineStr">
        <is>
          <t>Shoot (Съёмка)</t>
        </is>
      </c>
      <c r="K18" s="352" t="inlineStr">
        <is>
          <t>Post (Постпродакшн)</t>
        </is>
      </c>
      <c r="L18" s="352" t="inlineStr">
        <is>
          <t>Post (Постпродакшн)</t>
        </is>
      </c>
      <c r="M18" s="349" t="inlineStr">
        <is>
          <t>★Rel</t>
        </is>
      </c>
      <c r="N18" s="350" t="inlineStr">
        <is>
          <t>tail (хвостовой период)</t>
        </is>
      </c>
      <c r="O18" s="350" t="inlineStr">
        <is>
          <t>tail (хвостовой период)</t>
        </is>
      </c>
      <c r="P18" s="350" t="inlineStr">
        <is>
          <t>tail (хвостовой период)</t>
        </is>
      </c>
      <c r="Q18" s="350" t="inlineStr">
        <is>
          <t>tail (хвостовой период)</t>
        </is>
      </c>
      <c r="R18" s="350" t="inlineStr">
        <is>
          <t>tail (хвостовой период)</t>
        </is>
      </c>
    </row>
    <row r="19" ht="22" customHeight="1" s="468">
      <c r="B19" s="314" t="inlineStr">
        <is>
          <t>F11 Полдень</t>
        </is>
      </c>
      <c r="C19" s="351" t="n"/>
      <c r="D19" s="351" t="n"/>
      <c r="E19" s="351" t="n"/>
      <c r="F19" s="351" t="n"/>
      <c r="G19" s="347" t="inlineStr">
        <is>
          <t>Dev</t>
        </is>
      </c>
      <c r="H19" s="347" t="inlineStr">
        <is>
          <t>Dev</t>
        </is>
      </c>
      <c r="I19" s="347" t="inlineStr">
        <is>
          <t>Dev</t>
        </is>
      </c>
      <c r="J19" s="347" t="inlineStr">
        <is>
          <t>Dev</t>
        </is>
      </c>
      <c r="K19" s="348" t="inlineStr">
        <is>
          <t>Shoot (Съёмка)</t>
        </is>
      </c>
      <c r="L19" s="352" t="inlineStr">
        <is>
          <t>Post (Постпродакшн)</t>
        </is>
      </c>
      <c r="M19" s="349" t="inlineStr">
        <is>
          <t>★Rel</t>
        </is>
      </c>
      <c r="N19" s="350" t="inlineStr">
        <is>
          <t>tail (хвостовой период)</t>
        </is>
      </c>
      <c r="O19" s="350" t="inlineStr">
        <is>
          <t>tail (хвостовой период)</t>
        </is>
      </c>
      <c r="P19" s="350" t="inlineStr">
        <is>
          <t>tail (хвостовой период)</t>
        </is>
      </c>
      <c r="Q19" s="350" t="inlineStr">
        <is>
          <t>tail (хвостовой период)</t>
        </is>
      </c>
      <c r="R19" s="350" t="inlineStr">
        <is>
          <t>tail (хвостовой период)</t>
        </is>
      </c>
    </row>
    <row r="20" ht="22" customHeight="1" s="468">
      <c r="B20" s="314" t="inlineStr">
        <is>
          <t>F12 Горизонт событий</t>
        </is>
      </c>
      <c r="C20" s="351" t="n"/>
      <c r="D20" s="351" t="n"/>
      <c r="E20" s="351" t="n"/>
      <c r="F20" s="351" t="n"/>
      <c r="G20" s="347" t="inlineStr">
        <is>
          <t>Dev</t>
        </is>
      </c>
      <c r="H20" s="347" t="inlineStr">
        <is>
          <t>Dev</t>
        </is>
      </c>
      <c r="I20" s="347" t="inlineStr">
        <is>
          <t>Dev</t>
        </is>
      </c>
      <c r="J20" s="347" t="inlineStr">
        <is>
          <t>Dev</t>
        </is>
      </c>
      <c r="K20" s="348" t="inlineStr">
        <is>
          <t>Shoot (Съёмка)</t>
        </is>
      </c>
      <c r="L20" s="352" t="inlineStr">
        <is>
          <t>Post (Постпродакшн)</t>
        </is>
      </c>
      <c r="M20" s="352" t="inlineStr">
        <is>
          <t>Post (Постпродакшн)</t>
        </is>
      </c>
      <c r="N20" s="349" t="inlineStr">
        <is>
          <t>★Rel</t>
        </is>
      </c>
      <c r="O20" s="350" t="inlineStr">
        <is>
          <t>tail (хвостовой период)</t>
        </is>
      </c>
      <c r="P20" s="350" t="inlineStr">
        <is>
          <t>tail (хвостовой период)</t>
        </is>
      </c>
      <c r="Q20" s="350" t="inlineStr">
        <is>
          <t>tail (хвостовой период)</t>
        </is>
      </c>
      <c r="R20" s="350" t="inlineStr">
        <is>
          <t>tail (хвостовой период)</t>
        </is>
      </c>
    </row>
    <row r="22" ht="26" customHeight="1" s="468">
      <c r="B22" s="314" t="inlineStr">
        <is>
          <t>Легенда:</t>
        </is>
      </c>
      <c r="C22" s="353" t="inlineStr">
        <is>
          <t>Dev</t>
        </is>
      </c>
      <c r="D22" s="354" t="inlineStr">
        <is>
          <t>Shoot (Съёмка)</t>
        </is>
      </c>
      <c r="E22" s="355" t="inlineStr">
        <is>
          <t>Post (Постпродакшн)</t>
        </is>
      </c>
      <c r="F22" s="356" t="inlineStr">
        <is>
          <t>★Rel Release (Релиз)</t>
        </is>
      </c>
      <c r="G22" s="357" t="inlineStr">
        <is>
          <t>tail (хвостовой период) Tail (Хвостовой период) rev.</t>
        </is>
      </c>
    </row>
    <row r="24" ht="16" customHeight="1" s="468">
      <c r="B24" s="557" t="inlineStr">
        <is>
          <t>II.  ФАНДРЕЙЗИНГ И ФИНАНСОВЫЕ ВЕХИ (ФАНДРЕЙЗИНГ И ФИНАНСОВЫЕ ВЕХИ)</t>
        </is>
      </c>
    </row>
    <row r="26">
      <c r="B26" s="555" t="inlineStr">
        <is>
          <t>Этап</t>
        </is>
      </c>
      <c r="C26" s="555" t="inlineStr">
        <is>
          <t>Q1'26</t>
        </is>
      </c>
      <c r="D26" s="555" t="inlineStr">
        <is>
          <t>Q2'26</t>
        </is>
      </c>
      <c r="E26" s="555" t="inlineStr">
        <is>
          <t>Q3'26</t>
        </is>
      </c>
      <c r="F26" s="555" t="inlineStr">
        <is>
          <t>Q4'26</t>
        </is>
      </c>
      <c r="G26" s="555" t="inlineStr">
        <is>
          <t>Q1'27</t>
        </is>
      </c>
      <c r="H26" s="555" t="inlineStr">
        <is>
          <t>Q2'27</t>
        </is>
      </c>
      <c r="I26" s="555" t="inlineStr">
        <is>
          <t>Q3'27</t>
        </is>
      </c>
      <c r="J26" s="555" t="inlineStr">
        <is>
          <t>Q4'27</t>
        </is>
      </c>
      <c r="K26" s="555" t="inlineStr">
        <is>
          <t>Q1'28</t>
        </is>
      </c>
      <c r="L26" s="555" t="inlineStr">
        <is>
          <t>Q2'28</t>
        </is>
      </c>
      <c r="M26" s="555" t="inlineStr">
        <is>
          <t>Q3'28</t>
        </is>
      </c>
      <c r="N26" s="555" t="inlineStr">
        <is>
          <t>Q4'28</t>
        </is>
      </c>
      <c r="O26" s="555" t="inlineStr">
        <is>
          <t>2029</t>
        </is>
      </c>
      <c r="P26" s="555" t="inlineStr">
        <is>
          <t>2030</t>
        </is>
      </c>
      <c r="Q26" s="555" t="inlineStr">
        <is>
          <t>2031</t>
        </is>
      </c>
      <c r="R26" s="555" t="inlineStr">
        <is>
          <t>2032</t>
        </is>
      </c>
    </row>
    <row r="27" ht="22" customHeight="1" s="468">
      <c r="B27" s="358" t="inlineStr">
        <is>
          <t>T₁ Tranche (Транш) 1 (20% = 250)</t>
        </is>
      </c>
      <c r="C27" s="349" t="inlineStr">
        <is>
          <t>★ 250 млн ₽</t>
        </is>
      </c>
      <c r="D27" s="351" t="n"/>
      <c r="E27" s="351" t="n"/>
      <c r="F27" s="351" t="n"/>
      <c r="G27" s="351" t="n"/>
      <c r="H27" s="351" t="n"/>
      <c r="I27" s="351" t="n"/>
      <c r="J27" s="351" t="n"/>
      <c r="K27" s="351" t="n"/>
      <c r="L27" s="351" t="n"/>
      <c r="M27" s="351" t="n"/>
      <c r="N27" s="351" t="n"/>
      <c r="O27" s="351" t="n"/>
      <c r="P27" s="351" t="n"/>
      <c r="Q27" s="351" t="n"/>
      <c r="R27" s="351" t="n"/>
    </row>
    <row r="28" ht="22" customHeight="1" s="468">
      <c r="B28" s="358" t="inlineStr">
        <is>
          <t>T₁ Tranche (Транш) 2 (28% = 350)</t>
        </is>
      </c>
      <c r="C28" s="351" t="n"/>
      <c r="D28" s="349" t="inlineStr">
        <is>
          <t>★ 350 млн ₽</t>
        </is>
      </c>
      <c r="E28" s="351" t="n"/>
      <c r="F28" s="351" t="n"/>
      <c r="G28" s="351" t="n"/>
      <c r="H28" s="351" t="n"/>
      <c r="I28" s="351" t="n"/>
      <c r="J28" s="351" t="n"/>
      <c r="K28" s="351" t="n"/>
      <c r="L28" s="351" t="n"/>
      <c r="M28" s="351" t="n"/>
      <c r="N28" s="351" t="n"/>
      <c r="O28" s="351" t="n"/>
      <c r="P28" s="351" t="n"/>
      <c r="Q28" s="351" t="n"/>
      <c r="R28" s="351" t="n"/>
    </row>
    <row r="29" ht="22" customHeight="1" s="468">
      <c r="B29" s="358" t="inlineStr">
        <is>
          <t>T₁ Tranche (Транш) 3 (28% = 350)</t>
        </is>
      </c>
      <c r="C29" s="351" t="n"/>
      <c r="D29" s="351" t="n"/>
      <c r="E29" s="349" t="inlineStr">
        <is>
          <t>★ 350 млн ₽</t>
        </is>
      </c>
      <c r="F29" s="351" t="n"/>
      <c r="G29" s="351" t="n"/>
      <c r="H29" s="351" t="n"/>
      <c r="I29" s="351" t="n"/>
      <c r="J29" s="351" t="n"/>
      <c r="K29" s="351" t="n"/>
      <c r="L29" s="351" t="n"/>
      <c r="M29" s="351" t="n"/>
      <c r="N29" s="351" t="n"/>
      <c r="O29" s="351" t="n"/>
      <c r="P29" s="351" t="n"/>
      <c r="Q29" s="351" t="n"/>
      <c r="R29" s="351" t="n"/>
    </row>
    <row r="30" ht="22" customHeight="1" s="468">
      <c r="B30" s="358" t="inlineStr">
        <is>
          <t>T₁ Tranche (Транш) 4 (24% = 300)</t>
        </is>
      </c>
      <c r="C30" s="351" t="n"/>
      <c r="D30" s="351" t="n"/>
      <c r="E30" s="351" t="n"/>
      <c r="F30" s="349" t="inlineStr">
        <is>
          <t>★ 300 млн ₽</t>
        </is>
      </c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351" t="n"/>
      <c r="R30" s="351" t="n"/>
    </row>
    <row r="31" ht="22" customHeight="1" s="468">
      <c r="B31" s="358" t="inlineStr">
        <is>
          <t>ФКП грант раунд 1</t>
        </is>
      </c>
      <c r="C31" s="359" t="inlineStr">
        <is>
          <t>ФКП 180</t>
        </is>
      </c>
      <c r="D31" s="351" t="n"/>
      <c r="E31" s="351" t="n"/>
      <c r="F31" s="351" t="n"/>
      <c r="G31" s="351" t="n"/>
      <c r="H31" s="351" t="n"/>
      <c r="I31" s="351" t="n"/>
      <c r="J31" s="351" t="n"/>
      <c r="K31" s="351" t="n"/>
      <c r="L31" s="351" t="n"/>
      <c r="M31" s="351" t="n"/>
      <c r="N31" s="351" t="n"/>
      <c r="O31" s="351" t="n"/>
      <c r="P31" s="351" t="n"/>
      <c r="Q31" s="351" t="n"/>
      <c r="R31" s="351" t="n"/>
    </row>
    <row r="32" ht="22" customHeight="1" s="468">
      <c r="B32" s="358" t="inlineStr">
        <is>
          <t>ФКП грант раунд 2</t>
        </is>
      </c>
      <c r="C32" s="351" t="n"/>
      <c r="D32" s="351" t="n"/>
      <c r="E32" s="351" t="n"/>
      <c r="F32" s="351" t="n"/>
      <c r="G32" s="359" t="inlineStr">
        <is>
          <t>ФКП 220</t>
        </is>
      </c>
      <c r="H32" s="351" t="n"/>
      <c r="I32" s="351" t="n"/>
      <c r="J32" s="351" t="n"/>
      <c r="K32" s="351" t="n"/>
      <c r="L32" s="351" t="n"/>
      <c r="M32" s="351" t="n"/>
      <c r="N32" s="351" t="n"/>
      <c r="O32" s="351" t="n"/>
      <c r="P32" s="351" t="n"/>
      <c r="Q32" s="351" t="n"/>
      <c r="R32" s="351" t="n"/>
    </row>
    <row r="33" ht="22" customHeight="1" s="468">
      <c r="B33" s="358" t="inlineStr">
        <is>
          <t>ФКП грант раунд 3</t>
        </is>
      </c>
      <c r="C33" s="351" t="n"/>
      <c r="D33" s="351" t="n"/>
      <c r="E33" s="351" t="n"/>
      <c r="F33" s="351" t="n"/>
      <c r="G33" s="351" t="n"/>
      <c r="H33" s="351" t="n"/>
      <c r="I33" s="351" t="n"/>
      <c r="J33" s="351" t="n"/>
      <c r="K33" s="359" t="inlineStr">
        <is>
          <t>ФКП 120</t>
        </is>
      </c>
      <c r="L33" s="351" t="n"/>
      <c r="M33" s="351" t="n"/>
      <c r="N33" s="351" t="n"/>
      <c r="O33" s="351" t="n"/>
      <c r="P33" s="351" t="n"/>
      <c r="Q33" s="351" t="n"/>
      <c r="R33" s="351" t="n"/>
    </row>
    <row r="34" ht="22" customHeight="1" s="468">
      <c r="B34" s="358" t="inlineStr">
        <is>
          <t>ИРИ раунд</t>
        </is>
      </c>
      <c r="C34" s="351" t="n"/>
      <c r="D34" s="351" t="n"/>
      <c r="E34" s="359" t="inlineStr">
        <is>
          <t>ИРИ 150</t>
        </is>
      </c>
      <c r="F34" s="351" t="n"/>
      <c r="G34" s="351" t="n"/>
      <c r="H34" s="351" t="n"/>
      <c r="I34" s="351" t="n"/>
      <c r="J34" s="351" t="n"/>
      <c r="K34" s="351" t="n"/>
      <c r="L34" s="351" t="n"/>
      <c r="M34" s="351" t="n"/>
      <c r="N34" s="351" t="n"/>
      <c r="O34" s="351" t="n"/>
      <c r="P34" s="351" t="n"/>
      <c r="Q34" s="351" t="n"/>
      <c r="R34" s="351" t="n"/>
    </row>
    <row r="35" ht="22" customHeight="1" s="468">
      <c r="B35" s="358" t="inlineStr">
        <is>
          <t>Producer equity (капитал продюсера) (JV (совместное предприятие))</t>
        </is>
      </c>
      <c r="C35" s="359" t="inlineStr">
        <is>
          <t>600 equity (доля в капитале)</t>
        </is>
      </c>
      <c r="D35" s="351" t="n"/>
      <c r="E35" s="351" t="n"/>
      <c r="F35" s="351" t="n"/>
      <c r="G35" s="351" t="n"/>
      <c r="H35" s="351" t="n"/>
      <c r="I35" s="351" t="n"/>
      <c r="J35" s="351" t="n"/>
      <c r="K35" s="351" t="n"/>
      <c r="L35" s="351" t="n"/>
      <c r="M35" s="351" t="n"/>
      <c r="N35" s="351" t="n"/>
      <c r="O35" s="351" t="n"/>
      <c r="P35" s="351" t="n"/>
      <c r="Q35" s="351" t="n"/>
      <c r="R35" s="351" t="n"/>
    </row>
    <row r="36" ht="22" customHeight="1" s="468">
      <c r="B36" s="358" t="inlineStr">
        <is>
          <t>Возобновляемая кредитная линия (Возобновляемая кредитная линия)</t>
        </is>
      </c>
      <c r="C36" s="351" t="n"/>
      <c r="D36" s="351" t="n"/>
      <c r="E36" s="351" t="n"/>
      <c r="F36" s="359" t="inlineStr">
        <is>
          <t>200 ВКЛ</t>
        </is>
      </c>
      <c r="G36" s="351" t="n"/>
      <c r="H36" s="351" t="n"/>
      <c r="I36" s="351" t="n"/>
      <c r="J36" s="351" t="n"/>
      <c r="K36" s="351" t="n"/>
      <c r="L36" s="351" t="n"/>
      <c r="M36" s="351" t="n"/>
      <c r="N36" s="351" t="n"/>
      <c r="O36" s="351" t="n"/>
      <c r="P36" s="351" t="n"/>
      <c r="Q36" s="351" t="n"/>
      <c r="R36" s="351" t="n"/>
    </row>
    <row r="37" ht="22" customHeight="1" s="468">
      <c r="B37" s="358" t="inlineStr">
        <is>
          <t>T₁ Repayment 1 (Возврат 1) (300)</t>
        </is>
      </c>
      <c r="C37" s="351" t="n"/>
      <c r="D37" s="351" t="n"/>
      <c r="E37" s="351" t="n"/>
      <c r="F37" s="351" t="n"/>
      <c r="G37" s="351" t="n"/>
      <c r="H37" s="351" t="n"/>
      <c r="I37" s="351" t="n"/>
      <c r="J37" s="351" t="n"/>
      <c r="K37" s="351" t="n"/>
      <c r="L37" s="351" t="n"/>
      <c r="M37" s="351" t="n"/>
      <c r="N37" s="351" t="n"/>
      <c r="O37" s="360" t="inlineStr">
        <is>
          <t>−300</t>
        </is>
      </c>
      <c r="P37" s="351" t="n"/>
      <c r="Q37" s="351" t="n"/>
      <c r="R37" s="351" t="n"/>
    </row>
    <row r="38" ht="22" customHeight="1" s="468">
      <c r="B38" s="358" t="inlineStr">
        <is>
          <t>T₁ Repayment 2 (Возврат 2) (700)</t>
        </is>
      </c>
      <c r="C38" s="351" t="n"/>
      <c r="D38" s="351" t="n"/>
      <c r="E38" s="351" t="n"/>
      <c r="F38" s="351" t="n"/>
      <c r="G38" s="351" t="n"/>
      <c r="H38" s="351" t="n"/>
      <c r="I38" s="351" t="n"/>
      <c r="J38" s="351" t="n"/>
      <c r="K38" s="351" t="n"/>
      <c r="L38" s="351" t="n"/>
      <c r="M38" s="351" t="n"/>
      <c r="N38" s="351" t="n"/>
      <c r="O38" s="351" t="n"/>
      <c r="P38" s="360" t="inlineStr">
        <is>
          <t>−700</t>
        </is>
      </c>
      <c r="Q38" s="351" t="n"/>
      <c r="R38" s="351" t="n"/>
    </row>
    <row r="39" ht="22" customHeight="1" s="468">
      <c r="B39" s="358" t="inlineStr">
        <is>
          <t>T₁ Repayment 3 (Возврат 3) (500)</t>
        </is>
      </c>
      <c r="C39" s="351" t="n"/>
      <c r="D39" s="35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60" t="inlineStr">
        <is>
          <t>−500</t>
        </is>
      </c>
      <c r="R39" s="351" t="n"/>
    </row>
    <row r="40" ht="22" customHeight="1" s="468">
      <c r="B40" s="358" t="inlineStr">
        <is>
          <t>T₁ Final repayment (Финальный возврат)</t>
        </is>
      </c>
      <c r="C40" s="351" t="n"/>
      <c r="D40" s="351" t="n"/>
      <c r="E40" s="351" t="n"/>
      <c r="F40" s="351" t="n"/>
      <c r="G40" s="351" t="n"/>
      <c r="H40" s="351" t="n"/>
      <c r="I40" s="351" t="n"/>
      <c r="J40" s="351" t="n"/>
      <c r="K40" s="351" t="n"/>
      <c r="L40" s="351" t="n"/>
      <c r="M40" s="351" t="n"/>
      <c r="N40" s="351" t="n"/>
      <c r="O40" s="351" t="n"/>
      <c r="P40" s="351" t="n"/>
      <c r="Q40" s="351" t="n"/>
      <c r="R40" s="360" t="inlineStr">
        <is>
          <t>−223</t>
        </is>
      </c>
    </row>
    <row r="43" ht="16" customHeight="1" s="468">
      <c r="B43" s="557" t="inlineStr">
        <is>
          <t>III. GOVERNANCE &amp; REPORTING (УПРАВЛЕНИЕ И ОТЧЁТНОСТЬ) MILESTONES</t>
        </is>
      </c>
    </row>
    <row r="45">
      <c r="B45" s="555" t="inlineStr">
        <is>
          <t>Этап</t>
        </is>
      </c>
      <c r="C45" s="555" t="inlineStr">
        <is>
          <t>Q1'26</t>
        </is>
      </c>
      <c r="D45" s="555" t="inlineStr">
        <is>
          <t>Q2'26</t>
        </is>
      </c>
      <c r="E45" s="555" t="inlineStr">
        <is>
          <t>Q3'26</t>
        </is>
      </c>
      <c r="F45" s="555" t="inlineStr">
        <is>
          <t>Q4'26</t>
        </is>
      </c>
      <c r="G45" s="555" t="inlineStr">
        <is>
          <t>Q1'27</t>
        </is>
      </c>
      <c r="H45" s="555" t="inlineStr">
        <is>
          <t>Q2'27</t>
        </is>
      </c>
      <c r="I45" s="555" t="inlineStr">
        <is>
          <t>Q3'27</t>
        </is>
      </c>
      <c r="J45" s="555" t="inlineStr">
        <is>
          <t>Q4'27</t>
        </is>
      </c>
      <c r="K45" s="555" t="inlineStr">
        <is>
          <t>Q1'28</t>
        </is>
      </c>
      <c r="L45" s="555" t="inlineStr">
        <is>
          <t>Q2'28</t>
        </is>
      </c>
      <c r="M45" s="555" t="inlineStr">
        <is>
          <t>Q3'28</t>
        </is>
      </c>
      <c r="N45" s="555" t="inlineStr">
        <is>
          <t>Q4'28</t>
        </is>
      </c>
      <c r="O45" s="555" t="inlineStr">
        <is>
          <t>2029</t>
        </is>
      </c>
      <c r="P45" s="555" t="inlineStr">
        <is>
          <t>2030</t>
        </is>
      </c>
      <c r="Q45" s="555" t="inlineStr">
        <is>
          <t>2031</t>
        </is>
      </c>
      <c r="R45" s="555" t="inlineStr">
        <is>
          <t>2032</t>
        </is>
      </c>
    </row>
    <row r="46" ht="22" customHeight="1" s="468">
      <c r="B46" s="358" t="inlineStr">
        <is>
          <t>Заседание совета (Заседание совета директоров)</t>
        </is>
      </c>
      <c r="C46" s="361" t="inlineStr">
        <is>
          <t>BM</t>
        </is>
      </c>
      <c r="D46" s="351" t="n"/>
      <c r="E46" s="361" t="inlineStr">
        <is>
          <t>BM</t>
        </is>
      </c>
      <c r="F46" s="351" t="n"/>
      <c r="G46" s="361" t="inlineStr">
        <is>
          <t>BM</t>
        </is>
      </c>
      <c r="H46" s="351" t="n"/>
      <c r="I46" s="361" t="inlineStr">
        <is>
          <t>BM</t>
        </is>
      </c>
      <c r="J46" s="351" t="n"/>
      <c r="K46" s="361" t="inlineStr">
        <is>
          <t>BM</t>
        </is>
      </c>
      <c r="L46" s="351" t="n"/>
      <c r="M46" s="361" t="inlineStr">
        <is>
          <t>BM</t>
        </is>
      </c>
      <c r="N46" s="351" t="n"/>
      <c r="O46" s="361" t="inlineStr">
        <is>
          <t>BM</t>
        </is>
      </c>
      <c r="P46" s="361" t="inlineStr">
        <is>
          <t>BM</t>
        </is>
      </c>
      <c r="Q46" s="361" t="inlineStr">
        <is>
          <t>BM</t>
        </is>
      </c>
      <c r="R46" s="361" t="inlineStr">
        <is>
          <t>BM</t>
        </is>
      </c>
    </row>
    <row r="47" ht="22" customHeight="1" s="468">
      <c r="B47" s="358" t="inlineStr">
        <is>
          <t>Investor (Инвестор) quarterly report</t>
        </is>
      </c>
      <c r="C47" s="361" t="inlineStr">
        <is>
          <t>Rep</t>
        </is>
      </c>
      <c r="D47" s="361" t="inlineStr">
        <is>
          <t>Rep</t>
        </is>
      </c>
      <c r="E47" s="361" t="inlineStr">
        <is>
          <t>Rep</t>
        </is>
      </c>
      <c r="F47" s="361" t="inlineStr">
        <is>
          <t>Rep</t>
        </is>
      </c>
      <c r="G47" s="361" t="inlineStr">
        <is>
          <t>Rep</t>
        </is>
      </c>
      <c r="H47" s="361" t="inlineStr">
        <is>
          <t>Rep</t>
        </is>
      </c>
      <c r="I47" s="361" t="inlineStr">
        <is>
          <t>Rep</t>
        </is>
      </c>
      <c r="J47" s="361" t="inlineStr">
        <is>
          <t>Rep</t>
        </is>
      </c>
      <c r="K47" s="361" t="inlineStr">
        <is>
          <t>Rep</t>
        </is>
      </c>
      <c r="L47" s="361" t="inlineStr">
        <is>
          <t>Rep</t>
        </is>
      </c>
      <c r="M47" s="361" t="inlineStr">
        <is>
          <t>Rep</t>
        </is>
      </c>
      <c r="N47" s="361" t="inlineStr">
        <is>
          <t>Rep</t>
        </is>
      </c>
      <c r="O47" s="351" t="n"/>
      <c r="P47" s="351" t="n"/>
      <c r="Q47" s="351" t="n"/>
      <c r="R47" s="351" t="n"/>
    </row>
    <row r="48" ht="22" customHeight="1" s="468">
      <c r="B48" s="358" t="inlineStr">
        <is>
          <t>Audit (Аудит)</t>
        </is>
      </c>
      <c r="C48" s="351" t="n"/>
      <c r="D48" s="351" t="n"/>
      <c r="E48" s="351" t="n"/>
      <c r="F48" s="361" t="inlineStr">
        <is>
          <t>Audit (Аудит)</t>
        </is>
      </c>
      <c r="G48" s="351" t="n"/>
      <c r="H48" s="351" t="n"/>
      <c r="I48" s="351" t="n"/>
      <c r="J48" s="361" t="inlineStr">
        <is>
          <t>Audit (Аудит)</t>
        </is>
      </c>
      <c r="K48" s="351" t="n"/>
      <c r="L48" s="351" t="n"/>
      <c r="M48" s="351" t="n"/>
      <c r="N48" s="361" t="inlineStr">
        <is>
          <t>Audit (Аудит)</t>
        </is>
      </c>
      <c r="O48" s="361" t="inlineStr">
        <is>
          <t>Audit (Аудит)</t>
        </is>
      </c>
      <c r="P48" s="361" t="inlineStr">
        <is>
          <t>Audit (Аудит)</t>
        </is>
      </c>
      <c r="Q48" s="361" t="inlineStr">
        <is>
          <t>Audit (Аудит)</t>
        </is>
      </c>
      <c r="R48" s="361" t="inlineStr">
        <is>
          <t>Audit (Аудит)</t>
        </is>
      </c>
    </row>
    <row r="49" ht="22" customHeight="1" s="468">
      <c r="B49" s="358" t="inlineStr">
        <is>
          <t>Проверка ковенантов (Проверка ковенантов)</t>
        </is>
      </c>
      <c r="C49" s="351" t="n"/>
      <c r="D49" s="361" t="inlineStr">
        <is>
          <t>Cov</t>
        </is>
      </c>
      <c r="E49" s="361" t="inlineStr">
        <is>
          <t>Cov</t>
        </is>
      </c>
      <c r="F49" s="361" t="inlineStr">
        <is>
          <t>Cov</t>
        </is>
      </c>
      <c r="G49" s="361" t="inlineStr">
        <is>
          <t>Cov</t>
        </is>
      </c>
      <c r="H49" s="361" t="inlineStr">
        <is>
          <t>Cov</t>
        </is>
      </c>
      <c r="I49" s="361" t="inlineStr">
        <is>
          <t>Cov</t>
        </is>
      </c>
      <c r="J49" s="361" t="inlineStr">
        <is>
          <t>Cov</t>
        </is>
      </c>
      <c r="K49" s="361" t="inlineStr">
        <is>
          <t>Cov</t>
        </is>
      </c>
      <c r="L49" s="361" t="inlineStr">
        <is>
          <t>Cov</t>
        </is>
      </c>
      <c r="M49" s="361" t="inlineStr">
        <is>
          <t>Cov</t>
        </is>
      </c>
      <c r="N49" s="361" t="inlineStr">
        <is>
          <t>Cov</t>
        </is>
      </c>
      <c r="O49" s="351" t="n"/>
      <c r="P49" s="351" t="n"/>
      <c r="Q49" s="351" t="n"/>
      <c r="R49" s="351" t="n"/>
    </row>
    <row r="50" ht="22" customHeight="1" s="468">
      <c r="B50" s="358" t="inlineStr">
        <is>
          <t>Strategic (Стратегический) review (Стратегический обзор)</t>
        </is>
      </c>
      <c r="C50" s="351" t="n"/>
      <c r="D50" s="351" t="n"/>
      <c r="E50" s="351" t="n"/>
      <c r="F50" s="351" t="n"/>
      <c r="G50" s="351" t="n"/>
      <c r="H50" s="361" t="inlineStr">
        <is>
          <t>Rev</t>
        </is>
      </c>
      <c r="I50" s="351" t="n"/>
      <c r="J50" s="351" t="n"/>
      <c r="K50" s="351" t="n"/>
      <c r="L50" s="351" t="n"/>
      <c r="M50" s="351" t="n"/>
      <c r="N50" s="361" t="inlineStr">
        <is>
          <t>Rev</t>
        </is>
      </c>
      <c r="O50" s="351" t="n"/>
      <c r="P50" s="361" t="inlineStr">
        <is>
          <t>Rev</t>
        </is>
      </c>
      <c r="Q50" s="351" t="n"/>
      <c r="R50" s="361" t="inlineStr">
        <is>
          <t>Rev</t>
        </is>
      </c>
    </row>
    <row r="53" ht="16" customHeight="1" s="468">
      <c r="B53" s="557" t="inlineStr">
        <is>
          <t>IV. ВЕХИ МАРШРУТОВ ВЫХОДА</t>
        </is>
      </c>
    </row>
    <row r="55" ht="30" customHeight="1" s="468">
      <c r="B55" s="555" t="inlineStr">
        <is>
          <t>Маршрут выхода (Маршрут выхода)</t>
        </is>
      </c>
      <c r="C55" s="555" t="inlineStr">
        <is>
          <t>Q1'26</t>
        </is>
      </c>
      <c r="D55" s="555" t="inlineStr">
        <is>
          <t>Q2'26</t>
        </is>
      </c>
      <c r="E55" s="555" t="inlineStr">
        <is>
          <t>Q3'26</t>
        </is>
      </c>
      <c r="F55" s="555" t="inlineStr">
        <is>
          <t>Q4'26</t>
        </is>
      </c>
      <c r="G55" s="555" t="inlineStr">
        <is>
          <t>Q1'27</t>
        </is>
      </c>
      <c r="H55" s="555" t="inlineStr">
        <is>
          <t>Q2'27</t>
        </is>
      </c>
      <c r="I55" s="555" t="inlineStr">
        <is>
          <t>Q3'27</t>
        </is>
      </c>
      <c r="J55" s="555" t="inlineStr">
        <is>
          <t>Q4'27</t>
        </is>
      </c>
      <c r="K55" s="555" t="inlineStr">
        <is>
          <t>Q1'28</t>
        </is>
      </c>
      <c r="L55" s="555" t="inlineStr">
        <is>
          <t>Q2'28</t>
        </is>
      </c>
      <c r="M55" s="555" t="inlineStr">
        <is>
          <t>Q3'28</t>
        </is>
      </c>
      <c r="N55" s="555" t="inlineStr">
        <is>
          <t>Q4'28</t>
        </is>
      </c>
      <c r="O55" s="555" t="inlineStr">
        <is>
          <t>2029</t>
        </is>
      </c>
      <c r="P55" s="555" t="inlineStr">
        <is>
          <t>2030</t>
        </is>
      </c>
      <c r="Q55" s="555" t="inlineStr">
        <is>
          <t>2031</t>
        </is>
      </c>
      <c r="R55" s="555" t="inlineStr">
        <is>
          <t>2032</t>
        </is>
      </c>
    </row>
    <row r="56" ht="22" customHeight="1" s="468">
      <c r="B56" s="358" t="inlineStr">
        <is>
          <t>E1: Strategic (Стратегический) sale (Стратегическая продажа)</t>
        </is>
      </c>
      <c r="C56" s="351" t="n"/>
      <c r="D56" s="351" t="n"/>
      <c r="E56" s="351" t="n"/>
      <c r="F56" s="351" t="n"/>
      <c r="G56" s="351" t="n"/>
      <c r="H56" s="351" t="n"/>
      <c r="I56" s="351" t="n"/>
      <c r="J56" s="351" t="n"/>
      <c r="K56" s="351" t="n"/>
      <c r="L56" s="351" t="n"/>
      <c r="M56" s="351" t="n"/>
      <c r="N56" s="351" t="n"/>
      <c r="O56" s="351" t="n"/>
      <c r="P56" s="362" t="inlineStr">
        <is>
          <t>SS ★</t>
        </is>
      </c>
      <c r="Q56" s="362" t="inlineStr">
        <is>
          <t>SS ★</t>
        </is>
      </c>
      <c r="R56" s="351" t="n"/>
    </row>
    <row r="57" ht="22" customHeight="1" s="468">
      <c r="B57" s="358" t="inlineStr">
        <is>
          <t>E2: Trade sale (Продажа стратегу) PE</t>
        </is>
      </c>
      <c r="C57" s="351" t="n"/>
      <c r="D57" s="351" t="n"/>
      <c r="E57" s="351" t="n"/>
      <c r="F57" s="351" t="n"/>
      <c r="G57" s="351" t="n"/>
      <c r="H57" s="351" t="n"/>
      <c r="I57" s="351" t="n"/>
      <c r="J57" s="351" t="n"/>
      <c r="K57" s="351" t="n"/>
      <c r="L57" s="351" t="n"/>
      <c r="M57" s="351" t="n"/>
      <c r="N57" s="351" t="n"/>
      <c r="O57" s="351" t="n"/>
      <c r="P57" s="351" t="n"/>
      <c r="Q57" s="362" t="inlineStr">
        <is>
          <t>TS</t>
        </is>
      </c>
      <c r="R57" s="362" t="inlineStr">
        <is>
          <t>TS</t>
        </is>
      </c>
    </row>
    <row r="58" ht="22" customHeight="1" s="468">
      <c r="B58" s="358" t="inlineStr">
        <is>
          <t>E3: IPO (первичное размещение) (small-cap Мосбиржа)</t>
        </is>
      </c>
      <c r="C58" s="351" t="n"/>
      <c r="D58" s="351" t="n"/>
      <c r="E58" s="351" t="n"/>
      <c r="F58" s="351" t="n"/>
      <c r="G58" s="351" t="n"/>
      <c r="H58" s="351" t="n"/>
      <c r="I58" s="351" t="n"/>
      <c r="J58" s="351" t="n"/>
      <c r="K58" s="351" t="n"/>
      <c r="L58" s="351" t="n"/>
      <c r="M58" s="351" t="n"/>
      <c r="N58" s="351" t="n"/>
      <c r="O58" s="351" t="n"/>
      <c r="P58" s="351" t="n"/>
      <c r="Q58" s="362" t="inlineStr">
        <is>
          <t>IPO (первичное размещение)</t>
        </is>
      </c>
      <c r="R58" s="362" t="inlineStr">
        <is>
          <t>IPO (первичное размещение)</t>
        </is>
      </c>
    </row>
    <row r="59" ht="22" customHeight="1" s="468">
      <c r="B59" s="358" t="inlineStr">
        <is>
          <t>E4: Secondary (Вторичный) sale (Вторичная продажа)</t>
        </is>
      </c>
      <c r="C59" s="351" t="n"/>
      <c r="D59" s="351" t="n"/>
      <c r="E59" s="351" t="n"/>
      <c r="F59" s="351" t="n"/>
      <c r="G59" s="351" t="n"/>
      <c r="H59" s="351" t="n"/>
      <c r="I59" s="351" t="n"/>
      <c r="J59" s="351" t="n"/>
      <c r="K59" s="351" t="n"/>
      <c r="L59" s="351" t="n"/>
      <c r="M59" s="351" t="n"/>
      <c r="N59" s="351" t="n"/>
      <c r="O59" s="362" t="inlineStr">
        <is>
          <t>Sec</t>
        </is>
      </c>
      <c r="P59" s="362" t="inlineStr">
        <is>
          <t>Sec</t>
        </is>
      </c>
      <c r="Q59" s="351" t="n"/>
      <c r="R59" s="351" t="n"/>
    </row>
    <row r="60" ht="22" customHeight="1" s="468">
      <c r="B60" s="358" t="inlineStr">
        <is>
          <t>E5: Management buyout (Выкуп менеджментом)</t>
        </is>
      </c>
      <c r="C60" s="351" t="n"/>
      <c r="D60" s="351" t="n"/>
      <c r="E60" s="351" t="n"/>
      <c r="F60" s="351" t="n"/>
      <c r="G60" s="351" t="n"/>
      <c r="H60" s="351" t="n"/>
      <c r="I60" s="351" t="n"/>
      <c r="J60" s="351" t="n"/>
      <c r="K60" s="351" t="n"/>
      <c r="L60" s="351" t="n"/>
      <c r="M60" s="351" t="n"/>
      <c r="N60" s="351" t="n"/>
      <c r="O60" s="351" t="n"/>
      <c r="P60" s="351" t="n"/>
      <c r="Q60" s="351" t="n"/>
      <c r="R60" s="362" t="inlineStr">
        <is>
          <t>MBO</t>
        </is>
      </c>
    </row>
    <row r="61" ht="22" customHeight="1" s="468">
      <c r="B61" s="358" t="inlineStr">
        <is>
          <t>E6: Gov strategic (Гос. стратегический)</t>
        </is>
      </c>
      <c r="C61" s="351" t="n"/>
      <c r="D61" s="351" t="n"/>
      <c r="E61" s="351" t="n"/>
      <c r="F61" s="351" t="n"/>
      <c r="G61" s="351" t="n"/>
      <c r="H61" s="351" t="n"/>
      <c r="I61" s="351" t="n"/>
      <c r="J61" s="351" t="n"/>
      <c r="K61" s="351" t="n"/>
      <c r="L61" s="351" t="n"/>
      <c r="M61" s="351" t="n"/>
      <c r="N61" s="351" t="n"/>
      <c r="O61" s="351" t="n"/>
      <c r="P61" s="362" t="inlineStr">
        <is>
          <t>Gov</t>
        </is>
      </c>
      <c r="Q61" s="362" t="inlineStr">
        <is>
          <t>Gov</t>
        </is>
      </c>
      <c r="R61" s="351" t="n"/>
    </row>
    <row r="62" ht="22" customHeight="1" s="468">
      <c r="B62" s="358" t="inlineStr">
        <is>
          <t>E7: Wind-down (Свёртывание/удержание)</t>
        </is>
      </c>
      <c r="C62" s="351" t="n"/>
      <c r="D62" s="351" t="n"/>
      <c r="E62" s="351" t="n"/>
      <c r="F62" s="351" t="n"/>
      <c r="G62" s="351" t="n"/>
      <c r="H62" s="351" t="n"/>
      <c r="I62" s="351" t="n"/>
      <c r="J62" s="351" t="n"/>
      <c r="K62" s="351" t="n"/>
      <c r="L62" s="351" t="n"/>
      <c r="M62" s="351" t="n"/>
      <c r="N62" s="351" t="n"/>
      <c r="O62" s="351" t="n"/>
      <c r="P62" s="351" t="n"/>
      <c r="Q62" s="351" t="n"/>
      <c r="R62" s="363" t="inlineStr">
        <is>
          <t>WD</t>
        </is>
      </c>
    </row>
    <row r="65" ht="16" customHeight="1" s="468">
      <c r="B65" s="364" t="inlineStr">
        <is>
          <t>V. КРИТИЧЕСКИЙ ПУТЬ</t>
        </is>
      </c>
    </row>
    <row r="67">
      <c r="B67" s="595" t="inlineStr">
        <is>
          <t>• Q1'26: T₁ Tranche (Транш) 1 250 млн ₽ → старт Dev F01-F05</t>
        </is>
      </c>
      <c r="C67" s="473" t="n"/>
      <c r="D67" s="473" t="n"/>
      <c r="E67" s="473" t="n"/>
      <c r="F67" s="473" t="n"/>
      <c r="G67" s="473" t="n"/>
      <c r="H67" s="473" t="n"/>
      <c r="I67" s="473" t="n"/>
      <c r="J67" s="473" t="n"/>
      <c r="K67" s="473" t="n"/>
      <c r="L67" s="473" t="n"/>
      <c r="M67" s="473" t="n"/>
      <c r="N67" s="473" t="n"/>
      <c r="O67" s="473" t="n"/>
      <c r="P67" s="473" t="n"/>
      <c r="Q67" s="466" t="n"/>
    </row>
    <row r="68">
      <c r="B68" s="595" t="inlineStr">
        <is>
          <t>• Q2'26: Tranche (Транш) 2 350 → Shoot F01-F02</t>
        </is>
      </c>
      <c r="C68" s="473" t="n"/>
      <c r="D68" s="473" t="n"/>
      <c r="E68" s="473" t="n"/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73" t="n"/>
      <c r="O68" s="473" t="n"/>
      <c r="P68" s="473" t="n"/>
      <c r="Q68" s="466" t="n"/>
    </row>
    <row r="69">
      <c r="B69" s="595" t="inlineStr">
        <is>
          <t>• Q3'26: Tranche (Транш) 3 350 → Shoot F03-F04, Pre-production (Пре-продакшн) F05</t>
        </is>
      </c>
      <c r="C69" s="473" t="n"/>
      <c r="D69" s="473" t="n"/>
      <c r="E69" s="473" t="n"/>
      <c r="F69" s="473" t="n"/>
      <c r="G69" s="473" t="n"/>
      <c r="H69" s="473" t="n"/>
      <c r="I69" s="473" t="n"/>
      <c r="J69" s="473" t="n"/>
      <c r="K69" s="473" t="n"/>
      <c r="L69" s="473" t="n"/>
      <c r="M69" s="473" t="n"/>
      <c r="N69" s="473" t="n"/>
      <c r="O69" s="473" t="n"/>
      <c r="P69" s="473" t="n"/>
      <c r="Q69" s="466" t="n"/>
    </row>
    <row r="70">
      <c r="B70" s="595" t="inlineStr">
        <is>
          <t>• Q4'26: Tranche (Транш) 4 300 + Release (Релиз) F01 → первый revenue impulse</t>
        </is>
      </c>
      <c r="C70" s="473" t="n"/>
      <c r="D70" s="473" t="n"/>
      <c r="E70" s="473" t="n"/>
      <c r="F70" s="473" t="n"/>
      <c r="G70" s="473" t="n"/>
      <c r="H70" s="473" t="n"/>
      <c r="I70" s="473" t="n"/>
      <c r="J70" s="473" t="n"/>
      <c r="K70" s="473" t="n"/>
      <c r="L70" s="473" t="n"/>
      <c r="M70" s="473" t="n"/>
      <c r="N70" s="473" t="n"/>
      <c r="O70" s="473" t="n"/>
      <c r="P70" s="473" t="n"/>
      <c r="Q70" s="466" t="n"/>
    </row>
    <row r="71">
      <c r="B71" s="595" t="inlineStr">
        <is>
          <t>• Q2'27: Release (Релиз) F02-F04 → проверка slate performance vs прогноз</t>
        </is>
      </c>
      <c r="C71" s="473" t="n"/>
      <c r="D71" s="473" t="n"/>
      <c r="E71" s="473" t="n"/>
      <c r="F71" s="473" t="n"/>
      <c r="G71" s="473" t="n"/>
      <c r="H71" s="473" t="n"/>
      <c r="I71" s="473" t="n"/>
      <c r="J71" s="473" t="n"/>
      <c r="K71" s="473" t="n"/>
      <c r="L71" s="473" t="n"/>
      <c r="M71" s="473" t="n"/>
      <c r="N71" s="473" t="n"/>
      <c r="O71" s="473" t="n"/>
      <c r="P71" s="473" t="n"/>
      <c r="Q71" s="466" t="n"/>
    </row>
    <row r="72">
      <c r="B72" s="595" t="inlineStr">
        <is>
          <t>• Q3'27: Release (Релиз) F05 → critical test hypothesis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73" t="n"/>
      <c r="L72" s="473" t="n"/>
      <c r="M72" s="473" t="n"/>
      <c r="N72" s="473" t="n"/>
      <c r="O72" s="473" t="n"/>
      <c r="P72" s="473" t="n"/>
      <c r="Q72" s="466" t="n"/>
    </row>
    <row r="73">
      <c r="B73" s="595" t="inlineStr">
        <is>
          <t>• Q4'27: Mid-term review → решение о продолжении Slate B (F11-F12) или pivot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73" t="n"/>
      <c r="L73" s="473" t="n"/>
      <c r="M73" s="473" t="n"/>
      <c r="N73" s="473" t="n"/>
      <c r="O73" s="473" t="n"/>
      <c r="P73" s="473" t="n"/>
      <c r="Q73" s="466" t="n"/>
    </row>
    <row r="74">
      <c r="B74" s="595" t="inlineStr">
        <is>
          <t>• Q2'28: Release (Релиз) F08-F09 → cash flow breakpoint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73" t="n"/>
      <c r="L74" s="473" t="n"/>
      <c r="M74" s="473" t="n"/>
      <c r="N74" s="473" t="n"/>
      <c r="O74" s="473" t="n"/>
      <c r="P74" s="473" t="n"/>
      <c r="Q74" s="466" t="n"/>
    </row>
    <row r="75">
      <c r="B75" s="595" t="inlineStr">
        <is>
          <t>• Q4'28: Release (Релиз) F12 + full slate completed → start exit prep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73" t="n"/>
      <c r="L75" s="473" t="n"/>
      <c r="M75" s="473" t="n"/>
      <c r="N75" s="473" t="n"/>
      <c r="O75" s="473" t="n"/>
      <c r="P75" s="473" t="n"/>
      <c r="Q75" s="466" t="n"/>
    </row>
    <row r="76">
      <c r="B76" s="595" t="inlineStr">
        <is>
          <t>• 2029: Q1 — covenant pass или W₃ activation (default (по умолчанию)) / W₄ premium (премия) upgrade decision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73" t="n"/>
      <c r="L76" s="473" t="n"/>
      <c r="M76" s="473" t="n"/>
      <c r="N76" s="473" t="n"/>
      <c r="O76" s="473" t="n"/>
      <c r="P76" s="473" t="n"/>
      <c r="Q76" s="466" t="n"/>
    </row>
    <row r="77">
      <c r="B77" s="595" t="inlineStr">
        <is>
          <t>• 2029-2030: Strategic (Стратегический) review (Стратегический обзор) → exit route selection → T₁ repayment start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73" t="n"/>
      <c r="L77" s="473" t="n"/>
      <c r="M77" s="473" t="n"/>
      <c r="N77" s="473" t="n"/>
      <c r="O77" s="473" t="n"/>
      <c r="P77" s="473" t="n"/>
      <c r="Q77" s="466" t="n"/>
    </row>
    <row r="78">
      <c r="B78" s="595" t="inlineStr">
        <is>
          <t>• 2030-2032: Исполнение выхода + полный возврат T₁ + монетизация библиотеки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73" t="n"/>
      <c r="L78" s="473" t="n"/>
      <c r="M78" s="473" t="n"/>
      <c r="N78" s="473" t="n"/>
      <c r="O78" s="473" t="n"/>
      <c r="P78" s="473" t="n"/>
      <c r="Q78" s="466" t="n"/>
    </row>
    <row r="81" ht="16" customHeight="1" s="468">
      <c r="B81" s="557" t="inlineStr">
        <is>
          <t>VI. TOP-10 КРИТИЧЕСКИХ ДАТ</t>
        </is>
      </c>
    </row>
    <row r="83">
      <c r="B83" s="555" t="inlineStr">
        <is>
          <t>#</t>
        </is>
      </c>
      <c r="C83" s="555" t="inlineStr">
        <is>
          <t>Дата</t>
        </is>
      </c>
      <c r="D83" s="555" t="inlineStr">
        <is>
          <t>Событие</t>
        </is>
      </c>
      <c r="E83" s="555" t="inlineStr">
        <is>
          <t>Критичность</t>
        </is>
      </c>
      <c r="F83" s="555" t="inlineStr">
        <is>
          <t>Ответственный</t>
        </is>
      </c>
    </row>
    <row r="84" ht="26" customHeight="1" s="468">
      <c r="B84" s="318" t="n">
        <v>1</v>
      </c>
      <c r="C84" s="610" t="inlineStr">
        <is>
          <t>15.01.2026</t>
        </is>
      </c>
      <c r="D84" s="595" t="inlineStr">
        <is>
          <t>Подписание T₁ Term Sheet (Условия сделки) + SPA</t>
        </is>
      </c>
      <c r="E84" s="365" t="inlineStr">
        <is>
          <t>Critical (Критический)</t>
        </is>
      </c>
      <c r="F84" s="595" t="inlineStr">
        <is>
          <t>CFO / Legal (Юрид.)</t>
        </is>
      </c>
    </row>
    <row r="85" ht="26" customHeight="1" s="468">
      <c r="B85" s="318" t="n">
        <v>2</v>
      </c>
      <c r="C85" s="610" t="inlineStr">
        <is>
          <t>31.03.2026</t>
        </is>
      </c>
      <c r="D85" s="595" t="inlineStr">
        <is>
          <t>Closing Tranche (Транш) 1 (250 млн ₽)</t>
        </is>
      </c>
      <c r="E85" s="365" t="inlineStr">
        <is>
          <t>Critical (Критический)</t>
        </is>
      </c>
      <c r="F85" s="595" t="inlineStr">
        <is>
          <t>CFO / Совет директоров</t>
        </is>
      </c>
    </row>
    <row r="86" ht="26" customHeight="1" s="468">
      <c r="B86" s="318" t="n">
        <v>3</v>
      </c>
      <c r="C86" s="610" t="inlineStr">
        <is>
          <t>15.06.2026</t>
        </is>
      </c>
      <c r="D86" s="595" t="inlineStr">
        <is>
          <t>Старт съёмок F01 «Родные стены»</t>
        </is>
      </c>
      <c r="E86" s="317" t="inlineStr">
        <is>
          <t>High (Высокий)</t>
        </is>
      </c>
      <c r="F86" s="595" t="inlineStr">
        <is>
          <t>Producer (Продюсер) F01</t>
        </is>
      </c>
    </row>
    <row r="87" ht="26" customHeight="1" s="468">
      <c r="B87" s="318" t="n">
        <v>4</v>
      </c>
      <c r="C87" s="610" t="inlineStr">
        <is>
          <t>30.09.2026</t>
        </is>
      </c>
      <c r="D87" s="595" t="inlineStr">
        <is>
          <t>Tranche (Транш) 3 + старт съёмок F05</t>
        </is>
      </c>
      <c r="E87" s="365" t="inlineStr">
        <is>
          <t>Critical (Критический)</t>
        </is>
      </c>
      <c r="F87" s="595" t="inlineStr">
        <is>
          <t>CFO + F05 Prod (Производство)</t>
        </is>
      </c>
    </row>
    <row r="88" ht="26" customHeight="1" s="468">
      <c r="B88" s="318" t="n">
        <v>5</v>
      </c>
      <c r="C88" s="610" t="inlineStr">
        <is>
          <t>01.12.2026</t>
        </is>
      </c>
      <c r="D88" s="595" t="inlineStr">
        <is>
          <t>Премьера F01</t>
        </is>
      </c>
      <c r="E88" s="317" t="inlineStr">
        <is>
          <t>High (Высокий)</t>
        </is>
      </c>
      <c r="F88" s="595" t="inlineStr">
        <is>
          <t>Distribution (Распределение)</t>
        </is>
      </c>
    </row>
    <row r="89" ht="26" customHeight="1" s="468">
      <c r="B89" s="318" t="n">
        <v>6</v>
      </c>
      <c r="C89" s="610" t="inlineStr">
        <is>
          <t>15.09.2027</t>
        </is>
      </c>
      <c r="D89" s="595" t="inlineStr">
        <is>
          <t>Премьера F05 «Время героев» (блокбастер)</t>
        </is>
      </c>
      <c r="E89" s="365" t="inlineStr">
        <is>
          <t>Critical (Критический)</t>
        </is>
      </c>
      <c r="F89" s="595" t="inlineStr">
        <is>
          <t>CEO / Marketing (Маркетинг)</t>
        </is>
      </c>
    </row>
    <row r="90" ht="26" customHeight="1" s="468">
      <c r="B90" s="318" t="n">
        <v>7</v>
      </c>
      <c r="C90" s="610" t="inlineStr">
        <is>
          <t>31.12.2027</t>
        </is>
      </c>
      <c r="D90" s="595" t="inlineStr">
        <is>
          <t>Mid-term review (Промежуточный обзор) + решение по Slate B</t>
        </is>
      </c>
      <c r="E90" s="365" t="inlineStr">
        <is>
          <t>Critical (Критический)</t>
        </is>
      </c>
      <c r="F90" s="595" t="inlineStr">
        <is>
          <t>Совет директоров</t>
        </is>
      </c>
    </row>
    <row r="91" ht="26" customHeight="1" s="468">
      <c r="B91" s="318" t="n">
        <v>8</v>
      </c>
      <c r="C91" s="610" t="inlineStr">
        <is>
          <t>31.12.2028</t>
        </is>
      </c>
      <c r="D91" s="595" t="inlineStr">
        <is>
          <t>Full slate completed (Полный пакет завершён) + начало подготовки к выходу</t>
        </is>
      </c>
      <c r="E91" s="365" t="inlineStr">
        <is>
          <t>Critical (Критический)</t>
        </is>
      </c>
      <c r="F91" s="595" t="inlineStr">
        <is>
          <t>Совет директоров / IR</t>
        </is>
      </c>
    </row>
    <row r="92" ht="26" customHeight="1" s="468">
      <c r="B92" s="318" t="n">
        <v>9</v>
      </c>
      <c r="C92" s="610" t="inlineStr">
        <is>
          <t>30.06.2029</t>
        </is>
      </c>
      <c r="D92" s="595" t="inlineStr">
        <is>
          <t>Covenant pass check (Проверка выполнения ковенантов) + T₁ Repayment 1</t>
        </is>
      </c>
      <c r="E92" s="365" t="inlineStr">
        <is>
          <t>Critical (Критический)</t>
        </is>
      </c>
      <c r="F92" s="595" t="inlineStr">
        <is>
          <t>CFO / Совет директоров</t>
        </is>
      </c>
    </row>
    <row r="93" ht="26" customHeight="1" s="468">
      <c r="B93" s="318" t="n">
        <v>10</v>
      </c>
      <c r="C93" s="610" t="inlineStr">
        <is>
          <t>31.12.2032</t>
        </is>
      </c>
      <c r="D93" s="595" t="inlineStr">
        <is>
          <t>Финальный возврат T₁ + исполнение выхода</t>
        </is>
      </c>
      <c r="E93" s="365" t="inlineStr">
        <is>
          <t>Critical (Критический)</t>
        </is>
      </c>
      <c r="F93" s="595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7:Q77"/>
    <mergeCell ref="B74:Q74"/>
    <mergeCell ref="B69:Q69"/>
    <mergeCell ref="B68:Q68"/>
    <mergeCell ref="B70:Q70"/>
    <mergeCell ref="B78:Q78"/>
    <mergeCell ref="B2:Q2"/>
    <mergeCell ref="B72:Q72"/>
  </mergeCells>
  <printOptions horizontalCentered="1"/>
  <pageMargins left="0.59" right="0.59" top="0.59" bottom="0.59" header="0.3" footer="0.3"/>
  <pageSetup orientation="landscape" paperSize="8" fitToHeight="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8" customWidth="1" style="468" min="3" max="3"/>
    <col width="18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КРАТКОЕ РЕЗЮМЕ (КРАТКОЕ РЕЗЮМЕ)</t>
        </is>
      </c>
    </row>
    <row r="3" ht="18" customHeight="1" s="468">
      <c r="B3" s="840" t="inlineStr">
        <is>
          <t>Холдинг кино «ТрендСтудио» — Investor Package (Инвестиционный пакет) v1.0.1 Public · A+C pattern (паттерн)</t>
        </is>
      </c>
    </row>
    <row r="5" ht="22" customHeight="1" s="468">
      <c r="B5" s="841" t="inlineStr">
        <is>
          <t>I. INVESTMENT (ИНВЕСТИЦИИ) HIGHLIGHTS (КЛЮЧЕВЫЕ ПРЕИМУЩЕСТВА ИНВЕСТИЦИИ)</t>
        </is>
      </c>
    </row>
    <row r="7" ht="28" customHeight="1" s="468">
      <c r="B7" s="366" t="inlineStr">
        <is>
          <t>▶</t>
        </is>
      </c>
      <c r="C7" s="842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 s="468">
      <c r="B8" s="366" t="inlineStr">
        <is>
          <t>▶</t>
        </is>
      </c>
      <c r="C8" s="842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 s="468">
      <c r="B9" s="366" t="inlineStr">
        <is>
          <t>▶</t>
        </is>
      </c>
      <c r="C9" s="842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 s="468">
      <c r="B10" s="366" t="inlineStr">
        <is>
          <t>▶</t>
        </is>
      </c>
      <c r="C10" s="842" t="inlineStr">
        <is>
          <t>Рынок SOM 4 545 млн ₽ из TAM 289.8 млрд ₽ — доля &lt;2%, защита от рыночного риска</t>
        </is>
      </c>
    </row>
    <row r="11" ht="28" customHeight="1" s="468">
      <c r="B11" s="366" t="inlineStr">
        <is>
          <t>▶</t>
        </is>
      </c>
      <c r="C11" s="842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 s="468">
      <c r="B12" s="366" t="inlineStr">
        <is>
          <t>▶</t>
        </is>
      </c>
      <c r="C12" s="842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 s="468">
      <c r="B14" s="841" t="inlineStr">
        <is>
          <t>II. КЛЮЧЕВЫЕ МЕТРИКИ</t>
        </is>
      </c>
    </row>
    <row r="16" ht="22" customHeight="1" s="468">
      <c r="C16" s="555" t="inlineStr">
        <is>
          <t>Показатель</t>
        </is>
      </c>
      <c r="D16" s="466" t="n"/>
      <c r="E16" s="555" t="inlineStr">
        <is>
          <t>Σ 2026–2028</t>
        </is>
      </c>
      <c r="F16" s="466" t="n"/>
      <c r="G16" s="555" t="inlineStr">
        <is>
          <t>Источник</t>
        </is>
      </c>
      <c r="H16" s="466" t="n"/>
      <c r="I16" s="555" t="inlineStr">
        <is>
          <t>Примечание</t>
        </is>
      </c>
      <c r="J16" s="473" t="n"/>
      <c r="K16" s="473" t="n"/>
      <c r="L16" s="473" t="n"/>
      <c r="M16" s="473" t="n"/>
      <c r="N16" s="466" t="n"/>
    </row>
    <row r="17" ht="20" customHeight="1" s="468">
      <c r="C17" s="606" t="inlineStr">
        <is>
          <t>Revenue (Выручка)</t>
        </is>
      </c>
      <c r="D17" s="466" t="n"/>
      <c r="E17" s="607" t="inlineStr">
        <is>
          <t>4 545 млн ₽</t>
        </is>
      </c>
      <c r="F17" s="466" t="n"/>
      <c r="G17" s="608" t="inlineStr">
        <is>
          <t>07_Revenue_Breakdown</t>
        </is>
      </c>
      <c r="H17" s="466" t="n"/>
      <c r="I17" s="602" t="inlineStr">
        <is>
          <t>12 фильмов + сиквелы + TV/OTT (онлайн-платформа)</t>
        </is>
      </c>
      <c r="J17" s="473" t="n"/>
      <c r="K17" s="473" t="n"/>
      <c r="L17" s="473" t="n"/>
      <c r="M17" s="473" t="n"/>
      <c r="N17" s="466" t="n"/>
    </row>
    <row r="18" ht="20" customHeight="1" s="468">
      <c r="C18" s="606" t="inlineStr">
        <is>
          <t>COGS (себестоимость)</t>
        </is>
      </c>
      <c r="D18" s="466" t="n"/>
      <c r="E18" s="607" t="inlineStr">
        <is>
          <t>2 009 млн ₽</t>
        </is>
      </c>
      <c r="F18" s="466" t="n"/>
      <c r="G18" s="608" t="inlineStr">
        <is>
          <t>06_Cost_Structure</t>
        </is>
      </c>
      <c r="H18" s="466" t="n"/>
      <c r="I18" s="602" t="inlineStr">
        <is>
          <t>Производство + прокат + маркетинг</t>
        </is>
      </c>
      <c r="J18" s="473" t="n"/>
      <c r="K18" s="473" t="n"/>
      <c r="L18" s="473" t="n"/>
      <c r="M18" s="473" t="n"/>
      <c r="N18" s="466" t="n"/>
    </row>
    <row r="19" ht="20" customHeight="1" s="468">
      <c r="C19" s="606" t="inlineStr">
        <is>
          <t>OpEx</t>
        </is>
      </c>
      <c r="D19" s="466" t="n"/>
      <c r="E19" s="607" t="inlineStr">
        <is>
          <t>265.5 млн ₽</t>
        </is>
      </c>
      <c r="F19" s="466" t="n"/>
      <c r="G19" s="608" t="inlineStr">
        <is>
          <t>06_Cost_Structure</t>
        </is>
      </c>
      <c r="H19" s="466" t="n"/>
      <c r="I19" s="602" t="inlineStr">
        <is>
          <t>ФОТ + аренда + G&amp;A</t>
        </is>
      </c>
      <c r="J19" s="473" t="n"/>
      <c r="K19" s="473" t="n"/>
      <c r="L19" s="473" t="n"/>
      <c r="M19" s="473" t="n"/>
      <c r="N19" s="466" t="n"/>
    </row>
    <row r="20" ht="20" customHeight="1" s="468">
      <c r="C20" s="606" t="inlineStr">
        <is>
          <t>EBITDA (прибыль до вычетов) GAAP</t>
        </is>
      </c>
      <c r="D20" s="466" t="n"/>
      <c r="E20" s="607" t="inlineStr">
        <is>
          <t>2 167 млн ₽</t>
        </is>
      </c>
      <c r="F20" s="466" t="n"/>
      <c r="G20" s="608" t="inlineStr">
        <is>
          <t>09_P&amp;L_Statement</t>
        </is>
      </c>
      <c r="H20" s="466" t="n"/>
      <c r="I20" s="602" t="inlineStr">
        <is>
          <t>Маржа 47.3%</t>
        </is>
      </c>
      <c r="J20" s="473" t="n"/>
      <c r="K20" s="473" t="n"/>
      <c r="L20" s="473" t="n"/>
      <c r="M20" s="473" t="n"/>
      <c r="N20" s="466" t="n"/>
    </row>
    <row r="21" ht="20" customHeight="1" s="468">
      <c r="C21" s="606" t="inlineStr">
        <is>
          <t>NDP (чистые распределяемые поступления) (legacy (базовый вариант) anchor (якорь))</t>
        </is>
      </c>
      <c r="D21" s="466" t="n"/>
      <c r="E21" s="607" t="inlineStr">
        <is>
          <t>3 000 млн ₽</t>
        </is>
      </c>
      <c r="F21" s="466" t="n"/>
      <c r="G21" s="608" t="inlineStr">
        <is>
          <t>09_P&amp;L (bridge)</t>
        </is>
      </c>
      <c r="H21" s="466" t="n"/>
      <c r="I21" s="602" t="inlineStr">
        <is>
          <t>Non-Discounted Profit (Прибыль), внутренний якорь холдинга</t>
        </is>
      </c>
      <c r="J21" s="473" t="n"/>
      <c r="K21" s="473" t="n"/>
      <c r="L21" s="473" t="n"/>
      <c r="M21" s="473" t="n"/>
      <c r="N21" s="466" t="n"/>
    </row>
    <row r="22" ht="20" customHeight="1" s="468">
      <c r="C22" s="606" t="inlineStr">
        <is>
          <t>Net Profit (Чистая прибыль)</t>
        </is>
      </c>
      <c r="D22" s="466" t="n"/>
      <c r="E22" s="607" t="inlineStr">
        <is>
          <t>1 698 млн ₽</t>
        </is>
      </c>
      <c r="F22" s="466" t="n"/>
      <c r="G22" s="608" t="inlineStr">
        <is>
          <t>09_P&amp;L_Statement</t>
        </is>
      </c>
      <c r="H22" s="466" t="n"/>
      <c r="I22" s="602" t="inlineStr">
        <is>
          <t>После налогов (prib 20% + прочее)</t>
        </is>
      </c>
      <c r="J22" s="473" t="n"/>
      <c r="K22" s="473" t="n"/>
      <c r="L22" s="473" t="n"/>
      <c r="M22" s="473" t="n"/>
      <c r="N22" s="466" t="n"/>
    </row>
    <row r="23" ht="20" customHeight="1" s="468">
      <c r="C23" s="606" t="inlineStr">
        <is>
          <t>Инвестиция T₁</t>
        </is>
      </c>
      <c r="D23" s="466" t="n"/>
      <c r="E23" s="607" t="inlineStr">
        <is>
          <t>1 250 млн ₽</t>
        </is>
      </c>
      <c r="F23" s="466" t="n"/>
      <c r="G23" s="608" t="inlineStr">
        <is>
          <t>14_Investment_Inflow</t>
        </is>
      </c>
      <c r="H23" s="466" t="n"/>
      <c r="I23" s="602" t="inlineStr">
        <is>
          <t>4 транша: 250 / 350 / 350 / 300</t>
        </is>
      </c>
      <c r="J23" s="473" t="n"/>
      <c r="K23" s="473" t="n"/>
      <c r="L23" s="473" t="n"/>
      <c r="M23" s="473" t="n"/>
      <c r="N23" s="466" t="n"/>
    </row>
    <row r="24" ht="20" customHeight="1" s="468">
      <c r="C24" s="606" t="inlineStr">
        <is>
          <t>Producer (Продюсер) Equity (Собственный капитал)</t>
        </is>
      </c>
      <c r="D24" s="466" t="n"/>
      <c r="E24" s="607" t="inlineStr">
        <is>
          <t>600 млн ₽</t>
        </is>
      </c>
      <c r="F24" s="466" t="n"/>
      <c r="G24" s="608" t="inlineStr">
        <is>
          <t>17_Deal_Structures</t>
        </is>
      </c>
      <c r="H24" s="466" t="n"/>
      <c r="I24" s="602" t="inlineStr">
        <is>
          <t>JV (совместное предприятие) капитал продюсеров (off-P&amp;L)</t>
        </is>
      </c>
      <c r="J24" s="473" t="n"/>
      <c r="K24" s="473" t="n"/>
      <c r="L24" s="473" t="n"/>
      <c r="M24" s="473" t="n"/>
      <c r="N24" s="466" t="n"/>
    </row>
    <row r="25" ht="20" customHeight="1" s="468">
      <c r="C25" s="606" t="inlineStr">
        <is>
          <t>Production Budget (Бюджет)</t>
        </is>
      </c>
      <c r="D25" s="466" t="n"/>
      <c r="E25" s="607" t="inlineStr">
        <is>
          <t>1 747 млн ₽</t>
        </is>
      </c>
      <c r="F25" s="466" t="n"/>
      <c r="G25" s="608" t="inlineStr">
        <is>
          <t>08_Content_Pipeline</t>
        </is>
      </c>
      <c r="H25" s="466" t="n"/>
      <c r="I25" s="602" t="inlineStr">
        <is>
          <t>12 фильмов × avg 154 млн ₽</t>
        </is>
      </c>
      <c r="J25" s="473" t="n"/>
      <c r="K25" s="473" t="n"/>
      <c r="L25" s="473" t="n"/>
      <c r="M25" s="473" t="n"/>
      <c r="N25" s="466" t="n"/>
    </row>
    <row r="26" ht="20" customHeight="1" s="468">
      <c r="C26" s="606" t="inlineStr">
        <is>
          <t>Tax (7-year) (Налог, 7 лет)</t>
        </is>
      </c>
      <c r="D26" s="466" t="n"/>
      <c r="E26" s="607" t="inlineStr">
        <is>
          <t>720 млн ₽</t>
        </is>
      </c>
      <c r="F26" s="466" t="n"/>
      <c r="G26" s="608" t="inlineStr">
        <is>
          <t>34_Tax_Schedule</t>
        </is>
      </c>
      <c r="H26" s="466" t="n"/>
      <c r="I26" s="602" t="inlineStr">
        <is>
          <t>2026–2032, эффективная ставка 12.9% от Revenue (Выручка)</t>
        </is>
      </c>
      <c r="J26" s="473" t="n"/>
      <c r="K26" s="473" t="n"/>
      <c r="L26" s="473" t="n"/>
      <c r="M26" s="473" t="n"/>
      <c r="N26" s="466" t="n"/>
    </row>
    <row r="27" ht="16" customHeight="1" s="468">
      <c r="C27" s="407" t="inlineStr">
        <is>
          <t>Investor Returns (Доходность инвестора) T₁ (W₃ default (по умолчанию))</t>
        </is>
      </c>
      <c r="E27" s="425" t="inlineStr">
        <is>
          <t>IRR (внутренняя норма доходности) 20.09% · MOIC (мультипликатор вложенного капитала) 2.0× · Payback (Окупаемость) 3.23y · MC N=5 000: mean IRR (внутренняя норма доходности) 11.44%, P(&gt;hurdle (порог))=13.6%; A+C pattern (паттерн) 33/45/9/13 (см. дислеймер V.1-V.4)</t>
        </is>
      </c>
      <c r="G27" t="inlineStr">
        <is>
          <t>24_Investor_Returns</t>
        </is>
      </c>
      <c r="I27" t="inlineStr">
        <is>
          <t>Base (Базовый) W₃ = hurdle (порог) 18% ровно</t>
        </is>
      </c>
    </row>
    <row r="29" ht="22" customHeight="1" s="468">
      <c r="B29" s="843" t="inlineStr">
        <is>
          <t>III. VALUATION (ОЦЕНКА) RANGE INTERPRETATION (DCF (дисконтированный денежный поток) vs MULTIPLES)</t>
        </is>
      </c>
    </row>
    <row r="31" ht="20" customHeight="1" s="468">
      <c r="B31" s="844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 s="468">
      <c r="B33" s="623" t="inlineStr">
        <is>
          <t>Метод</t>
        </is>
      </c>
      <c r="C33" s="473" t="n"/>
      <c r="D33" s="473" t="n"/>
      <c r="E33" s="466" t="n"/>
      <c r="F33" s="555" t="inlineStr">
        <is>
          <t>EV (стоимость предприятия) 2030</t>
        </is>
      </c>
      <c r="G33" s="473" t="n"/>
      <c r="H33" s="466" t="n"/>
      <c r="I33" s="619" t="inlineStr">
        <is>
          <t>Роль в оценке</t>
        </is>
      </c>
      <c r="J33" s="473" t="n"/>
      <c r="K33" s="473" t="n"/>
      <c r="L33" s="466" t="n"/>
      <c r="M33" s="619" t="inlineStr">
        <is>
          <t>Источник</t>
        </is>
      </c>
      <c r="N33" s="466" t="n"/>
    </row>
    <row r="34" ht="32" customHeight="1" s="468">
      <c r="B34" s="606" t="inlineStr">
        <is>
          <t>DCF (дисконтированный денежный поток) (blend Gordon 40% + Exit 60%)</t>
        </is>
      </c>
      <c r="C34" s="473" t="n"/>
      <c r="D34" s="473" t="n"/>
      <c r="E34" s="466" t="n"/>
      <c r="F34" s="607" t="inlineStr">
        <is>
          <t>1 815 млн ₽</t>
        </is>
      </c>
      <c r="G34" s="473" t="n"/>
      <c r="H34" s="466" t="n"/>
      <c r="I34" s="602" t="inlineStr">
        <is>
          <t>Floor valuation (intrinsic, 5-летний горизонт, высокий WACC (средневзвешенная стоимость капитала))</t>
        </is>
      </c>
      <c r="J34" s="473" t="n"/>
      <c r="K34" s="473" t="n"/>
      <c r="L34" s="466" t="n"/>
      <c r="M34" s="602" t="inlineStr">
        <is>
          <t>22_Valuation_DCF</t>
        </is>
      </c>
      <c r="N34" s="466" t="n"/>
    </row>
    <row r="35" ht="32" customHeight="1" s="468">
      <c r="B35" s="606" t="inlineStr">
        <is>
          <t>Медиана Comps (EV (стоимость предприятия)/EBITDA (прибыль до вычетов) 8.9×)</t>
        </is>
      </c>
      <c r="C35" s="473" t="n"/>
      <c r="D35" s="473" t="n"/>
      <c r="E35" s="466" t="n"/>
      <c r="F35" s="607" t="inlineStr">
        <is>
          <t>7 550 млн ₽</t>
        </is>
      </c>
      <c r="G35" s="473" t="n"/>
      <c r="H35" s="466" t="n"/>
      <c r="I35" s="602" t="inlineStr">
        <is>
          <t>Рыночная оценка (что реально платят в сделках)</t>
        </is>
      </c>
      <c r="J35" s="473" t="n"/>
      <c r="K35" s="473" t="n"/>
      <c r="L35" s="466" t="n"/>
      <c r="M35" s="602" t="inlineStr">
        <is>
          <t>32_Comparable_Transactions</t>
        </is>
      </c>
      <c r="N35" s="466" t="n"/>
    </row>
    <row r="36" ht="32" customHeight="1" s="468">
      <c r="B36" s="606" t="inlineStr">
        <is>
          <t>Weighted Exit EV (стоимость предприятия) (probability-weighted)</t>
        </is>
      </c>
      <c r="C36" s="473" t="n"/>
      <c r="D36" s="473" t="n"/>
      <c r="E36" s="466" t="n"/>
      <c r="F36" s="607" t="inlineStr">
        <is>
          <t>6 038 млн ₽</t>
        </is>
      </c>
      <c r="G36" s="473" t="n"/>
      <c r="H36" s="466" t="n"/>
      <c r="I36" s="602" t="inlineStr">
        <is>
          <t>Expected value (Ожидаемая стоимость)</t>
        </is>
      </c>
      <c r="J36" s="473" t="n"/>
      <c r="K36" s="473" t="n"/>
      <c r="L36" s="466" t="n"/>
      <c r="M36" s="602" t="inlineStr">
        <is>
          <t>25_Exit_Scenarios</t>
        </is>
      </c>
      <c r="N36" s="466" t="n"/>
    </row>
    <row r="39" ht="20" customHeight="1" s="468">
      <c r="B39" s="845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 s="468">
      <c r="B41" s="555" t="inlineStr">
        <is>
          <t>#</t>
        </is>
      </c>
      <c r="C41" s="555" t="inlineStr">
        <is>
          <t>Компонент разрыва</t>
        </is>
      </c>
      <c r="D41" s="473" t="n"/>
      <c r="E41" s="466" t="n"/>
      <c r="F41" s="555" t="inlineStr">
        <is>
          <t>Механика</t>
        </is>
      </c>
      <c r="G41" s="473" t="n"/>
      <c r="H41" s="473" t="n"/>
      <c r="I41" s="473" t="n"/>
      <c r="J41" s="473" t="n"/>
      <c r="K41" s="473" t="n"/>
      <c r="L41" s="466" t="n"/>
      <c r="M41" s="555" t="inlineStr">
        <is>
          <t>Вклад</t>
        </is>
      </c>
      <c r="N41" s="466" t="n"/>
    </row>
    <row r="42" ht="52" customHeight="1" s="468">
      <c r="B42" s="328" t="inlineStr">
        <is>
          <t>1</t>
        </is>
      </c>
      <c r="C42" s="604" t="inlineStr">
        <is>
          <t>Горизонт обрезан на 2030</t>
        </is>
      </c>
      <c r="D42" s="473" t="n"/>
      <c r="E42" s="466" t="n"/>
      <c r="F42" s="604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473" t="n"/>
      <c r="H42" s="473" t="n"/>
      <c r="I42" s="473" t="n"/>
      <c r="J42" s="473" t="n"/>
      <c r="K42" s="473" t="n"/>
      <c r="L42" s="466" t="n"/>
      <c r="M42" s="549" t="inlineStr">
        <is>
          <t>+2 500</t>
        </is>
      </c>
      <c r="N42" s="466" t="n"/>
    </row>
    <row r="43" ht="52" customHeight="1" s="468">
      <c r="B43" s="328" t="inlineStr">
        <is>
          <t>2</t>
        </is>
      </c>
      <c r="C43" s="604" t="inlineStr">
        <is>
          <t>WACC (средневзвешенная стоимость капитала) 19% vs buyer WACC 7%</t>
        </is>
      </c>
      <c r="D43" s="473" t="n"/>
      <c r="E43" s="466" t="n"/>
      <c r="F43" s="604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473" t="n"/>
      <c r="H43" s="473" t="n"/>
      <c r="I43" s="473" t="n"/>
      <c r="J43" s="473" t="n"/>
      <c r="K43" s="473" t="n"/>
      <c r="L43" s="466" t="n"/>
      <c r="M43" s="549" t="inlineStr">
        <is>
          <t>+1 500</t>
        </is>
      </c>
      <c r="N43" s="466" t="n"/>
    </row>
    <row r="44" ht="52" customHeight="1" s="468">
      <c r="B44" s="328" t="inlineStr">
        <is>
          <t>3</t>
        </is>
      </c>
      <c r="C44" s="604" t="inlineStr">
        <is>
          <t>Real options не моделируются</t>
        </is>
      </c>
      <c r="D44" s="473" t="n"/>
      <c r="E44" s="466" t="n"/>
      <c r="F44" s="604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473" t="n"/>
      <c r="H44" s="473" t="n"/>
      <c r="I44" s="473" t="n"/>
      <c r="J44" s="473" t="n"/>
      <c r="K44" s="473" t="n"/>
      <c r="L44" s="466" t="n"/>
      <c r="M44" s="549" t="inlineStr">
        <is>
          <t>+1 500</t>
        </is>
      </c>
      <c r="N44" s="466" t="n"/>
    </row>
    <row r="45" ht="52" customHeight="1" s="468">
      <c r="B45" s="328" t="inlineStr">
        <is>
          <t>4</t>
        </is>
      </c>
      <c r="C45" s="604" t="inlineStr">
        <is>
          <t>Execution (Исполнение) risk — двойное начисление</t>
        </is>
      </c>
      <c r="D45" s="473" t="n"/>
      <c r="E45" s="466" t="n"/>
      <c r="F45" s="604" t="n">
        <v>1274</v>
      </c>
      <c r="G45" s="473" t="n"/>
      <c r="H45" s="473" t="n"/>
      <c r="I45" s="473" t="n"/>
      <c r="J45" s="473" t="n"/>
      <c r="K45" s="473" t="n"/>
      <c r="L45" s="466" t="n"/>
      <c r="M45" s="549" t="inlineStr">
        <is>
          <t>(встроено)</t>
        </is>
      </c>
      <c r="N45" s="466" t="n"/>
    </row>
    <row r="46" ht="52" customHeight="1" s="468">
      <c r="B46" s="328" t="inlineStr">
        <is>
          <t>5</t>
        </is>
      </c>
      <c r="C46" s="604" t="inlineStr">
        <is>
          <t>Капитальная цикличность после 2028</t>
        </is>
      </c>
      <c r="D46" s="473" t="n"/>
      <c r="E46" s="466" t="n"/>
      <c r="F46" s="604" t="n">
        <v>1698</v>
      </c>
      <c r="G46" s="473" t="n"/>
      <c r="H46" s="473" t="n"/>
      <c r="I46" s="473" t="n"/>
      <c r="J46" s="473" t="n"/>
      <c r="K46" s="473" t="n"/>
      <c r="L46" s="466" t="n"/>
      <c r="M46" s="549" t="inlineStr">
        <is>
          <t>+500</t>
        </is>
      </c>
      <c r="N46" s="466" t="n"/>
    </row>
    <row r="47" ht="28" customHeight="1" s="468">
      <c r="B47" s="367" t="inlineStr">
        <is>
          <t>Σ</t>
        </is>
      </c>
      <c r="C47" s="603" t="inlineStr">
        <is>
          <t>Сумма структурных компонентов ≈ фактическая разница 5 735 (7 550 − 1 815)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21" t="inlineStr">
        <is>
          <t>≈ +5 500</t>
        </is>
      </c>
      <c r="N47" s="466" t="n"/>
    </row>
    <row r="49" ht="20" customHeight="1" s="468">
      <c r="B49" s="845" t="inlineStr">
        <is>
          <t>ПРАКТИЧЕСКИЙ ВЫВОД ДЛЯ ИНВЕСТОРА:</t>
        </is>
      </c>
    </row>
    <row r="50" ht="96" customHeight="1" s="468">
      <c r="B50" s="846" t="inlineStr">
        <is>
          <t>Примечание: Base (Базовый) case — якорь NDP (чистые распределяемые поступления) 3 000 млн ₽; Bear (Пессимистичный) = 0.60× NDP; Bull (Оптимистичный) = 1.40× NDP. A+C pattern (паттерн) 33/45/9/13. ⚠ Bear (9.34%) и Downside (Нижний сценарий) (15.14%) сценарии IRR (внутренняя норма доходности) ниже hurdle (порог) 18%.</t>
        </is>
      </c>
    </row>
    <row r="53" ht="22" customHeight="1" s="468">
      <c r="B53" s="841" t="inlineStr">
        <is>
          <t>IV.  СВОДКА РИСКОВ (СВОДКА РИСКОВ) (TOP-5 ИЗ 30)</t>
        </is>
      </c>
    </row>
    <row r="55" ht="22" customHeight="1" s="468">
      <c r="B55" s="555" t="inlineStr">
        <is>
          <t>ID</t>
        </is>
      </c>
      <c r="C55" s="555" t="inlineStr">
        <is>
          <t>Описание</t>
        </is>
      </c>
      <c r="D55" s="473" t="n"/>
      <c r="E55" s="473" t="n"/>
      <c r="F55" s="466" t="n"/>
      <c r="G55" s="555" t="inlineStr">
        <is>
          <t>Категория</t>
        </is>
      </c>
      <c r="H55" s="466" t="n"/>
      <c r="I55" s="555" t="inlineStr">
        <is>
          <t>S×L</t>
        </is>
      </c>
      <c r="J55" s="555" t="inlineStr">
        <is>
          <t>Score (Балл)</t>
        </is>
      </c>
      <c r="K55" s="466" t="n"/>
      <c r="L55" s="555" t="inlineStr">
        <is>
          <t>Митигация</t>
        </is>
      </c>
      <c r="M55" s="473" t="n"/>
      <c r="N55" s="466" t="n"/>
    </row>
    <row r="56" ht="36" customHeight="1" s="468">
      <c r="B56" s="328" t="inlineStr">
        <is>
          <t>R17</t>
        </is>
      </c>
      <c r="C56" s="620" t="inlineStr">
        <is>
          <t>Downside (Нижний сценарий) risk NDP (чистые распределяемые поступления) shortfall (W₃ Base (Базовый) IRR (внутренняя норма доходности) = 20.09%, hurdle (порог) +2.09pp)</t>
        </is>
      </c>
      <c r="D56" s="473" t="n"/>
      <c r="E56" s="473" t="n"/>
      <c r="F56" s="466" t="n"/>
      <c r="G56" s="604" t="inlineStr">
        <is>
          <t>Financial (Финансовый)</t>
        </is>
      </c>
      <c r="H56" s="466" t="n"/>
      <c r="I56" s="368" t="inlineStr">
        <is>
          <t>3×4</t>
        </is>
      </c>
      <c r="J56" s="605" t="inlineStr">
        <is>
          <t>12 (Высокий)</t>
        </is>
      </c>
      <c r="K56" s="466" t="n"/>
      <c r="L56" s="604" t="inlineStr">
        <is>
          <t>Waterfall (Каскад) W₃ (1× Liq Pref (Ликвидационная привилегия) floor + 8% coupon (купон) + 60/40), W₄ premium (премия) опция (12% preferred + 65/35)</t>
        </is>
      </c>
      <c r="M56" s="473" t="n"/>
      <c r="N56" s="466" t="n"/>
    </row>
    <row r="57" ht="36" customHeight="1" s="468">
      <c r="B57" s="328" t="inlineStr">
        <is>
          <t>R03</t>
        </is>
      </c>
      <c r="C57" s="604" t="inlineStr">
        <is>
          <t>Срыв production календаря ≥ 6 мес</t>
        </is>
      </c>
      <c r="D57" s="473" t="n"/>
      <c r="E57" s="473" t="n"/>
      <c r="F57" s="466" t="n"/>
      <c r="G57" s="604" t="inlineStr">
        <is>
          <t>Production (Производство)</t>
        </is>
      </c>
      <c r="H57" s="466" t="n"/>
      <c r="I57" s="368" t="inlineStr">
        <is>
          <t>3×4</t>
        </is>
      </c>
      <c r="J57" s="549" t="inlineStr">
        <is>
          <t>12 (Высокий)</t>
        </is>
      </c>
      <c r="K57" s="466" t="n"/>
      <c r="L57" s="604" t="inlineStr">
        <is>
          <t>Pre-financing reserve 10%, страхование срывов, 2-х треков post-prod</t>
        </is>
      </c>
      <c r="M57" s="473" t="n"/>
      <c r="N57" s="466" t="n"/>
    </row>
    <row r="58" ht="36" customHeight="1" s="468">
      <c r="B58" s="328" t="inlineStr">
        <is>
          <t>R08</t>
        </is>
      </c>
      <c r="C58" s="604" t="inlineStr">
        <is>
          <t>Отказ ФКП в грантовой поддержке</t>
        </is>
      </c>
      <c r="D58" s="473" t="n"/>
      <c r="E58" s="473" t="n"/>
      <c r="F58" s="466" t="n"/>
      <c r="G58" s="604" t="inlineStr">
        <is>
          <t>Regulatory (Регуляторный)</t>
        </is>
      </c>
      <c r="H58" s="466" t="n"/>
      <c r="I58" s="368" t="inlineStr">
        <is>
          <t>4×3</t>
        </is>
      </c>
      <c r="J58" s="549" t="inlineStr">
        <is>
          <t>12 (Высокий)</t>
        </is>
      </c>
      <c r="K58" s="466" t="n"/>
      <c r="L58" s="604" t="inlineStr">
        <is>
          <t>Двойной трек заявок, диверсификация источников (ФКП + регионы + РФК)</t>
        </is>
      </c>
      <c r="M58" s="473" t="n"/>
      <c r="N58" s="466" t="n"/>
    </row>
    <row r="59" ht="36" customHeight="1" s="468">
      <c r="B59" s="328" t="inlineStr">
        <is>
          <t>R12</t>
        </is>
      </c>
      <c r="C59" s="604" t="inlineStr">
        <is>
          <t>Девальвация рубля &gt; 25%</t>
        </is>
      </c>
      <c r="D59" s="473" t="n"/>
      <c r="E59" s="473" t="n"/>
      <c r="F59" s="466" t="n"/>
      <c r="G59" s="604" t="inlineStr">
        <is>
          <t>Рынок</t>
        </is>
      </c>
      <c r="H59" s="466" t="n"/>
      <c r="I59" s="368" t="inlineStr">
        <is>
          <t>3×4</t>
        </is>
      </c>
      <c r="J59" s="549" t="inlineStr">
        <is>
          <t>12 (Высокий)</t>
        </is>
      </c>
      <c r="K59" s="466" t="n"/>
      <c r="L59" s="604" t="inlineStr">
        <is>
          <t>VFX (визуальные эффекты)/post-prod в РФ, долларовые контракты минимизированы, FX hedge для платформ</t>
        </is>
      </c>
      <c r="M59" s="473" t="n"/>
      <c r="N59" s="466" t="n"/>
    </row>
    <row r="60" ht="36" customHeight="1" s="468">
      <c r="B60" s="328" t="inlineStr">
        <is>
          <t>R22</t>
        </is>
      </c>
      <c r="C60" s="604" t="inlineStr">
        <is>
          <t>Потеря ключевого режиссёра / продюсера</t>
        </is>
      </c>
      <c r="D60" s="473" t="n"/>
      <c r="E60" s="473" t="n"/>
      <c r="F60" s="466" t="n"/>
      <c r="G60" s="604" t="inlineStr">
        <is>
          <t>Operational (Операционный)</t>
        </is>
      </c>
      <c r="H60" s="466" t="n"/>
      <c r="I60" s="368" t="inlineStr">
        <is>
          <t>2×5</t>
        </is>
      </c>
      <c r="J60" s="549" t="inlineStr">
        <is>
          <t>10 (Высокий)</t>
        </is>
      </c>
      <c r="K60" s="466" t="n"/>
      <c r="L60" s="604" t="inlineStr">
        <is>
          <t>Long-term contracts, ESOP vesting 4 года, 2nd-tier bench</t>
        </is>
      </c>
      <c r="M60" s="473" t="n"/>
      <c r="N60" s="466" t="n"/>
    </row>
    <row r="62" ht="18" customHeight="1" s="468">
      <c r="B62" s="847" t="inlineStr">
        <is>
          <t>→ Полный реестр 30 рисков см. лист 29_Risk_Register (heat map 5×5 + top-10 detail).</t>
        </is>
      </c>
    </row>
    <row r="65" ht="22" customHeight="1" s="468">
      <c r="B65" s="841" t="inlineStr">
        <is>
          <t>V. EXIT STRATEGY (7 МАРШРУТОВ)</t>
        </is>
      </c>
    </row>
    <row r="67" ht="22" customHeight="1" s="468">
      <c r="B67" s="555" t="inlineStr">
        <is>
          <t>#</t>
        </is>
      </c>
      <c r="C67" s="555" t="inlineStr">
        <is>
          <t>Маршрут</t>
        </is>
      </c>
      <c r="D67" s="473" t="n"/>
      <c r="E67" s="473" t="n"/>
      <c r="F67" s="466" t="n"/>
      <c r="G67" s="555" t="inlineStr">
        <is>
          <t>P</t>
        </is>
      </c>
      <c r="H67" s="555" t="inlineStr">
        <is>
          <t>Окно</t>
        </is>
      </c>
      <c r="I67" s="466" t="n"/>
      <c r="J67" s="555" t="inlineStr">
        <is>
          <t>Условия / премия</t>
        </is>
      </c>
      <c r="K67" s="473" t="n"/>
      <c r="L67" s="473" t="n"/>
      <c r="M67" s="473" t="n"/>
      <c r="N67" s="466" t="n"/>
    </row>
    <row r="68" ht="22" customHeight="1" s="468">
      <c r="B68" s="318" t="inlineStr">
        <is>
          <t>E1</t>
        </is>
      </c>
      <c r="C68" s="601" t="inlineStr">
        <is>
          <t>Strategic (Стратегический) sale (Стратегическая продажа) — Яндекс / Сбер</t>
        </is>
      </c>
      <c r="D68" s="473" t="n"/>
      <c r="E68" s="473" t="n"/>
      <c r="F68" s="466" t="n"/>
      <c r="G68" s="610" t="inlineStr">
        <is>
          <t>30%</t>
        </is>
      </c>
      <c r="H68" s="610" t="inlineStr">
        <is>
          <t>2030</t>
        </is>
      </c>
      <c r="I68" s="466" t="n"/>
      <c r="J68" s="601" t="inlineStr">
        <is>
          <t>EV (стоимость предприятия)/EBITDA (прибыль до вычетов) 9–11×, премия за контроль 20%</t>
        </is>
      </c>
      <c r="K68" s="473" t="n"/>
      <c r="L68" s="473" t="n"/>
      <c r="M68" s="473" t="n"/>
      <c r="N68" s="466" t="n"/>
    </row>
    <row r="69" ht="22" customHeight="1" s="468">
      <c r="B69" s="318" t="inlineStr">
        <is>
          <t>E2</t>
        </is>
      </c>
      <c r="C69" s="601" t="inlineStr">
        <is>
          <t>Strategic (Стратегический) sale (Стратегическая продажа) — Газпром-Медиа / НМГ</t>
        </is>
      </c>
      <c r="D69" s="473" t="n"/>
      <c r="E69" s="473" t="n"/>
      <c r="F69" s="466" t="n"/>
      <c r="G69" s="610" t="inlineStr">
        <is>
          <t>20%</t>
        </is>
      </c>
      <c r="H69" s="610" t="inlineStr">
        <is>
          <t>2030</t>
        </is>
      </c>
      <c r="I69" s="466" t="n"/>
      <c r="J69" s="601" t="inlineStr">
        <is>
          <t>EV (стоимость предприятия)/EBITDA (прибыль до вычетов) 7–9×, премия за вертикальную интеграцию</t>
        </is>
      </c>
      <c r="K69" s="473" t="n"/>
      <c r="L69" s="473" t="n"/>
      <c r="M69" s="473" t="n"/>
      <c r="N69" s="466" t="n"/>
    </row>
    <row r="70" ht="22" customHeight="1" s="468">
      <c r="B70" s="318" t="inlineStr">
        <is>
          <t>E3</t>
        </is>
      </c>
      <c r="C70" s="601" t="inlineStr">
        <is>
          <t>IPO (первичное размещение) на Мосбирже (main list)</t>
        </is>
      </c>
      <c r="D70" s="473" t="n"/>
      <c r="E70" s="473" t="n"/>
      <c r="F70" s="466" t="n"/>
      <c r="G70" s="610" t="inlineStr">
        <is>
          <t>15%</t>
        </is>
      </c>
      <c r="H70" s="610" t="inlineStr">
        <is>
          <t>2030–2031</t>
        </is>
      </c>
      <c r="I70" s="466" t="n"/>
      <c r="J70" s="601" t="inlineStr">
        <is>
          <t>Free float (Свободное обращение) 25%, P/E 15–18×</t>
        </is>
      </c>
      <c r="K70" s="473" t="n"/>
      <c r="L70" s="473" t="n"/>
      <c r="M70" s="473" t="n"/>
      <c r="N70" s="466" t="n"/>
    </row>
    <row r="71" ht="22" customHeight="1" s="468">
      <c r="B71" s="318" t="inlineStr">
        <is>
          <t>E4</t>
        </is>
      </c>
      <c r="C71" s="601" t="inlineStr">
        <is>
          <t>Secondary (Вторичный) placement (Вторичное размещение) (PE / VC)</t>
        </is>
      </c>
      <c r="D71" s="473" t="n"/>
      <c r="E71" s="473" t="n"/>
      <c r="F71" s="466" t="n"/>
      <c r="G71" s="610" t="inlineStr">
        <is>
          <t>15%</t>
        </is>
      </c>
      <c r="H71" s="610" t="inlineStr">
        <is>
          <t>2029–2030</t>
        </is>
      </c>
      <c r="I71" s="466" t="n"/>
      <c r="J71" s="601" t="inlineStr">
        <is>
          <t>Partial exit (частичный выход), roll-over (перевод) 40–50%</t>
        </is>
      </c>
      <c r="K71" s="473" t="n"/>
      <c r="L71" s="473" t="n"/>
      <c r="M71" s="473" t="n"/>
      <c r="N71" s="466" t="n"/>
    </row>
    <row r="72" ht="22" customHeight="1" s="468">
      <c r="B72" s="318" t="inlineStr">
        <is>
          <t>E5</t>
        </is>
      </c>
      <c r="C72" s="601" t="inlineStr">
        <is>
          <t>ESOP buyout (Выкуп по программе ESOP) (management)</t>
        </is>
      </c>
      <c r="D72" s="473" t="n"/>
      <c r="E72" s="473" t="n"/>
      <c r="F72" s="466" t="n"/>
      <c r="G72" s="610" t="inlineStr">
        <is>
          <t>10%</t>
        </is>
      </c>
      <c r="H72" s="610" t="inlineStr">
        <is>
          <t>2030</t>
        </is>
      </c>
      <c r="I72" s="466" t="n"/>
      <c r="J72" s="601" t="inlineStr">
        <is>
          <t>Discounted valuation, ESG premium (премия)</t>
        </is>
      </c>
      <c r="K72" s="473" t="n"/>
      <c r="L72" s="473" t="n"/>
      <c r="M72" s="473" t="n"/>
      <c r="N72" s="466" t="n"/>
    </row>
    <row r="73" ht="22" customHeight="1" s="468">
      <c r="B73" s="318" t="inlineStr">
        <is>
          <t>E6</t>
        </is>
      </c>
      <c r="C73" s="601" t="inlineStr">
        <is>
          <t>Обратный выкуп (Обратный выкуп) (sponsor put option (пут-опцион спонсора))</t>
        </is>
      </c>
      <c r="D73" s="473" t="n"/>
      <c r="E73" s="473" t="n"/>
      <c r="F73" s="466" t="n"/>
      <c r="G73" s="610" t="inlineStr">
        <is>
          <t>5%</t>
        </is>
      </c>
      <c r="H73" s="610" t="inlineStr">
        <is>
          <t>2029</t>
        </is>
      </c>
      <c r="I73" s="466" t="n"/>
      <c r="J73" s="601" t="inlineStr">
        <is>
          <t>Downside (Нижний сценарий) protection, IRR (внутренняя норма доходности) floor 12%</t>
        </is>
      </c>
      <c r="K73" s="473" t="n"/>
      <c r="L73" s="473" t="n"/>
      <c r="M73" s="473" t="n"/>
      <c r="N73" s="466" t="n"/>
    </row>
    <row r="74" ht="22" customHeight="1" s="468">
      <c r="B74" s="318" t="inlineStr">
        <is>
          <t>E7</t>
        </is>
      </c>
      <c r="C74" s="601" t="inlineStr">
        <is>
          <t>Открытый вторичный рынок (Открытый вторичный рынок)</t>
        </is>
      </c>
      <c r="D74" s="473" t="n"/>
      <c r="E74" s="473" t="n"/>
      <c r="F74" s="466" t="n"/>
      <c r="G74" s="610" t="inlineStr">
        <is>
          <t>5%</t>
        </is>
      </c>
      <c r="H74" s="610" t="inlineStr">
        <is>
          <t>2030+</t>
        </is>
      </c>
      <c r="I74" s="466" t="n"/>
      <c r="J74" s="601" t="inlineStr">
        <is>
          <t>Preservation of control (Сохранение контроля), drag-along terms (условия принудительной продажи)</t>
        </is>
      </c>
      <c r="K74" s="473" t="n"/>
      <c r="L74" s="473" t="n"/>
      <c r="M74" s="473" t="n"/>
      <c r="N74" s="466" t="n"/>
    </row>
    <row r="76" ht="18" customHeight="1" s="468">
      <c r="B76" s="847" t="inlineStr">
        <is>
          <t>→ Подробнее см. 25_Exit_Scenarios и 35_Roadmap_2026_2032.</t>
        </is>
      </c>
    </row>
    <row r="79" ht="22" customHeight="1" s="468">
      <c r="B79" s="843" t="inlineStr">
        <is>
          <t>VI.  РЕКОМЕНДАЦИЯ (РЕКОМЕНДАЦИЯ)</t>
        </is>
      </c>
    </row>
    <row r="81" ht="170" customHeight="1" s="468">
      <c r="B81" s="848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 s="468">
      <c r="B84" s="849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B36:E36"/>
    <mergeCell ref="J60:K60"/>
    <mergeCell ref="I21:N21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J57:K57"/>
    <mergeCell ref="I18:N18"/>
    <mergeCell ref="C67:F67"/>
    <mergeCell ref="B33:E33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S6" sqref="S6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GLOSSARY (ГЛОССАРИЙ) / СЛОВАРЬ ТЕРМИНОВ</t>
        </is>
      </c>
    </row>
    <row r="3" ht="18" customHeight="1" s="468">
      <c r="B3" s="840" t="inlineStr">
        <is>
          <t>Финансовые • Кино-индустрия • Регуляторные РФ — 50+ терминов</t>
        </is>
      </c>
    </row>
    <row r="5" ht="22" customHeight="1" s="468">
      <c r="B5" s="630" t="inlineStr">
        <is>
          <t>#</t>
        </is>
      </c>
      <c r="C5" s="630" t="inlineStr">
        <is>
          <t>Термин / Term</t>
        </is>
      </c>
      <c r="D5" s="630" t="inlineStr">
        <is>
          <t>Определение</t>
        </is>
      </c>
      <c r="E5" s="473" t="n"/>
      <c r="F5" s="473" t="n"/>
      <c r="G5" s="473" t="n"/>
      <c r="H5" s="473" t="n"/>
      <c r="I5" s="473" t="n"/>
      <c r="J5" s="473" t="n"/>
      <c r="K5" s="473" t="n"/>
      <c r="L5" s="466" t="n"/>
      <c r="M5" s="630" t="inlineStr">
        <is>
          <t>Категория</t>
        </is>
      </c>
      <c r="N5" s="466" t="n"/>
    </row>
    <row r="6" ht="72" customHeight="1" s="468">
      <c r="B6" s="370" t="n">
        <v>1</v>
      </c>
      <c r="C6" s="371" t="inlineStr">
        <is>
          <t>EBITDA (прибыль до вычетов)</t>
        </is>
      </c>
      <c r="D6" s="604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473" t="n"/>
      <c r="F6" s="473" t="n"/>
      <c r="G6" s="473" t="n"/>
      <c r="H6" s="473" t="n"/>
      <c r="I6" s="473" t="n"/>
      <c r="J6" s="473" t="n"/>
      <c r="K6" s="473" t="n"/>
      <c r="L6" s="466" t="n"/>
      <c r="M6" s="627" t="inlineStr">
        <is>
          <t>FIN</t>
        </is>
      </c>
      <c r="N6" s="466" t="n"/>
    </row>
    <row r="7" ht="72" customHeight="1" s="468">
      <c r="B7" s="370" t="n">
        <v>2</v>
      </c>
      <c r="C7" s="371" t="inlineStr">
        <is>
          <t>GAAP (стандарты бухучёта) EBITDA (прибыль до вычетов)</t>
        </is>
      </c>
      <c r="D7" s="604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473" t="n"/>
      <c r="F7" s="473" t="n"/>
      <c r="G7" s="473" t="n"/>
      <c r="H7" s="473" t="n"/>
      <c r="I7" s="473" t="n"/>
      <c r="J7" s="473" t="n"/>
      <c r="K7" s="473" t="n"/>
      <c r="L7" s="466" t="n"/>
      <c r="M7" s="627" t="inlineStr">
        <is>
          <t>FIN</t>
        </is>
      </c>
      <c r="N7" s="466" t="n"/>
    </row>
    <row r="8" ht="72" customHeight="1" s="468">
      <c r="B8" s="370" t="n">
        <v>3</v>
      </c>
      <c r="C8" s="371" t="inlineStr">
        <is>
          <t>NDP (чистые распределяемые поступления)</t>
        </is>
      </c>
      <c r="D8" s="604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473" t="n"/>
      <c r="F8" s="473" t="n"/>
      <c r="G8" s="473" t="n"/>
      <c r="H8" s="473" t="n"/>
      <c r="I8" s="473" t="n"/>
      <c r="J8" s="473" t="n"/>
      <c r="K8" s="473" t="n"/>
      <c r="L8" s="466" t="n"/>
      <c r="M8" s="627" t="inlineStr">
        <is>
          <t>FIN</t>
        </is>
      </c>
      <c r="N8" s="466" t="n"/>
    </row>
    <row r="9" ht="72" customHeight="1" s="468">
      <c r="B9" s="370" t="n">
        <v>4</v>
      </c>
      <c r="C9" s="371" t="inlineStr">
        <is>
          <t>Revenue (Выручка)</t>
        </is>
      </c>
      <c r="D9" s="604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473" t="n"/>
      <c r="F9" s="473" t="n"/>
      <c r="G9" s="473" t="n"/>
      <c r="H9" s="473" t="n"/>
      <c r="I9" s="473" t="n"/>
      <c r="J9" s="473" t="n"/>
      <c r="K9" s="473" t="n"/>
      <c r="L9" s="466" t="n"/>
      <c r="M9" s="627" t="inlineStr">
        <is>
          <t>FIN</t>
        </is>
      </c>
      <c r="N9" s="466" t="n"/>
    </row>
    <row r="10" ht="72" customHeight="1" s="468">
      <c r="B10" s="370" t="n">
        <v>5</v>
      </c>
      <c r="C10" s="371" t="inlineStr">
        <is>
          <t>COGS (себестоимость)</t>
        </is>
      </c>
      <c r="D10" s="604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66" t="n"/>
      <c r="M10" s="627" t="inlineStr">
        <is>
          <t>FIN</t>
        </is>
      </c>
      <c r="N10" s="466" t="n"/>
    </row>
    <row r="11" ht="62" customHeight="1" s="468">
      <c r="B11" s="370" t="n">
        <v>6</v>
      </c>
      <c r="C11" s="371" t="inlineStr">
        <is>
          <t>OpEx</t>
        </is>
      </c>
      <c r="D11" s="604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66" t="n"/>
      <c r="M11" s="627" t="inlineStr">
        <is>
          <t>FIN</t>
        </is>
      </c>
      <c r="N11" s="466" t="n"/>
    </row>
    <row r="12" ht="72" customHeight="1" s="468">
      <c r="B12" s="370" t="n">
        <v>7</v>
      </c>
      <c r="C12" s="371" t="inlineStr">
        <is>
          <t>CAPEX (Капзатраты)</t>
        </is>
      </c>
      <c r="D12" s="604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473" t="n"/>
      <c r="F12" s="473" t="n"/>
      <c r="G12" s="473" t="n"/>
      <c r="H12" s="473" t="n"/>
      <c r="I12" s="473" t="n"/>
      <c r="J12" s="473" t="n"/>
      <c r="K12" s="473" t="n"/>
      <c r="L12" s="466" t="n"/>
      <c r="M12" s="627" t="inlineStr">
        <is>
          <t>FIN</t>
        </is>
      </c>
      <c r="N12" s="466" t="n"/>
    </row>
    <row r="13" ht="45" customHeight="1" s="468">
      <c r="B13" s="370" t="n">
        <v>8</v>
      </c>
      <c r="C13" s="371" t="inlineStr">
        <is>
          <t>Net Profit (Чистая прибыль)</t>
        </is>
      </c>
      <c r="D13" s="604" t="inlineStr">
        <is>
          <t>Чистая прибыль после вычета налогов. В ТрендСтудио Σ = 1 689 млн ₽.</t>
        </is>
      </c>
      <c r="E13" s="473" t="n"/>
      <c r="F13" s="473" t="n"/>
      <c r="G13" s="473" t="n"/>
      <c r="H13" s="473" t="n"/>
      <c r="I13" s="473" t="n"/>
      <c r="J13" s="473" t="n"/>
      <c r="K13" s="473" t="n"/>
      <c r="L13" s="466" t="n"/>
      <c r="M13" s="627" t="inlineStr">
        <is>
          <t>FIN</t>
        </is>
      </c>
      <c r="N13" s="466" t="n"/>
    </row>
    <row r="14" ht="52" customHeight="1" s="468">
      <c r="B14" s="370" t="n">
        <v>9</v>
      </c>
      <c r="C14" s="371" t="inlineStr">
        <is>
          <t>Free Cash (Денежные средства) Flow (FCF)</t>
        </is>
      </c>
      <c r="D14" s="604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66" t="n"/>
      <c r="M14" s="627" t="inlineStr">
        <is>
          <t>FIN</t>
        </is>
      </c>
      <c r="N14" s="466" t="n"/>
    </row>
    <row r="15" ht="55" customHeight="1" s="468">
      <c r="B15" s="370" t="n">
        <v>10</v>
      </c>
      <c r="C15" s="371" t="inlineStr">
        <is>
          <t>Working Capital (Оборотный капитал)</t>
        </is>
      </c>
      <c r="D15" s="604" t="inlineStr">
        <is>
          <t>Оборотный капитал = Current Assets − Current Liabilities. См. лист 12_Working_Capital.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66" t="n"/>
      <c r="M15" s="627" t="inlineStr">
        <is>
          <t>FIN</t>
        </is>
      </c>
      <c r="N15" s="466" t="n"/>
    </row>
    <row r="16" ht="72" customHeight="1" s="468">
      <c r="B16" s="370" t="n">
        <v>11</v>
      </c>
      <c r="C16" s="371" t="inlineStr">
        <is>
          <t>WACC (средневзвешенная стоимость капитала)</t>
        </is>
      </c>
      <c r="D16" s="604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66" t="n"/>
      <c r="M16" s="627" t="inlineStr">
        <is>
          <t>FIN</t>
        </is>
      </c>
      <c r="N16" s="466" t="n"/>
    </row>
    <row r="17" ht="68" customHeight="1" s="468">
      <c r="B17" s="370" t="n">
        <v>12</v>
      </c>
      <c r="C17" s="371" t="inlineStr">
        <is>
          <t>DCF (дисконтированный денежный поток)</t>
        </is>
      </c>
      <c r="D17" s="604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66" t="n"/>
      <c r="M17" s="627" t="inlineStr">
        <is>
          <t>FIN</t>
        </is>
      </c>
      <c r="N17" s="466" t="n"/>
    </row>
    <row r="18" ht="68" customHeight="1" s="468">
      <c r="B18" s="370" t="n">
        <v>13</v>
      </c>
      <c r="C18" s="371" t="inlineStr">
        <is>
          <t>NPV (чистая приведённая стоимость)</t>
        </is>
      </c>
      <c r="D18" s="604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66" t="n"/>
      <c r="M18" s="627" t="inlineStr">
        <is>
          <t>FIN</t>
        </is>
      </c>
      <c r="N18" s="466" t="n"/>
    </row>
    <row r="19" ht="70" customHeight="1" s="468">
      <c r="B19" s="370" t="n">
        <v>14</v>
      </c>
      <c r="C19" s="371" t="inlineStr">
        <is>
          <t>IRR (внутренняя норма доходности)</t>
        </is>
      </c>
      <c r="D19" s="604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66" t="n"/>
      <c r="M19" s="627" t="inlineStr">
        <is>
          <t>FIN</t>
        </is>
      </c>
      <c r="N19" s="466" t="n"/>
    </row>
    <row r="20" ht="72" customHeight="1" s="468">
      <c r="B20" s="370" t="n">
        <v>15</v>
      </c>
      <c r="C20" s="371" t="inlineStr">
        <is>
          <t>MoIC</t>
        </is>
      </c>
      <c r="D20" s="604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66" t="n"/>
      <c r="M20" s="627" t="inlineStr">
        <is>
          <t>FIN</t>
        </is>
      </c>
      <c r="N20" s="466" t="n"/>
    </row>
    <row r="21" ht="57" customHeight="1" s="468">
      <c r="B21" s="370" t="n">
        <v>16</v>
      </c>
      <c r="C21" s="371" t="inlineStr">
        <is>
          <t>Payback (Окупаемость) Period</t>
        </is>
      </c>
      <c r="D21" s="604" t="inlineStr">
        <is>
          <t>Срок окупаемости — количество периодов до возврата инвестиции. В ТрендСтудио Base (Базовый) &lt; 24 мес.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66" t="n"/>
      <c r="M21" s="627" t="inlineStr">
        <is>
          <t>FIN</t>
        </is>
      </c>
      <c r="N21" s="466" t="n"/>
    </row>
    <row r="22" ht="68" customHeight="1" s="468">
      <c r="B22" s="370" t="n">
        <v>17</v>
      </c>
      <c r="C22" s="371" t="inlineStr">
        <is>
          <t>EV (стоимость предприятия)</t>
        </is>
      </c>
      <c r="D22" s="604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66" t="n"/>
      <c r="M22" s="627" t="inlineStr">
        <is>
          <t>FIN</t>
        </is>
      </c>
      <c r="N22" s="466" t="n"/>
    </row>
    <row r="23" ht="53" customHeight="1" s="468">
      <c r="B23" s="370" t="n">
        <v>18</v>
      </c>
      <c r="C23" s="371" t="inlineStr">
        <is>
          <t>EV (стоимость предприятия)/EBITDA (прибыль до вычетов)</t>
        </is>
      </c>
      <c r="D23" s="604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66" t="n"/>
      <c r="M23" s="627" t="inlineStr">
        <is>
          <t>FIN</t>
        </is>
      </c>
      <c r="N23" s="466" t="n"/>
    </row>
    <row r="24" ht="66" customHeight="1" s="468">
      <c r="B24" s="370" t="n">
        <v>19</v>
      </c>
      <c r="C24" s="371" t="inlineStr">
        <is>
          <t>Gordon Growth (Модель Гордона) TV</t>
        </is>
      </c>
      <c r="D24" s="604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66" t="n"/>
      <c r="M24" s="627" t="inlineStr">
        <is>
          <t>FIN</t>
        </is>
      </c>
      <c r="N24" s="466" t="n"/>
    </row>
    <row r="25" ht="57" customHeight="1" s="468">
      <c r="B25" s="370" t="n">
        <v>20</v>
      </c>
      <c r="C25" s="371" t="inlineStr">
        <is>
          <t>Exit Multiple (Мультипликатор выхода) TV</t>
        </is>
      </c>
      <c r="D25" s="604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66" t="n"/>
      <c r="M25" s="627" t="inlineStr">
        <is>
          <t>FIN</t>
        </is>
      </c>
      <c r="N25" s="466" t="n"/>
    </row>
    <row r="26" ht="72" customHeight="1" s="468">
      <c r="B26" s="370" t="n">
        <v>21</v>
      </c>
      <c r="C26" s="371" t="inlineStr">
        <is>
          <t>Monte Carlo (Монте-Карло) Simulation (Симуляция)</t>
        </is>
      </c>
      <c r="D26" s="604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66" t="n"/>
      <c r="M26" s="626" t="inlineStr">
        <is>
          <t>RISK (РИСК)</t>
        </is>
      </c>
      <c r="N26" s="466" t="n"/>
    </row>
    <row r="27" ht="72" customHeight="1" s="468">
      <c r="B27" s="370" t="n">
        <v>22</v>
      </c>
      <c r="C27" s="371" t="inlineStr">
        <is>
          <t>VaR</t>
        </is>
      </c>
      <c r="D27" s="604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66" t="n"/>
      <c r="M27" s="626" t="inlineStr">
        <is>
          <t>RISK (РИСК)</t>
        </is>
      </c>
      <c r="N27" s="466" t="n"/>
    </row>
    <row r="28" ht="58" customHeight="1" s="468">
      <c r="B28" s="370" t="n">
        <v>23</v>
      </c>
      <c r="C28" s="371" t="inlineStr">
        <is>
          <t>CVaR (условный VaR)</t>
        </is>
      </c>
      <c r="D28" s="604" t="inlineStr">
        <is>
          <t>Conditional VaR — средний убыток в худших (1−α)% случаев. Более консервативная мера, чем VaR.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66" t="n"/>
      <c r="M28" s="626" t="inlineStr">
        <is>
          <t>RISK (РИСК)</t>
        </is>
      </c>
      <c r="N28" s="466" t="n"/>
    </row>
    <row r="29" ht="54" customHeight="1" s="468">
      <c r="B29" s="370" t="n">
        <v>24</v>
      </c>
      <c r="C29" s="371" t="inlineStr">
        <is>
          <t>P50 / P90</t>
        </is>
      </c>
      <c r="D29" s="604" t="inlineStr">
        <is>
          <t>Перцентили распределения. P50 = медиана (50% сценариев хуже), P90 = верхний квартиль.</t>
        </is>
      </c>
      <c r="E29" s="473" t="n"/>
      <c r="F29" s="473" t="n"/>
      <c r="G29" s="473" t="n"/>
      <c r="H29" s="473" t="n"/>
      <c r="I29" s="473" t="n"/>
      <c r="J29" s="473" t="n"/>
      <c r="K29" s="473" t="n"/>
      <c r="L29" s="466" t="n"/>
      <c r="M29" s="626" t="inlineStr">
        <is>
          <t>RISK (РИСК)</t>
        </is>
      </c>
      <c r="N29" s="466" t="n"/>
    </row>
    <row r="30" ht="63" customHeight="1" s="468">
      <c r="B30" s="370" t="n">
        <v>25</v>
      </c>
      <c r="C30" s="371" t="inlineStr">
        <is>
          <t>Tornado Analysis (Торнадо-анализ)</t>
        </is>
      </c>
      <c r="D30" s="604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66" t="n"/>
      <c r="M30" s="626" t="inlineStr">
        <is>
          <t>RISK (РИСК)</t>
        </is>
      </c>
      <c r="N30" s="466" t="n"/>
    </row>
    <row r="31" ht="58" customHeight="1" s="468">
      <c r="B31" s="370" t="n">
        <v>26</v>
      </c>
      <c r="C31" s="371" t="inlineStr">
        <is>
          <t>Risk (Риск) Score (Балл)</t>
        </is>
      </c>
      <c r="D31" s="604" t="inlineStr">
        <is>
          <t>Severity (Серьёзность) × Likelihood (Вероятность) (1–5 × 1–5 = 1–25). В ТрендСтудио 29_Risk_Register: max score 20 (R17).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66" t="n"/>
      <c r="M31" s="626" t="inlineStr">
        <is>
          <t>RISK (РИСК)</t>
        </is>
      </c>
      <c r="N31" s="466" t="n"/>
    </row>
    <row r="32" ht="59" customHeight="1" s="468">
      <c r="B32" s="370" t="n">
        <v>27</v>
      </c>
      <c r="C32" s="371" t="inlineStr">
        <is>
          <t>Тепловая карта (Тепловая карта)</t>
        </is>
      </c>
      <c r="D32" s="604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66" t="n"/>
      <c r="M32" s="626" t="inlineStr">
        <is>
          <t>RISK (РИСК)</t>
        </is>
      </c>
      <c r="N32" s="466" t="n"/>
    </row>
    <row r="33" ht="54" customHeight="1" s="468">
      <c r="B33" s="370" t="n">
        <v>28</v>
      </c>
      <c r="C33" s="371" t="inlineStr">
        <is>
          <t>Hurdle (Порог) Rate</t>
        </is>
      </c>
      <c r="D33" s="604" t="inlineStr">
        <is>
          <t>Минимальная требуемая доходность для одобрения инвестиции. Для ТрендСтудио T₁ = 18%.</t>
        </is>
      </c>
      <c r="E33" s="473" t="n"/>
      <c r="F33" s="473" t="n"/>
      <c r="G33" s="473" t="n"/>
      <c r="H33" s="473" t="n"/>
      <c r="I33" s="473" t="n"/>
      <c r="J33" s="473" t="n"/>
      <c r="K33" s="473" t="n"/>
      <c r="L33" s="466" t="n"/>
      <c r="M33" s="626" t="inlineStr">
        <is>
          <t>RISK (РИСК)</t>
        </is>
      </c>
      <c r="N33" s="466" t="n"/>
    </row>
    <row r="34" ht="56" customHeight="1" s="468">
      <c r="B34" s="370" t="n">
        <v>29</v>
      </c>
      <c r="C34" s="371" t="inlineStr">
        <is>
          <t>LP (ограниченный партнёр) (Limited Partner)</t>
        </is>
      </c>
      <c r="D34" s="604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473" t="n"/>
      <c r="F34" s="473" t="n"/>
      <c r="G34" s="473" t="n"/>
      <c r="H34" s="473" t="n"/>
      <c r="I34" s="473" t="n"/>
      <c r="J34" s="473" t="n"/>
      <c r="K34" s="473" t="n"/>
      <c r="L34" s="466" t="n"/>
      <c r="M34" s="628" t="inlineStr">
        <is>
          <t>DEAL (СДЕЛКА)</t>
        </is>
      </c>
      <c r="N34" s="466" t="n"/>
    </row>
    <row r="35" ht="54" customHeight="1" s="468">
      <c r="B35" s="370" t="n">
        <v>30</v>
      </c>
      <c r="C35" s="371" t="inlineStr">
        <is>
          <t>GP (генеральный партнёр) (General Partner)</t>
        </is>
      </c>
      <c r="D35" s="604" t="inlineStr">
        <is>
          <t>Управляющий партнёр, несёт полную ответственность, принимает инвестиционные решения.</t>
        </is>
      </c>
      <c r="E35" s="473" t="n"/>
      <c r="F35" s="473" t="n"/>
      <c r="G35" s="473" t="n"/>
      <c r="H35" s="473" t="n"/>
      <c r="I35" s="473" t="n"/>
      <c r="J35" s="473" t="n"/>
      <c r="K35" s="473" t="n"/>
      <c r="L35" s="466" t="n"/>
      <c r="M35" s="628" t="inlineStr">
        <is>
          <t>DEAL (СДЕЛКА)</t>
        </is>
      </c>
      <c r="N35" s="466" t="n"/>
    </row>
    <row r="36" ht="48" customHeight="1" s="468">
      <c r="B36" s="370" t="n">
        <v>31</v>
      </c>
      <c r="C36" s="371" t="inlineStr">
        <is>
          <t>Preferred Return (Привилегированный доход)</t>
        </is>
      </c>
      <c r="D36" s="604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473" t="n"/>
      <c r="F36" s="473" t="n"/>
      <c r="G36" s="473" t="n"/>
      <c r="H36" s="473" t="n"/>
      <c r="I36" s="473" t="n"/>
      <c r="J36" s="473" t="n"/>
      <c r="K36" s="473" t="n"/>
      <c r="L36" s="466" t="n"/>
      <c r="M36" s="628" t="inlineStr">
        <is>
          <t>DEAL (СДЕЛКА)</t>
        </is>
      </c>
      <c r="N36" s="466" t="n"/>
    </row>
    <row r="37" ht="55" customHeight="1" s="468">
      <c r="B37" s="370" t="n">
        <v>32</v>
      </c>
      <c r="C37" s="371" t="inlineStr">
        <is>
          <t>Waterfall (Каскад)</t>
        </is>
      </c>
      <c r="D37" s="604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473" t="n"/>
      <c r="F37" s="473" t="n"/>
      <c r="G37" s="473" t="n"/>
      <c r="H37" s="473" t="n"/>
      <c r="I37" s="473" t="n"/>
      <c r="J37" s="473" t="n"/>
      <c r="K37" s="473" t="n"/>
      <c r="L37" s="466" t="n"/>
      <c r="M37" s="628" t="inlineStr">
        <is>
          <t>DEAL (СДЕЛКА)</t>
        </is>
      </c>
      <c r="N37" s="466" t="n"/>
    </row>
    <row r="38" ht="55" customHeight="1" s="468">
      <c r="B38" s="370" t="n">
        <v>33</v>
      </c>
      <c r="C38" s="371" t="inlineStr">
        <is>
          <t>Оговорка о полной компенсации (Оговорка о полной компенсации)</t>
        </is>
      </c>
      <c r="D38" s="604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66" t="n"/>
      <c r="M38" s="628" t="inlineStr">
        <is>
          <t>DEAL (СДЕЛКА)</t>
        </is>
      </c>
      <c r="N38" s="466" t="n"/>
    </row>
    <row r="39" ht="56" customHeight="1" s="468">
      <c r="B39" s="370" t="n">
        <v>34</v>
      </c>
      <c r="C39" s="371" t="inlineStr">
        <is>
          <t>Cap Table (Таблица капитализации)</t>
        </is>
      </c>
      <c r="D39" s="604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66" t="n"/>
      <c r="M39" s="628" t="inlineStr">
        <is>
          <t>DEAL (СДЕЛКА)</t>
        </is>
      </c>
      <c r="N39" s="466" t="n"/>
    </row>
    <row r="40" ht="55" customHeight="1" s="468">
      <c r="B40" s="370" t="n">
        <v>35</v>
      </c>
      <c r="C40" s="371" t="inlineStr">
        <is>
          <t>Drag-Along (Право принудительной продажи)</t>
        </is>
      </c>
      <c r="D40" s="604" t="inlineStr">
        <is>
          <t>Право мажоритария принудительно вовлечь миноритариев в сделку exit на тех же условиях.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66" t="n"/>
      <c r="M40" s="628" t="inlineStr">
        <is>
          <t>DEAL (СДЕЛКА)</t>
        </is>
      </c>
      <c r="N40" s="466" t="n"/>
    </row>
    <row r="41" ht="49" customHeight="1" s="468">
      <c r="B41" s="370" t="n">
        <v>36</v>
      </c>
      <c r="C41" s="371" t="inlineStr">
        <is>
          <t>Tag-Along (Право присоединения к продаже)</t>
        </is>
      </c>
      <c r="D41" s="604" t="inlineStr">
        <is>
          <t>Право миноритария присоединиться к продаже мажоритария на тех же условиях.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66" t="n"/>
      <c r="M41" s="628" t="inlineStr">
        <is>
          <t>DEAL (СДЕЛКА)</t>
        </is>
      </c>
      <c r="N41" s="466" t="n"/>
    </row>
    <row r="42" ht="58" customHeight="1" s="468">
      <c r="B42" s="370" t="n">
        <v>37</v>
      </c>
      <c r="C42" s="371" t="inlineStr">
        <is>
          <t>ESOP (Программа акций)</t>
        </is>
      </c>
      <c r="D42" s="604" t="inlineStr">
        <is>
          <t>Employee Stock Ownership Plan — программа опционов для ключевых сотрудников. Vesting 4 года.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66" t="n"/>
      <c r="M42" s="628" t="inlineStr">
        <is>
          <t>DEAL (СДЕЛКА)</t>
        </is>
      </c>
      <c r="N42" s="466" t="n"/>
    </row>
    <row r="43" ht="48" customHeight="1" s="468">
      <c r="B43" s="370" t="n">
        <v>38</v>
      </c>
      <c r="C43" s="371" t="inlineStr">
        <is>
          <t>Term Sheet (Условия сделки)</t>
        </is>
      </c>
      <c r="D43" s="604" t="inlineStr">
        <is>
          <t>Предварительный документ с ключевыми условиями сделки, предшествует SPA.</t>
        </is>
      </c>
      <c r="E43" s="473" t="n"/>
      <c r="F43" s="473" t="n"/>
      <c r="G43" s="473" t="n"/>
      <c r="H43" s="473" t="n"/>
      <c r="I43" s="473" t="n"/>
      <c r="J43" s="473" t="n"/>
      <c r="K43" s="473" t="n"/>
      <c r="L43" s="466" t="n"/>
      <c r="M43" s="628" t="inlineStr">
        <is>
          <t>DEAL (СДЕЛКА)</t>
        </is>
      </c>
      <c r="N43" s="466" t="n"/>
    </row>
    <row r="44" ht="43" customHeight="1" s="468">
      <c r="B44" s="370" t="n">
        <v>39</v>
      </c>
      <c r="C44" s="371" t="inlineStr">
        <is>
          <t>SPA</t>
        </is>
      </c>
      <c r="D44" s="604" t="inlineStr">
        <is>
          <t>Share (Доля) Purchase Agreement — договор купли-продажи акций / долей.</t>
        </is>
      </c>
      <c r="E44" s="473" t="n"/>
      <c r="F44" s="473" t="n"/>
      <c r="G44" s="473" t="n"/>
      <c r="H44" s="473" t="n"/>
      <c r="I44" s="473" t="n"/>
      <c r="J44" s="473" t="n"/>
      <c r="K44" s="473" t="n"/>
      <c r="L44" s="466" t="n"/>
      <c r="M44" s="628" t="inlineStr">
        <is>
          <t>DEAL (СДЕЛКА)</t>
        </is>
      </c>
      <c r="N44" s="466" t="n"/>
    </row>
    <row r="45" ht="60" customHeight="1" s="468">
      <c r="B45" s="370" t="n">
        <v>40</v>
      </c>
      <c r="C45" s="371" t="inlineStr">
        <is>
          <t>Tranche (Транш)</t>
        </is>
      </c>
      <c r="D45" s="604" t="inlineStr">
        <is>
          <t>Транш — часть инвестиции, выплачиваемая по достижении milestone. В T₁: 4 транша 250/350/350/300.</t>
        </is>
      </c>
      <c r="E45" s="473" t="n"/>
      <c r="F45" s="473" t="n"/>
      <c r="G45" s="473" t="n"/>
      <c r="H45" s="473" t="n"/>
      <c r="I45" s="473" t="n"/>
      <c r="J45" s="473" t="n"/>
      <c r="K45" s="473" t="n"/>
      <c r="L45" s="466" t="n"/>
      <c r="M45" s="628" t="inlineStr">
        <is>
          <t>DEAL (СДЕЛКА)</t>
        </is>
      </c>
      <c r="N45" s="466" t="n"/>
    </row>
    <row r="46" ht="40" customHeight="1" s="468">
      <c r="B46" s="370" t="n">
        <v>41</v>
      </c>
      <c r="C46" s="371" t="inlineStr">
        <is>
          <t>Box Office (Кассовые сборы)</t>
        </is>
      </c>
      <c r="D46" s="604" t="inlineStr">
        <is>
          <t>Кассовые сборы — выручка от проката фильма в кинотеатрах.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66" t="n"/>
      <c r="M46" s="625" t="inlineStr">
        <is>
          <t>КИНО (КИНО)</t>
        </is>
      </c>
      <c r="N46" s="466" t="n"/>
    </row>
    <row r="47" ht="55" customHeight="1" s="468">
      <c r="B47" s="370" t="n">
        <v>42</v>
      </c>
      <c r="C47" s="371" t="inlineStr">
        <is>
          <t>P&amp;A (тиражирование и реклама)</t>
        </is>
      </c>
      <c r="D47" s="604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25" t="inlineStr">
        <is>
          <t>КИНО (КИНО)</t>
        </is>
      </c>
      <c r="N47" s="466" t="n"/>
    </row>
    <row r="48" ht="51" customHeight="1" s="468">
      <c r="B48" s="370" t="n">
        <v>43</v>
      </c>
      <c r="C48" s="371" t="inlineStr">
        <is>
          <t>Theatrical Window (Кинотеатральное окно)</t>
        </is>
      </c>
      <c r="D48" s="604" t="inlineStr">
        <is>
          <t>Эксклюзивный кинотеатральный релиз (обычно 45–90 дней) до выхода на VOD / OTT (онлайн-платформа).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66" t="n"/>
      <c r="M48" s="625" t="inlineStr">
        <is>
          <t>КИНО (КИНО)</t>
        </is>
      </c>
      <c r="N48" s="466" t="n"/>
    </row>
    <row r="49" ht="53" customHeight="1" s="468">
      <c r="B49" s="370" t="n">
        <v>44</v>
      </c>
      <c r="C49" s="371" t="inlineStr">
        <is>
          <t>VOD / OTT (онлайн-платформа)</t>
        </is>
      </c>
      <c r="D49" s="604" t="inlineStr">
        <is>
          <t>Video On Demand / Over-The-Top — цифровая дистрибуция (Кинопоиск, Okko, IVI, Wink).</t>
        </is>
      </c>
      <c r="E49" s="473" t="n"/>
      <c r="F49" s="473" t="n"/>
      <c r="G49" s="473" t="n"/>
      <c r="H49" s="473" t="n"/>
      <c r="I49" s="473" t="n"/>
      <c r="J49" s="473" t="n"/>
      <c r="K49" s="473" t="n"/>
      <c r="L49" s="466" t="n"/>
      <c r="M49" s="625" t="inlineStr">
        <is>
          <t>КИНО (КИНО)</t>
        </is>
      </c>
      <c r="N49" s="466" t="n"/>
    </row>
    <row r="50" ht="63" customHeight="1" s="468">
      <c r="B50" s="370" t="n">
        <v>45</v>
      </c>
      <c r="C50" s="371" t="inlineStr">
        <is>
          <t>Slate Financing (Пакетное финансирование)</t>
        </is>
      </c>
      <c r="D50" s="604" t="inlineStr">
        <is>
          <t>Финансирование пакета фильмов (slate) вместо единичного проекта — снижение риска через диверсификацию.</t>
        </is>
      </c>
      <c r="E50" s="473" t="n"/>
      <c r="F50" s="473" t="n"/>
      <c r="G50" s="473" t="n"/>
      <c r="H50" s="473" t="n"/>
      <c r="I50" s="473" t="n"/>
      <c r="J50" s="473" t="n"/>
      <c r="K50" s="473" t="n"/>
      <c r="L50" s="466" t="n"/>
      <c r="M50" s="625" t="inlineStr">
        <is>
          <t>КИНО (КИНО)</t>
        </is>
      </c>
      <c r="N50" s="466" t="n"/>
    </row>
    <row r="51" ht="57" customHeight="1" s="468">
      <c r="B51" s="370" t="n">
        <v>46</v>
      </c>
      <c r="C51" s="371" t="inlineStr">
        <is>
          <t>Разработка (Разработка)</t>
        </is>
      </c>
      <c r="D51" s="604" t="inlineStr">
        <is>
          <t>Стадия разработки фильма — сценарий, кастинг, бюджет, pre-production. В пайплайне 6–12 мес.</t>
        </is>
      </c>
      <c r="E51" s="473" t="n"/>
      <c r="F51" s="473" t="n"/>
      <c r="G51" s="473" t="n"/>
      <c r="H51" s="473" t="n"/>
      <c r="I51" s="473" t="n"/>
      <c r="J51" s="473" t="n"/>
      <c r="K51" s="473" t="n"/>
      <c r="L51" s="466" t="n"/>
      <c r="M51" s="625" t="inlineStr">
        <is>
          <t>КИНО (КИНО)</t>
        </is>
      </c>
      <c r="N51" s="466" t="n"/>
    </row>
    <row r="52" ht="51" customHeight="1" s="468">
      <c r="B52" s="370" t="n">
        <v>47</v>
      </c>
      <c r="C52" s="371" t="inlineStr">
        <is>
          <t>Principal Photography (Основные съёмки)</t>
        </is>
      </c>
      <c r="D52" s="604" t="inlineStr">
        <is>
          <t>Основной съёмочный период. В ТрендСтудио Gantt = этап Shoot, 2–4 мес на фильм.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66" t="n"/>
      <c r="M52" s="625" t="inlineStr">
        <is>
          <t>КИНО (КИНО)</t>
        </is>
      </c>
      <c r="N52" s="466" t="n"/>
    </row>
    <row r="53" ht="43" customHeight="1" s="468">
      <c r="B53" s="370" t="n">
        <v>48</v>
      </c>
      <c r="C53" s="371" t="inlineStr">
        <is>
          <t>Post-Production (Постпродакшн)</t>
        </is>
      </c>
      <c r="D53" s="604" t="inlineStr">
        <is>
          <t>Монтаж, VFX (визуальные эффекты), цветокоррекция, sound design. В пайплайне 4–6 мес.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66" t="n"/>
      <c r="M53" s="625" t="inlineStr">
        <is>
          <t>КИНО (КИНО)</t>
        </is>
      </c>
      <c r="N53" s="466" t="n"/>
    </row>
    <row r="54" ht="55" customHeight="1" s="468">
      <c r="B54" s="370" t="n">
        <v>49</v>
      </c>
      <c r="C54" s="371" t="inlineStr">
        <is>
          <t>Producer (Продюсер) Equity (Собственный капитал)</t>
        </is>
      </c>
      <c r="D54" s="604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66" t="n"/>
      <c r="M54" s="625" t="inlineStr">
        <is>
          <t>КИНО (КИНО)</t>
        </is>
      </c>
      <c r="N54" s="466" t="n"/>
    </row>
    <row r="55" ht="56" customHeight="1" s="468">
      <c r="B55" s="370" t="n">
        <v>50</v>
      </c>
      <c r="C55" s="371" t="inlineStr">
        <is>
          <t>Library Value (Стоимость библиотеки)</t>
        </is>
      </c>
      <c r="D55" s="604" t="inlineStr">
        <is>
          <t>Стоимость накопленного каталога фильмов — источник tail (хвостовой период) revenue 2029–2032 (1 050 млн ₽).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66" t="n"/>
      <c r="M55" s="625" t="inlineStr">
        <is>
          <t>КИНО (КИНО)</t>
        </is>
      </c>
      <c r="N55" s="466" t="n"/>
    </row>
    <row r="56" ht="54" customHeight="1" s="468">
      <c r="B56" s="370" t="n">
        <v>51</v>
      </c>
      <c r="C56" s="371" t="inlineStr">
        <is>
          <t>Sequel Rights (Права на сиквел)</t>
        </is>
      </c>
      <c r="D56" s="604" t="inlineStr">
        <is>
          <t>Право на производство продолжений. Опционный payoff, увеличивающий real option value.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66" t="n"/>
      <c r="M56" s="625" t="inlineStr">
        <is>
          <t>КИНО (КИНО)</t>
        </is>
      </c>
      <c r="N56" s="466" t="n"/>
    </row>
    <row r="57" ht="61" customHeight="1" s="468">
      <c r="B57" s="370" t="n">
        <v>52</v>
      </c>
      <c r="C57" s="371" t="inlineStr">
        <is>
          <t>Co-Production (Копродукция)</t>
        </is>
      </c>
      <c r="D57" s="604" t="inlineStr">
        <is>
          <t>Совместное производство с иностранным партнёром. Открывает доступ к зарубежным рынкам и субсидиям.</t>
        </is>
      </c>
      <c r="E57" s="473" t="n"/>
      <c r="F57" s="473" t="n"/>
      <c r="G57" s="473" t="n"/>
      <c r="H57" s="473" t="n"/>
      <c r="I57" s="473" t="n"/>
      <c r="J57" s="473" t="n"/>
      <c r="K57" s="473" t="n"/>
      <c r="L57" s="466" t="n"/>
      <c r="M57" s="625" t="inlineStr">
        <is>
          <t>КИНО (КИНО)</t>
        </is>
      </c>
      <c r="N57" s="466" t="n"/>
    </row>
    <row r="58" ht="59" customHeight="1" s="468">
      <c r="B58" s="370" t="n">
        <v>53</v>
      </c>
      <c r="C58" s="371" t="inlineStr">
        <is>
          <t>НДС 0%</t>
        </is>
      </c>
      <c r="D58" s="604" t="inlineStr">
        <is>
          <t>Льгота по НДС для кинопродукции согласно ст. 149 НК РФ. В модели экономия ~360 млн ₽ за 3 года.</t>
        </is>
      </c>
      <c r="E58" s="473" t="n"/>
      <c r="F58" s="473" t="n"/>
      <c r="G58" s="473" t="n"/>
      <c r="H58" s="473" t="n"/>
      <c r="I58" s="473" t="n"/>
      <c r="J58" s="473" t="n"/>
      <c r="K58" s="473" t="n"/>
      <c r="L58" s="466" t="n"/>
      <c r="M58" s="629" t="inlineStr">
        <is>
          <t>REG</t>
        </is>
      </c>
      <c r="N58" s="466" t="n"/>
    </row>
    <row r="59" ht="43" customHeight="1" s="468">
      <c r="B59" s="370" t="n">
        <v>54</v>
      </c>
      <c r="C59" s="371" t="inlineStr">
        <is>
          <t>Налог на прибыль</t>
        </is>
      </c>
      <c r="D59" s="604" t="inlineStr">
        <is>
          <t>Базовая ставка 20% (ФБ 2%, РБ 18%). В модели 3Y Σ ≈ 438 млн ₽.</t>
        </is>
      </c>
      <c r="E59" s="473" t="n"/>
      <c r="F59" s="473" t="n"/>
      <c r="G59" s="473" t="n"/>
      <c r="H59" s="473" t="n"/>
      <c r="I59" s="473" t="n"/>
      <c r="J59" s="473" t="n"/>
      <c r="K59" s="473" t="n"/>
      <c r="L59" s="466" t="n"/>
      <c r="M59" s="629" t="inlineStr">
        <is>
          <t>REG</t>
        </is>
      </c>
      <c r="N59" s="466" t="n"/>
    </row>
    <row r="60" ht="54" customHeight="1" s="468">
      <c r="B60" s="370" t="n">
        <v>55</v>
      </c>
      <c r="C60" s="371" t="inlineStr">
        <is>
          <t>Страховые взносы</t>
        </is>
      </c>
      <c r="D60" s="604" t="inlineStr">
        <is>
          <t>30.2% от ФОТ (ПФР 22%, ФСС 2.9%, ФОМС 5.1%, травматизм 0.2%). В модели Σ ≈ 121 млн ₽.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66" t="n"/>
      <c r="M60" s="629" t="inlineStr">
        <is>
          <t>REG</t>
        </is>
      </c>
      <c r="N60" s="466" t="n"/>
    </row>
    <row r="61" ht="64" customHeight="1" s="468">
      <c r="B61" s="370" t="n">
        <v>56</v>
      </c>
      <c r="C61" s="371" t="inlineStr">
        <is>
          <t>ФКП</t>
        </is>
      </c>
      <c r="D61" s="604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66" t="n"/>
      <c r="M61" s="629" t="inlineStr">
        <is>
          <t>REG</t>
        </is>
      </c>
      <c r="N61" s="466" t="n"/>
    </row>
    <row r="62" ht="62" customHeight="1" s="468">
      <c r="B62" s="370" t="n">
        <v>57</v>
      </c>
      <c r="C62" s="371" t="inlineStr">
        <is>
          <t>ПП № 1215</t>
        </is>
      </c>
      <c r="D62" s="604" t="inlineStr">
        <is>
          <t>Постановление Правительства РФ № 1215 от 20.12.2013 — правила предоставления субсидий кинопродюсерам.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66" t="n"/>
      <c r="M62" s="629" t="inlineStr">
        <is>
          <t>REG</t>
        </is>
      </c>
      <c r="N62" s="466" t="n"/>
    </row>
    <row r="63" ht="58" customHeight="1" s="468">
      <c r="B63" s="370" t="n">
        <v>58</v>
      </c>
      <c r="C63" s="371" t="inlineStr">
        <is>
          <t>Указ № 309</t>
        </is>
      </c>
      <c r="D63" s="604" t="inlineStr">
        <is>
          <t>Указ Президента РФ № 309 от 07.05.2024 «О национальных целях развития РФ до 2030 и 2036 гг.»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66" t="n"/>
      <c r="M63" s="629" t="inlineStr">
        <is>
          <t>REG</t>
        </is>
      </c>
      <c r="N63" s="466" t="n"/>
    </row>
    <row r="64" ht="59" customHeight="1" s="468">
      <c r="B64" s="370" t="n">
        <v>59</v>
      </c>
      <c r="C64" s="371" t="inlineStr">
        <is>
          <t>Нац. проект «Семья»</t>
        </is>
      </c>
      <c r="D64" s="604" t="inlineStr">
        <is>
          <t>Национальный проект, в рамках которого финансируется семейное / детское кино. Горизонт до 2030.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66" t="n"/>
      <c r="M64" s="629" t="inlineStr">
        <is>
          <t>REG</t>
        </is>
      </c>
      <c r="N64" s="466" t="n"/>
    </row>
    <row r="65" ht="60" customHeight="1" s="468">
      <c r="B65" s="370" t="n">
        <v>60</v>
      </c>
      <c r="C65" s="371" t="inlineStr">
        <is>
          <t>Нац. проект «Молодёжь и дети»</t>
        </is>
      </c>
      <c r="D65" s="604" t="inlineStr">
        <is>
          <t>Национальный проект для молодёжной аудитории, включает грантовую поддержку профильного контента.</t>
        </is>
      </c>
      <c r="E65" s="473" t="n"/>
      <c r="F65" s="473" t="n"/>
      <c r="G65" s="473" t="n"/>
      <c r="H65" s="473" t="n"/>
      <c r="I65" s="473" t="n"/>
      <c r="J65" s="473" t="n"/>
      <c r="K65" s="473" t="n"/>
      <c r="L65" s="466" t="n"/>
      <c r="M65" s="629" t="inlineStr">
        <is>
          <t>REG</t>
        </is>
      </c>
      <c r="N65" s="466" t="n"/>
    </row>
    <row r="66" ht="54" customHeight="1" s="468">
      <c r="B66" s="370" t="n">
        <v>61</v>
      </c>
      <c r="C66" s="371" t="inlineStr">
        <is>
          <t>Нац. проект «Культура»</t>
        </is>
      </c>
      <c r="D66" s="604" t="inlineStr">
        <is>
          <t>Национальный проект, регулирует субсидии и инфраструктурные программы кинематографа.</t>
        </is>
      </c>
      <c r="E66" s="473" t="n"/>
      <c r="F66" s="473" t="n"/>
      <c r="G66" s="473" t="n"/>
      <c r="H66" s="473" t="n"/>
      <c r="I66" s="473" t="n"/>
      <c r="J66" s="473" t="n"/>
      <c r="K66" s="473" t="n"/>
      <c r="L66" s="466" t="n"/>
      <c r="M66" s="629" t="inlineStr">
        <is>
          <t>REG</t>
        </is>
      </c>
      <c r="N66" s="466" t="n"/>
    </row>
    <row r="67" ht="65" customHeight="1" s="468">
      <c r="B67" s="370" t="n">
        <v>62</v>
      </c>
      <c r="C67" s="371" t="inlineStr">
        <is>
          <t>ст. 149 НК РФ</t>
        </is>
      </c>
      <c r="D67" s="604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473" t="n"/>
      <c r="F67" s="473" t="n"/>
      <c r="G67" s="473" t="n"/>
      <c r="H67" s="473" t="n"/>
      <c r="I67" s="473" t="n"/>
      <c r="J67" s="473" t="n"/>
      <c r="K67" s="473" t="n"/>
      <c r="L67" s="466" t="n"/>
      <c r="M67" s="629" t="inlineStr">
        <is>
          <t>REG</t>
        </is>
      </c>
      <c r="N67" s="466" t="n"/>
    </row>
    <row r="69" ht="18" customHeight="1" s="468">
      <c r="B69" s="849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65:N65"/>
    <mergeCell ref="D15:L15"/>
    <mergeCell ref="M7:N7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67:N67"/>
    <mergeCell ref="M49:N49"/>
    <mergeCell ref="M5:N5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M12:N12"/>
    <mergeCell ref="D5:L5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ПРИМЕЧАНИЯ И ИСТОЧНИКИ (ПРИМЕЧАНИЯ И ИСТОЧНИКИ)</t>
        </is>
      </c>
    </row>
    <row r="3" ht="18" customHeight="1" s="468">
      <c r="B3" s="840" t="inlineStr">
        <is>
          <t>Методологические заметки • Полный список источников • Disclaimers • Версионность</t>
        </is>
      </c>
    </row>
    <row r="5" ht="22" customHeight="1" s="468">
      <c r="B5" s="841" t="inlineStr">
        <is>
          <t>I. МЕТОДОЛОГИЧЕСКИЕ ЗАМЕТКИ ПО ЛИСТАМ</t>
        </is>
      </c>
    </row>
    <row r="7" ht="60" customHeight="1" s="468">
      <c r="C7" s="377" t="inlineStr">
        <is>
          <t>02_Assumptions</t>
        </is>
      </c>
      <c r="D7" s="604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473" t="n"/>
      <c r="F7" s="473" t="n"/>
      <c r="G7" s="473" t="n"/>
      <c r="H7" s="473" t="n"/>
      <c r="I7" s="473" t="n"/>
      <c r="J7" s="473" t="n"/>
      <c r="K7" s="473" t="n"/>
      <c r="L7" s="473" t="n"/>
      <c r="M7" s="473" t="n"/>
      <c r="N7" s="466" t="n"/>
    </row>
    <row r="8" ht="60" customHeight="1" s="468">
      <c r="C8" s="377" t="inlineStr">
        <is>
          <t>04/05_FOT_Staff</t>
        </is>
      </c>
      <c r="D8" s="604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66" t="n"/>
    </row>
    <row r="9" ht="60" customHeight="1" s="468">
      <c r="C9" s="377" t="inlineStr">
        <is>
          <t>06_Cost_Structure</t>
        </is>
      </c>
      <c r="D9" s="604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66" t="n"/>
    </row>
    <row r="10" ht="60" customHeight="1" s="468">
      <c r="C10" s="377" t="inlineStr">
        <is>
          <t>07_Revenue_Breakdown</t>
        </is>
      </c>
      <c r="D10" s="604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73" t="n"/>
      <c r="M10" s="473" t="n"/>
      <c r="N10" s="466" t="n"/>
    </row>
    <row r="11" ht="60" customHeight="1" s="468">
      <c r="C11" s="377" t="inlineStr">
        <is>
          <t>08_Content_Pipeline</t>
        </is>
      </c>
      <c r="D11" s="604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66" t="n"/>
    </row>
    <row r="12" ht="60" customHeight="1" s="468">
      <c r="C12" s="377" t="inlineStr">
        <is>
          <t>09_P&amp;L_Statement</t>
        </is>
      </c>
      <c r="D12" s="604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66" t="n"/>
    </row>
    <row r="13" ht="51" customHeight="1" s="468">
      <c r="C13" s="377" t="inlineStr">
        <is>
          <t>10_Cash_Flow</t>
        </is>
      </c>
      <c r="D13" s="604" t="inlineStr">
        <is>
          <t>Indirect method. Working capital (капитал) changes детализированы в 12_WC.</t>
        </is>
      </c>
      <c r="E13" s="473" t="n"/>
      <c r="F13" s="473" t="n"/>
      <c r="G13" s="473" t="n"/>
      <c r="H13" s="473" t="n"/>
      <c r="I13" s="473" t="n"/>
      <c r="J13" s="473" t="n"/>
      <c r="K13" s="473" t="n"/>
      <c r="L13" s="473" t="n"/>
      <c r="M13" s="473" t="n"/>
      <c r="N13" s="466" t="n"/>
    </row>
    <row r="14" ht="48" customHeight="1" s="468">
      <c r="C14" s="377" t="inlineStr">
        <is>
          <t>14_Investment_Inflow</t>
        </is>
      </c>
      <c r="D14" s="604" t="inlineStr">
        <is>
          <t>Транши T₁ привязаны к milestone, не к календарю. Calendar — ориентировочный.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66" t="n"/>
    </row>
    <row r="15" ht="60" customHeight="1" s="468">
      <c r="C15" s="377" t="inlineStr">
        <is>
          <t>17_Deal_Structures</t>
        </is>
      </c>
      <c r="D15" s="604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66" t="n"/>
    </row>
    <row r="16" ht="58" customHeight="1" s="468">
      <c r="C16" s="377" t="inlineStr">
        <is>
          <t>19_Waterfall</t>
        </is>
      </c>
      <c r="D16" s="604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66" t="n"/>
    </row>
    <row r="17" ht="60" customHeight="1" s="468">
      <c r="C17" s="377" t="inlineStr">
        <is>
          <t>22_Valuation_DCF</t>
        </is>
      </c>
      <c r="D17" s="604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66" t="n"/>
    </row>
    <row r="18" ht="52" customHeight="1" s="468">
      <c r="C18" s="377" t="inlineStr">
        <is>
          <t>23_Valuation_Multiples</t>
        </is>
      </c>
      <c r="D18" s="604" t="inlineStr">
        <is>
          <t>EV (стоимость предприятия)/EBITDA (прибыль до вычетов) median по 32_Comparables. Применён discount 10% за liquidity + 5% за size.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66" t="n"/>
    </row>
    <row r="19" ht="48" customHeight="1" s="468">
      <c r="C19" s="377" t="inlineStr">
        <is>
          <t>25_Exit_Scenarios</t>
        </is>
      </c>
      <c r="D19" s="604" t="inlineStr">
        <is>
          <t>Probability-weighted EV (стоимость предприятия) = Σ (p × EV) по 7 маршрутам. Weighted = 6 038 млн ₽.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66" t="n"/>
    </row>
    <row r="20" ht="53" customHeight="1" s="468">
      <c r="C20" s="377" t="inlineStr">
        <is>
          <t>26_Sensitivity</t>
        </is>
      </c>
      <c r="D20" s="604" t="inlineStr">
        <is>
          <t>Tornado по 8 переменным с ±20% impact. Top driver: Box Office (Кассовые сборы) revenue (±420 на EBITDA (прибыль до вычетов)).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66" t="n"/>
    </row>
    <row r="21" ht="55" customHeight="1" s="468">
      <c r="C21" s="377" t="inlineStr">
        <is>
          <t>27_Scenario_Analysis</t>
        </is>
      </c>
      <c r="D21" s="604" t="inlineStr">
        <is>
          <t>5 сценариев: Worst / Pessimistic / Base (Базовый) / Optimistic / Best с вероятностями 10/20/40/20/10.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66" t="n"/>
    </row>
    <row r="22" ht="60" customHeight="1" s="468">
      <c r="C22" s="377" t="inlineStr">
        <is>
          <t>28_Monte_Carlo_Summary</t>
        </is>
      </c>
      <c r="D22" s="604" t="inlineStr">
        <is>
          <t>n=1000, seed=42. 5 стохастических переменных (triangular, lognormal, gauss, binomial). VaR 95% = 561.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66" t="n"/>
    </row>
    <row r="23" ht="60" customHeight="1" s="468">
      <c r="C23" s="377" t="inlineStr">
        <is>
          <t>29_Risk_Register</t>
        </is>
      </c>
      <c r="D23" s="604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66" t="n"/>
    </row>
    <row r="24" ht="60" customHeight="1" s="468">
      <c r="C24" s="377" t="inlineStr">
        <is>
          <t>30/31/32_Market</t>
        </is>
      </c>
      <c r="D24" s="604" t="inlineStr">
        <is>
          <t>TAM/SAM/SOM + benchmark KPI (ключевые показатели) + precedent transactions. RU comps median 8.0×, Global 9.8×, blend 8.9×.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66" t="n"/>
    </row>
    <row r="25" ht="60" customHeight="1" s="468">
      <c r="C25" s="377" t="inlineStr">
        <is>
          <t>33_Gov_KPI</t>
        </is>
      </c>
      <c r="D25" s="604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73" t="n"/>
      <c r="M25" s="473" t="n"/>
      <c r="N25" s="466" t="n"/>
    </row>
    <row r="26" ht="59" customHeight="1" s="468">
      <c r="C26" s="377" t="inlineStr">
        <is>
          <t>34_Tax_Schedule</t>
        </is>
      </c>
      <c r="D26" s="604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73" t="n"/>
      <c r="M26" s="473" t="n"/>
      <c r="N26" s="466" t="n"/>
    </row>
    <row r="27" ht="60" customHeight="1" s="468">
      <c r="C27" s="377" t="inlineStr">
        <is>
          <t>35_Roadmap_2026_2032</t>
        </is>
      </c>
      <c r="D27" s="604" t="inlineStr">
        <is>
          <t>12 фильмов × 16 периодов × 4 фазы Gantt + 14 fundraising milestones + 7 exit routes + критический путь.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66" t="n"/>
    </row>
    <row r="28" ht="60" customHeight="1" s="468">
      <c r="C28" s="377" t="inlineStr">
        <is>
          <t>36_Executive_Summary</t>
        </is>
      </c>
      <c r="D28" s="604" t="inlineStr">
        <is>
          <t>Этот лист — VI разделов включая полный разбор «Valuation Range Interpretation» (часть B комбо A+B с 22_Valuation_DCF).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66" t="n"/>
    </row>
    <row r="31" ht="22" customHeight="1" s="468">
      <c r="B31" s="841" t="inlineStr">
        <is>
          <t>II. ПОЛНЫЙ СПИСОК ИСТОЧНИКОВ</t>
        </is>
      </c>
    </row>
    <row r="33" ht="22" customHeight="1" s="468">
      <c r="B33" s="555" t="inlineStr">
        <is>
          <t>Категория</t>
        </is>
      </c>
      <c r="C33" s="555" t="inlineStr">
        <is>
          <t>Источник</t>
        </is>
      </c>
      <c r="D33" s="466" t="n"/>
      <c r="E33" s="555" t="inlineStr">
        <is>
          <t>Назначение</t>
        </is>
      </c>
      <c r="F33" s="473" t="n"/>
      <c r="G33" s="473" t="n"/>
      <c r="H33" s="473" t="n"/>
      <c r="I33" s="473" t="n"/>
      <c r="J33" s="473" t="n"/>
      <c r="K33" s="473" t="n"/>
      <c r="L33" s="466" t="n"/>
      <c r="M33" s="555" t="inlineStr">
        <is>
          <t>URL / издатель</t>
        </is>
      </c>
      <c r="N33" s="466" t="n"/>
    </row>
    <row r="34" ht="26" customHeight="1" s="468">
      <c r="B34" s="627" t="inlineStr">
        <is>
          <t>GOV-RU</t>
        </is>
      </c>
      <c r="C34" s="631" t="inlineStr">
        <is>
          <t>Указ Президента РФ № 309 от 07.05.2024</t>
        </is>
      </c>
      <c r="D34" s="466" t="n"/>
      <c r="E34" s="604" t="inlineStr">
        <is>
          <t>О национальных целях развития РФ до 2030 и 2036 гг.</t>
        </is>
      </c>
      <c r="F34" s="473" t="n"/>
      <c r="G34" s="473" t="n"/>
      <c r="H34" s="473" t="n"/>
      <c r="I34" s="473" t="n"/>
      <c r="J34" s="473" t="n"/>
      <c r="K34" s="473" t="n"/>
      <c r="L34" s="466" t="n"/>
      <c r="M34" s="633" t="inlineStr">
        <is>
          <t>kremlin.ru</t>
        </is>
      </c>
      <c r="N34" s="466" t="n"/>
    </row>
    <row r="35" ht="26" customHeight="1" s="468">
      <c r="B35" s="627" t="inlineStr">
        <is>
          <t>GOV-RU</t>
        </is>
      </c>
      <c r="C35" s="631" t="inlineStr">
        <is>
          <t>Постановление Правительства РФ № 1215 от 20.12.2013</t>
        </is>
      </c>
      <c r="D35" s="466" t="n"/>
      <c r="E35" s="604" t="inlineStr">
        <is>
          <t>Правила предоставления субсидий кинопродюсерам</t>
        </is>
      </c>
      <c r="F35" s="473" t="n"/>
      <c r="G35" s="473" t="n"/>
      <c r="H35" s="473" t="n"/>
      <c r="I35" s="473" t="n"/>
      <c r="J35" s="473" t="n"/>
      <c r="K35" s="473" t="n"/>
      <c r="L35" s="466" t="n"/>
      <c r="M35" s="633" t="inlineStr">
        <is>
          <t>government.ru</t>
        </is>
      </c>
      <c r="N35" s="466" t="n"/>
    </row>
    <row r="36" ht="26" customHeight="1" s="468">
      <c r="B36" s="627" t="inlineStr">
        <is>
          <t>GOV-RU</t>
        </is>
      </c>
      <c r="C36" s="631" t="inlineStr">
        <is>
          <t>Налоговый кодекс РФ, ст. 149</t>
        </is>
      </c>
      <c r="D36" s="466" t="n"/>
      <c r="E36" s="604" t="inlineStr">
        <is>
          <t>Операции, освобождённые от НДС (включая кинопродукцию)</t>
        </is>
      </c>
      <c r="F36" s="473" t="n"/>
      <c r="G36" s="473" t="n"/>
      <c r="H36" s="473" t="n"/>
      <c r="I36" s="473" t="n"/>
      <c r="J36" s="473" t="n"/>
      <c r="K36" s="473" t="n"/>
      <c r="L36" s="466" t="n"/>
      <c r="M36" s="633" t="inlineStr">
        <is>
          <t>nalog.gov.ru</t>
        </is>
      </c>
      <c r="N36" s="466" t="n"/>
    </row>
    <row r="37" ht="26" customHeight="1" s="468">
      <c r="B37" s="627" t="inlineStr">
        <is>
          <t>GOV-RU</t>
        </is>
      </c>
      <c r="C37" s="631" t="inlineStr">
        <is>
          <t>Паспорт нац. проекта «Семья» 2025–2030</t>
        </is>
      </c>
      <c r="D37" s="466" t="n"/>
      <c r="E37" s="604" t="inlineStr">
        <is>
          <t>Финансирование семейного / детского кино</t>
        </is>
      </c>
      <c r="F37" s="473" t="n"/>
      <c r="G37" s="473" t="n"/>
      <c r="H37" s="473" t="n"/>
      <c r="I37" s="473" t="n"/>
      <c r="J37" s="473" t="n"/>
      <c r="K37" s="473" t="n"/>
      <c r="L37" s="466" t="n"/>
      <c r="M37" s="633" t="inlineStr">
        <is>
          <t>government.ru</t>
        </is>
      </c>
      <c r="N37" s="466" t="n"/>
    </row>
    <row r="38" ht="26" customHeight="1" s="468">
      <c r="B38" s="627" t="inlineStr">
        <is>
          <t>GOV-RU</t>
        </is>
      </c>
      <c r="C38" s="631" t="inlineStr">
        <is>
          <t>Паспорт нац. проекта «Молодёжь и дети» 2025–2030</t>
        </is>
      </c>
      <c r="D38" s="466" t="n"/>
      <c r="E38" s="604" t="inlineStr">
        <is>
          <t>Грантовая поддержка молодёжного контента</t>
        </is>
      </c>
      <c r="F38" s="473" t="n"/>
      <c r="G38" s="473" t="n"/>
      <c r="H38" s="473" t="n"/>
      <c r="I38" s="473" t="n"/>
      <c r="J38" s="473" t="n"/>
      <c r="K38" s="473" t="n"/>
      <c r="L38" s="466" t="n"/>
      <c r="M38" s="633" t="inlineStr">
        <is>
          <t>government.ru</t>
        </is>
      </c>
      <c r="N38" s="466" t="n"/>
    </row>
    <row r="39" ht="26" customHeight="1" s="468">
      <c r="B39" s="627" t="inlineStr">
        <is>
          <t>GOV-RU</t>
        </is>
      </c>
      <c r="C39" s="631" t="inlineStr">
        <is>
          <t>Паспорт нац. проекта «Культура» 2025–2030</t>
        </is>
      </c>
      <c r="D39" s="466" t="n"/>
      <c r="E39" s="604" t="inlineStr">
        <is>
          <t>Субсидии и инфраструктура кинематографа</t>
        </is>
      </c>
      <c r="F39" s="473" t="n"/>
      <c r="G39" s="473" t="n"/>
      <c r="H39" s="473" t="n"/>
      <c r="I39" s="473" t="n"/>
      <c r="J39" s="473" t="n"/>
      <c r="K39" s="473" t="n"/>
      <c r="L39" s="466" t="n"/>
      <c r="M39" s="633" t="inlineStr">
        <is>
          <t>government.ru</t>
        </is>
      </c>
      <c r="N39" s="466" t="n"/>
    </row>
    <row r="40" ht="26" customHeight="1" s="468">
      <c r="B40" s="627" t="inlineStr">
        <is>
          <t>GOV-RU</t>
        </is>
      </c>
      <c r="C40" s="631" t="inlineStr">
        <is>
          <t>Фонд кино (ФКП) — правила поддержки</t>
        </is>
      </c>
      <c r="D40" s="466" t="n"/>
      <c r="E40" s="604" t="inlineStr">
        <is>
          <t>Безвозвратные субсидии кинопродюсерам</t>
        </is>
      </c>
      <c r="F40" s="473" t="n"/>
      <c r="G40" s="473" t="n"/>
      <c r="H40" s="473" t="n"/>
      <c r="I40" s="473" t="n"/>
      <c r="J40" s="473" t="n"/>
      <c r="K40" s="473" t="n"/>
      <c r="L40" s="466" t="n"/>
      <c r="M40" s="633" t="inlineStr">
        <is>
          <t>fond-kino.ru</t>
        </is>
      </c>
      <c r="N40" s="466" t="n"/>
    </row>
    <row r="41" ht="26" customHeight="1" s="468">
      <c r="B41" s="627" t="inlineStr">
        <is>
          <t>GOV-RU</t>
        </is>
      </c>
      <c r="C41" s="631" t="inlineStr">
        <is>
          <t>Минкультуры РФ — реестр прокатных удостоверений</t>
        </is>
      </c>
      <c r="D41" s="466" t="n"/>
      <c r="E41" s="604" t="inlineStr">
        <is>
          <t>Верификация релизных планов и премьер</t>
        </is>
      </c>
      <c r="F41" s="473" t="n"/>
      <c r="G41" s="473" t="n"/>
      <c r="H41" s="473" t="n"/>
      <c r="I41" s="473" t="n"/>
      <c r="J41" s="473" t="n"/>
      <c r="K41" s="473" t="n"/>
      <c r="L41" s="466" t="n"/>
      <c r="M41" s="633" t="inlineStr">
        <is>
          <t>culture.gov.ru</t>
        </is>
      </c>
      <c r="N41" s="466" t="n"/>
    </row>
    <row r="42" ht="26" customHeight="1" s="468">
      <c r="B42" s="627" t="inlineStr">
        <is>
          <t>RU-DATA</t>
        </is>
      </c>
      <c r="C42" s="631" t="inlineStr">
        <is>
          <t>Росстат — данные по кинотеатральному рынку</t>
        </is>
      </c>
      <c r="D42" s="466" t="n"/>
      <c r="E42" s="604" t="inlineStr">
        <is>
          <t>Box Office (Кассовые сборы) РФ 2020–2025</t>
        </is>
      </c>
      <c r="F42" s="473" t="n"/>
      <c r="G42" s="473" t="n"/>
      <c r="H42" s="473" t="n"/>
      <c r="I42" s="473" t="n"/>
      <c r="J42" s="473" t="n"/>
      <c r="K42" s="473" t="n"/>
      <c r="L42" s="466" t="n"/>
      <c r="M42" s="633" t="inlineStr">
        <is>
          <t>rosstat.gov.ru</t>
        </is>
      </c>
      <c r="N42" s="466" t="n"/>
    </row>
    <row r="43" ht="26" customHeight="1" s="468">
      <c r="B43" s="627" t="inlineStr">
        <is>
          <t>RU-NEWS</t>
        </is>
      </c>
      <c r="C43" s="631" t="inlineStr">
        <is>
          <t>ТАСС — раздел «Кино»</t>
        </is>
      </c>
      <c r="D43" s="466" t="n"/>
      <c r="E43" s="604" t="inlineStr">
        <is>
          <t>Оперативные новости индустрии, сделки, господдержка</t>
        </is>
      </c>
      <c r="F43" s="473" t="n"/>
      <c r="G43" s="473" t="n"/>
      <c r="H43" s="473" t="n"/>
      <c r="I43" s="473" t="n"/>
      <c r="J43" s="473" t="n"/>
      <c r="K43" s="473" t="n"/>
      <c r="L43" s="466" t="n"/>
      <c r="M43" s="633" t="inlineStr">
        <is>
          <t>tass.ru</t>
        </is>
      </c>
      <c r="N43" s="466" t="n"/>
    </row>
    <row r="44" ht="26" customHeight="1" s="468">
      <c r="B44" s="627" t="inlineStr">
        <is>
          <t>RU-NEWS</t>
        </is>
      </c>
      <c r="C44" s="631" t="inlineStr">
        <is>
          <t>РИА Новости — раздел «Культура»</t>
        </is>
      </c>
      <c r="D44" s="466" t="n"/>
      <c r="E44" s="604" t="inlineStr">
        <is>
          <t>Регуляторные новости, нац. проекты</t>
        </is>
      </c>
      <c r="F44" s="473" t="n"/>
      <c r="G44" s="473" t="n"/>
      <c r="H44" s="473" t="n"/>
      <c r="I44" s="473" t="n"/>
      <c r="J44" s="473" t="n"/>
      <c r="K44" s="473" t="n"/>
      <c r="L44" s="466" t="n"/>
      <c r="M44" s="633" t="inlineStr">
        <is>
          <t>ria.ru</t>
        </is>
      </c>
      <c r="N44" s="466" t="n"/>
    </row>
    <row r="45" ht="26" customHeight="1" s="468">
      <c r="B45" s="627" t="inlineStr">
        <is>
          <t>RU-DATA</t>
        </is>
      </c>
      <c r="C45" s="631" t="inlineStr">
        <is>
          <t>Бюллетень кинопроката — bulletin.info.ru</t>
        </is>
      </c>
      <c r="D45" s="466" t="n"/>
      <c r="E45" s="604" t="inlineStr">
        <is>
          <t>Недельная касса, TOP-листы, статистика</t>
        </is>
      </c>
      <c r="F45" s="473" t="n"/>
      <c r="G45" s="473" t="n"/>
      <c r="H45" s="473" t="n"/>
      <c r="I45" s="473" t="n"/>
      <c r="J45" s="473" t="n"/>
      <c r="K45" s="473" t="n"/>
      <c r="L45" s="466" t="n"/>
      <c r="M45" s="633" t="inlineStr">
        <is>
          <t>bulletin.info.ru</t>
        </is>
      </c>
      <c r="N45" s="466" t="n"/>
    </row>
    <row r="46" ht="26" customHeight="1" s="468">
      <c r="B46" s="625" t="inlineStr">
        <is>
          <t>ГЛОБАЛЬНЫЙ (ГЛОБАЛЬНЫЙ)</t>
        </is>
      </c>
      <c r="C46" s="631" t="inlineStr">
        <is>
          <t>Box Office (Кассовые сборы) Mojo / IMDb Pro</t>
        </is>
      </c>
      <c r="D46" s="466" t="n"/>
      <c r="E46" s="604" t="inlineStr">
        <is>
          <t>Global benchmarks (мировые бенчмарки), кастинг, продакшн-кредиты</t>
        </is>
      </c>
      <c r="F46" s="473" t="n"/>
      <c r="G46" s="473" t="n"/>
      <c r="H46" s="473" t="n"/>
      <c r="I46" s="473" t="n"/>
      <c r="J46" s="473" t="n"/>
      <c r="K46" s="473" t="n"/>
      <c r="L46" s="466" t="n"/>
      <c r="M46" s="633" t="inlineStr">
        <is>
          <t>boxofficemojo.com</t>
        </is>
      </c>
      <c r="N46" s="466" t="n"/>
    </row>
    <row r="47" ht="26" customHeight="1" s="468">
      <c r="B47" s="625" t="inlineStr">
        <is>
          <t>ГЛОБАЛЬНЫЙ (ГЛОБАЛЬНЫЙ)</t>
        </is>
      </c>
      <c r="C47" s="631" t="inlineStr">
        <is>
          <t>Variety Intelligence Platform (Аналитическая платформа Variety)</t>
        </is>
      </c>
      <c r="D47" s="466" t="n"/>
      <c r="E47" s="604" t="inlineStr">
        <is>
          <t>Industry analytics (Отраслевая аналитика), deal tracking (отслеживание сделок)</t>
        </is>
      </c>
      <c r="F47" s="473" t="n"/>
      <c r="G47" s="473" t="n"/>
      <c r="H47" s="473" t="n"/>
      <c r="I47" s="473" t="n"/>
      <c r="J47" s="473" t="n"/>
      <c r="K47" s="473" t="n"/>
      <c r="L47" s="466" t="n"/>
      <c r="M47" s="633" t="inlineStr">
        <is>
          <t>variety.com</t>
        </is>
      </c>
      <c r="N47" s="466" t="n"/>
    </row>
    <row r="48" ht="26" customHeight="1" s="468">
      <c r="B48" s="625" t="inlineStr">
        <is>
          <t>ГЛОБАЛЬНЫЙ (ГЛОБАЛЬНЫЙ)</t>
        </is>
      </c>
      <c r="C48" s="631" t="inlineStr">
        <is>
          <t>S&amp;P Capital (Капитал) IQ</t>
        </is>
      </c>
      <c r="D48" s="466" t="n"/>
      <c r="E48" s="604" t="inlineStr">
        <is>
          <t>EV (стоимость предприятия)/EBITDA (прибыль до вычетов) multiples, comparable transactions</t>
        </is>
      </c>
      <c r="F48" s="473" t="n"/>
      <c r="G48" s="473" t="n"/>
      <c r="H48" s="473" t="n"/>
      <c r="I48" s="473" t="n"/>
      <c r="J48" s="473" t="n"/>
      <c r="K48" s="473" t="n"/>
      <c r="L48" s="466" t="n"/>
      <c r="M48" s="633" t="inlineStr">
        <is>
          <t>spglobal.com</t>
        </is>
      </c>
      <c r="N48" s="466" t="n"/>
    </row>
    <row r="49" ht="26" customHeight="1" s="468">
      <c r="B49" s="625" t="inlineStr">
        <is>
          <t>ГЛОБАЛЬНЫЙ (ГЛОБАЛЬНЫЙ)</t>
        </is>
      </c>
      <c r="C49" s="631" t="inlineStr">
        <is>
          <t>Mergermarket / PitchBook</t>
        </is>
      </c>
      <c r="D49" s="466" t="n"/>
      <c r="E49" s="604" t="inlineStr">
        <is>
          <t>M&amp;A (слияния и поглощения) precedent data, deal databases</t>
        </is>
      </c>
      <c r="F49" s="473" t="n"/>
      <c r="G49" s="473" t="n"/>
      <c r="H49" s="473" t="n"/>
      <c r="I49" s="473" t="n"/>
      <c r="J49" s="473" t="n"/>
      <c r="K49" s="473" t="n"/>
      <c r="L49" s="466" t="n"/>
      <c r="M49" s="633" t="inlineStr">
        <is>
          <t>pitchbook.com</t>
        </is>
      </c>
      <c r="N49" s="466" t="n"/>
    </row>
    <row r="50" ht="26" customHeight="1" s="468">
      <c r="B50" s="628" t="inlineStr">
        <is>
          <t>АКАДЕМИЧЕСКИЙ (АКАДЕМИЧЕСКИЙ)</t>
        </is>
      </c>
      <c r="C50" s="631" t="inlineStr">
        <is>
          <t>Vogel, H. — Entertainment Industry Economics (10th ed.)</t>
        </is>
      </c>
      <c r="D50" s="466" t="n"/>
      <c r="E50" s="604" t="inlineStr">
        <is>
          <t>Учебник по экономике медиа-индустрии</t>
        </is>
      </c>
      <c r="F50" s="473" t="n"/>
      <c r="G50" s="473" t="n"/>
      <c r="H50" s="473" t="n"/>
      <c r="I50" s="473" t="n"/>
      <c r="J50" s="473" t="n"/>
      <c r="K50" s="473" t="n"/>
      <c r="L50" s="466" t="n"/>
      <c r="M50" s="633" t="inlineStr">
        <is>
          <t>Cambridge University Press</t>
        </is>
      </c>
      <c r="N50" s="466" t="n"/>
    </row>
    <row r="51" ht="26" customHeight="1" s="468">
      <c r="B51" s="626" t="inlineStr">
        <is>
          <t>ВНУТРЕННИЙ (ВНУТРЕННИЙ)</t>
        </is>
      </c>
      <c r="C51" s="631" t="inlineStr">
        <is>
          <t>ТрендСтудио финмодель v1.4.4</t>
        </is>
      </c>
      <c r="D51" s="466" t="n"/>
      <c r="E51" s="604" t="inlineStr">
        <is>
          <t>Якорная модель холдинга 2026–2028, cumulative NDP (чистые распределяемые поступления) 3 000 млн ₽</t>
        </is>
      </c>
      <c r="F51" s="473" t="n"/>
      <c r="G51" s="473" t="n"/>
      <c r="H51" s="473" t="n"/>
      <c r="I51" s="473" t="n"/>
      <c r="J51" s="473" t="n"/>
      <c r="K51" s="473" t="n"/>
      <c r="L51" s="466" t="n"/>
      <c r="M51" s="633" t="inlineStr">
        <is>
          <t>pipeline/</t>
        </is>
      </c>
      <c r="N51" s="466" t="n"/>
    </row>
    <row r="53" ht="28" customHeight="1" s="468">
      <c r="B53" s="850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 s="468">
      <c r="B56" s="843" t="inlineStr">
        <is>
          <t>III.  ОТКАЗ ОТ ОТВЕТСТВЕННОСТИ (ОТКАЗ ОТ ОТВЕТСТВЕННОСТИ)</t>
        </is>
      </c>
    </row>
    <row r="58" ht="280" customHeight="1" s="468">
      <c r="B58" s="848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 s="468">
      <c r="B61" s="841" t="inlineStr">
        <is>
          <t>IV.  ИСТОРИЯ ВЕРСИЙ (ИСТОРИЯ ВЕРСИЙ)</t>
        </is>
      </c>
    </row>
    <row r="63" ht="22" customHeight="1" s="468">
      <c r="B63" s="555" t="inlineStr">
        <is>
          <t>Version (Версия)</t>
        </is>
      </c>
      <c r="C63" s="473" t="n"/>
      <c r="D63" s="466" t="n"/>
      <c r="E63" s="555" t="inlineStr">
        <is>
          <t>Date (Дата)</t>
        </is>
      </c>
      <c r="F63" s="473" t="n"/>
      <c r="G63" s="466" t="n"/>
      <c r="H63" s="555" t="inlineStr">
        <is>
          <t>Changes (Изменения)</t>
        </is>
      </c>
      <c r="I63" s="473" t="n"/>
      <c r="J63" s="473" t="n"/>
      <c r="K63" s="473" t="n"/>
      <c r="L63" s="473" t="n"/>
      <c r="M63" s="473" t="n"/>
      <c r="N63" s="466" t="n"/>
    </row>
    <row r="64" ht="32" customHeight="1" s="468">
      <c r="B64" s="632" t="inlineStr">
        <is>
          <t>v1.0 Public</t>
        </is>
      </c>
      <c r="C64" s="473" t="n"/>
      <c r="D64" s="466" t="n"/>
      <c r="E64" s="635" t="inlineStr">
        <is>
          <t>2026-04-11</t>
        </is>
      </c>
      <c r="F64" s="473" t="n"/>
      <c r="G64" s="466" t="n"/>
      <c r="H64" s="604" t="inlineStr">
        <is>
          <t>Initial release — 38 листов, dual metric Variant C, П5 «Максимум» verification, sheets А.1–А.19 complete</t>
        </is>
      </c>
      <c r="I64" s="473" t="n"/>
      <c r="J64" s="473" t="n"/>
      <c r="K64" s="473" t="n"/>
      <c r="L64" s="473" t="n"/>
      <c r="M64" s="473" t="n"/>
      <c r="N64" s="466" t="n"/>
    </row>
    <row r="65" ht="32" customHeight="1" s="468">
      <c r="B65" s="632" t="inlineStr">
        <is>
          <t>v1.4.4 pipeline</t>
        </is>
      </c>
      <c r="C65" s="473" t="n"/>
      <c r="D65" s="466" t="n"/>
      <c r="E65" s="635" t="inlineStr">
        <is>
          <t>2026-04-11</t>
        </is>
      </c>
      <c r="F65" s="473" t="n"/>
      <c r="G65" s="466" t="n"/>
      <c r="H65" s="604" t="inlineStr">
        <is>
          <t>Основная финмодель холдинга (384 теста PASS, 4 MC engines). Не включается в Public — см. отдельный deliverable</t>
        </is>
      </c>
      <c r="I65" s="473" t="n"/>
      <c r="J65" s="473" t="n"/>
      <c r="K65" s="473" t="n"/>
      <c r="L65" s="473" t="n"/>
      <c r="M65" s="473" t="n"/>
      <c r="N65" s="466" t="n"/>
    </row>
    <row r="68" ht="18" customHeight="1" s="468">
      <c r="B68" s="849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0" customWidth="1" style="468" min="3" max="3"/>
    <col width="60" customWidth="1" style="468" min="4" max="4"/>
    <col width="14" customWidth="1" style="468" min="5" max="14"/>
    <col width="2" customWidth="1" style="468" min="15" max="15"/>
  </cols>
  <sheetData>
    <row r="2" ht="28" customHeight="1" s="468">
      <c r="B2" s="839" t="inlineStr">
        <is>
          <t>TABLE OF CONTENTS (СОДЕРЖАНИЕ) / СОДЕРЖАНИЕ</t>
        </is>
      </c>
    </row>
    <row r="3" ht="18" customHeight="1" s="468">
      <c r="B3" s="840" t="inlineStr">
        <is>
          <t>Investor Package (Инвестиционный пакет) v1.0 Public — 42 листа — hyperlinks</t>
        </is>
      </c>
    </row>
    <row r="5" ht="22" customHeight="1" s="468">
      <c r="B5" s="841" t="inlineStr">
        <is>
          <t>A. TITLE &amp; META (ТИТУЛ И МЕТА)</t>
        </is>
      </c>
    </row>
    <row r="7" ht="18" customHeight="1" s="468">
      <c r="B7" s="378" t="inlineStr">
        <is>
          <t>#</t>
        </is>
      </c>
      <c r="C7" s="637" t="inlineStr">
        <is>
          <t>Лист / Sheet</t>
        </is>
      </c>
      <c r="D7" s="637" t="inlineStr">
        <is>
          <t>Описание</t>
        </is>
      </c>
      <c r="E7" s="473" t="n"/>
      <c r="F7" s="473" t="n"/>
      <c r="G7" s="473" t="n"/>
      <c r="H7" s="473" t="n"/>
      <c r="I7" s="473" t="n"/>
      <c r="J7" s="473" t="n"/>
      <c r="K7" s="473" t="n"/>
      <c r="L7" s="473" t="n"/>
      <c r="M7" s="473" t="n"/>
      <c r="N7" s="466" t="n"/>
    </row>
    <row r="8" ht="20" customHeight="1" s="468">
      <c r="B8" s="629" t="n">
        <v>1</v>
      </c>
      <c r="C8" s="380" t="inlineStr">
        <is>
          <t>01_Cover</t>
        </is>
      </c>
      <c r="D8" s="601" t="inlineStr">
        <is>
          <t>Титульный лист</t>
        </is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66" t="n"/>
    </row>
    <row r="9" ht="20" customHeight="1" s="468">
      <c r="B9" s="629" t="n">
        <v>2</v>
      </c>
      <c r="C9" s="380" t="inlineStr">
        <is>
          <t>02_Assumptions</t>
        </is>
      </c>
      <c r="D9" s="601" t="inlineStr">
        <is>
          <t>Все ключевые допущения (SSOT)</t>
        </is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66" t="n"/>
    </row>
    <row r="10" ht="20" customHeight="1" s="468">
      <c r="B10" s="629" t="n">
        <v>3</v>
      </c>
      <c r="C10" s="380" t="inlineStr">
        <is>
          <t>03_Change_Log</t>
        </is>
      </c>
      <c r="D10" s="601" t="inlineStr">
        <is>
          <t>Журнал изменений модели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73" t="n"/>
      <c r="M10" s="473" t="n"/>
      <c r="N10" s="466" t="n"/>
    </row>
    <row r="12" ht="22" customHeight="1" s="468">
      <c r="B12" s="851" t="inlineStr">
        <is>
          <t>B. COST STRUCTURE (СТРУКТУРА ЗАТРАТ)</t>
        </is>
      </c>
    </row>
    <row r="14" ht="18" customHeight="1" s="468">
      <c r="B14" s="378" t="inlineStr">
        <is>
          <t>#</t>
        </is>
      </c>
      <c r="C14" s="637" t="inlineStr">
        <is>
          <t>Лист / Sheet</t>
        </is>
      </c>
      <c r="D14" s="637" t="inlineStr">
        <is>
          <t>Описание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66" t="n"/>
    </row>
    <row r="15" ht="20" customHeight="1" s="468">
      <c r="B15" s="629" t="n">
        <v>4</v>
      </c>
      <c r="C15" s="380" t="inlineStr">
        <is>
          <t>04_FOT_Staff_A1</t>
        </is>
      </c>
      <c r="D15" s="601" t="inlineStr">
        <is>
          <t>ФОТ архитектура 1 (корпоративная)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66" t="n"/>
    </row>
    <row r="16" ht="20" customHeight="1" s="468">
      <c r="B16" s="629" t="n">
        <v>5</v>
      </c>
      <c r="C16" s="380" t="inlineStr">
        <is>
          <t>05_FOT_Staff_A2</t>
        </is>
      </c>
      <c r="D16" s="601" t="inlineStr">
        <is>
          <t>ФОТ архитектура 2 (JV (совместное предприятие) / проектная)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66" t="n"/>
    </row>
    <row r="17" ht="20" customHeight="1" s="468">
      <c r="B17" s="629" t="n">
        <v>6</v>
      </c>
      <c r="C17" s="380" t="inlineStr">
        <is>
          <t>06_Cost_Structure</t>
        </is>
      </c>
      <c r="D17" s="601" t="inlineStr">
        <is>
          <t>COGS (себестоимость) + OpEx детализация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66" t="n"/>
    </row>
    <row r="19" ht="22" customHeight="1" s="468">
      <c r="B19" s="851" t="inlineStr">
        <is>
          <t>C. REVENUE (ВЫРУЧКА) &amp; PIPELINE (ВЫРУЧКА И ПОРТФЕЛЬ)</t>
        </is>
      </c>
    </row>
    <row r="21" ht="18" customHeight="1" s="468">
      <c r="B21" s="378" t="inlineStr">
        <is>
          <t>#</t>
        </is>
      </c>
      <c r="C21" s="637" t="inlineStr">
        <is>
          <t>Лист / Sheet</t>
        </is>
      </c>
      <c r="D21" s="637" t="inlineStr">
        <is>
          <t>Описание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66" t="n"/>
    </row>
    <row r="22" ht="20" customHeight="1" s="468">
      <c r="B22" s="629" t="n">
        <v>7</v>
      </c>
      <c r="C22" s="380" t="inlineStr">
        <is>
          <t>07_Revenue_Breakdown</t>
        </is>
      </c>
      <c r="D22" s="601" t="inlineStr">
        <is>
          <t>Декомпозиция выручки 4 545 млн ₽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66" t="n"/>
    </row>
    <row r="23" ht="20" customHeight="1" s="468">
      <c r="B23" s="629" t="n">
        <v>8</v>
      </c>
      <c r="C23" s="380" t="inlineStr">
        <is>
          <t>08_Content_Pipeline</t>
        </is>
      </c>
      <c r="D23" s="601" t="inlineStr">
        <is>
          <t>12 фильмов × 154 млн ₽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66" t="n"/>
    </row>
    <row r="25" ht="22" customHeight="1" s="468">
      <c r="B25" s="851" t="inlineStr">
        <is>
          <t>D. FINANCIALS (ФИНАНСЫ)</t>
        </is>
      </c>
    </row>
    <row r="27" ht="18" customHeight="1" s="468">
      <c r="B27" s="378" t="inlineStr">
        <is>
          <t>#</t>
        </is>
      </c>
      <c r="C27" s="637" t="inlineStr">
        <is>
          <t>Лист / Sheet</t>
        </is>
      </c>
      <c r="D27" s="637" t="inlineStr">
        <is>
          <t>Описание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66" t="n"/>
    </row>
    <row r="28" ht="20" customHeight="1" s="468">
      <c r="B28" s="629" t="n">
        <v>9</v>
      </c>
      <c r="C28" s="380" t="inlineStr">
        <is>
          <t>09_P&amp;L_Statement</t>
        </is>
      </c>
      <c r="D28" s="60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66" t="n"/>
    </row>
    <row r="29" ht="20" customHeight="1" s="468">
      <c r="B29" s="629" t="n">
        <v>10</v>
      </c>
      <c r="C29" s="380" t="inlineStr">
        <is>
          <t>10_Cash_Flow</t>
        </is>
      </c>
      <c r="D29" s="601" t="inlineStr">
        <is>
          <t>Cash Flow Statement (Отчёт о движении денежных средств) (indirect)</t>
        </is>
      </c>
      <c r="E29" s="473" t="n"/>
      <c r="F29" s="473" t="n"/>
      <c r="G29" s="473" t="n"/>
      <c r="H29" s="473" t="n"/>
      <c r="I29" s="473" t="n"/>
      <c r="J29" s="473" t="n"/>
      <c r="K29" s="473" t="n"/>
      <c r="L29" s="473" t="n"/>
      <c r="M29" s="473" t="n"/>
      <c r="N29" s="466" t="n"/>
    </row>
    <row r="30" ht="20" customHeight="1" s="468">
      <c r="B30" s="629" t="n">
        <v>11</v>
      </c>
      <c r="C30" s="380" t="inlineStr">
        <is>
          <t>11_Balance_Sheet</t>
        </is>
      </c>
      <c r="D30" s="601" t="inlineStr">
        <is>
          <t>Баланс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73" t="n"/>
      <c r="M30" s="473" t="n"/>
      <c r="N30" s="466" t="n"/>
    </row>
    <row r="31" ht="20" customHeight="1" s="468">
      <c r="B31" s="629" t="n">
        <v>12</v>
      </c>
      <c r="C31" s="380" t="inlineStr">
        <is>
          <t>12_Working_Capital</t>
        </is>
      </c>
      <c r="D31" s="601" t="inlineStr">
        <is>
          <t>Изменения оборотного капитала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73" t="n"/>
      <c r="M31" s="473" t="n"/>
      <c r="N31" s="466" t="n"/>
    </row>
    <row r="32" ht="20" customHeight="1" s="468">
      <c r="B32" s="629" t="n">
        <v>13</v>
      </c>
      <c r="C32" s="380" t="inlineStr">
        <is>
          <t>13_Debt_Schedule</t>
        </is>
      </c>
      <c r="D32" s="601" t="inlineStr">
        <is>
          <t>График долга (н/п)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66" t="n"/>
    </row>
    <row r="34" ht="22" customHeight="1" s="468">
      <c r="B34" s="851" t="inlineStr">
        <is>
          <t>E. INVESTMENT (ИНВЕСТИЦИИ)</t>
        </is>
      </c>
    </row>
    <row r="36" ht="18" customHeight="1" s="468">
      <c r="B36" s="378" t="inlineStr">
        <is>
          <t>#</t>
        </is>
      </c>
      <c r="C36" s="637" t="inlineStr">
        <is>
          <t>Лист / Sheet</t>
        </is>
      </c>
      <c r="D36" s="637" t="inlineStr">
        <is>
          <t>Описание</t>
        </is>
      </c>
      <c r="E36" s="473" t="n"/>
      <c r="F36" s="473" t="n"/>
      <c r="G36" s="473" t="n"/>
      <c r="H36" s="473" t="n"/>
      <c r="I36" s="473" t="n"/>
      <c r="J36" s="473" t="n"/>
      <c r="K36" s="473" t="n"/>
      <c r="L36" s="473" t="n"/>
      <c r="M36" s="473" t="n"/>
      <c r="N36" s="466" t="n"/>
    </row>
    <row r="37" ht="20" customHeight="1" s="468">
      <c r="B37" s="629" t="n">
        <v>14</v>
      </c>
      <c r="C37" s="380" t="inlineStr">
        <is>
          <t>14_Investment_Inflow</t>
        </is>
      </c>
      <c r="D37" s="601" t="inlineStr">
        <is>
          <t>T₁ = 1 250 млн ₽ × 4 транша</t>
        </is>
      </c>
      <c r="E37" s="473" t="n"/>
      <c r="F37" s="473" t="n"/>
      <c r="G37" s="473" t="n"/>
      <c r="H37" s="473" t="n"/>
      <c r="I37" s="473" t="n"/>
      <c r="J37" s="473" t="n"/>
      <c r="K37" s="473" t="n"/>
      <c r="L37" s="473" t="n"/>
      <c r="M37" s="473" t="n"/>
      <c r="N37" s="466" t="n"/>
    </row>
    <row r="38" ht="20" customHeight="1" s="468">
      <c r="B38" s="629" t="n">
        <v>15</v>
      </c>
      <c r="C38" s="380" t="inlineStr">
        <is>
          <t>15_Use_of_Funds</t>
        </is>
      </c>
      <c r="D38" s="601" t="inlineStr">
        <is>
          <t>Распределение инвестиций по назначениям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73" t="n"/>
      <c r="M38" s="473" t="n"/>
      <c r="N38" s="466" t="n"/>
    </row>
    <row r="39" ht="20" customHeight="1" s="468">
      <c r="B39" s="629" t="n">
        <v>16</v>
      </c>
      <c r="C39" s="380" t="inlineStr">
        <is>
          <t>16_CAPEX_Schedule</t>
        </is>
      </c>
      <c r="D39" s="601" t="inlineStr">
        <is>
          <t>График CAPEX (Капзатраты)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73" t="n"/>
      <c r="M39" s="473" t="n"/>
      <c r="N39" s="466" t="n"/>
    </row>
    <row r="40" ht="20" customHeight="1" s="468">
      <c r="B40" s="629" t="n">
        <v>17</v>
      </c>
      <c r="C40" s="380" t="inlineStr">
        <is>
          <t>17_Deal_Structures</t>
        </is>
      </c>
      <c r="D40" s="601" t="inlineStr">
        <is>
          <t>JV (совместное предприятие) + Producer equity (капитал продюсера) 600 млн ₽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73" t="n"/>
      <c r="M40" s="473" t="n"/>
      <c r="N40" s="466" t="n"/>
    </row>
    <row r="41" ht="20" customHeight="1" s="468">
      <c r="B41" s="629" t="n">
        <v>18</v>
      </c>
      <c r="C41" s="380" t="inlineStr">
        <is>
          <t>18_Cap_Table</t>
        </is>
      </c>
      <c r="D41" s="601" t="inlineStr">
        <is>
          <t>Таблица капитализации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73" t="n"/>
      <c r="M41" s="473" t="n"/>
      <c r="N41" s="466" t="n"/>
    </row>
    <row r="42" ht="20" customHeight="1" s="468">
      <c r="B42" s="629" t="n">
        <v>19</v>
      </c>
      <c r="C42" s="380" t="inlineStr">
        <is>
          <t>19_Waterfall</t>
        </is>
      </c>
      <c r="D42" s="601" t="inlineStr">
        <is>
          <t>Каскад распределения (LP (ограниченный партнёр) 12% pref + 80/20)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66" t="n"/>
    </row>
    <row r="44" ht="22" customHeight="1" s="468">
      <c r="B44" s="851" t="inlineStr">
        <is>
          <t>F. UNIT ECON &amp; KPI (ключевые показатели)</t>
        </is>
      </c>
    </row>
    <row r="46" ht="18" customHeight="1" s="468">
      <c r="B46" s="378" t="inlineStr">
        <is>
          <t>#</t>
        </is>
      </c>
      <c r="C46" s="637" t="inlineStr">
        <is>
          <t>Лист / Sheet</t>
        </is>
      </c>
      <c r="D46" s="637" t="inlineStr">
        <is>
          <t>Описание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73" t="n"/>
      <c r="M46" s="473" t="n"/>
      <c r="N46" s="466" t="n"/>
    </row>
    <row r="47" ht="20" customHeight="1" s="468">
      <c r="B47" s="629" t="n">
        <v>20</v>
      </c>
      <c r="C47" s="380" t="inlineStr">
        <is>
          <t>20_Unit_Economics_per_Film</t>
        </is>
      </c>
      <c r="D47" s="601" t="inlineStr">
        <is>
          <t>Юнит-экономика на фильм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73" t="n"/>
      <c r="M47" s="473" t="n"/>
      <c r="N47" s="466" t="n"/>
    </row>
    <row r="48" ht="20" customHeight="1" s="468">
      <c r="B48" s="629" t="n">
        <v>21</v>
      </c>
      <c r="C48" s="380" t="inlineStr">
        <is>
          <t>21_KPI_Dashboard</t>
        </is>
      </c>
      <c r="D48" s="601" t="inlineStr">
        <is>
          <t>Дашборд ключевых метрик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73" t="n"/>
      <c r="M48" s="473" t="n"/>
      <c r="N48" s="466" t="n"/>
    </row>
    <row r="50" ht="22" customHeight="1" s="468">
      <c r="B50" s="851" t="inlineStr">
        <is>
          <t>G. VALUATION (ОЦЕНКА)</t>
        </is>
      </c>
    </row>
    <row r="52" ht="18" customHeight="1" s="468">
      <c r="B52" s="378" t="inlineStr">
        <is>
          <t>#</t>
        </is>
      </c>
      <c r="C52" s="637" t="inlineStr">
        <is>
          <t>Лист / Sheet</t>
        </is>
      </c>
      <c r="D52" s="637" t="inlineStr">
        <is>
          <t>Описание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66" t="n"/>
    </row>
    <row r="53" ht="20" customHeight="1" s="468">
      <c r="B53" s="629" t="n">
        <v>22</v>
      </c>
      <c r="C53" s="380" t="inlineStr">
        <is>
          <t>22_Valuation_DCF</t>
        </is>
      </c>
      <c r="D53" s="601" t="inlineStr">
        <is>
          <t>DCF (дисконтированный денежный поток) blend 40% Gordon + 60% Exit Mult = 1 815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66" t="n"/>
    </row>
    <row r="54" ht="20" customHeight="1" s="468">
      <c r="B54" s="629" t="n">
        <v>23</v>
      </c>
      <c r="C54" s="380" t="inlineStr">
        <is>
          <t>23_Valuation_Multiples</t>
        </is>
      </c>
      <c r="D54" s="601" t="inlineStr">
        <is>
          <t>EV (стоимость предприятия)/EBITDA (прибыль до вычетов) multiples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66" t="n"/>
    </row>
    <row r="55" ht="20" customHeight="1" s="468">
      <c r="B55" s="629" t="n">
        <v>24</v>
      </c>
      <c r="C55" s="380" t="inlineStr">
        <is>
          <t>24_Investor_Returns</t>
        </is>
      </c>
      <c r="D55" s="601" t="inlineStr">
        <is>
          <t>MoIC × IRR (внутренняя норма доходности) для LP (ограниченный партнёр)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66" t="n"/>
    </row>
    <row r="56" ht="20" customHeight="1" s="468">
      <c r="B56" s="629" t="n">
        <v>25</v>
      </c>
      <c r="C56" s="380" t="inlineStr">
        <is>
          <t>25_Exit_Scenarios</t>
        </is>
      </c>
      <c r="D56" s="601" t="inlineStr">
        <is>
          <t>7 маршрутов, weighted EV (стоимость предприятия) = 6 038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66" t="n"/>
    </row>
    <row r="58" ht="22" customHeight="1" s="468">
      <c r="B58" s="851" t="inlineStr">
        <is>
          <t>H. RISK &amp; SENSITIVITY (РИСКИ И ЧУВСТВИТЕЛЬНОСТЬ)</t>
        </is>
      </c>
    </row>
    <row r="60" ht="18" customHeight="1" s="468">
      <c r="B60" s="378" t="inlineStr">
        <is>
          <t>#</t>
        </is>
      </c>
      <c r="C60" s="637" t="inlineStr">
        <is>
          <t>Лист / Sheet</t>
        </is>
      </c>
      <c r="D60" s="637" t="inlineStr">
        <is>
          <t>Описание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73" t="n"/>
      <c r="M60" s="473" t="n"/>
      <c r="N60" s="466" t="n"/>
    </row>
    <row r="61" ht="20" customHeight="1" s="468">
      <c r="B61" s="629" t="n">
        <v>26</v>
      </c>
      <c r="C61" s="380" t="inlineStr">
        <is>
          <t>26_Sensitivity</t>
        </is>
      </c>
      <c r="D61" s="601" t="inlineStr">
        <is>
          <t>Tornado ±20% по 8 переменным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73" t="n"/>
      <c r="M61" s="473" t="n"/>
      <c r="N61" s="466" t="n"/>
    </row>
    <row r="62" ht="20" customHeight="1" s="468">
      <c r="B62" s="629" t="n">
        <v>27</v>
      </c>
      <c r="C62" s="380" t="inlineStr">
        <is>
          <t>27_Scenario_Analysis</t>
        </is>
      </c>
      <c r="D62" s="601" t="inlineStr">
        <is>
          <t>5 сценариев Worst → Best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73" t="n"/>
      <c r="M62" s="473" t="n"/>
      <c r="N62" s="466" t="n"/>
    </row>
    <row r="63" ht="20" customHeight="1" s="468">
      <c r="B63" s="629" t="n">
        <v>28</v>
      </c>
      <c r="C63" s="380" t="inlineStr">
        <is>
          <t>28_Monte_Carlo_Summary</t>
        </is>
      </c>
      <c r="D63" s="601" t="inlineStr">
        <is>
          <t>MC n=1000, VaR 95% = 561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73" t="n"/>
      <c r="M63" s="473" t="n"/>
      <c r="N63" s="466" t="n"/>
    </row>
    <row r="64" ht="20" customHeight="1" s="468">
      <c r="B64" s="629" t="n">
        <v>29</v>
      </c>
      <c r="C64" s="380" t="inlineStr">
        <is>
          <t>29_Risk_Register</t>
        </is>
      </c>
      <c r="D64" s="601" t="inlineStr">
        <is>
          <t>30 рисков × 5 категорий, heat map 5×5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73" t="n"/>
      <c r="M64" s="473" t="n"/>
      <c r="N64" s="466" t="n"/>
    </row>
    <row r="66" ht="22" customHeight="1" s="468">
      <c r="B66" s="851" t="inlineStr">
        <is>
          <t>I.  РЫНОК И БЕНЧМАРКИ (РЫНОК И БЕНЧМАРКИ)</t>
        </is>
      </c>
    </row>
    <row r="68" ht="18" customHeight="1" s="468">
      <c r="B68" s="378" t="inlineStr">
        <is>
          <t>#</t>
        </is>
      </c>
      <c r="C68" s="637" t="inlineStr">
        <is>
          <t>Лист / Sheet</t>
        </is>
      </c>
      <c r="D68" s="637" t="inlineStr">
        <is>
          <t>Описание</t>
        </is>
      </c>
      <c r="E68" s="473" t="n"/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66" t="n"/>
    </row>
    <row r="69" ht="20" customHeight="1" s="468">
      <c r="B69" s="629" t="n">
        <v>30</v>
      </c>
      <c r="C69" s="380" t="inlineStr">
        <is>
          <t>30_Market_Analysis</t>
        </is>
      </c>
      <c r="D69" s="601" t="inlineStr">
        <is>
          <t>TAM 289.8 / SAM 118 / SOM 4.545</t>
        </is>
      </c>
      <c r="E69" s="473" t="n"/>
      <c r="F69" s="473" t="n"/>
      <c r="G69" s="473" t="n"/>
      <c r="H69" s="473" t="n"/>
      <c r="I69" s="473" t="n"/>
      <c r="J69" s="473" t="n"/>
      <c r="K69" s="473" t="n"/>
      <c r="L69" s="473" t="n"/>
      <c r="M69" s="473" t="n"/>
      <c r="N69" s="466" t="n"/>
    </row>
    <row r="70" ht="20" customHeight="1" s="468">
      <c r="B70" s="629" t="n">
        <v>31</v>
      </c>
      <c r="C70" s="380" t="inlineStr">
        <is>
          <t>31_Benchmarks</t>
        </is>
      </c>
      <c r="D70" s="601" t="inlineStr">
        <is>
          <t>8 OP KPI (ключевые показатели) + 7 FIN KPI + 6 multiples</t>
        </is>
      </c>
      <c r="E70" s="473" t="n"/>
      <c r="F70" s="473" t="n"/>
      <c r="G70" s="473" t="n"/>
      <c r="H70" s="473" t="n"/>
      <c r="I70" s="473" t="n"/>
      <c r="J70" s="473" t="n"/>
      <c r="K70" s="473" t="n"/>
      <c r="L70" s="473" t="n"/>
      <c r="M70" s="473" t="n"/>
      <c r="N70" s="466" t="n"/>
    </row>
    <row r="71" ht="20" customHeight="1" s="468">
      <c r="B71" s="629" t="n">
        <v>32</v>
      </c>
      <c r="C71" s="380" t="inlineStr">
        <is>
          <t>32_Comparable_Transactions</t>
        </is>
      </c>
      <c r="D71" s="601" t="inlineStr">
        <is>
          <t>10 RU + 10 Global precedent (мировых прецедентов)</t>
        </is>
      </c>
      <c r="E71" s="473" t="n"/>
      <c r="F71" s="473" t="n"/>
      <c r="G71" s="473" t="n"/>
      <c r="H71" s="473" t="n"/>
      <c r="I71" s="473" t="n"/>
      <c r="J71" s="473" t="n"/>
      <c r="K71" s="473" t="n"/>
      <c r="L71" s="473" t="n"/>
      <c r="M71" s="473" t="n"/>
      <c r="N71" s="466" t="n"/>
    </row>
    <row r="73" ht="22" customHeight="1" s="468">
      <c r="B73" s="851" t="inlineStr">
        <is>
          <t>J. GOV &amp; TAX &amp; ROADMAP (УПРАВЛЕНИЕ, НАЛОГИ, ДОРОЖНАЯ КАРТА)</t>
        </is>
      </c>
    </row>
    <row r="75" ht="18" customHeight="1" s="468">
      <c r="B75" s="378" t="inlineStr">
        <is>
          <t>#</t>
        </is>
      </c>
      <c r="C75" s="637" t="inlineStr">
        <is>
          <t>Лист / Sheet</t>
        </is>
      </c>
      <c r="D75" s="637" t="inlineStr">
        <is>
          <t>Описание</t>
        </is>
      </c>
      <c r="E75" s="473" t="n"/>
      <c r="F75" s="473" t="n"/>
      <c r="G75" s="473" t="n"/>
      <c r="H75" s="473" t="n"/>
      <c r="I75" s="473" t="n"/>
      <c r="J75" s="473" t="n"/>
      <c r="K75" s="473" t="n"/>
      <c r="L75" s="473" t="n"/>
      <c r="M75" s="473" t="n"/>
      <c r="N75" s="466" t="n"/>
    </row>
    <row r="76" ht="20" customHeight="1" s="468">
      <c r="B76" s="629" t="n">
        <v>33</v>
      </c>
      <c r="C76" s="380" t="inlineStr">
        <is>
          <t>33_Gov_KPI</t>
        </is>
      </c>
      <c r="D76" s="601" t="inlineStr">
        <is>
          <t>6 нац. проектов + 10 KPI (ключевые показатели) + 5 источников 1 040</t>
        </is>
      </c>
      <c r="E76" s="473" t="n"/>
      <c r="F76" s="473" t="n"/>
      <c r="G76" s="473" t="n"/>
      <c r="H76" s="473" t="n"/>
      <c r="I76" s="473" t="n"/>
      <c r="J76" s="473" t="n"/>
      <c r="K76" s="473" t="n"/>
      <c r="L76" s="473" t="n"/>
      <c r="M76" s="473" t="n"/>
      <c r="N76" s="466" t="n"/>
    </row>
    <row r="77" ht="20" customHeight="1" s="468">
      <c r="B77" s="629" t="n">
        <v>34</v>
      </c>
      <c r="C77" s="380" t="inlineStr">
        <is>
          <t>34_Tax_Schedule</t>
        </is>
      </c>
      <c r="D77" s="601" t="inlineStr">
        <is>
          <t>9 налогов × 12Q, Σ 7Y = 720</t>
        </is>
      </c>
      <c r="E77" s="473" t="n"/>
      <c r="F77" s="473" t="n"/>
      <c r="G77" s="473" t="n"/>
      <c r="H77" s="473" t="n"/>
      <c r="I77" s="473" t="n"/>
      <c r="J77" s="473" t="n"/>
      <c r="K77" s="473" t="n"/>
      <c r="L77" s="473" t="n"/>
      <c r="M77" s="473" t="n"/>
      <c r="N77" s="466" t="n"/>
    </row>
    <row r="78" ht="20" customHeight="1" s="468">
      <c r="B78" s="629" t="n">
        <v>35</v>
      </c>
      <c r="C78" s="380" t="inlineStr">
        <is>
          <t>35_Roadmap_2026_2032</t>
        </is>
      </c>
      <c r="D78" s="601" t="inlineStr">
        <is>
          <t>Gantt 12×16 + fundraising (фандрайзинг) + exit (выход)</t>
        </is>
      </c>
      <c r="E78" s="473" t="n"/>
      <c r="F78" s="473" t="n"/>
      <c r="G78" s="473" t="n"/>
      <c r="H78" s="473" t="n"/>
      <c r="I78" s="473" t="n"/>
      <c r="J78" s="473" t="n"/>
      <c r="K78" s="473" t="n"/>
      <c r="L78" s="473" t="n"/>
      <c r="M78" s="473" t="n"/>
      <c r="N78" s="466" t="n"/>
    </row>
    <row r="80" ht="22" customHeight="1" s="468">
      <c r="B80" s="843" t="inlineStr">
        <is>
          <t>K. SUMMARY &amp; GLOSSARY (РЕЗЮМЕ И ГЛОССАРИЙ)</t>
        </is>
      </c>
    </row>
    <row r="82" ht="18" customHeight="1" s="468">
      <c r="B82" s="378" t="inlineStr">
        <is>
          <t>#</t>
        </is>
      </c>
      <c r="C82" s="637" t="inlineStr">
        <is>
          <t>Лист / Sheet</t>
        </is>
      </c>
      <c r="D82" s="637" t="inlineStr">
        <is>
          <t>Описание</t>
        </is>
      </c>
      <c r="E82" s="473" t="n"/>
      <c r="F82" s="473" t="n"/>
      <c r="G82" s="473" t="n"/>
      <c r="H82" s="473" t="n"/>
      <c r="I82" s="473" t="n"/>
      <c r="J82" s="473" t="n"/>
      <c r="K82" s="473" t="n"/>
      <c r="L82" s="473" t="n"/>
      <c r="M82" s="473" t="n"/>
      <c r="N82" s="466" t="n"/>
    </row>
    <row r="83" ht="20" customHeight="1" s="468">
      <c r="B83" s="629" t="n">
        <v>36</v>
      </c>
      <c r="C83" s="380" t="inlineStr">
        <is>
          <t>36_Executive_Summary</t>
        </is>
      </c>
      <c r="D83" s="601" t="inlineStr">
        <is>
          <t>6 разделов + Valuation Range Interpretation</t>
        </is>
      </c>
      <c r="E83" s="473" t="n"/>
      <c r="F83" s="473" t="n"/>
      <c r="G83" s="473" t="n"/>
      <c r="H83" s="473" t="n"/>
      <c r="I83" s="473" t="n"/>
      <c r="J83" s="473" t="n"/>
      <c r="K83" s="473" t="n"/>
      <c r="L83" s="473" t="n"/>
      <c r="M83" s="473" t="n"/>
      <c r="N83" s="466" t="n"/>
    </row>
    <row r="84" ht="20" customHeight="1" s="468">
      <c r="B84" s="629" t="n">
        <v>37</v>
      </c>
      <c r="C84" s="380" t="inlineStr">
        <is>
          <t>37_Glossary</t>
        </is>
      </c>
      <c r="D84" s="601" t="inlineStr">
        <is>
          <t>62 термина × 5 категорий</t>
        </is>
      </c>
      <c r="E84" s="473" t="n"/>
      <c r="F84" s="473" t="n"/>
      <c r="G84" s="473" t="n"/>
      <c r="H84" s="473" t="n"/>
      <c r="I84" s="473" t="n"/>
      <c r="J84" s="473" t="n"/>
      <c r="K84" s="473" t="n"/>
      <c r="L84" s="473" t="n"/>
      <c r="M84" s="473" t="n"/>
      <c r="N84" s="466" t="n"/>
    </row>
    <row r="85" ht="20" customHeight="1" s="468">
      <c r="B85" s="629" t="n">
        <v>38</v>
      </c>
      <c r="C85" s="380" t="inlineStr">
        <is>
          <t>38_Notes_and_Sources</t>
        </is>
      </c>
      <c r="D85" s="601" t="inlineStr">
        <is>
          <t>Методология + источники + disclaimers</t>
        </is>
      </c>
      <c r="E85" s="473" t="n"/>
      <c r="F85" s="473" t="n"/>
      <c r="G85" s="473" t="n"/>
      <c r="H85" s="473" t="n"/>
      <c r="I85" s="473" t="n"/>
      <c r="J85" s="473" t="n"/>
      <c r="K85" s="473" t="n"/>
      <c r="L85" s="473" t="n"/>
      <c r="M85" s="473" t="n"/>
      <c r="N85" s="466" t="n"/>
    </row>
    <row r="87" ht="22" customHeight="1" s="468">
      <c r="B87" s="843" t="inlineStr">
        <is>
          <t>L. SERVICE (СЕРВИС)</t>
        </is>
      </c>
    </row>
    <row r="89" ht="18" customHeight="1" s="468">
      <c r="B89" s="378" t="inlineStr">
        <is>
          <t>#</t>
        </is>
      </c>
      <c r="C89" s="637" t="inlineStr">
        <is>
          <t>Лист / Sheet</t>
        </is>
      </c>
      <c r="D89" s="637" t="inlineStr">
        <is>
          <t>Описание</t>
        </is>
      </c>
      <c r="E89" s="473" t="n"/>
      <c r="F89" s="473" t="n"/>
      <c r="G89" s="473" t="n"/>
      <c r="H89" s="473" t="n"/>
      <c r="I89" s="473" t="n"/>
      <c r="J89" s="473" t="n"/>
      <c r="K89" s="473" t="n"/>
      <c r="L89" s="473" t="n"/>
      <c r="M89" s="473" t="n"/>
      <c r="N89" s="466" t="n"/>
    </row>
    <row r="90" ht="20" customHeight="1" s="468">
      <c r="B90" s="629" t="n">
        <v>39</v>
      </c>
      <c r="C90" s="380" t="inlineStr">
        <is>
          <t>39_TOC</t>
        </is>
      </c>
      <c r="D90" s="601" t="inlineStr">
        <is>
          <t>Table of Contents (Содержание)</t>
        </is>
      </c>
      <c r="E90" s="473" t="n"/>
      <c r="F90" s="473" t="n"/>
      <c r="G90" s="473" t="n"/>
      <c r="H90" s="473" t="n"/>
      <c r="I90" s="473" t="n"/>
      <c r="J90" s="473" t="n"/>
      <c r="K90" s="473" t="n"/>
      <c r="L90" s="473" t="n"/>
      <c r="M90" s="473" t="n"/>
      <c r="N90" s="466" t="n"/>
    </row>
    <row r="91" ht="20" customHeight="1" s="468">
      <c r="B91" s="629" t="n">
        <v>40</v>
      </c>
      <c r="C91" s="380" t="inlineStr">
        <is>
          <t>40_Investor_Checklist</t>
        </is>
      </c>
      <c r="D91" s="601" t="inlineStr">
        <is>
          <t>DD checklist для инвестора</t>
        </is>
      </c>
      <c r="E91" s="473" t="n"/>
      <c r="F91" s="473" t="n"/>
      <c r="G91" s="473" t="n"/>
      <c r="H91" s="473" t="n"/>
      <c r="I91" s="473" t="n"/>
      <c r="J91" s="473" t="n"/>
      <c r="K91" s="473" t="n"/>
      <c r="L91" s="473" t="n"/>
      <c r="M91" s="473" t="n"/>
      <c r="N91" s="466" t="n"/>
    </row>
    <row r="92" ht="20" customHeight="1" s="468">
      <c r="B92" s="629" t="n">
        <v>41</v>
      </c>
      <c r="C92" s="380" t="inlineStr">
        <is>
          <t>41_Print_Setup</t>
        </is>
      </c>
      <c r="D92" s="601" t="inlineStr">
        <is>
          <t>Print areas (Области печати) + page breaks (разрывы страниц)</t>
        </is>
      </c>
      <c r="E92" s="473" t="n"/>
      <c r="F92" s="473" t="n"/>
      <c r="G92" s="473" t="n"/>
      <c r="H92" s="473" t="n"/>
      <c r="I92" s="473" t="n"/>
      <c r="J92" s="473" t="n"/>
      <c r="K92" s="473" t="n"/>
      <c r="L92" s="473" t="n"/>
      <c r="M92" s="473" t="n"/>
      <c r="N92" s="466" t="n"/>
    </row>
    <row r="93" ht="20" customHeight="1" s="468">
      <c r="B93" s="629" t="n">
        <v>42</v>
      </c>
      <c r="C93" s="380" t="inlineStr">
        <is>
          <t>42_Cover_Letter</t>
        </is>
      </c>
      <c r="D93" s="601" t="inlineStr">
        <is>
          <t>Сопроводительное письмо для LP (ограниченный партнёр)</t>
        </is>
      </c>
      <c r="E93" s="473" t="n"/>
      <c r="F93" s="473" t="n"/>
      <c r="G93" s="473" t="n"/>
      <c r="H93" s="473" t="n"/>
      <c r="I93" s="473" t="n"/>
      <c r="J93" s="473" t="n"/>
      <c r="K93" s="473" t="n"/>
      <c r="L93" s="473" t="n"/>
      <c r="M93" s="473" t="n"/>
      <c r="N93" s="466" t="n"/>
    </row>
    <row r="95" ht="18" customHeight="1" s="468">
      <c r="B95" s="849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91:N91"/>
    <mergeCell ref="D53:N53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82:N82"/>
    <mergeCell ref="D15:N15"/>
    <mergeCell ref="D68:N68"/>
    <mergeCell ref="B73:N73"/>
    <mergeCell ref="D55:N55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location="'01_Cover'!A1" display="01_Cover"/>
    <hyperlink ref="C9" location="'02_Assumptions'!A1" display="02_Assumptions"/>
    <hyperlink ref="C10" location="'03_Change_Log'!A1" display="03_Change_Log"/>
    <hyperlink ref="C15" location="'04_FOT_Staff_A1'!A1" display="04_FOT_Staff_A1"/>
    <hyperlink ref="C16" location="'05_FOT_Staff_A2'!A1" display="05_FOT_Staff_A2"/>
    <hyperlink ref="C17" location="'06_Cost_Structure'!A1" display="06_Cost_Structure"/>
    <hyperlink ref="C22" location="'07_Revenue_Breakdown'!A1" display="07_Revenue_Breakdown"/>
    <hyperlink ref="C23" location="'08_Content_Pipeline'!A1" display="08_Content_Pipeline"/>
    <hyperlink ref="C28" location="'09_P&amp;L_Statement'!A1" display="09_P&amp;L_Statement"/>
    <hyperlink ref="C29" location="'10_Cash_Flow'!A1" display="10_Cash_Flow"/>
    <hyperlink ref="C30" location="'11_Balance_Sheet'!A1" display="11_Balance_Sheet"/>
    <hyperlink ref="C31" location="'12_Working_Capital'!A1" display="12_Working_Capital"/>
    <hyperlink ref="C32" location="'13_Debt_Schedule'!A1" display="13_Debt_Schedule"/>
    <hyperlink ref="C37" location="'14_Investment_Inflow'!A1" display="14_Investment_Inflow"/>
    <hyperlink ref="C38" location="'15_Use_of_Funds'!A1" display="15_Use_of_Funds"/>
    <hyperlink ref="C39" location="'16_CAPEX_Schedule'!A1" display="16_CAPEX_Schedule"/>
    <hyperlink ref="C40" location="'17_Deal_Structures'!A1" display="17_Deal_Structures"/>
    <hyperlink ref="C41" location="'18_Cap_Table'!A1" display="18_Cap_Table"/>
    <hyperlink ref="C42" location="'19_Waterfall'!A1" display="19_Waterfall"/>
    <hyperlink ref="C47" location="'20_Unit_Economics_per_Film'!A1" display="20_Unit_Economics_per_Film"/>
    <hyperlink ref="C48" location="'21_KPI_Dashboard'!A1" display="21_KPI_Dashboard"/>
    <hyperlink ref="C53" location="'22_Valuation_DCF'!A1" display="22_Valuation_DCF"/>
    <hyperlink ref="C54" location="'23_Valuation_Multiples'!A1" display="23_Valuation_Multiples"/>
    <hyperlink ref="C55" location="'24_Investor_Returns'!A1" display="24_Investor_Returns"/>
    <hyperlink ref="C56" location="'25_Exit_Scenarios'!A1" display="25_Exit_Scenarios"/>
    <hyperlink ref="C61" location="'26_Sensitivity'!A1" display="26_Sensitivity"/>
    <hyperlink ref="C62" location="'27_Scenario_Analysis'!A1" display="27_Scenario_Analysis"/>
    <hyperlink ref="C63" location="'28_Monte_Carlo_Summary'!A1" display="28_Monte_Carlo_Summary"/>
    <hyperlink ref="C64" location="'29_Risk_Register'!A1" display="29_Risk_Register"/>
    <hyperlink ref="C69" location="'30_Market_Analysis'!A1" display="30_Market_Analysis"/>
    <hyperlink ref="C70" location="'31_Benchmarks'!A1" display="31_Benchmarks"/>
    <hyperlink ref="C71" location="'32_Comparable_Transactions'!A1" display="32_Comparable_Transactions"/>
    <hyperlink ref="C76" location="'33_Gov_KPI'!A1" display="33_Gov_KPI"/>
    <hyperlink ref="C77" location="'34_Tax_Schedule'!A1" display="34_Tax_Schedule"/>
    <hyperlink ref="C78" location="'35_Roadmap_2026_2032'!A1" display="35_Roadmap_2026_2032"/>
    <hyperlink ref="C83" location="'36_Executive_Summary'!A1" display="36_Executive_Summary"/>
    <hyperlink ref="C84" location="'37_Glossary'!A1" display="37_Glossary"/>
    <hyperlink ref="C85" location="'38_Notes_and_Sources'!A1" display="38_Notes_and_Sources"/>
    <hyperlink ref="C90" location="'39_TOC'!A1" display="39_TOC"/>
    <hyperlink ref="C91" location="'40_Investor_Checklist'!A1" display="40_Investor_Checklist"/>
    <hyperlink ref="C92" location="'41_Print_Setup'!A1" display="41_Print_Setup"/>
    <hyperlink ref="C93" location="'42_Cover_Letter'!A1" display="42_Cover_Letter"/>
  </hyperlinks>
  <printOptions horizontalCentered="1"/>
  <pageMargins left="0.59" right="0.59" top="0.59" bottom="0.59" header="0.3" footer="0.3"/>
  <pageSetup orientation="portrait" paperSize="9" fitToHeight="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3"/>
    <col width="60" customWidth="1" style="468" min="4" max="4"/>
    <col width="16" customWidth="1" style="468" min="5" max="5"/>
    <col width="14" customWidth="1" style="468" min="6" max="14"/>
    <col width="2" customWidth="1" style="468" min="15" max="15"/>
  </cols>
  <sheetData>
    <row r="2" ht="28" customHeight="1" s="468">
      <c r="B2" s="839" t="inlineStr">
        <is>
          <t>ИНВЕСТОР (ИНВЕСТОР) DUE DILIGENCE CHECKLIST (ЧЕК-ЛИСТ КОМПЛЕКСНОЙ ПРОВЕРКИ)</t>
        </is>
      </c>
    </row>
    <row r="3" ht="18" customHeight="1" s="468">
      <c r="B3" s="840" t="inlineStr">
        <is>
          <t>62 пункта × 8 блоков — для проверки инвестором перед закрытием</t>
        </is>
      </c>
    </row>
    <row r="5" ht="22" customHeight="1" s="468">
      <c r="B5" s="555" t="inlineStr">
        <is>
          <t>#</t>
        </is>
      </c>
      <c r="C5" s="555" t="inlineStr">
        <is>
          <t>✓</t>
        </is>
      </c>
      <c r="D5" s="555" t="inlineStr">
        <is>
          <t>Пункт проверки</t>
        </is>
      </c>
      <c r="E5" s="473" t="n"/>
      <c r="F5" s="473" t="n"/>
      <c r="G5" s="473" t="n"/>
      <c r="H5" s="473" t="n"/>
      <c r="I5" s="473" t="n"/>
      <c r="J5" s="473" t="n"/>
      <c r="K5" s="473" t="n"/>
      <c r="L5" s="466" t="n"/>
      <c r="M5" s="555" t="inlineStr">
        <is>
          <t>Источник в модели</t>
        </is>
      </c>
      <c r="N5" s="466" t="n"/>
    </row>
    <row r="6" ht="20" customHeight="1" s="468">
      <c r="B6" s="852" t="inlineStr">
        <is>
          <t>A. БИЗНЕС-МОДЕЛЬ</t>
        </is>
      </c>
    </row>
    <row r="7" ht="22" customHeight="1" s="468">
      <c r="B7" s="627" t="n">
        <v>1</v>
      </c>
      <c r="C7" s="381" t="inlineStr">
        <is>
          <t>☐</t>
        </is>
      </c>
      <c r="D7" s="60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473" t="n"/>
      <c r="F7" s="473" t="n"/>
      <c r="G7" s="473" t="n"/>
      <c r="H7" s="473" t="n"/>
      <c r="I7" s="473" t="n"/>
      <c r="J7" s="473" t="n"/>
      <c r="K7" s="473" t="n"/>
      <c r="L7" s="466" t="n"/>
      <c r="M7" s="638" t="inlineStr">
        <is>
          <t>09_P&amp;L_Statement</t>
        </is>
      </c>
      <c r="N7" s="466" t="n"/>
    </row>
    <row r="8" ht="22" customHeight="1" s="468">
      <c r="B8" s="627" t="n">
        <v>2</v>
      </c>
      <c r="C8" s="381" t="inlineStr">
        <is>
          <t>☐</t>
        </is>
      </c>
      <c r="D8" s="60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473" t="n"/>
      <c r="F8" s="473" t="n"/>
      <c r="G8" s="473" t="n"/>
      <c r="H8" s="473" t="n"/>
      <c r="I8" s="473" t="n"/>
      <c r="J8" s="473" t="n"/>
      <c r="K8" s="473" t="n"/>
      <c r="L8" s="466" t="n"/>
      <c r="M8" s="638" t="inlineStr">
        <is>
          <t>07_Revenue_Breakdown</t>
        </is>
      </c>
      <c r="N8" s="466" t="n"/>
    </row>
    <row r="9" ht="22" customHeight="1" s="468">
      <c r="B9" s="627" t="n">
        <v>3</v>
      </c>
      <c r="C9" s="381" t="inlineStr">
        <is>
          <t>☐</t>
        </is>
      </c>
      <c r="D9" s="601" t="inlineStr">
        <is>
          <t>Проверить структуру COGS (себестоимость)</t>
        </is>
      </c>
      <c r="E9" s="473" t="n"/>
      <c r="F9" s="473" t="n"/>
      <c r="G9" s="473" t="n"/>
      <c r="H9" s="473" t="n"/>
      <c r="I9" s="473" t="n"/>
      <c r="J9" s="473" t="n"/>
      <c r="K9" s="473" t="n"/>
      <c r="L9" s="466" t="n"/>
      <c r="M9" s="638" t="inlineStr">
        <is>
          <t>06_Cost_Structure</t>
        </is>
      </c>
      <c r="N9" s="466" t="n"/>
    </row>
    <row r="10" ht="22" customHeight="1" s="468">
      <c r="B10" s="627" t="n">
        <v>4</v>
      </c>
      <c r="C10" s="381" t="inlineStr">
        <is>
          <t>☐</t>
        </is>
      </c>
      <c r="D10" s="601" t="inlineStr">
        <is>
          <t>Подтвердить пайплайн 12 фильмов × средний бюджет 154 млн ₽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66" t="n"/>
      <c r="M10" s="638" t="inlineStr">
        <is>
          <t>08_Content_Pipeline</t>
        </is>
      </c>
      <c r="N10" s="466" t="n"/>
    </row>
    <row r="11" ht="22" customHeight="1" s="468">
      <c r="B11" s="627" t="n">
        <v>5</v>
      </c>
      <c r="C11" s="381" t="inlineStr">
        <is>
          <t>☐</t>
        </is>
      </c>
      <c r="D11" s="601" t="inlineStr">
        <is>
          <t>Оценить library value (tail (хвостовой период) revenue 1 050 млн ₽ 2029–2032)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66" t="n"/>
      <c r="M11" s="638" t="inlineStr">
        <is>
          <t>07_Revenue_Breakdown</t>
        </is>
      </c>
      <c r="N11" s="466" t="n"/>
    </row>
    <row r="13" ht="20" customHeight="1" s="468">
      <c r="B13" s="852" t="inlineStr">
        <is>
          <t>B. ФИНАНСОВАЯ СТРУКТУРА</t>
        </is>
      </c>
    </row>
    <row r="14" ht="22" customHeight="1" s="468">
      <c r="B14" s="627" t="n">
        <v>6</v>
      </c>
      <c r="C14" s="381" t="inlineStr">
        <is>
          <t>☐</t>
        </is>
      </c>
      <c r="D14" s="601" t="inlineStr">
        <is>
          <t>Инвестиция T₁ = 1 250 млн ₽ в 4 транша (20/28/28/24%) — milestone mapping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66" t="n"/>
      <c r="M14" s="638" t="inlineStr">
        <is>
          <t>14_Investment_Inflow</t>
        </is>
      </c>
      <c r="N14" s="466" t="n"/>
    </row>
    <row r="15" ht="22" customHeight="1" s="468">
      <c r="B15" s="627" t="n">
        <v>7</v>
      </c>
      <c r="C15" s="381" t="inlineStr">
        <is>
          <t>☐</t>
        </is>
      </c>
      <c r="D15" s="60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66" t="n"/>
      <c r="M15" s="638" t="inlineStr">
        <is>
          <t>17_Deal_Structures</t>
        </is>
      </c>
      <c r="N15" s="466" t="n"/>
    </row>
    <row r="16" ht="22" customHeight="1" s="468">
      <c r="B16" s="627" t="n">
        <v>8</v>
      </c>
      <c r="C16" s="381" t="inlineStr">
        <is>
          <t>☐</t>
        </is>
      </c>
      <c r="D16" s="601" t="inlineStr">
        <is>
          <t>Cap Table (Таблица капитализации) pre-money / post-money structure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66" t="n"/>
      <c r="M16" s="638" t="inlineStr">
        <is>
          <t>18_Cap_Table</t>
        </is>
      </c>
      <c r="N16" s="466" t="n"/>
    </row>
    <row r="17" ht="22" customHeight="1" s="468">
      <c r="B17" s="627" t="n">
        <v>9</v>
      </c>
      <c r="C17" s="381" t="inlineStr">
        <is>
          <t>☐</t>
        </is>
      </c>
      <c r="D17" s="601" t="inlineStr">
        <is>
          <t>Waterfall (Каскад) W₃ default (по умолчанию) (1× Liq Pref (Ликвидационная привилегия) + 8% coupon (купон) + 60/40) или W₄ premium (премия) (12% pref + 65/35)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66" t="n"/>
      <c r="M17" s="638" t="inlineStr">
        <is>
          <t>19_Waterfall</t>
        </is>
      </c>
      <c r="N17" s="466" t="n"/>
    </row>
    <row r="18" ht="22" customHeight="1" s="468">
      <c r="B18" s="627" t="n">
        <v>10</v>
      </c>
      <c r="C18" s="381" t="inlineStr">
        <is>
          <t>☐</t>
        </is>
      </c>
      <c r="D18" s="601" t="inlineStr">
        <is>
          <t>Use of Funds (Использование средств) — привязка каждого рубля к статье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66" t="n"/>
      <c r="M18" s="638" t="inlineStr">
        <is>
          <t>15_Use_of_Funds</t>
        </is>
      </c>
      <c r="N18" s="466" t="n"/>
    </row>
    <row r="19" ht="22" customHeight="1" s="468">
      <c r="B19" s="627" t="n">
        <v>11</v>
      </c>
      <c r="C19" s="381" t="inlineStr">
        <is>
          <t>☐</t>
        </is>
      </c>
      <c r="D19" s="601" t="inlineStr">
        <is>
          <t>CAPEX (Капзатраты) schedule — все CAPEX ≤ 100 млн ₽ за 3 года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66" t="n"/>
      <c r="M19" s="638" t="inlineStr">
        <is>
          <t>16_CAPEX_Schedule</t>
        </is>
      </c>
      <c r="N19" s="466" t="n"/>
    </row>
    <row r="21" ht="20" customHeight="1" s="468">
      <c r="B21" s="852" t="inlineStr">
        <is>
          <t>C. ОЦЕНКА</t>
        </is>
      </c>
    </row>
    <row r="22" ht="22" customHeight="1" s="468">
      <c r="B22" s="625" t="n">
        <v>12</v>
      </c>
      <c r="C22" s="381" t="inlineStr">
        <is>
          <t>☐</t>
        </is>
      </c>
      <c r="D22" s="60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66" t="n"/>
      <c r="M22" s="638" t="inlineStr">
        <is>
          <t>22_Valuation_DCF</t>
        </is>
      </c>
      <c r="N22" s="466" t="n"/>
    </row>
    <row r="23" ht="22" customHeight="1" s="468">
      <c r="B23" s="625" t="n">
        <v>13</v>
      </c>
      <c r="C23" s="381" t="inlineStr">
        <is>
          <t>☐</t>
        </is>
      </c>
      <c r="D23" s="601" t="inlineStr">
        <is>
          <t>WACC (средневзвешенная стоимость капитала) 19% — justify страновой risk и execution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66" t="n"/>
      <c r="M23" s="638" t="inlineStr">
        <is>
          <t>22_Valuation_DCF</t>
        </is>
      </c>
      <c r="N23" s="466" t="n"/>
    </row>
    <row r="24" ht="22" customHeight="1" s="468">
      <c r="B24" s="625" t="n">
        <v>14</v>
      </c>
      <c r="C24" s="381" t="inlineStr">
        <is>
          <t>☐</t>
        </is>
      </c>
      <c r="D24" s="601" t="inlineStr">
        <is>
          <t>Понять Valuation Range Interpretation (5 компонентов разрыва)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66" t="n"/>
      <c r="M24" s="638" t="inlineStr">
        <is>
          <t>36_Executive_Summary III</t>
        </is>
      </c>
      <c r="N24" s="466" t="n"/>
    </row>
    <row r="25" ht="22" customHeight="1" s="468">
      <c r="B25" s="625" t="n">
        <v>15</v>
      </c>
      <c r="C25" s="381" t="inlineStr">
        <is>
          <t>☐</t>
        </is>
      </c>
      <c r="D25" s="601" t="inlineStr">
        <is>
          <t>EV (стоимость предприятия)/EBITDA (прибыль до вычетов) multiples vs 32_Comparable_Transactions median 8.9×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66" t="n"/>
      <c r="M25" s="638" t="inlineStr">
        <is>
          <t>23_Valuation_Multiples</t>
        </is>
      </c>
      <c r="N25" s="466" t="n"/>
    </row>
    <row r="26" ht="22" customHeight="1" s="468">
      <c r="B26" s="625" t="n">
        <v>16</v>
      </c>
      <c r="C26" s="381" t="inlineStr">
        <is>
          <t>☐</t>
        </is>
      </c>
      <c r="D26" s="601" t="inlineStr">
        <is>
          <t>Weighted exit EV (стоимость предприятия) 6 038 = Σ (p × EV) по 7 маршрутам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66" t="n"/>
      <c r="M26" s="638" t="inlineStr">
        <is>
          <t>25_Exit_Scenarios</t>
        </is>
      </c>
      <c r="N26" s="466" t="n"/>
    </row>
    <row r="27" ht="22" customHeight="1" s="468">
      <c r="B27" s="625" t="n">
        <v>17</v>
      </c>
      <c r="C27" s="381" t="inlineStr">
        <is>
          <t>☐</t>
        </is>
      </c>
      <c r="D27" s="601" t="inlineStr">
        <is>
          <t>Проверить Investor Returns (Доходность инвестора): MOIC (мультипликатор вложенного капитала) 2.00× (W₃) / 2.12× (W₄), IRR (внутренняя норма доходности) 20.09% = hurdle (порог) 18%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66" t="n"/>
      <c r="M27" s="638" t="inlineStr">
        <is>
          <t>24_Investor_Returns</t>
        </is>
      </c>
      <c r="N27" s="466" t="n"/>
    </row>
    <row r="29" ht="20" customHeight="1" s="468">
      <c r="B29" s="852" t="inlineStr">
        <is>
          <t>D. РИСКИ</t>
        </is>
      </c>
    </row>
    <row r="30" ht="22" customHeight="1" s="468">
      <c r="B30" s="382" t="n">
        <v>18</v>
      </c>
      <c r="C30" s="381" t="inlineStr">
        <is>
          <t>☐</t>
        </is>
      </c>
      <c r="D30" s="601" t="inlineStr">
        <is>
          <t>Top-5 рисков из 30 (R17 reclassified High score 12 в v1.0.1 — W₃ Base (Базовый) = hurdle (порог))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66" t="n"/>
      <c r="M30" s="638" t="inlineStr">
        <is>
          <t>29_Risk_Register</t>
        </is>
      </c>
      <c r="N30" s="466" t="n"/>
    </row>
    <row r="31" ht="22" customHeight="1" s="468">
      <c r="B31" s="382" t="n">
        <v>19</v>
      </c>
      <c r="C31" s="381" t="inlineStr">
        <is>
          <t>☐</t>
        </is>
      </c>
      <c r="D31" s="601" t="inlineStr">
        <is>
          <t>Heat map 5×5 — распределение риск-зон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66" t="n"/>
      <c r="M31" s="638" t="inlineStr">
        <is>
          <t>29_Risk_Register</t>
        </is>
      </c>
      <c r="N31" s="466" t="n"/>
    </row>
    <row r="32" ht="22" customHeight="1" s="468">
      <c r="B32" s="382" t="n">
        <v>20</v>
      </c>
      <c r="C32" s="381" t="inlineStr">
        <is>
          <t>☐</t>
        </is>
      </c>
      <c r="D32" s="601" t="inlineStr">
        <is>
          <t>Митигации для всех рисков с score ≥ 12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66" t="n"/>
      <c r="M32" s="638" t="inlineStr">
        <is>
          <t>29_Risk_Register</t>
        </is>
      </c>
      <c r="N32" s="466" t="n"/>
    </row>
    <row r="33" ht="22" customHeight="1" s="468">
      <c r="B33" s="382" t="n">
        <v>21</v>
      </c>
      <c r="C33" s="381" t="inlineStr">
        <is>
          <t>☐</t>
        </is>
      </c>
      <c r="D33" s="601" t="inlineStr">
        <is>
          <t>Monte Carlo (Монте-Карло): n=5000, W₃ base, P(IRR (внутренняя норма доходности)&gt;18%), VaR 95% NDP (чистые распределяемые поступления) shortfall</t>
        </is>
      </c>
      <c r="E33" s="473" t="n"/>
      <c r="F33" s="473" t="n"/>
      <c r="G33" s="473" t="n"/>
      <c r="H33" s="473" t="n"/>
      <c r="I33" s="473" t="n"/>
      <c r="J33" s="473" t="n"/>
      <c r="K33" s="473" t="n"/>
      <c r="L33" s="466" t="n"/>
      <c r="M33" s="638" t="inlineStr">
        <is>
          <t>28_Monte_Carlo_Summary</t>
        </is>
      </c>
      <c r="N33" s="466" t="n"/>
    </row>
    <row r="34" ht="22" customHeight="1" s="468">
      <c r="B34" s="382" t="n">
        <v>22</v>
      </c>
      <c r="C34" s="381" t="inlineStr">
        <is>
          <t>☐</t>
        </is>
      </c>
      <c r="D34" s="601" t="inlineStr">
        <is>
          <t>Tornado ±20% — главный драйвер EBITDA (прибыль до вычетов)</t>
        </is>
      </c>
      <c r="E34" s="473" t="n"/>
      <c r="F34" s="473" t="n"/>
      <c r="G34" s="473" t="n"/>
      <c r="H34" s="473" t="n"/>
      <c r="I34" s="473" t="n"/>
      <c r="J34" s="473" t="n"/>
      <c r="K34" s="473" t="n"/>
      <c r="L34" s="466" t="n"/>
      <c r="M34" s="638" t="inlineStr">
        <is>
          <t>26_Sensitivity</t>
        </is>
      </c>
      <c r="N34" s="466" t="n"/>
    </row>
    <row r="35" ht="22" customHeight="1" s="468">
      <c r="B35" s="382" t="n">
        <v>23</v>
      </c>
      <c r="C35" s="381" t="inlineStr">
        <is>
          <t>☐</t>
        </is>
      </c>
      <c r="D35" s="601" t="inlineStr">
        <is>
          <t>5 сценариев probability-weighted (Worst/Pess/Base (Базовый)/Opt/Best)</t>
        </is>
      </c>
      <c r="E35" s="473" t="n"/>
      <c r="F35" s="473" t="n"/>
      <c r="G35" s="473" t="n"/>
      <c r="H35" s="473" t="n"/>
      <c r="I35" s="473" t="n"/>
      <c r="J35" s="473" t="n"/>
      <c r="K35" s="473" t="n"/>
      <c r="L35" s="466" t="n"/>
      <c r="M35" s="638" t="inlineStr">
        <is>
          <t>27_Scenario_Analysis</t>
        </is>
      </c>
      <c r="N35" s="466" t="n"/>
    </row>
    <row r="37" ht="20" customHeight="1" s="468">
      <c r="B37" s="852" t="inlineStr">
        <is>
          <t>E. РЫНОК</t>
        </is>
      </c>
    </row>
    <row r="38" ht="22" customHeight="1" s="468">
      <c r="B38" s="628" t="n">
        <v>24</v>
      </c>
      <c r="C38" s="381" t="inlineStr">
        <is>
          <t>☐</t>
        </is>
      </c>
      <c r="D38" s="601" t="inlineStr">
        <is>
          <t>TAM 289,8 / SAM 118 / SOM 4,545 — обоснование определения SAM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66" t="n"/>
      <c r="M38" s="638" t="inlineStr">
        <is>
          <t>30_Market_Analysis</t>
        </is>
      </c>
      <c r="N38" s="466" t="n"/>
    </row>
    <row r="39" ht="22" customHeight="1" s="468">
      <c r="B39" s="628" t="n">
        <v>25</v>
      </c>
      <c r="C39" s="381" t="inlineStr">
        <is>
          <t>☐</t>
        </is>
      </c>
      <c r="D39" s="601" t="inlineStr">
        <is>
          <t>Benchmark (Бенчмарк): ТрендСтудио EBITDA (прибыль до вычетов) margin (маржа) 47.3% vs РФ median 20%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66" t="n"/>
      <c r="M39" s="638" t="inlineStr">
        <is>
          <t>31_Benchmarks</t>
        </is>
      </c>
      <c r="N39" s="466" t="n"/>
    </row>
    <row r="40" ht="22" customHeight="1" s="468">
      <c r="B40" s="628" t="n">
        <v>26</v>
      </c>
      <c r="C40" s="381" t="inlineStr">
        <is>
          <t>☐</t>
        </is>
      </c>
      <c r="D40" s="601" t="inlineStr">
        <is>
          <t>10 RU precedent transactions — EV (стоимость предприятия)/EBITDA (прибыль до вычетов) 8.0× median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66" t="n"/>
      <c r="M40" s="638" t="inlineStr">
        <is>
          <t>32_Comparable_Transactions</t>
        </is>
      </c>
      <c r="N40" s="466" t="n"/>
    </row>
    <row r="41" ht="22" customHeight="1" s="468">
      <c r="B41" s="628" t="n">
        <v>27</v>
      </c>
      <c r="C41" s="381" t="inlineStr">
        <is>
          <t>☐</t>
        </is>
      </c>
      <c r="D41" s="601" t="inlineStr">
        <is>
          <t>10 Global precedent (мир. прецедентов) — 9,8× медиана, blend 8,9×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66" t="n"/>
      <c r="M41" s="638" t="inlineStr">
        <is>
          <t>32_Comparable_Transactions</t>
        </is>
      </c>
      <c r="N41" s="466" t="n"/>
    </row>
    <row r="42" ht="22" customHeight="1" s="468">
      <c r="B42" s="628" t="n">
        <v>28</v>
      </c>
      <c r="C42" s="381" t="inlineStr">
        <is>
          <t>☐</t>
        </is>
      </c>
      <c r="D42" s="601" t="inlineStr">
        <is>
          <t>CAGR (среднегодовой темп роста) рынка 8.2% до 2028 — источник Росстат / Бюллетень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66" t="n"/>
      <c r="M42" s="638" t="inlineStr">
        <is>
          <t>30_Market_Analysis</t>
        </is>
      </c>
      <c r="N42" s="466" t="n"/>
    </row>
    <row r="44" ht="20" customHeight="1" s="468">
      <c r="B44" s="852" t="inlineStr">
        <is>
          <t>F. ГОС-ПОДДЕРЖКА И НАЛОГИ</t>
        </is>
      </c>
    </row>
    <row r="45" ht="22" customHeight="1" s="468">
      <c r="B45" s="629" t="n">
        <v>29</v>
      </c>
      <c r="C45" s="381" t="inlineStr">
        <is>
          <t>☐</t>
        </is>
      </c>
      <c r="D45" s="601" t="inlineStr">
        <is>
          <t>6 нац. проектов alignment</t>
        </is>
      </c>
      <c r="E45" s="473" t="n"/>
      <c r="F45" s="473" t="n"/>
      <c r="G45" s="473" t="n"/>
      <c r="H45" s="473" t="n"/>
      <c r="I45" s="473" t="n"/>
      <c r="J45" s="473" t="n"/>
      <c r="K45" s="473" t="n"/>
      <c r="L45" s="466" t="n"/>
      <c r="M45" s="638" t="inlineStr">
        <is>
          <t>33_Gov_KPI</t>
        </is>
      </c>
      <c r="N45" s="466" t="n"/>
    </row>
    <row r="46" ht="22" customHeight="1" s="468">
      <c r="B46" s="629" t="n">
        <v>30</v>
      </c>
      <c r="C46" s="381" t="inlineStr">
        <is>
          <t>☐</t>
        </is>
      </c>
      <c r="D46" s="601" t="inlineStr">
        <is>
          <t>5 источников господдержки 1 040 млн ₽ (ФКП / регионы / РФК)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66" t="n"/>
      <c r="M46" s="638" t="inlineStr">
        <is>
          <t>33_Gov_KPI</t>
        </is>
      </c>
      <c r="N46" s="466" t="n"/>
    </row>
    <row r="47" ht="22" customHeight="1" s="468">
      <c r="B47" s="629" t="n">
        <v>31</v>
      </c>
      <c r="C47" s="381" t="inlineStr">
        <is>
          <t>☐</t>
        </is>
      </c>
      <c r="D47" s="601" t="inlineStr">
        <is>
          <t>НДС 0% льгота — ст. 149 НК РФ, экономия 360 млн ₽ 3Y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38" t="inlineStr">
        <is>
          <t>34_Tax_Schedule</t>
        </is>
      </c>
      <c r="N47" s="466" t="n"/>
    </row>
    <row r="48" ht="22" customHeight="1" s="468">
      <c r="B48" s="629" t="n">
        <v>32</v>
      </c>
      <c r="C48" s="381" t="inlineStr">
        <is>
          <t>☐</t>
        </is>
      </c>
      <c r="D48" s="601" t="inlineStr">
        <is>
          <t>Эффективная налоговая нагрузка 12.9% от Revenue (Выручка) (720 / 5 595)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66" t="n"/>
      <c r="M48" s="638" t="inlineStr">
        <is>
          <t>34_Tax_Schedule</t>
        </is>
      </c>
      <c r="N48" s="466" t="n"/>
    </row>
    <row r="49" ht="22" customHeight="1" s="468">
      <c r="B49" s="629" t="n">
        <v>33</v>
      </c>
      <c r="C49" s="381" t="inlineStr">
        <is>
          <t>☐</t>
        </is>
      </c>
      <c r="D49" s="601" t="inlineStr">
        <is>
          <t>10 compliance checkpoints (контрольных точек соответствия)</t>
        </is>
      </c>
      <c r="E49" s="473" t="n"/>
      <c r="F49" s="473" t="n"/>
      <c r="G49" s="473" t="n"/>
      <c r="H49" s="473" t="n"/>
      <c r="I49" s="473" t="n"/>
      <c r="J49" s="473" t="n"/>
      <c r="K49" s="473" t="n"/>
      <c r="L49" s="466" t="n"/>
      <c r="M49" s="638" t="inlineStr">
        <is>
          <t>33_Gov_KPI</t>
        </is>
      </c>
      <c r="N49" s="466" t="n"/>
    </row>
    <row r="51" ht="20" customHeight="1" s="468">
      <c r="B51" s="852" t="inlineStr">
        <is>
          <t>G. РОУДМАП И EXIT</t>
        </is>
      </c>
    </row>
    <row r="52" ht="22" customHeight="1" s="468">
      <c r="B52" s="626" t="n">
        <v>34</v>
      </c>
      <c r="C52" s="381" t="inlineStr">
        <is>
          <t>☐</t>
        </is>
      </c>
      <c r="D52" s="601" t="inlineStr">
        <is>
          <t>Gantt 12 фильмов × 16 периодов × 4 фазы (Dev/Shoot/Post/Release (Релиз))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66" t="n"/>
      <c r="M52" s="638" t="inlineStr">
        <is>
          <t>35_Roadmap_2026_2032</t>
        </is>
      </c>
      <c r="N52" s="466" t="n"/>
    </row>
    <row r="53" ht="22" customHeight="1" s="468">
      <c r="B53" s="626" t="n">
        <v>35</v>
      </c>
      <c r="C53" s="381" t="inlineStr">
        <is>
          <t>☐</t>
        </is>
      </c>
      <c r="D53" s="601" t="inlineStr">
        <is>
          <t>14 fundraising milestones — привязка T₁ траншей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66" t="n"/>
      <c r="M53" s="638" t="inlineStr">
        <is>
          <t>35_Roadmap_2026_2032</t>
        </is>
      </c>
      <c r="N53" s="466" t="n"/>
    </row>
    <row r="54" ht="22" customHeight="1" s="468">
      <c r="B54" s="626" t="n">
        <v>36</v>
      </c>
      <c r="C54" s="381" t="inlineStr">
        <is>
          <t>☐</t>
        </is>
      </c>
      <c r="D54" s="601" t="inlineStr">
        <is>
          <t>5 governance tracks (направления корпоративного управления) (Совет директоров, audit, covenant, strategic review)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66" t="n"/>
      <c r="M54" s="638" t="inlineStr">
        <is>
          <t>35_Roadmap_2026_2032</t>
        </is>
      </c>
      <c r="N54" s="466" t="n"/>
    </row>
    <row r="55" ht="22" customHeight="1" s="468">
      <c r="B55" s="626" t="n">
        <v>37</v>
      </c>
      <c r="C55" s="381" t="inlineStr">
        <is>
          <t>☐</t>
        </is>
      </c>
      <c r="D55" s="601" t="inlineStr">
        <is>
          <t>Critical (Критический) path — 12 критических элементов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66" t="n"/>
      <c r="M55" s="638" t="inlineStr">
        <is>
          <t>35_Roadmap_2026_2032</t>
        </is>
      </c>
      <c r="N55" s="466" t="n"/>
    </row>
    <row r="56" ht="22" customHeight="1" s="468">
      <c r="B56" s="626" t="n">
        <v>38</v>
      </c>
      <c r="C56" s="381" t="inlineStr">
        <is>
          <t>☐</t>
        </is>
      </c>
      <c r="D56" s="601" t="inlineStr">
        <is>
          <t>7 exit routes — окна и условия для каждого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66" t="n"/>
      <c r="M56" s="638" t="inlineStr">
        <is>
          <t>25_Exit_Scenarios</t>
        </is>
      </c>
      <c r="N56" s="466" t="n"/>
    </row>
    <row r="57" ht="22" customHeight="1" s="468">
      <c r="B57" s="626" t="n">
        <v>39</v>
      </c>
      <c r="C57" s="381" t="inlineStr">
        <is>
          <t>☐</t>
        </is>
      </c>
      <c r="D57" s="601" t="inlineStr">
        <is>
          <t>Strategic (Стратегический) buyer mapping: Яндекс / Сбер / ГМ / НМГ</t>
        </is>
      </c>
      <c r="E57" s="473" t="n"/>
      <c r="F57" s="473" t="n"/>
      <c r="G57" s="473" t="n"/>
      <c r="H57" s="473" t="n"/>
      <c r="I57" s="473" t="n"/>
      <c r="J57" s="473" t="n"/>
      <c r="K57" s="473" t="n"/>
      <c r="L57" s="466" t="n"/>
      <c r="M57" s="638" t="inlineStr">
        <is>
          <t>36_Executive_Summary V</t>
        </is>
      </c>
      <c r="N57" s="466" t="n"/>
    </row>
    <row r="59" ht="20" customHeight="1" s="468">
      <c r="B59" s="852" t="inlineStr">
        <is>
          <t>H. ДОКУМЕНТЫ И LEGAL</t>
        </is>
      </c>
    </row>
    <row r="60" ht="22" customHeight="1" s="468">
      <c r="B60" s="383" t="n">
        <v>40</v>
      </c>
      <c r="C60" s="381" t="inlineStr">
        <is>
          <t>☐</t>
        </is>
      </c>
      <c r="D60" s="601" t="inlineStr">
        <is>
          <t>Term sheet подписан с ключевыми LP (ограниченный партнёр) до 2026Q2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66" t="n"/>
      <c r="M60" s="638" t="inlineStr">
        <is>
          <t>внешний</t>
        </is>
      </c>
      <c r="N60" s="466" t="n"/>
    </row>
    <row r="61" ht="22" customHeight="1" s="468">
      <c r="B61" s="383" t="n">
        <v>41</v>
      </c>
      <c r="C61" s="381" t="inlineStr">
        <is>
          <t>☐</t>
        </is>
      </c>
      <c r="D61" s="601" t="inlineStr">
        <is>
          <t>Due diligence report (legal / financial / tax) — независимый аудитор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66" t="n"/>
      <c r="M61" s="638" t="inlineStr">
        <is>
          <t>внешний</t>
        </is>
      </c>
      <c r="N61" s="466" t="n"/>
    </row>
    <row r="62" ht="22" customHeight="1" s="468">
      <c r="B62" s="383" t="n">
        <v>42</v>
      </c>
      <c r="C62" s="381" t="inlineStr">
        <is>
          <t>☐</t>
        </is>
      </c>
      <c r="D62" s="601" t="inlineStr">
        <is>
          <t>SPA draft готов, all reps &amp; warranties reviewed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66" t="n"/>
      <c r="M62" s="638" t="inlineStr">
        <is>
          <t>внешний</t>
        </is>
      </c>
      <c r="N62" s="466" t="n"/>
    </row>
    <row r="63" ht="22" customHeight="1" s="468">
      <c r="B63" s="383" t="n">
        <v>43</v>
      </c>
      <c r="C63" s="381" t="inlineStr">
        <is>
          <t>☐</t>
        </is>
      </c>
      <c r="D63" s="601" t="inlineStr">
        <is>
          <t>Escrow arrangement для 10% T₁ до закрытия milestone 1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66" t="n"/>
      <c r="M63" s="638" t="inlineStr">
        <is>
          <t>внешний</t>
        </is>
      </c>
      <c r="N63" s="466" t="n"/>
    </row>
    <row r="64" ht="22" customHeight="1" s="468">
      <c r="B64" s="383" t="n">
        <v>44</v>
      </c>
      <c r="C64" s="381" t="inlineStr">
        <is>
          <t>☐</t>
        </is>
      </c>
      <c r="D64" s="601" t="inlineStr">
        <is>
          <t>Совет директоров composition: 2 LP (ограниченный партнёр) seats + 2 management + 1 independent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66" t="n"/>
      <c r="M64" s="638" t="inlineStr">
        <is>
          <t>18_Cap_Table</t>
        </is>
      </c>
      <c r="N64" s="466" t="n"/>
    </row>
    <row r="65" ht="22" customHeight="1" s="468">
      <c r="B65" s="383" t="n">
        <v>45</v>
      </c>
      <c r="C65" s="381" t="inlineStr">
        <is>
          <t>☐</t>
        </is>
      </c>
      <c r="D65" s="601" t="inlineStr">
        <is>
          <t>Disclosures: все forward-looking risks полностью раскрыты</t>
        </is>
      </c>
      <c r="E65" s="473" t="n"/>
      <c r="F65" s="473" t="n"/>
      <c r="G65" s="473" t="n"/>
      <c r="H65" s="473" t="n"/>
      <c r="I65" s="473" t="n"/>
      <c r="J65" s="473" t="n"/>
      <c r="K65" s="473" t="n"/>
      <c r="L65" s="466" t="n"/>
      <c r="M65" s="638" t="inlineStr">
        <is>
          <t>38_Notes_and_Sources III</t>
        </is>
      </c>
      <c r="N65" s="466" t="n"/>
    </row>
    <row r="68" ht="30" customHeight="1" s="468">
      <c r="B68" s="850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8" customWidth="1" style="468" min="3" max="3"/>
    <col width="14" customWidth="1" style="468" min="4" max="5"/>
    <col width="18" customWidth="1" style="468" min="6" max="7"/>
    <col width="14" customWidth="1" style="468" min="8" max="14"/>
    <col width="2" customWidth="1" style="468" min="15" max="15"/>
  </cols>
  <sheetData>
    <row r="2" ht="28" customHeight="1" s="468">
      <c r="B2" s="839" t="inlineStr">
        <is>
          <t>НАСТРОЙКИ ПЕЧАТИ (НАСТРОЙКИ ПЕЧАТИ)</t>
        </is>
      </c>
    </row>
    <row r="3" ht="18" customHeight="1" s="468">
      <c r="B3" s="840" t="inlineStr">
        <is>
          <t>Конфигурация печати для всех 42 листов — применена на листы A4/A3</t>
        </is>
      </c>
    </row>
    <row r="5" ht="36" customHeight="1" s="468">
      <c r="B5" s="853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 s="468">
      <c r="B7" s="555" t="inlineStr">
        <is>
          <t>#</t>
        </is>
      </c>
      <c r="C7" s="555" t="inlineStr">
        <is>
          <t>Sheet</t>
        </is>
      </c>
      <c r="D7" s="555" t="inlineStr">
        <is>
          <t>Ориент.</t>
        </is>
      </c>
      <c r="E7" s="555" t="inlineStr">
        <is>
          <t>Формат</t>
        </is>
      </c>
      <c r="F7" s="555" t="inlineStr">
        <is>
          <t>Print Area (Область печати)</t>
        </is>
      </c>
      <c r="G7" s="466" t="n"/>
      <c r="H7" s="555" t="inlineStr">
        <is>
          <t>Повтор. строки</t>
        </is>
      </c>
      <c r="I7" s="473" t="n"/>
      <c r="J7" s="473" t="n"/>
      <c r="K7" s="473" t="n"/>
      <c r="L7" s="473" t="n"/>
      <c r="M7" s="473" t="n"/>
      <c r="N7" s="466" t="n"/>
    </row>
    <row r="8" ht="18" customHeight="1" s="468">
      <c r="B8" s="384" t="n">
        <v>1</v>
      </c>
      <c r="C8" s="385" t="inlineStr">
        <is>
          <t>01_Cover</t>
        </is>
      </c>
      <c r="D8" s="635" t="inlineStr">
        <is>
          <t>книжн.</t>
        </is>
      </c>
      <c r="E8" s="629" t="inlineStr">
        <is>
          <t>A4</t>
        </is>
      </c>
      <c r="F8" s="640" t="inlineStr">
        <is>
          <t>A1:N50</t>
        </is>
      </c>
      <c r="G8" s="466" t="n"/>
      <c r="H8" s="635" t="inlineStr">
        <is>
          <t>1:3</t>
        </is>
      </c>
      <c r="I8" s="473" t="n"/>
      <c r="J8" s="473" t="n"/>
      <c r="K8" s="473" t="n"/>
      <c r="L8" s="473" t="n"/>
      <c r="M8" s="473" t="n"/>
      <c r="N8" s="466" t="n"/>
    </row>
    <row r="9" ht="18" customHeight="1" s="468">
      <c r="B9" s="384" t="n">
        <v>2</v>
      </c>
      <c r="C9" s="385" t="inlineStr">
        <is>
          <t>02_Assumptions</t>
        </is>
      </c>
      <c r="D9" s="635" t="inlineStr">
        <is>
          <t>альбомн.</t>
        </is>
      </c>
      <c r="E9" s="629" t="inlineStr">
        <is>
          <t>A4</t>
        </is>
      </c>
      <c r="F9" s="640" t="inlineStr">
        <is>
          <t>A1:N80</t>
        </is>
      </c>
      <c r="G9" s="466" t="n"/>
      <c r="H9" s="635" t="inlineStr">
        <is>
          <t>1:5</t>
        </is>
      </c>
      <c r="I9" s="473" t="n"/>
      <c r="J9" s="473" t="n"/>
      <c r="K9" s="473" t="n"/>
      <c r="L9" s="473" t="n"/>
      <c r="M9" s="473" t="n"/>
      <c r="N9" s="466" t="n"/>
    </row>
    <row r="10" ht="18" customHeight="1" s="468">
      <c r="B10" s="384" t="n">
        <v>3</v>
      </c>
      <c r="C10" s="385" t="inlineStr">
        <is>
          <t>03_Change_Log</t>
        </is>
      </c>
      <c r="D10" s="635" t="inlineStr">
        <is>
          <t>книжн.</t>
        </is>
      </c>
      <c r="E10" s="629" t="inlineStr">
        <is>
          <t>A4</t>
        </is>
      </c>
      <c r="F10" s="640" t="inlineStr">
        <is>
          <t>A1:N60</t>
        </is>
      </c>
      <c r="G10" s="466" t="n"/>
      <c r="H10" s="635" t="inlineStr">
        <is>
          <t>1:5</t>
        </is>
      </c>
      <c r="I10" s="473" t="n"/>
      <c r="J10" s="473" t="n"/>
      <c r="K10" s="473" t="n"/>
      <c r="L10" s="473" t="n"/>
      <c r="M10" s="473" t="n"/>
      <c r="N10" s="466" t="n"/>
    </row>
    <row r="11" ht="18" customHeight="1" s="468">
      <c r="B11" s="384" t="n">
        <v>4</v>
      </c>
      <c r="C11" s="385" t="inlineStr">
        <is>
          <t>04_FOT_Staff_A1</t>
        </is>
      </c>
      <c r="D11" s="635" t="inlineStr">
        <is>
          <t>альбомн.</t>
        </is>
      </c>
      <c r="E11" s="625" t="inlineStr">
        <is>
          <t>A3</t>
        </is>
      </c>
      <c r="F11" s="640" t="inlineStr">
        <is>
          <t>A1:T40</t>
        </is>
      </c>
      <c r="G11" s="466" t="n"/>
      <c r="H11" s="635" t="inlineStr">
        <is>
          <t>1:5</t>
        </is>
      </c>
      <c r="I11" s="473" t="n"/>
      <c r="J11" s="473" t="n"/>
      <c r="K11" s="473" t="n"/>
      <c r="L11" s="473" t="n"/>
      <c r="M11" s="473" t="n"/>
      <c r="N11" s="466" t="n"/>
    </row>
    <row r="12" ht="18" customHeight="1" s="468">
      <c r="B12" s="384" t="n">
        <v>5</v>
      </c>
      <c r="C12" s="385" t="inlineStr">
        <is>
          <t>05_FOT_Staff_A2</t>
        </is>
      </c>
      <c r="D12" s="635" t="inlineStr">
        <is>
          <t>альбомн.</t>
        </is>
      </c>
      <c r="E12" s="625" t="inlineStr">
        <is>
          <t>A3</t>
        </is>
      </c>
      <c r="F12" s="640" t="inlineStr">
        <is>
          <t>A1:T40</t>
        </is>
      </c>
      <c r="G12" s="466" t="n"/>
      <c r="H12" s="635" t="inlineStr">
        <is>
          <t>1:5</t>
        </is>
      </c>
      <c r="I12" s="473" t="n"/>
      <c r="J12" s="473" t="n"/>
      <c r="K12" s="473" t="n"/>
      <c r="L12" s="473" t="n"/>
      <c r="M12" s="473" t="n"/>
      <c r="N12" s="466" t="n"/>
    </row>
    <row r="13" ht="18" customHeight="1" s="468">
      <c r="B13" s="384" t="n">
        <v>6</v>
      </c>
      <c r="C13" s="385" t="inlineStr">
        <is>
          <t>06_Cost_Structure</t>
        </is>
      </c>
      <c r="D13" s="635" t="inlineStr">
        <is>
          <t>альбомн.</t>
        </is>
      </c>
      <c r="E13" s="625" t="inlineStr">
        <is>
          <t>A3</t>
        </is>
      </c>
      <c r="F13" s="640" t="inlineStr">
        <is>
          <t>A1:N60</t>
        </is>
      </c>
      <c r="G13" s="466" t="n"/>
      <c r="H13" s="635" t="inlineStr">
        <is>
          <t>1:5</t>
        </is>
      </c>
      <c r="I13" s="473" t="n"/>
      <c r="J13" s="473" t="n"/>
      <c r="K13" s="473" t="n"/>
      <c r="L13" s="473" t="n"/>
      <c r="M13" s="473" t="n"/>
      <c r="N13" s="466" t="n"/>
    </row>
    <row r="14" ht="18" customHeight="1" s="468">
      <c r="B14" s="384" t="n">
        <v>7</v>
      </c>
      <c r="C14" s="385" t="inlineStr">
        <is>
          <t>07_Revenue_Breakdown</t>
        </is>
      </c>
      <c r="D14" s="635" t="inlineStr">
        <is>
          <t>альбомн.</t>
        </is>
      </c>
      <c r="E14" s="625" t="inlineStr">
        <is>
          <t>A3</t>
        </is>
      </c>
      <c r="F14" s="640" t="inlineStr">
        <is>
          <t>A1:R50</t>
        </is>
      </c>
      <c r="G14" s="466" t="n"/>
      <c r="H14" s="635" t="inlineStr">
        <is>
          <t>1:5</t>
        </is>
      </c>
      <c r="I14" s="473" t="n"/>
      <c r="J14" s="473" t="n"/>
      <c r="K14" s="473" t="n"/>
      <c r="L14" s="473" t="n"/>
      <c r="M14" s="473" t="n"/>
      <c r="N14" s="466" t="n"/>
    </row>
    <row r="15" ht="18" customHeight="1" s="468">
      <c r="B15" s="384" t="n">
        <v>8</v>
      </c>
      <c r="C15" s="385" t="inlineStr">
        <is>
          <t>08_Content_Pipeline</t>
        </is>
      </c>
      <c r="D15" s="635" t="inlineStr">
        <is>
          <t>альбомн.</t>
        </is>
      </c>
      <c r="E15" s="625" t="inlineStr">
        <is>
          <t>A3</t>
        </is>
      </c>
      <c r="F15" s="640" t="inlineStr">
        <is>
          <t>A1:T40</t>
        </is>
      </c>
      <c r="G15" s="466" t="n"/>
      <c r="H15" s="635" t="inlineStr">
        <is>
          <t>1:5</t>
        </is>
      </c>
      <c r="I15" s="473" t="n"/>
      <c r="J15" s="473" t="n"/>
      <c r="K15" s="473" t="n"/>
      <c r="L15" s="473" t="n"/>
      <c r="M15" s="473" t="n"/>
      <c r="N15" s="466" t="n"/>
    </row>
    <row r="16" ht="18" customHeight="1" s="468">
      <c r="B16" s="384" t="n">
        <v>9</v>
      </c>
      <c r="C16" s="385" t="inlineStr">
        <is>
          <t>09_P&amp;L_Statement</t>
        </is>
      </c>
      <c r="D16" s="635" t="inlineStr">
        <is>
          <t>альбомн.</t>
        </is>
      </c>
      <c r="E16" s="625" t="inlineStr">
        <is>
          <t>A3</t>
        </is>
      </c>
      <c r="F16" s="640" t="inlineStr">
        <is>
          <t>A1:V55</t>
        </is>
      </c>
      <c r="G16" s="466" t="n"/>
      <c r="H16" s="635" t="inlineStr">
        <is>
          <t>1:5</t>
        </is>
      </c>
      <c r="I16" s="473" t="n"/>
      <c r="J16" s="473" t="n"/>
      <c r="K16" s="473" t="n"/>
      <c r="L16" s="473" t="n"/>
      <c r="M16" s="473" t="n"/>
      <c r="N16" s="466" t="n"/>
    </row>
    <row r="17" ht="18" customHeight="1" s="468">
      <c r="B17" s="384" t="n">
        <v>10</v>
      </c>
      <c r="C17" s="385" t="inlineStr">
        <is>
          <t>10_Cash_Flow</t>
        </is>
      </c>
      <c r="D17" s="635" t="inlineStr">
        <is>
          <t>альбомн.</t>
        </is>
      </c>
      <c r="E17" s="625" t="inlineStr">
        <is>
          <t>A3</t>
        </is>
      </c>
      <c r="F17" s="640" t="inlineStr">
        <is>
          <t>A1:T55</t>
        </is>
      </c>
      <c r="G17" s="466" t="n"/>
      <c r="H17" s="635" t="inlineStr">
        <is>
          <t>1:5</t>
        </is>
      </c>
      <c r="I17" s="473" t="n"/>
      <c r="J17" s="473" t="n"/>
      <c r="K17" s="473" t="n"/>
      <c r="L17" s="473" t="n"/>
      <c r="M17" s="473" t="n"/>
      <c r="N17" s="466" t="n"/>
    </row>
    <row r="18" ht="18" customHeight="1" s="468">
      <c r="B18" s="384" t="n">
        <v>11</v>
      </c>
      <c r="C18" s="385" t="inlineStr">
        <is>
          <t>11_Balance_Sheet</t>
        </is>
      </c>
      <c r="D18" s="635" t="inlineStr">
        <is>
          <t>альбомн.</t>
        </is>
      </c>
      <c r="E18" s="629" t="inlineStr">
        <is>
          <t>A4</t>
        </is>
      </c>
      <c r="F18" s="640" t="inlineStr">
        <is>
          <t>A1:N50</t>
        </is>
      </c>
      <c r="G18" s="466" t="n"/>
      <c r="H18" s="635" t="inlineStr">
        <is>
          <t>1:5</t>
        </is>
      </c>
      <c r="I18" s="473" t="n"/>
      <c r="J18" s="473" t="n"/>
      <c r="K18" s="473" t="n"/>
      <c r="L18" s="473" t="n"/>
      <c r="M18" s="473" t="n"/>
      <c r="N18" s="466" t="n"/>
    </row>
    <row r="19" ht="18" customHeight="1" s="468">
      <c r="B19" s="384" t="n">
        <v>12</v>
      </c>
      <c r="C19" s="385" t="inlineStr">
        <is>
          <t>12_Working_Capital</t>
        </is>
      </c>
      <c r="D19" s="635" t="inlineStr">
        <is>
          <t>альбомн.</t>
        </is>
      </c>
      <c r="E19" s="629" t="inlineStr">
        <is>
          <t>A4</t>
        </is>
      </c>
      <c r="F19" s="640" t="inlineStr">
        <is>
          <t>A1:N40</t>
        </is>
      </c>
      <c r="G19" s="466" t="n"/>
      <c r="H19" s="635" t="inlineStr">
        <is>
          <t>1:5</t>
        </is>
      </c>
      <c r="I19" s="473" t="n"/>
      <c r="J19" s="473" t="n"/>
      <c r="K19" s="473" t="n"/>
      <c r="L19" s="473" t="n"/>
      <c r="M19" s="473" t="n"/>
      <c r="N19" s="466" t="n"/>
    </row>
    <row r="20" ht="18" customHeight="1" s="468">
      <c r="B20" s="384" t="n">
        <v>13</v>
      </c>
      <c r="C20" s="385" t="inlineStr">
        <is>
          <t>13_Debt_Schedule</t>
        </is>
      </c>
      <c r="D20" s="635" t="inlineStr">
        <is>
          <t>альбомн.</t>
        </is>
      </c>
      <c r="E20" s="629" t="inlineStr">
        <is>
          <t>A4</t>
        </is>
      </c>
      <c r="F20" s="640" t="inlineStr">
        <is>
          <t>A1:N40</t>
        </is>
      </c>
      <c r="G20" s="466" t="n"/>
      <c r="H20" s="635" t="inlineStr">
        <is>
          <t>1:5</t>
        </is>
      </c>
      <c r="I20" s="473" t="n"/>
      <c r="J20" s="473" t="n"/>
      <c r="K20" s="473" t="n"/>
      <c r="L20" s="473" t="n"/>
      <c r="M20" s="473" t="n"/>
      <c r="N20" s="466" t="n"/>
    </row>
    <row r="21" ht="18" customHeight="1" s="468">
      <c r="B21" s="384" t="n">
        <v>14</v>
      </c>
      <c r="C21" s="385" t="inlineStr">
        <is>
          <t>14_Investment_Inflow</t>
        </is>
      </c>
      <c r="D21" s="635" t="inlineStr">
        <is>
          <t>альбомн.</t>
        </is>
      </c>
      <c r="E21" s="629" t="inlineStr">
        <is>
          <t>A4</t>
        </is>
      </c>
      <c r="F21" s="640" t="inlineStr">
        <is>
          <t>A1:N40</t>
        </is>
      </c>
      <c r="G21" s="466" t="n"/>
      <c r="H21" s="635" t="inlineStr">
        <is>
          <t>1:5</t>
        </is>
      </c>
      <c r="I21" s="473" t="n"/>
      <c r="J21" s="473" t="n"/>
      <c r="K21" s="473" t="n"/>
      <c r="L21" s="473" t="n"/>
      <c r="M21" s="473" t="n"/>
      <c r="N21" s="466" t="n"/>
    </row>
    <row r="22" ht="18" customHeight="1" s="468">
      <c r="B22" s="384" t="n">
        <v>15</v>
      </c>
      <c r="C22" s="385" t="inlineStr">
        <is>
          <t>15_Use_of_Funds</t>
        </is>
      </c>
      <c r="D22" s="635" t="inlineStr">
        <is>
          <t>книжн.</t>
        </is>
      </c>
      <c r="E22" s="629" t="inlineStr">
        <is>
          <t>A4</t>
        </is>
      </c>
      <c r="F22" s="640" t="inlineStr">
        <is>
          <t>A1:N40</t>
        </is>
      </c>
      <c r="G22" s="466" t="n"/>
      <c r="H22" s="635" t="inlineStr">
        <is>
          <t>1:5</t>
        </is>
      </c>
      <c r="I22" s="473" t="n"/>
      <c r="J22" s="473" t="n"/>
      <c r="K22" s="473" t="n"/>
      <c r="L22" s="473" t="n"/>
      <c r="M22" s="473" t="n"/>
      <c r="N22" s="466" t="n"/>
    </row>
    <row r="23" ht="18" customHeight="1" s="468">
      <c r="B23" s="384" t="n">
        <v>16</v>
      </c>
      <c r="C23" s="385" t="inlineStr">
        <is>
          <t>16_CAPEX_Schedule</t>
        </is>
      </c>
      <c r="D23" s="635" t="inlineStr">
        <is>
          <t>альбомн.</t>
        </is>
      </c>
      <c r="E23" s="629" t="inlineStr">
        <is>
          <t>A4</t>
        </is>
      </c>
      <c r="F23" s="640" t="inlineStr">
        <is>
          <t>A1:N40</t>
        </is>
      </c>
      <c r="G23" s="466" t="n"/>
      <c r="H23" s="635" t="inlineStr">
        <is>
          <t>1:5</t>
        </is>
      </c>
      <c r="I23" s="473" t="n"/>
      <c r="J23" s="473" t="n"/>
      <c r="K23" s="473" t="n"/>
      <c r="L23" s="473" t="n"/>
      <c r="M23" s="473" t="n"/>
      <c r="N23" s="466" t="n"/>
    </row>
    <row r="24" ht="18" customHeight="1" s="468">
      <c r="B24" s="384" t="n">
        <v>17</v>
      </c>
      <c r="C24" s="385" t="inlineStr">
        <is>
          <t>17_Deal_Structures</t>
        </is>
      </c>
      <c r="D24" s="635" t="inlineStr">
        <is>
          <t>книжн.</t>
        </is>
      </c>
      <c r="E24" s="629" t="inlineStr">
        <is>
          <t>A4</t>
        </is>
      </c>
      <c r="F24" s="640" t="inlineStr">
        <is>
          <t>A1:N50</t>
        </is>
      </c>
      <c r="G24" s="466" t="n"/>
      <c r="H24" s="635" t="inlineStr">
        <is>
          <t>1:5</t>
        </is>
      </c>
      <c r="I24" s="473" t="n"/>
      <c r="J24" s="473" t="n"/>
      <c r="K24" s="473" t="n"/>
      <c r="L24" s="473" t="n"/>
      <c r="M24" s="473" t="n"/>
      <c r="N24" s="466" t="n"/>
    </row>
    <row r="25" ht="18" customHeight="1" s="468">
      <c r="B25" s="384" t="n">
        <v>18</v>
      </c>
      <c r="C25" s="385" t="inlineStr">
        <is>
          <t>18_Cap_Table</t>
        </is>
      </c>
      <c r="D25" s="635" t="inlineStr">
        <is>
          <t>альбомн.</t>
        </is>
      </c>
      <c r="E25" s="629" t="inlineStr">
        <is>
          <t>A4</t>
        </is>
      </c>
      <c r="F25" s="640" t="inlineStr">
        <is>
          <t>A1:N40</t>
        </is>
      </c>
      <c r="G25" s="466" t="n"/>
      <c r="H25" s="635" t="inlineStr">
        <is>
          <t>1:5</t>
        </is>
      </c>
      <c r="I25" s="473" t="n"/>
      <c r="J25" s="473" t="n"/>
      <c r="K25" s="473" t="n"/>
      <c r="L25" s="473" t="n"/>
      <c r="M25" s="473" t="n"/>
      <c r="N25" s="466" t="n"/>
    </row>
    <row r="26" ht="18" customHeight="1" s="468">
      <c r="B26" s="384" t="n">
        <v>19</v>
      </c>
      <c r="C26" s="385" t="inlineStr">
        <is>
          <t>19_Waterfall</t>
        </is>
      </c>
      <c r="D26" s="635" t="inlineStr">
        <is>
          <t>альбомн.</t>
        </is>
      </c>
      <c r="E26" s="629" t="inlineStr">
        <is>
          <t>A4</t>
        </is>
      </c>
      <c r="F26" s="640" t="inlineStr">
        <is>
          <t>A1:N50</t>
        </is>
      </c>
      <c r="G26" s="466" t="n"/>
      <c r="H26" s="635" t="inlineStr">
        <is>
          <t>1:5</t>
        </is>
      </c>
      <c r="I26" s="473" t="n"/>
      <c r="J26" s="473" t="n"/>
      <c r="K26" s="473" t="n"/>
      <c r="L26" s="473" t="n"/>
      <c r="M26" s="473" t="n"/>
      <c r="N26" s="466" t="n"/>
    </row>
    <row r="27" ht="18" customHeight="1" s="468">
      <c r="B27" s="384" t="n">
        <v>20</v>
      </c>
      <c r="C27" s="385" t="inlineStr">
        <is>
          <t>20_Unit_Economics_per_Film</t>
        </is>
      </c>
      <c r="D27" s="635" t="inlineStr">
        <is>
          <t>альбомн.</t>
        </is>
      </c>
      <c r="E27" s="625" t="inlineStr">
        <is>
          <t>A3</t>
        </is>
      </c>
      <c r="F27" s="640" t="inlineStr">
        <is>
          <t>A1:T50</t>
        </is>
      </c>
      <c r="G27" s="466" t="n"/>
      <c r="H27" s="635" t="inlineStr">
        <is>
          <t>1:5</t>
        </is>
      </c>
      <c r="I27" s="473" t="n"/>
      <c r="J27" s="473" t="n"/>
      <c r="K27" s="473" t="n"/>
      <c r="L27" s="473" t="n"/>
      <c r="M27" s="473" t="n"/>
      <c r="N27" s="466" t="n"/>
    </row>
    <row r="28" ht="18" customHeight="1" s="468">
      <c r="B28" s="384" t="n">
        <v>21</v>
      </c>
      <c r="C28" s="385" t="inlineStr">
        <is>
          <t>21_KPI_Dashboard</t>
        </is>
      </c>
      <c r="D28" s="635" t="inlineStr">
        <is>
          <t>альбомн.</t>
        </is>
      </c>
      <c r="E28" s="625" t="inlineStr">
        <is>
          <t>A3</t>
        </is>
      </c>
      <c r="F28" s="640" t="inlineStr">
        <is>
          <t>A1:N40</t>
        </is>
      </c>
      <c r="G28" s="466" t="n"/>
      <c r="H28" s="635" t="inlineStr">
        <is>
          <t>1:5</t>
        </is>
      </c>
      <c r="I28" s="473" t="n"/>
      <c r="J28" s="473" t="n"/>
      <c r="K28" s="473" t="n"/>
      <c r="L28" s="473" t="n"/>
      <c r="M28" s="473" t="n"/>
      <c r="N28" s="466" t="n"/>
    </row>
    <row r="29" ht="18" customHeight="1" s="468">
      <c r="B29" s="384" t="n">
        <v>22</v>
      </c>
      <c r="C29" s="385" t="inlineStr">
        <is>
          <t>22_Valuation_DCF</t>
        </is>
      </c>
      <c r="D29" s="635" t="inlineStr">
        <is>
          <t>альбомн.</t>
        </is>
      </c>
      <c r="E29" s="625" t="inlineStr">
        <is>
          <t>A3</t>
        </is>
      </c>
      <c r="F29" s="640" t="inlineStr">
        <is>
          <t>A1:N75</t>
        </is>
      </c>
      <c r="G29" s="466" t="n"/>
      <c r="H29" s="635" t="inlineStr">
        <is>
          <t>1:6</t>
        </is>
      </c>
      <c r="I29" s="473" t="n"/>
      <c r="J29" s="473" t="n"/>
      <c r="K29" s="473" t="n"/>
      <c r="L29" s="473" t="n"/>
      <c r="M29" s="473" t="n"/>
      <c r="N29" s="466" t="n"/>
    </row>
    <row r="30" ht="18" customHeight="1" s="468">
      <c r="B30" s="384" t="n">
        <v>23</v>
      </c>
      <c r="C30" s="385" t="inlineStr">
        <is>
          <t>23_Valuation_Multiples</t>
        </is>
      </c>
      <c r="D30" s="635" t="inlineStr">
        <is>
          <t>альбомн.</t>
        </is>
      </c>
      <c r="E30" s="629" t="inlineStr">
        <is>
          <t>A4</t>
        </is>
      </c>
      <c r="F30" s="640" t="inlineStr">
        <is>
          <t>A1:N45</t>
        </is>
      </c>
      <c r="G30" s="466" t="n"/>
      <c r="H30" s="635" t="inlineStr">
        <is>
          <t>1:5</t>
        </is>
      </c>
      <c r="I30" s="473" t="n"/>
      <c r="J30" s="473" t="n"/>
      <c r="K30" s="473" t="n"/>
      <c r="L30" s="473" t="n"/>
      <c r="M30" s="473" t="n"/>
      <c r="N30" s="466" t="n"/>
    </row>
    <row r="31" ht="18" customHeight="1" s="468">
      <c r="B31" s="384" t="n">
        <v>24</v>
      </c>
      <c r="C31" s="385" t="inlineStr">
        <is>
          <t>24_Investor_Returns</t>
        </is>
      </c>
      <c r="D31" s="635" t="inlineStr">
        <is>
          <t>альбомн.</t>
        </is>
      </c>
      <c r="E31" s="629" t="inlineStr">
        <is>
          <t>A4</t>
        </is>
      </c>
      <c r="F31" s="640" t="inlineStr">
        <is>
          <t>A1:N50</t>
        </is>
      </c>
      <c r="G31" s="466" t="n"/>
      <c r="H31" s="635" t="inlineStr">
        <is>
          <t>1:5</t>
        </is>
      </c>
      <c r="I31" s="473" t="n"/>
      <c r="J31" s="473" t="n"/>
      <c r="K31" s="473" t="n"/>
      <c r="L31" s="473" t="n"/>
      <c r="M31" s="473" t="n"/>
      <c r="N31" s="466" t="n"/>
    </row>
    <row r="32" ht="18" customHeight="1" s="468">
      <c r="B32" s="384" t="n">
        <v>25</v>
      </c>
      <c r="C32" s="385" t="inlineStr">
        <is>
          <t>25_Exit_Scenarios</t>
        </is>
      </c>
      <c r="D32" s="635" t="inlineStr">
        <is>
          <t>альбомн.</t>
        </is>
      </c>
      <c r="E32" s="629" t="inlineStr">
        <is>
          <t>A4</t>
        </is>
      </c>
      <c r="F32" s="640" t="inlineStr">
        <is>
          <t>A1:N50</t>
        </is>
      </c>
      <c r="G32" s="466" t="n"/>
      <c r="H32" s="635" t="inlineStr">
        <is>
          <t>1:5</t>
        </is>
      </c>
      <c r="I32" s="473" t="n"/>
      <c r="J32" s="473" t="n"/>
      <c r="K32" s="473" t="n"/>
      <c r="L32" s="473" t="n"/>
      <c r="M32" s="473" t="n"/>
      <c r="N32" s="466" t="n"/>
    </row>
    <row r="33" ht="18" customHeight="1" s="468">
      <c r="B33" s="384" t="n">
        <v>26</v>
      </c>
      <c r="C33" s="385" t="inlineStr">
        <is>
          <t>26_Sensitivity</t>
        </is>
      </c>
      <c r="D33" s="635" t="inlineStr">
        <is>
          <t>альбомн.</t>
        </is>
      </c>
      <c r="E33" s="625" t="inlineStr">
        <is>
          <t>A3</t>
        </is>
      </c>
      <c r="F33" s="640" t="inlineStr">
        <is>
          <t>A1:P70</t>
        </is>
      </c>
      <c r="G33" s="466" t="n"/>
      <c r="H33" s="635" t="inlineStr">
        <is>
          <t>1:5</t>
        </is>
      </c>
      <c r="I33" s="473" t="n"/>
      <c r="J33" s="473" t="n"/>
      <c r="K33" s="473" t="n"/>
      <c r="L33" s="473" t="n"/>
      <c r="M33" s="473" t="n"/>
      <c r="N33" s="466" t="n"/>
    </row>
    <row r="34" ht="18" customHeight="1" s="468">
      <c r="B34" s="384" t="n">
        <v>27</v>
      </c>
      <c r="C34" s="385" t="inlineStr">
        <is>
          <t>27_Scenario_Analysis</t>
        </is>
      </c>
      <c r="D34" s="635" t="inlineStr">
        <is>
          <t>альбомн.</t>
        </is>
      </c>
      <c r="E34" s="625" t="inlineStr">
        <is>
          <t>A3</t>
        </is>
      </c>
      <c r="F34" s="640" t="inlineStr">
        <is>
          <t>A1:P70</t>
        </is>
      </c>
      <c r="G34" s="466" t="n"/>
      <c r="H34" s="635" t="inlineStr">
        <is>
          <t>1:5</t>
        </is>
      </c>
      <c r="I34" s="473" t="n"/>
      <c r="J34" s="473" t="n"/>
      <c r="K34" s="473" t="n"/>
      <c r="L34" s="473" t="n"/>
      <c r="M34" s="473" t="n"/>
      <c r="N34" s="466" t="n"/>
    </row>
    <row r="35" ht="18" customHeight="1" s="468">
      <c r="B35" s="384" t="n">
        <v>28</v>
      </c>
      <c r="C35" s="385" t="inlineStr">
        <is>
          <t>28_Monte_Carlo_Summary</t>
        </is>
      </c>
      <c r="D35" s="635" t="inlineStr">
        <is>
          <t>альбомн.</t>
        </is>
      </c>
      <c r="E35" s="625" t="inlineStr">
        <is>
          <t>A3</t>
        </is>
      </c>
      <c r="F35" s="640" t="inlineStr">
        <is>
          <t>A1:P80</t>
        </is>
      </c>
      <c r="G35" s="466" t="n"/>
      <c r="H35" s="635" t="inlineStr">
        <is>
          <t>1:5</t>
        </is>
      </c>
      <c r="I35" s="473" t="n"/>
      <c r="J35" s="473" t="n"/>
      <c r="K35" s="473" t="n"/>
      <c r="L35" s="473" t="n"/>
      <c r="M35" s="473" t="n"/>
      <c r="N35" s="466" t="n"/>
    </row>
    <row r="36" ht="18" customHeight="1" s="468">
      <c r="B36" s="384" t="n">
        <v>29</v>
      </c>
      <c r="C36" s="385" t="inlineStr">
        <is>
          <t>29_Risk_Register</t>
        </is>
      </c>
      <c r="D36" s="635" t="inlineStr">
        <is>
          <t>альбомн.</t>
        </is>
      </c>
      <c r="E36" s="625" t="inlineStr">
        <is>
          <t>A3</t>
        </is>
      </c>
      <c r="F36" s="640" t="inlineStr">
        <is>
          <t>A1:N95</t>
        </is>
      </c>
      <c r="G36" s="466" t="n"/>
      <c r="H36" s="635" t="inlineStr">
        <is>
          <t>1:6</t>
        </is>
      </c>
      <c r="I36" s="473" t="n"/>
      <c r="J36" s="473" t="n"/>
      <c r="K36" s="473" t="n"/>
      <c r="L36" s="473" t="n"/>
      <c r="M36" s="473" t="n"/>
      <c r="N36" s="466" t="n"/>
    </row>
    <row r="37" ht="18" customHeight="1" s="468">
      <c r="B37" s="384" t="n">
        <v>30</v>
      </c>
      <c r="C37" s="385" t="inlineStr">
        <is>
          <t>30_Market_Analysis</t>
        </is>
      </c>
      <c r="D37" s="635" t="inlineStr">
        <is>
          <t>альбомн.</t>
        </is>
      </c>
      <c r="E37" s="625" t="inlineStr">
        <is>
          <t>A3</t>
        </is>
      </c>
      <c r="F37" s="640" t="inlineStr">
        <is>
          <t>A1:N90</t>
        </is>
      </c>
      <c r="G37" s="466" t="n"/>
      <c r="H37" s="635" t="inlineStr">
        <is>
          <t>1:5</t>
        </is>
      </c>
      <c r="I37" s="473" t="n"/>
      <c r="J37" s="473" t="n"/>
      <c r="K37" s="473" t="n"/>
      <c r="L37" s="473" t="n"/>
      <c r="M37" s="473" t="n"/>
      <c r="N37" s="466" t="n"/>
    </row>
    <row r="38" ht="18" customHeight="1" s="468">
      <c r="B38" s="384" t="n">
        <v>31</v>
      </c>
      <c r="C38" s="385" t="inlineStr">
        <is>
          <t>31_Benchmarks</t>
        </is>
      </c>
      <c r="D38" s="635" t="inlineStr">
        <is>
          <t>альбомн.</t>
        </is>
      </c>
      <c r="E38" s="625" t="inlineStr">
        <is>
          <t>A3</t>
        </is>
      </c>
      <c r="F38" s="640" t="inlineStr">
        <is>
          <t>A1:N95</t>
        </is>
      </c>
      <c r="G38" s="466" t="n"/>
      <c r="H38" s="635" t="inlineStr">
        <is>
          <t>1:5</t>
        </is>
      </c>
      <c r="I38" s="473" t="n"/>
      <c r="J38" s="473" t="n"/>
      <c r="K38" s="473" t="n"/>
      <c r="L38" s="473" t="n"/>
      <c r="M38" s="473" t="n"/>
      <c r="N38" s="466" t="n"/>
    </row>
    <row r="39" ht="18" customHeight="1" s="468">
      <c r="B39" s="384" t="n">
        <v>32</v>
      </c>
      <c r="C39" s="385" t="inlineStr">
        <is>
          <t>32_Comparable_Transactions</t>
        </is>
      </c>
      <c r="D39" s="635" t="inlineStr">
        <is>
          <t>альбомн.</t>
        </is>
      </c>
      <c r="E39" s="625" t="inlineStr">
        <is>
          <t>A3</t>
        </is>
      </c>
      <c r="F39" s="640" t="inlineStr">
        <is>
          <t>A1:P85</t>
        </is>
      </c>
      <c r="G39" s="466" t="n"/>
      <c r="H39" s="635" t="inlineStr">
        <is>
          <t>1:5</t>
        </is>
      </c>
      <c r="I39" s="473" t="n"/>
      <c r="J39" s="473" t="n"/>
      <c r="K39" s="473" t="n"/>
      <c r="L39" s="473" t="n"/>
      <c r="M39" s="473" t="n"/>
      <c r="N39" s="466" t="n"/>
    </row>
    <row r="40" ht="18" customHeight="1" s="468">
      <c r="B40" s="384" t="n">
        <v>33</v>
      </c>
      <c r="C40" s="385" t="inlineStr">
        <is>
          <t>33_Gov_KPI</t>
        </is>
      </c>
      <c r="D40" s="635" t="inlineStr">
        <is>
          <t>альбомн.</t>
        </is>
      </c>
      <c r="E40" s="625" t="inlineStr">
        <is>
          <t>A3</t>
        </is>
      </c>
      <c r="F40" s="640" t="inlineStr">
        <is>
          <t>A1:N80</t>
        </is>
      </c>
      <c r="G40" s="466" t="n"/>
      <c r="H40" s="635" t="inlineStr">
        <is>
          <t>1:5</t>
        </is>
      </c>
      <c r="I40" s="473" t="n"/>
      <c r="J40" s="473" t="n"/>
      <c r="K40" s="473" t="n"/>
      <c r="L40" s="473" t="n"/>
      <c r="M40" s="473" t="n"/>
      <c r="N40" s="466" t="n"/>
    </row>
    <row r="41" ht="18" customHeight="1" s="468">
      <c r="B41" s="384" t="n">
        <v>34</v>
      </c>
      <c r="C41" s="385" t="inlineStr">
        <is>
          <t>34_Tax_Schedule</t>
        </is>
      </c>
      <c r="D41" s="635" t="inlineStr">
        <is>
          <t>альбомн.</t>
        </is>
      </c>
      <c r="E41" s="625" t="inlineStr">
        <is>
          <t>A3</t>
        </is>
      </c>
      <c r="F41" s="640" t="inlineStr">
        <is>
          <t>A1:T55</t>
        </is>
      </c>
      <c r="G41" s="466" t="n"/>
      <c r="H41" s="635" t="inlineStr">
        <is>
          <t>1:5</t>
        </is>
      </c>
      <c r="I41" s="473" t="n"/>
      <c r="J41" s="473" t="n"/>
      <c r="K41" s="473" t="n"/>
      <c r="L41" s="473" t="n"/>
      <c r="M41" s="473" t="n"/>
      <c r="N41" s="466" t="n"/>
    </row>
    <row r="42" ht="18" customHeight="1" s="468">
      <c r="B42" s="384" t="n">
        <v>35</v>
      </c>
      <c r="C42" s="385" t="inlineStr">
        <is>
          <t>35_Roadmap_2026_2032</t>
        </is>
      </c>
      <c r="D42" s="635" t="inlineStr">
        <is>
          <t>альбомн.</t>
        </is>
      </c>
      <c r="E42" s="625" t="inlineStr">
        <is>
          <t>A3</t>
        </is>
      </c>
      <c r="F42" s="640" t="inlineStr">
        <is>
          <t>A1:R95</t>
        </is>
      </c>
      <c r="G42" s="466" t="n"/>
      <c r="H42" s="635" t="inlineStr">
        <is>
          <t>1:5</t>
        </is>
      </c>
      <c r="I42" s="473" t="n"/>
      <c r="J42" s="473" t="n"/>
      <c r="K42" s="473" t="n"/>
      <c r="L42" s="473" t="n"/>
      <c r="M42" s="473" t="n"/>
      <c r="N42" s="466" t="n"/>
    </row>
    <row r="43" ht="18" customHeight="1" s="468">
      <c r="B43" s="384" t="n">
        <v>36</v>
      </c>
      <c r="C43" s="385" t="inlineStr">
        <is>
          <t>36_Executive_Summary</t>
        </is>
      </c>
      <c r="D43" s="635" t="inlineStr">
        <is>
          <t>книжн.</t>
        </is>
      </c>
      <c r="E43" s="629" t="inlineStr">
        <is>
          <t>A4</t>
        </is>
      </c>
      <c r="F43" s="640" t="inlineStr">
        <is>
          <t>A1:N90</t>
        </is>
      </c>
      <c r="G43" s="466" t="n"/>
      <c r="H43" s="635" t="inlineStr">
        <is>
          <t>1:6</t>
        </is>
      </c>
      <c r="I43" s="473" t="n"/>
      <c r="J43" s="473" t="n"/>
      <c r="K43" s="473" t="n"/>
      <c r="L43" s="473" t="n"/>
      <c r="M43" s="473" t="n"/>
      <c r="N43" s="466" t="n"/>
    </row>
    <row r="44" ht="18" customHeight="1" s="468">
      <c r="B44" s="384" t="n">
        <v>37</v>
      </c>
      <c r="C44" s="385" t="inlineStr">
        <is>
          <t>37_Glossary</t>
        </is>
      </c>
      <c r="D44" s="635" t="inlineStr">
        <is>
          <t>книжн.</t>
        </is>
      </c>
      <c r="E44" s="629" t="inlineStr">
        <is>
          <t>A4</t>
        </is>
      </c>
      <c r="F44" s="640" t="inlineStr">
        <is>
          <t>A1:N75</t>
        </is>
      </c>
      <c r="G44" s="466" t="n"/>
      <c r="H44" s="635" t="inlineStr">
        <is>
          <t>1:5</t>
        </is>
      </c>
      <c r="I44" s="473" t="n"/>
      <c r="J44" s="473" t="n"/>
      <c r="K44" s="473" t="n"/>
      <c r="L44" s="473" t="n"/>
      <c r="M44" s="473" t="n"/>
      <c r="N44" s="466" t="n"/>
    </row>
    <row r="45" ht="18" customHeight="1" s="468">
      <c r="B45" s="384" t="n">
        <v>38</v>
      </c>
      <c r="C45" s="385" t="inlineStr">
        <is>
          <t>38_Notes_and_Sources</t>
        </is>
      </c>
      <c r="D45" s="635" t="inlineStr">
        <is>
          <t>книжн.</t>
        </is>
      </c>
      <c r="E45" s="629" t="inlineStr">
        <is>
          <t>A4</t>
        </is>
      </c>
      <c r="F45" s="640" t="inlineStr">
        <is>
          <t>A1:N70</t>
        </is>
      </c>
      <c r="G45" s="466" t="n"/>
      <c r="H45" s="635" t="inlineStr">
        <is>
          <t>1:5</t>
        </is>
      </c>
      <c r="I45" s="473" t="n"/>
      <c r="J45" s="473" t="n"/>
      <c r="K45" s="473" t="n"/>
      <c r="L45" s="473" t="n"/>
      <c r="M45" s="473" t="n"/>
      <c r="N45" s="466" t="n"/>
    </row>
    <row r="46" ht="18" customHeight="1" s="468">
      <c r="B46" s="384" t="n">
        <v>39</v>
      </c>
      <c r="C46" s="385" t="inlineStr">
        <is>
          <t>39_TOC</t>
        </is>
      </c>
      <c r="D46" s="635" t="inlineStr">
        <is>
          <t>книжн.</t>
        </is>
      </c>
      <c r="E46" s="629" t="inlineStr">
        <is>
          <t>A4</t>
        </is>
      </c>
      <c r="F46" s="640" t="inlineStr">
        <is>
          <t>A1:N60</t>
        </is>
      </c>
      <c r="G46" s="466" t="n"/>
      <c r="H46" s="635" t="inlineStr">
        <is>
          <t>1:5</t>
        </is>
      </c>
      <c r="I46" s="473" t="n"/>
      <c r="J46" s="473" t="n"/>
      <c r="K46" s="473" t="n"/>
      <c r="L46" s="473" t="n"/>
      <c r="M46" s="473" t="n"/>
      <c r="N46" s="466" t="n"/>
    </row>
    <row r="47" ht="18" customHeight="1" s="468">
      <c r="B47" s="384" t="n">
        <v>40</v>
      </c>
      <c r="C47" s="385" t="inlineStr">
        <is>
          <t>40_Investor_Checklist</t>
        </is>
      </c>
      <c r="D47" s="635" t="inlineStr">
        <is>
          <t>книжн.</t>
        </is>
      </c>
      <c r="E47" s="629" t="inlineStr">
        <is>
          <t>A4</t>
        </is>
      </c>
      <c r="F47" s="640" t="inlineStr">
        <is>
          <t>A1:N85</t>
        </is>
      </c>
      <c r="G47" s="466" t="n"/>
      <c r="H47" s="635" t="inlineStr">
        <is>
          <t>1:5</t>
        </is>
      </c>
      <c r="I47" s="473" t="n"/>
      <c r="J47" s="473" t="n"/>
      <c r="K47" s="473" t="n"/>
      <c r="L47" s="473" t="n"/>
      <c r="M47" s="473" t="n"/>
      <c r="N47" s="466" t="n"/>
    </row>
    <row r="48" ht="18" customHeight="1" s="468">
      <c r="B48" s="384" t="n">
        <v>41</v>
      </c>
      <c r="C48" s="385" t="inlineStr">
        <is>
          <t>41_Print_Setup</t>
        </is>
      </c>
      <c r="D48" s="635" t="inlineStr">
        <is>
          <t>альбомн.</t>
        </is>
      </c>
      <c r="E48" s="629" t="inlineStr">
        <is>
          <t>A4</t>
        </is>
      </c>
      <c r="F48" s="640" t="inlineStr">
        <is>
          <t>A1:N55</t>
        </is>
      </c>
      <c r="G48" s="466" t="n"/>
      <c r="H48" s="635" t="inlineStr">
        <is>
          <t>1:5</t>
        </is>
      </c>
      <c r="I48" s="473" t="n"/>
      <c r="J48" s="473" t="n"/>
      <c r="K48" s="473" t="n"/>
      <c r="L48" s="473" t="n"/>
      <c r="M48" s="473" t="n"/>
      <c r="N48" s="466" t="n"/>
    </row>
    <row r="49" ht="18" customHeight="1" s="468">
      <c r="B49" s="384" t="n">
        <v>42</v>
      </c>
      <c r="C49" s="385" t="inlineStr">
        <is>
          <t>42_Cover_Letter</t>
        </is>
      </c>
      <c r="D49" s="635" t="inlineStr">
        <is>
          <t>книжн.</t>
        </is>
      </c>
      <c r="E49" s="629" t="inlineStr">
        <is>
          <t>A4</t>
        </is>
      </c>
      <c r="F49" s="640" t="inlineStr">
        <is>
          <t>A1:N50</t>
        </is>
      </c>
      <c r="G49" s="466" t="n"/>
      <c r="H49" s="635" t="inlineStr">
        <is>
          <t>1:3</t>
        </is>
      </c>
      <c r="I49" s="473" t="n"/>
      <c r="J49" s="473" t="n"/>
      <c r="K49" s="473" t="n"/>
      <c r="L49" s="473" t="n"/>
      <c r="M49" s="473" t="n"/>
      <c r="N49" s="466" t="n"/>
    </row>
    <row r="51" ht="28" customHeight="1" s="468">
      <c r="B51" s="849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F41:G41"/>
    <mergeCell ref="H10:N10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18" customWidth="1" style="468" min="3" max="3"/>
    <col width="20" customWidth="1" style="468" min="4" max="6"/>
    <col width="14" customWidth="1" style="468" min="7" max="14"/>
    <col width="2" customWidth="1" style="468" min="15" max="15"/>
  </cols>
  <sheetData>
    <row r="2" ht="19" customHeight="1" s="468">
      <c r="B2" s="854" t="inlineStr">
        <is>
          <t>ТРЕНДСТУДИО ХОЛДИНГ</t>
        </is>
      </c>
    </row>
    <row r="3">
      <c r="B3" s="767" t="inlineStr">
        <is>
          <t>Москва, РФ</t>
        </is>
      </c>
    </row>
    <row r="4">
      <c r="B4" s="767" t="inlineStr">
        <is>
          <t>Конфиденциально — для квалифицированных инвесторов</t>
        </is>
      </c>
    </row>
    <row r="6">
      <c r="J6" s="855" t="inlineStr">
        <is>
          <t>Дата: 12 апреля 2026 г.</t>
        </is>
      </c>
    </row>
    <row r="7">
      <c r="J7" s="855" t="inlineStr">
        <is>
          <t>Исх. № TS-2026-04-001</t>
        </is>
      </c>
    </row>
    <row r="9" ht="28" customHeight="1" s="468">
      <c r="B9" s="856" t="inlineStr">
        <is>
          <t>СОПРОВОДИТЕЛЬНОЕ ПИСЬМО К ИНВЕСТОР (ИНВЕСТОР) PACKAGE v1.0.1</t>
        </is>
      </c>
    </row>
    <row r="11" ht="22" customHeight="1" s="468">
      <c r="B11" s="857" t="inlineStr">
        <is>
          <t>Уважаемый LP (ограниченный партнёр),</t>
        </is>
      </c>
    </row>
    <row r="13" ht="28" customHeight="1" s="468">
      <c r="B13" s="858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 s="468">
      <c r="B15" s="858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 s="468">
      <c r="B17" s="858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 s="468">
      <c r="B19" s="858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 s="468">
      <c r="B21" s="858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 s="468">
      <c r="B23" s="858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 s="468">
      <c r="B26" s="858" t="inlineStr">
        <is>
          <t>С уважением,</t>
        </is>
      </c>
    </row>
    <row r="29">
      <c r="B29" s="859" t="inlineStr">
        <is>
          <t>Генеральный директор</t>
        </is>
      </c>
    </row>
    <row r="30">
      <c r="B30" s="860" t="inlineStr">
        <is>
          <t>ТрендСтудио Холдинг</t>
        </is>
      </c>
    </row>
    <row r="31">
      <c r="B31" s="861" t="inlineStr">
        <is>
          <t>_____________________</t>
        </is>
      </c>
    </row>
    <row r="32">
      <c r="B32" s="862" t="inlineStr">
        <is>
          <t>(подпись) / М.П.</t>
        </is>
      </c>
    </row>
    <row r="35">
      <c r="B35" s="863" t="inlineStr">
        <is>
          <t>ПРИЛОЖЕНИЯ:</t>
        </is>
      </c>
    </row>
    <row r="36" ht="18" customHeight="1" s="468">
      <c r="B36" s="848" t="inlineStr">
        <is>
          <t>1. Investor Package (Инвестиционный пакет) v1.0.1 Public — investor_model_v1.0_Public.xlsx</t>
        </is>
      </c>
    </row>
    <row r="37" ht="18" customHeight="1" s="468">
      <c r="B37" s="848" t="inlineStr">
        <is>
          <t>2. Executive Summary (Краткое резюме) — см. лист 36</t>
        </is>
      </c>
    </row>
    <row r="38" ht="18" customHeight="1" s="468">
      <c r="B38" s="848" t="inlineStr">
        <is>
          <t>3. Due Diligence (Комплексная проверка) Checklist — см. лист 40 (62 пункта)</t>
        </is>
      </c>
    </row>
    <row r="39" ht="18" customHeight="1" s="468">
      <c r="B39" s="848" t="inlineStr">
        <is>
          <t>4. Risk Register (Реестр рисков) — см. лист 29 (30 рисков)</t>
        </is>
      </c>
    </row>
    <row r="40" ht="18" customHeight="1" s="468">
      <c r="B40" s="848" t="inlineStr">
        <is>
          <t>5. Notes &amp; Sources — см. лист 38 (методология + disclaimers)</t>
        </is>
      </c>
    </row>
    <row r="42" ht="36" customHeight="1" s="468">
      <c r="B42" s="849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2026-04-12T14:22:20Z</dcterms:modified>
  <cp:lastModifiedBy>a</cp:lastModifiedBy>
  <cp:keywords>investor, financial model, L3, pre-IPO, cinema</cp:keywords>
</cp:coreProperties>
</file>