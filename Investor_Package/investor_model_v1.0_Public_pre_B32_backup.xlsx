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b val="1"/>
      <color rgb="00FFFFFF"/>
      <sz val="14"/>
    </font>
    <font>
      <name val="Calibri"/>
      <b val="1"/>
      <color rgb="00548235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2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3" fillId="35" borderId="15" applyAlignment="1" pivotButton="0" quotePrefix="0" xfId="0">
      <alignment horizontal="center" vertical="center" wrapText="1"/>
    </xf>
    <xf numFmtId="0" fontId="103" fillId="35" borderId="15" applyAlignment="1" pivotButton="0" quotePrefix="0" xfId="0">
      <alignment horizontal="left" vertical="center" wrapText="1"/>
    </xf>
    <xf numFmtId="174" fontId="103" fillId="35" borderId="15" applyAlignment="1" pivotButton="0" quotePrefix="0" xfId="0">
      <alignment horizontal="right" vertical="center" wrapText="1"/>
    </xf>
    <xf numFmtId="186" fontId="103" fillId="35" borderId="15" applyAlignment="1" pivotButton="0" quotePrefix="0" xfId="0">
      <alignment horizontal="center" vertical="center" wrapText="1"/>
    </xf>
    <xf numFmtId="193" fontId="103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3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</sheetData>
  <mergeCells count="55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2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3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4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3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3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2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3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3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30" t="inlineStr">
        <is>
          <t>ВСЕГО ДОПУЩЕНИЙ: 88  ·  Блоков: 13  ·  Якорь EBITDA 2026–2028 = 3 000 млн ₽  ·  Waterfall: 4 варианта (default W₃)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147" t="inlineStr">
        <is>
          <t>(−) Producer share (waterfall W₃ default · 60/40 от residual после Liq Pref + coupon)</t>
        </is>
      </c>
      <c r="D130" s="151" t="n">
        <v>-500</v>
      </c>
      <c r="E130" s="152" t="inlineStr">
        <is>
          <t>Под W₃: producer = 40% × residual 1250 = 500 млн ₽</t>
        </is>
      </c>
    </row>
    <row r="131" ht="18" customHeight="1">
      <c r="B131" s="153" t="inlineStr">
        <is>
          <t>=</t>
        </is>
      </c>
      <c r="C131" s="154" t="inlineStr">
        <is>
          <t>Investor net distributable proceeds</t>
        </is>
      </c>
      <c r="D131" s="155" t="n">
        <v>2500</v>
      </c>
      <c r="E131" s="156" t="inlineStr">
        <is>
          <t>Под W₃: 1250 Liq Pref + 500 coupon + 750 carried (60% × 1250)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147" t="inlineStr">
        <is>
          <t>Waterfall split (default W₃ Liq Pref)</t>
        </is>
      </c>
      <c r="D138" s="161" t="inlineStr">
        <is>
          <t>1× + 8%</t>
        </is>
      </c>
      <c r="E138" s="159" t="inlineStr">
        <is>
          <t>—  ·  Инвестор / Продюсер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W₃ default · 60/40 от residual после Liq Pref + coupon)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5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6" t="inlineStr">
        <is>
          <t>W₁  ·  HURDLE SPLIT  ·  60 / 40 до break-even, затем 50 / 50</t>
        </is>
      </c>
    </row>
    <row r="6">
      <c r="B6" s="527" t="inlineStr">
        <is>
          <t>#</t>
        </is>
      </c>
      <c r="C6" s="527" t="inlineStr">
        <is>
          <t>Stage</t>
        </is>
      </c>
      <c r="D6" s="527" t="inlineStr">
        <is>
          <t>Размер стадии</t>
        </is>
      </c>
      <c r="E6" s="527" t="inlineStr">
        <is>
          <t>Инвестор</t>
        </is>
      </c>
      <c r="G6" s="527" t="inlineStr">
        <is>
          <t>Продюсер</t>
        </is>
      </c>
      <c r="I6" s="527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28" t="n">
        <v>2083.3</v>
      </c>
      <c r="E7" s="528" t="n">
        <v>1250</v>
      </c>
      <c r="G7" s="528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28" t="n">
        <v>916.7</v>
      </c>
      <c r="E8" s="528" t="n">
        <v>458.3</v>
      </c>
      <c r="G8" s="528" t="n">
        <v>458.3</v>
      </c>
      <c r="I8" s="206" t="inlineStr">
        <is>
          <t>50/50 на оставшиеся 917 млн после recoupment</t>
        </is>
      </c>
    </row>
    <row r="9">
      <c r="B9" s="529" t="inlineStr">
        <is>
          <t>Σ</t>
        </is>
      </c>
      <c r="C9" s="530" t="inlineStr">
        <is>
          <t>TOTAL W₁</t>
        </is>
      </c>
      <c r="D9" s="531" t="n">
        <v>3000</v>
      </c>
      <c r="E9" s="531" t="n">
        <v>1708.3</v>
      </c>
      <c r="G9" s="531" t="n">
        <v>1291.7</v>
      </c>
      <c r="I9" s="530" t="inlineStr">
        <is>
          <t>Инвестор 56.9% / Продюсер 43.1%</t>
        </is>
      </c>
    </row>
    <row r="11" ht="22" customHeight="1">
      <c r="B11" s="526" t="inlineStr">
        <is>
          <t>W₂  ·  PRO-RATA  ·  По доле финансового вклада (67.6% / 32.4%)</t>
        </is>
      </c>
    </row>
    <row r="12">
      <c r="B12" s="527" t="inlineStr">
        <is>
          <t>#</t>
        </is>
      </c>
      <c r="C12" s="527" t="inlineStr">
        <is>
          <t>Stage</t>
        </is>
      </c>
      <c r="D12" s="527" t="inlineStr">
        <is>
          <t>Размер стадии</t>
        </is>
      </c>
      <c r="E12" s="527" t="inlineStr">
        <is>
          <t>Инвестор</t>
        </is>
      </c>
      <c r="G12" s="527" t="inlineStr">
        <is>
          <t>Продюсер</t>
        </is>
      </c>
      <c r="I12" s="527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28" t="n">
        <v>2027</v>
      </c>
      <c r="E13" s="528" t="n">
        <v>2027</v>
      </c>
      <c r="G13" s="532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28" t="n">
        <v>973</v>
      </c>
      <c r="E14" s="532" t="n"/>
      <c r="G14" s="528" t="n">
        <v>973</v>
      </c>
      <c r="I14" s="206" t="inlineStr">
        <is>
          <t>Доля продюсера: 32.43%</t>
        </is>
      </c>
    </row>
    <row r="15">
      <c r="B15" s="529" t="inlineStr">
        <is>
          <t>Σ</t>
        </is>
      </c>
      <c r="C15" s="530" t="inlineStr">
        <is>
          <t>TOTAL W₂</t>
        </is>
      </c>
      <c r="D15" s="531" t="n">
        <v>3000</v>
      </c>
      <c r="E15" s="531" t="n">
        <v>2027</v>
      </c>
      <c r="G15" s="531" t="n">
        <v>973</v>
      </c>
      <c r="I15" s="530" t="inlineStr">
        <is>
          <t>Pro-rata даёт больше инвестору (+318 vs W₁)</t>
        </is>
      </c>
    </row>
    <row r="17" ht="22" customHeight="1">
      <c r="B17" s="533" t="inlineStr">
        <is>
          <t>W₃  ·  LIQ PREF  ·  1× + 8% coupon + 60/40 на остаток  (★ DEFAULT с v1.0.1)</t>
        </is>
      </c>
    </row>
    <row r="18">
      <c r="B18" s="527" t="inlineStr">
        <is>
          <t>#</t>
        </is>
      </c>
      <c r="C18" s="527" t="inlineStr">
        <is>
          <t>Stage</t>
        </is>
      </c>
      <c r="D18" s="527" t="inlineStr">
        <is>
          <t>Размер стадии</t>
        </is>
      </c>
      <c r="E18" s="527" t="inlineStr">
        <is>
          <t>Инвестор</t>
        </is>
      </c>
      <c r="G18" s="527" t="inlineStr">
        <is>
          <t>Продюсер</t>
        </is>
      </c>
      <c r="I18" s="527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28" t="n">
        <v>1250</v>
      </c>
      <c r="E19" s="528" t="n">
        <v>1250</v>
      </c>
      <c r="G19" s="528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28" t="n">
        <v>500</v>
      </c>
      <c r="E20" s="528" t="n">
        <v>500</v>
      </c>
      <c r="G20" s="528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28" t="n">
        <v>1250</v>
      </c>
      <c r="E21" s="528" t="n">
        <v>750</v>
      </c>
      <c r="G21" s="528" t="n">
        <v>500</v>
      </c>
      <c r="I21" s="206" t="inlineStr">
        <is>
          <t>Carried interest: 60% investor / 40% producer</t>
        </is>
      </c>
    </row>
    <row r="22">
      <c r="B22" s="534" t="inlineStr">
        <is>
          <t>Σ</t>
        </is>
      </c>
      <c r="C22" s="535" t="inlineStr">
        <is>
          <t>TOTAL W₃ ★</t>
        </is>
      </c>
      <c r="D22" s="536" t="n">
        <v>3000</v>
      </c>
      <c r="E22" s="536" t="n">
        <v>2500</v>
      </c>
      <c r="F22" s="537" t="n"/>
      <c r="G22" s="536" t="n">
        <v>500</v>
      </c>
      <c r="H22" s="537" t="n"/>
      <c r="I22" s="535" t="inlineStr">
        <is>
          <t>Investor 83.3% / Producer 16.7% — BASE CASE</t>
        </is>
      </c>
    </row>
    <row r="24" ht="22" customHeight="1">
      <c r="B24" s="538" t="inlineStr">
        <is>
          <t>W₄  ·  PREMIUM  ·  1× + 12% preferred × 5y + 65/35 + exit 6× (premium negotiation)</t>
        </is>
      </c>
    </row>
    <row r="25">
      <c r="B25" s="527" t="inlineStr">
        <is>
          <t>#</t>
        </is>
      </c>
      <c r="C25" s="527" t="inlineStr">
        <is>
          <t>Stage</t>
        </is>
      </c>
      <c r="D25" s="527" t="inlineStr">
        <is>
          <t>Размер стадии</t>
        </is>
      </c>
      <c r="E25" s="527" t="inlineStr">
        <is>
          <t>Инвестор</t>
        </is>
      </c>
      <c r="G25" s="527" t="inlineStr">
        <is>
          <t>Продюсер</t>
        </is>
      </c>
      <c r="I25" s="527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28" t="n">
        <v>1250</v>
      </c>
      <c r="E26" s="528" t="n">
        <v>1250</v>
      </c>
      <c r="G26" s="528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28" t="n">
        <v>750</v>
      </c>
      <c r="E27" s="528" t="n">
        <v>750</v>
      </c>
      <c r="G27" s="528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28" t="n">
        <v>1000</v>
      </c>
      <c r="E28" s="528" t="n">
        <v>650</v>
      </c>
      <c r="G28" s="528" t="n">
        <v>350</v>
      </c>
      <c r="I28" s="206" t="inlineStr">
        <is>
          <t>Carry: 65% investor / 35% producer</t>
        </is>
      </c>
    </row>
    <row r="29">
      <c r="B29" s="529" t="inlineStr">
        <is>
          <t>Σ</t>
        </is>
      </c>
      <c r="C29" s="530" t="inlineStr">
        <is>
          <t>TOTAL W₄</t>
        </is>
      </c>
      <c r="D29" s="531" t="n">
        <v>3000</v>
      </c>
      <c r="E29" s="531" t="n">
        <v>2650</v>
      </c>
      <c r="G29" s="531" t="n">
        <v>350</v>
      </c>
      <c r="I29" s="530" t="inlineStr">
        <is>
          <t>Investor 88.3% / Producer 11.7% — PREMIUM</t>
        </is>
      </c>
    </row>
    <row r="31" ht="22" customHeight="1">
      <c r="B31" s="526" t="inlineStr">
        <is>
          <t>IV  ·  COMPARISON TABLE  ·  4 варианта (IRR — см. 24_Investor_Returns)</t>
        </is>
      </c>
    </row>
    <row r="32">
      <c r="B32" s="527" t="inlineStr">
        <is>
          <t>#</t>
        </is>
      </c>
      <c r="C32" s="527" t="inlineStr">
        <is>
          <t>Вариант</t>
        </is>
      </c>
      <c r="D32" s="527" t="inlineStr">
        <is>
          <t>Инвестор, млн ₽</t>
        </is>
      </c>
      <c r="E32" s="527" t="inlineStr">
        <is>
          <t>Инв %</t>
        </is>
      </c>
      <c r="F32" s="527" t="inlineStr">
        <is>
          <t>Продюсер, млн ₽</t>
        </is>
      </c>
      <c r="G32" s="527" t="inlineStr">
        <is>
          <t>Прод %</t>
        </is>
      </c>
      <c r="H32" s="527" t="inlineStr">
        <is>
          <t>MoIC</t>
        </is>
      </c>
      <c r="I32" s="527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28" t="n">
        <v>1708.3</v>
      </c>
      <c r="E33" s="228" t="n">
        <v>56.9</v>
      </c>
      <c r="F33" s="528" t="n">
        <v>1291.7</v>
      </c>
      <c r="G33" s="228" t="n">
        <v>43.1</v>
      </c>
      <c r="H33" s="539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28" t="n">
        <v>2027</v>
      </c>
      <c r="E34" s="228" t="n">
        <v>67.59999999999999</v>
      </c>
      <c r="F34" s="528" t="n">
        <v>973</v>
      </c>
      <c r="G34" s="228" t="n">
        <v>32.4</v>
      </c>
      <c r="H34" s="539" t="n">
        <v>1.622</v>
      </c>
      <c r="I34" s="206" t="inlineStr">
        <is>
          <t>Fair by capital, no hurdle</t>
        </is>
      </c>
    </row>
    <row r="35">
      <c r="B35" s="540" t="inlineStr">
        <is>
          <t>W₃</t>
        </is>
      </c>
      <c r="C35" s="541" t="inlineStr">
        <is>
          <t>1× Liq Pref + 8% + 60/40</t>
        </is>
      </c>
      <c r="D35" s="542" t="n">
        <v>2500</v>
      </c>
      <c r="E35" s="543" t="n">
        <v>83.3</v>
      </c>
      <c r="F35" s="542" t="n">
        <v>500</v>
      </c>
      <c r="G35" s="543" t="n">
        <v>16.7</v>
      </c>
      <c r="H35" s="544" t="n">
        <v>2</v>
      </c>
      <c r="I35" s="541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28" t="n">
        <v>2650</v>
      </c>
      <c r="E36" s="228" t="n">
        <v>88.33333333333333</v>
      </c>
      <c r="F36" s="528" t="n">
        <v>350</v>
      </c>
      <c r="G36" s="228" t="n">
        <v>11.66666666666667</v>
      </c>
      <c r="H36" s="539" t="n">
        <v>2.12</v>
      </c>
      <c r="I36" s="206" t="inlineStr">
        <is>
          <t>Premium negotiation option</t>
        </is>
      </c>
    </row>
    <row r="38">
      <c r="B38" s="545" t="inlineStr">
        <is>
          <t>✓ W₁ Σ = 3 000.0  ·  ✓ W₂ Σ = 3 000.0  ·  ✓ W₃ Σ = 3 000.0 (★ DEFAULT)  ·  ✓ W₄ Σ = 3,000.0  |  IRR cash-on-cash: см. 24_Investor_Returns Matrix 3×4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244" t="inlineStr">
        <is>
          <t>I. T₁ INVESTOR CASHFLOW SCHEDULE (Base case · W₃ Liq Pref + 8% + 60/40 DEFAULT)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Liq Pref partial</t>
        </is>
      </c>
      <c r="E12" s="546" t="n">
        <v>500</v>
      </c>
      <c r="F12" s="546" t="n"/>
      <c r="G12" s="257" t="n"/>
      <c r="H12" s="546" t="n">
        <v>500</v>
      </c>
      <c r="I12" s="546" t="n">
        <v>-750</v>
      </c>
      <c r="J12" s="546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Liq Pref final + coupon</t>
        </is>
      </c>
      <c r="E13" s="546" t="n">
        <v>750</v>
      </c>
      <c r="F13" s="546" t="n">
        <v>500</v>
      </c>
      <c r="G13" s="546" t="n"/>
      <c r="H13" s="546" t="n">
        <v>1250</v>
      </c>
      <c r="I13" s="546" t="n">
        <v>500</v>
      </c>
      <c r="J13" s="546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Carried interest share</t>
        </is>
      </c>
      <c r="E14" s="546" t="n"/>
      <c r="F14" s="257" t="n"/>
      <c r="G14" s="546" t="n">
        <v>375</v>
      </c>
      <c r="H14" s="546" t="n">
        <v>375</v>
      </c>
      <c r="I14" s="546" t="n">
        <v>875</v>
      </c>
      <c r="J14" s="546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Carried interest share</t>
        </is>
      </c>
      <c r="E15" s="546" t="n"/>
      <c r="F15" s="257" t="n"/>
      <c r="G15" s="546" t="n">
        <v>375</v>
      </c>
      <c r="H15" s="546" t="n">
        <v>375</v>
      </c>
      <c r="I15" s="546" t="n">
        <v>1250</v>
      </c>
      <c r="J15" s="546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47" t="n">
        <v>0</v>
      </c>
      <c r="F16" s="547" t="n">
        <v>500</v>
      </c>
      <c r="G16" s="547" t="n">
        <v>750</v>
      </c>
      <c r="H16" s="547" t="n">
        <v>1250</v>
      </c>
      <c r="I16" s="273" t="n"/>
      <c r="J16" s="273" t="n"/>
      <c r="K16" s="273" t="n"/>
    </row>
    <row r="18">
      <c r="B18" s="244" t="inlineStr">
        <is>
          <t>II. RETURNS MATRIX — 3 SCENARIOS × 4 WATERFALLS (IRR / MOIC, единая методология)</t>
        </is>
      </c>
    </row>
    <row r="19">
      <c r="B19" s="527" t="inlineStr">
        <is>
          <t>#</t>
        </is>
      </c>
      <c r="C19" s="527" t="inlineStr">
        <is>
          <t>Сценарий</t>
        </is>
      </c>
      <c r="D19" s="527" t="inlineStr">
        <is>
          <t>W₁ IRR</t>
        </is>
      </c>
      <c r="E19" s="527" t="inlineStr">
        <is>
          <t>W₁ MOIC</t>
        </is>
      </c>
      <c r="F19" s="527" t="inlineStr">
        <is>
          <t>W₂ IRR</t>
        </is>
      </c>
      <c r="G19" s="527" t="inlineStr">
        <is>
          <t>W₂ MOIC</t>
        </is>
      </c>
      <c r="H19" s="527" t="inlineStr">
        <is>
          <t>W₃ IRR</t>
        </is>
      </c>
      <c r="I19" s="527" t="inlineStr">
        <is>
          <t>W₃ MOIC</t>
        </is>
      </c>
      <c r="J19" s="527" t="inlineStr">
        <is>
          <t>W₄ IRR</t>
        </is>
      </c>
      <c r="K19" s="527" t="inlineStr">
        <is>
          <t>W₄ MOIC</t>
        </is>
      </c>
      <c r="L19" s="527" t="inlineStr">
        <is>
          <t>Best</t>
        </is>
      </c>
      <c r="M19" s="527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48" t="n">
        <v>1.532617788497537</v>
      </c>
      <c r="E20" s="539" t="n">
        <v>1.066668</v>
      </c>
      <c r="F20" s="548" t="n">
        <v>4.736693562463778</v>
      </c>
      <c r="G20" s="539" t="n">
        <v>1.216216216216216</v>
      </c>
      <c r="H20" s="549" t="n">
        <v>12.50390006512723</v>
      </c>
      <c r="I20" s="544" t="n">
        <v>1.64</v>
      </c>
      <c r="J20" s="550" t="n">
        <v>13.96390487175871</v>
      </c>
      <c r="K20" s="551" t="n">
        <v>1.73</v>
      </c>
      <c r="L20" s="212" t="inlineStr">
        <is>
          <t>W₄</t>
        </is>
      </c>
      <c r="M20" s="552" t="n">
        <v>2250</v>
      </c>
    </row>
    <row r="21">
      <c r="B21" s="226" t="n">
        <v>2</v>
      </c>
      <c r="C21" s="247" t="inlineStr">
        <is>
          <t>Base</t>
        </is>
      </c>
      <c r="D21" s="553" t="n">
        <v>7.687716860374616</v>
      </c>
      <c r="E21" s="554" t="n">
        <v>1.366668</v>
      </c>
      <c r="F21" s="553" t="n">
        <v>12.19879660470751</v>
      </c>
      <c r="G21" s="554" t="n">
        <v>1.621621621621621</v>
      </c>
      <c r="H21" s="549" t="n">
        <v>18.04314415327262</v>
      </c>
      <c r="I21" s="544" t="n">
        <v>2</v>
      </c>
      <c r="J21" s="550" t="n">
        <v>19.73117645203768</v>
      </c>
      <c r="K21" s="551" t="n">
        <v>2.12</v>
      </c>
      <c r="L21" s="212" t="inlineStr">
        <is>
          <t>W₄</t>
        </is>
      </c>
      <c r="M21" s="552" t="n">
        <v>3000</v>
      </c>
    </row>
    <row r="22">
      <c r="B22" s="191" t="n">
        <v>3</v>
      </c>
      <c r="C22" s="234" t="inlineStr">
        <is>
          <t>Bull</t>
        </is>
      </c>
      <c r="D22" s="548" t="n">
        <v>12.94232927711196</v>
      </c>
      <c r="E22" s="539" t="n">
        <v>1.666668</v>
      </c>
      <c r="F22" s="548" t="n">
        <v>18.42946922376654</v>
      </c>
      <c r="G22" s="539" t="n">
        <v>2.027027027027027</v>
      </c>
      <c r="H22" s="549" t="n">
        <v>22.91405074019273</v>
      </c>
      <c r="I22" s="544" t="n">
        <v>2.36</v>
      </c>
      <c r="J22" s="550" t="n">
        <v>24.78851956006107</v>
      </c>
      <c r="K22" s="551" t="n">
        <v>2.51</v>
      </c>
      <c r="L22" s="212" t="inlineStr">
        <is>
          <t>W₄</t>
        </is>
      </c>
      <c r="M22" s="552" t="n">
        <v>3750</v>
      </c>
    </row>
    <row r="25">
      <c r="B25" s="244" t="inlineStr">
        <is>
          <t>III. CASH-ON-CASH METRICS (Base case · W₃ DEFAULT)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5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55" t="n">
        <v>2500</v>
      </c>
      <c r="H27" s="187" t="n"/>
      <c r="I27" s="159" t="inlineStr">
        <is>
          <t>W₃: 1250 liq pref + 500 coupon + 750 carried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55" t="n">
        <v>1250</v>
      </c>
      <c r="H28" s="187" t="n"/>
      <c r="I28" s="159" t="inlineStr">
        <is>
          <t>Return on capital (net gain)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56" t="n">
        <v>100</v>
      </c>
      <c r="H29" s="187" t="n"/>
      <c r="I29" s="159" t="inlineStr">
        <is>
          <t>Total return % (net gain / invest)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57" t="n">
        <v>2</v>
      </c>
      <c r="H30" s="187" t="n"/>
      <c r="I30" s="159" t="inlineStr">
        <is>
          <t>MOIC = 2500/1250 (investor-friendly W₃)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57" t="n">
        <v>2</v>
      </c>
      <c r="H31" s="187" t="n"/>
      <c r="I31" s="159" t="inlineStr">
        <is>
          <t>DPI 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57" t="n">
        <v>2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56" t="n">
        <v>18.04314415327262</v>
      </c>
      <c r="H33" s="187" t="n"/>
      <c r="I33" s="159" t="inlineStr">
        <is>
          <t>Hurdle 18%, PASS (fractional period IRR)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55" t="n">
        <v>1250</v>
      </c>
      <c r="H34" s="187" t="n"/>
      <c r="I34" s="159" t="inlineStr">
        <is>
          <t>Q4'26 full draw 1 250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3.75</v>
      </c>
      <c r="H35" s="187" t="n"/>
      <c r="I35" s="159" t="inlineStr">
        <is>
          <t>2029-начало 2030 full principal return</t>
        </is>
      </c>
      <c r="J35" s="186" t="n"/>
      <c r="K35" s="187" t="n"/>
    </row>
    <row r="38">
      <c r="B38" s="244" t="inlineStr">
        <is>
          <t>IV. RETURN ATTRIBUTION — РАЗБИВКА ROI (Base W₃ DEFAULT)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50</v>
      </c>
      <c r="J40" s="206" t="inlineStr">
        <is>
          <t>Stage 1 W₃: senior recovery</t>
        </is>
      </c>
      <c r="K40" s="187" t="n"/>
    </row>
    <row r="41">
      <c r="B41" s="205" t="n">
        <v>2</v>
      </c>
      <c r="C41" s="206" t="inlineStr">
        <is>
          <t>Preferred Return Coupon (8% × 5y)</t>
        </is>
      </c>
      <c r="D41" s="186" t="n"/>
      <c r="E41" s="186" t="n"/>
      <c r="F41" s="186" t="n"/>
      <c r="G41" s="187" t="n"/>
      <c r="H41" s="227" t="n">
        <v>500</v>
      </c>
      <c r="I41" s="236" t="n">
        <v>20</v>
      </c>
      <c r="J41" s="206" t="inlineStr">
        <is>
          <t>Stage 2 W₃: 1 250 × 8% × 5y = 500</t>
        </is>
      </c>
      <c r="K41" s="187" t="n"/>
    </row>
    <row r="42">
      <c r="B42" s="205" t="n">
        <v>3</v>
      </c>
      <c r="C42" s="206" t="inlineStr">
        <is>
          <t>Carried Interest Share (60% of 1 250 residual)</t>
        </is>
      </c>
      <c r="D42" s="186" t="n"/>
      <c r="E42" s="186" t="n"/>
      <c r="F42" s="186" t="n"/>
      <c r="G42" s="187" t="n"/>
      <c r="H42" s="227" t="n">
        <v>750</v>
      </c>
      <c r="I42" s="236" t="n">
        <v>30</v>
      </c>
      <c r="J42" s="206" t="inlineStr">
        <is>
          <t>Stage 3 W₃: 60% × (3000 − 1250 − 500)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558" t="n">
        <v>2500</v>
      </c>
      <c r="I43" s="280" t="n">
        <v>100</v>
      </c>
      <c r="J43" s="180">
        <f> 1250 + 500 + 750 (W₃ Base NDP 3000)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59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default)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(база 18.04% = hurdle 18% ровно). Под W₃ чувствительность IRR ниже из-за floor 1× Liq Pref (downside protection).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(база 18.04%)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13.54</v>
      </c>
      <c r="E31" s="236" t="n">
        <v>18.04</v>
      </c>
      <c r="F31" s="236" t="n">
        <v>21.84</v>
      </c>
      <c r="G31" s="291" t="n">
        <v>-4.5</v>
      </c>
      <c r="H31" s="291" t="n">
        <v>3.8</v>
      </c>
      <c r="I31" s="291" t="n">
        <v>8.300000000000001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14.24</v>
      </c>
      <c r="E32" s="236" t="n">
        <v>18.04</v>
      </c>
      <c r="F32" s="236" t="n">
        <v>21.24</v>
      </c>
      <c r="G32" s="291" t="n">
        <v>-3.8</v>
      </c>
      <c r="H32" s="291" t="n">
        <v>3.2</v>
      </c>
      <c r="I32" s="291" t="n">
        <v>7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19.84</v>
      </c>
      <c r="E33" s="236" t="n">
        <v>18.04</v>
      </c>
      <c r="F33" s="236" t="n">
        <v>15.84</v>
      </c>
      <c r="G33" s="291" t="n">
        <v>1.8</v>
      </c>
      <c r="H33" s="291" t="n">
        <v>-2.2</v>
      </c>
      <c r="I33" s="291" t="n">
        <v>4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18.64</v>
      </c>
      <c r="E34" s="236" t="n">
        <v>18.04</v>
      </c>
      <c r="F34" s="236" t="n">
        <v>17.24</v>
      </c>
      <c r="G34" s="291" t="n">
        <v>0.6</v>
      </c>
      <c r="H34" s="291" t="n">
        <v>-0.8</v>
      </c>
      <c r="I34" s="291" t="n">
        <v>1.4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18.24</v>
      </c>
      <c r="E35" s="236" t="n">
        <v>18.04</v>
      </c>
      <c r="F35" s="236" t="n">
        <v>17.79</v>
      </c>
      <c r="G35" s="291" t="n">
        <v>0.2</v>
      </c>
      <c r="H35" s="291" t="n">
        <v>-0.25</v>
      </c>
      <c r="I35" s="291" t="n">
        <v>0.45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17.98</v>
      </c>
      <c r="E36" s="236" t="n">
        <v>18.04</v>
      </c>
      <c r="F36" s="236" t="n">
        <v>18.1</v>
      </c>
      <c r="G36" s="291" t="n">
        <v>-0.06</v>
      </c>
      <c r="H36" s="291" t="n">
        <v>0.06</v>
      </c>
      <c r="I36" s="291" t="n">
        <v>0.12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15.64</v>
      </c>
      <c r="E37" s="236" t="n">
        <v>18.04</v>
      </c>
      <c r="F37" s="236" t="n">
        <v>15.84</v>
      </c>
      <c r="G37" s="291" t="n">
        <v>-2.4</v>
      </c>
      <c r="H37" s="291" t="n">
        <v>-2.2</v>
      </c>
      <c r="I37" s="291" t="n">
        <v>0.1999999999999997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13.54</v>
      </c>
      <c r="E38" s="236" t="n">
        <v>18.04</v>
      </c>
      <c r="F38" s="236" t="n">
        <v>21.84</v>
      </c>
      <c r="G38" s="291" t="n">
        <v>-4.5</v>
      </c>
      <c r="H38" s="291" t="n">
        <v>3.8</v>
      </c>
      <c r="I38" s="291" t="n">
        <v>8.300000000000001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W₃ защищён floor Liq Pref: downside ограничен (-4.5pp max при Revenue/Attendance −20%), но при этом апсайд компенсирован carried interest (+3.8pp при Revenue +20%).</t>
        </is>
      </c>
    </row>
    <row r="45">
      <c r="B45" s="246" t="inlineStr">
        <is>
          <t>• Под W₃ чувствительность значительно ниже, чем была под W₁ (range ~8pp vs 12pp): это прямой эффект структурной защиты инвестора через Liq Pref + coupon.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Base)</t>
        </is>
      </c>
      <c r="D15" s="294" t="n">
        <v>12.5</v>
      </c>
      <c r="E15" s="295" t="n">
        <v>15.37</v>
      </c>
      <c r="F15" s="275" t="n">
        <v>18.04</v>
      </c>
      <c r="G15" s="296" t="n">
        <v>20.55</v>
      </c>
      <c r="H15" s="297" t="n">
        <v>22.91</v>
      </c>
      <c r="I15" s="236" t="n">
        <v>10.41</v>
      </c>
    </row>
    <row r="16">
      <c r="B16" s="205" t="n">
        <v>9</v>
      </c>
      <c r="C16" s="213" t="inlineStr">
        <is>
          <t>MOIC T₁ (W₃)</t>
        </is>
      </c>
      <c r="D16" s="304" t="n">
        <v>1.64</v>
      </c>
      <c r="E16" s="305" t="n">
        <v>1.82</v>
      </c>
      <c r="F16" s="276" t="n">
        <v>2</v>
      </c>
      <c r="G16" s="306" t="n">
        <v>2.18</v>
      </c>
      <c r="H16" s="307" t="n">
        <v>2.36</v>
      </c>
      <c r="I16" s="237" t="n">
        <v>0.72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</t>
        </is>
      </c>
      <c r="D18" s="292" t="n">
        <v>2050</v>
      </c>
      <c r="E18" s="202" t="n">
        <v>2275</v>
      </c>
      <c r="F18" s="270" t="n">
        <v>2500</v>
      </c>
      <c r="G18" s="293" t="n">
        <v>2725</v>
      </c>
      <c r="H18" s="193" t="n">
        <v>2950</v>
      </c>
      <c r="I18" s="207" t="n">
        <v>900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18.354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 · W₃ BASE</t>
        </is>
      </c>
    </row>
    <row r="3"/>
    <row r="4">
      <c r="B4" s="189" t="inlineStr">
        <is>
          <t>Распределения NDP, EBITDA, IRR, MOIC, EV под Waterfall W₃ (DEFAULT, 1× Liq Pref + 8% coupon + 60/40). Percentiles, probability of hurdle/target pass, Value at Risk. Seed=42. IRR/MOIC рассчитаны единой методологией: out квартально Q1-Q4 2026, in 20/50/15/15 в 2029-2032.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3013.024231940783</v>
      </c>
      <c r="E17" s="207" t="n">
        <v>620.8922201026729</v>
      </c>
      <c r="F17" s="207" t="n">
        <v>2061.551183400659</v>
      </c>
      <c r="G17" s="207" t="n">
        <v>2265.093898037318</v>
      </c>
      <c r="H17" s="207" t="n">
        <v>2549.831901700255</v>
      </c>
      <c r="I17" s="270" t="n">
        <v>2976.521452177528</v>
      </c>
      <c r="J17" s="207" t="n">
        <v>3429.128405437157</v>
      </c>
      <c r="K17" s="207" t="n">
        <v>3837.452803918447</v>
      </c>
      <c r="L17" s="207" t="n">
        <v>4065.081654442005</v>
      </c>
    </row>
    <row r="18">
      <c r="B18" s="317" t="inlineStr">
        <is>
          <t>EBITDA</t>
        </is>
      </c>
      <c r="C18" s="187" t="n"/>
      <c r="D18" s="207" t="n">
        <v>2157.333617287114</v>
      </c>
      <c r="E18" s="207" t="n">
        <v>431.0494292190086</v>
      </c>
      <c r="F18" s="207" t="n">
        <v>1486.322905324711</v>
      </c>
      <c r="G18" s="207" t="n">
        <v>1619.296045987819</v>
      </c>
      <c r="H18" s="207" t="n">
        <v>1840.485344820347</v>
      </c>
      <c r="I18" s="270" t="n">
        <v>2130.980992685321</v>
      </c>
      <c r="J18" s="207" t="n">
        <v>2439.949847087632</v>
      </c>
      <c r="K18" s="207" t="n">
        <v>2726.467835662731</v>
      </c>
      <c r="L18" s="207" t="n">
        <v>2876.552753403357</v>
      </c>
    </row>
    <row r="19">
      <c r="B19" s="317" t="inlineStr">
        <is>
          <t>IRR</t>
        </is>
      </c>
      <c r="C19" s="187" t="n"/>
      <c r="D19" s="236" t="n">
        <v>17.90404398861444</v>
      </c>
      <c r="E19" s="236" t="n">
        <v>4.266813507178683</v>
      </c>
      <c r="F19" s="236" t="n">
        <v>10.97794187473445</v>
      </c>
      <c r="G19" s="236" t="n">
        <v>12.62350749917582</v>
      </c>
      <c r="H19" s="236" t="n">
        <v>14.81291573656237</v>
      </c>
      <c r="I19" s="275" t="n">
        <v>17.88096050207096</v>
      </c>
      <c r="J19" s="236" t="n">
        <v>20.89947482689052</v>
      </c>
      <c r="K19" s="236" t="n">
        <v>23.44691359734223</v>
      </c>
      <c r="L19" s="236" t="n">
        <v>24.80367058210948</v>
      </c>
    </row>
    <row r="20">
      <c r="B20" s="317" t="inlineStr">
        <is>
          <t>MOIC</t>
        </is>
      </c>
      <c r="C20" s="187" t="n"/>
      <c r="D20" s="237" t="n">
        <v>2.005952392921614</v>
      </c>
      <c r="E20" s="237" t="n">
        <v>0.2987887834220987</v>
      </c>
      <c r="F20" s="237" t="n">
        <v>1.549544568032317</v>
      </c>
      <c r="G20" s="237" t="n">
        <v>1.647245071057913</v>
      </c>
      <c r="H20" s="237" t="n">
        <v>1.783919312816122</v>
      </c>
      <c r="I20" s="276" t="n">
        <v>1.988730297045213</v>
      </c>
      <c r="J20" s="237" t="n">
        <v>2.205981634609835</v>
      </c>
      <c r="K20" s="237" t="n">
        <v>2.401977345880854</v>
      </c>
      <c r="L20" s="237" t="n">
        <v>2.511239194132162</v>
      </c>
    </row>
    <row r="21">
      <c r="B21" s="317" t="inlineStr">
        <is>
          <t>EV</t>
        </is>
      </c>
      <c r="C21" s="187" t="n"/>
      <c r="D21" s="207" t="n">
        <v>10699.06609815291</v>
      </c>
      <c r="E21" s="207" t="n">
        <v>2766.470232575132</v>
      </c>
      <c r="F21" s="207" t="n">
        <v>6510.285945446833</v>
      </c>
      <c r="G21" s="207" t="n">
        <v>7287.918327832361</v>
      </c>
      <c r="H21" s="207" t="n">
        <v>8722.258874834171</v>
      </c>
      <c r="I21" s="270" t="n">
        <v>10458.84307374762</v>
      </c>
      <c r="J21" s="207" t="n">
        <v>12453.55109655373</v>
      </c>
      <c r="K21" s="207" t="n">
        <v>14524.08353581089</v>
      </c>
      <c r="L21" s="207" t="n">
        <v>15657.10412946274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49.2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91.90000000000001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99.59999999999999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48.6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938.4488165993405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1091.93892712422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3013.024231940783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2.005952392921614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10458.84307374762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1448 − 1825</t>
        </is>
      </c>
      <c r="D39" s="187" t="n"/>
      <c r="E39" s="205" t="n">
        <v>10</v>
      </c>
      <c r="F39" s="236" t="n">
        <v>1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1825 − 2201</t>
        </is>
      </c>
      <c r="D40" s="187" t="n"/>
      <c r="E40" s="205" t="n">
        <v>76</v>
      </c>
      <c r="F40" s="236" t="n">
        <v>7.6</v>
      </c>
      <c r="G40" s="206" t="inlineStr">
        <is>
          <t>██████████</t>
        </is>
      </c>
      <c r="H40" s="186" t="n"/>
      <c r="I40" s="187" t="n"/>
    </row>
    <row r="41">
      <c r="B41" s="205" t="n">
        <v>3</v>
      </c>
      <c r="C41" s="206" t="inlineStr">
        <is>
          <t>2201 − 2578</t>
        </is>
      </c>
      <c r="D41" s="187" t="n"/>
      <c r="E41" s="205" t="n">
        <v>175</v>
      </c>
      <c r="F41" s="236" t="n">
        <v>17.5</v>
      </c>
      <c r="G41" s="206" t="inlineStr">
        <is>
          <t>███████████████████████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2578 − 2955</t>
        </is>
      </c>
      <c r="D42" s="187" t="n"/>
      <c r="E42" s="205" t="n">
        <v>227</v>
      </c>
      <c r="F42" s="236" t="n">
        <v>22.7</v>
      </c>
      <c r="G42" s="206" t="inlineStr">
        <is>
          <t>██████████████████████████████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2955 − 3332</t>
        </is>
      </c>
      <c r="D43" s="187" t="n"/>
      <c r="E43" s="226" t="n">
        <v>223</v>
      </c>
      <c r="F43" s="251" t="n">
        <v>22.3</v>
      </c>
      <c r="G43" s="281" t="inlineStr">
        <is>
          <t>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3332 − 3708</t>
        </is>
      </c>
      <c r="D44" s="187" t="n"/>
      <c r="E44" s="205" t="n">
        <v>147</v>
      </c>
      <c r="F44" s="236" t="n">
        <v>14.7</v>
      </c>
      <c r="G44" s="206" t="inlineStr">
        <is>
          <t>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3708 − 4085</t>
        </is>
      </c>
      <c r="D45" s="187" t="n"/>
      <c r="E45" s="205" t="n">
        <v>97</v>
      </c>
      <c r="F45" s="236" t="n">
        <v>9.700000000000001</v>
      </c>
      <c r="G45" s="206" t="inlineStr">
        <is>
          <t>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4085 − 4462</t>
        </is>
      </c>
      <c r="D46" s="187" t="n"/>
      <c r="E46" s="205" t="n">
        <v>29</v>
      </c>
      <c r="F46" s="236" t="n">
        <v>2.9</v>
      </c>
      <c r="G46" s="206" t="inlineStr">
        <is>
          <t>███</t>
        </is>
      </c>
      <c r="H46" s="186" t="n"/>
      <c r="I46" s="187" t="n"/>
    </row>
    <row r="47">
      <c r="B47" s="205" t="n">
        <v>9</v>
      </c>
      <c r="C47" s="206" t="inlineStr">
        <is>
          <t>4462 − 4838</t>
        </is>
      </c>
      <c r="D47" s="187" t="n"/>
      <c r="E47" s="205" t="n">
        <v>11</v>
      </c>
      <c r="F47" s="236" t="n">
        <v>1.1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4838 − 5215</t>
        </is>
      </c>
      <c r="D48" s="187" t="n"/>
      <c r="E48" s="205" t="n">
        <v>5</v>
      </c>
      <c r="F48" s="236" t="n">
        <v>0.5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Симуляция: numpy seed=42, 1 000 итераций, 5 стохастических переменных (Revenue mult Triangular 0.6/1.0/1.4, Margin shock Normal 0/4pp, CAPEX LogNormal σ=10%, Exit mult Triangular 3/5/7, Film hit rate Binomial p=0.70 n=12). Applied Waterfall W₃ DEFAULT. Methodology: unified numpy_financial.irr() с паттерном 20/50/15/15.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0" t="inlineStr">
        <is>
          <t>Investor Returns T₁ (W₃ default)</t>
        </is>
      </c>
      <c r="E27" t="inlineStr">
        <is>
          <t>IRR 18.04% · MOIC 2.00× · Payback 3.75y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(W₃ Base IRR = 18.04% = hurdle)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D23:N23"/>
    <mergeCell ref="D89:N89"/>
    <mergeCell ref="D29:N29"/>
    <mergeCell ref="D85:N85"/>
    <mergeCell ref="B19:N19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2026-04-11T22:45:32Z</dcterms:modified>
  <cp:keywords>investor, financial model, L3, pre-IPO, cinema</cp:keywords>
</cp:coreProperties>
</file>