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Improvements" sheetId="4" state="visible" r:id="rId4"/>
    <sheet xmlns:r="http://schemas.openxmlformats.org/officeDocument/2006/relationships" name="DD Readiness" sheetId="5" state="visible" r:id="rId5"/>
    <sheet xmlns:r="http://schemas.openxmlformats.org/officeDocument/2006/relationships" name="By Design" sheetId="6" state="visible" r:id="rId6"/>
    <sheet xmlns:r="http://schemas.openxmlformats.org/officeDocument/2006/relationships" name="Stress Tests" sheetId="7" state="visible" r:id="rId7"/>
    <sheet xmlns:r="http://schemas.openxmlformats.org/officeDocument/2006/relationships" name="Peer Benchmarks" sheetId="8" state="visible" r:id="rId8"/>
    <sheet xmlns:r="http://schemas.openxmlformats.org/officeDocument/2006/relationships" name="Script Results" sheetId="9" state="visible" r:id="rId9"/>
    <sheet xmlns:r="http://schemas.openxmlformats.org/officeDocument/2006/relationships" name="Arguments Ranking" sheetId="10" state="visible" r:id="rId10"/>
    <sheet xmlns:r="http://schemas.openxmlformats.org/officeDocument/2006/relationships" name="Red Team Attack" sheetId="11" state="visible" r:id="rId11"/>
    <sheet xmlns:r="http://schemas.openxmlformats.org/officeDocument/2006/relationships" name="Sensitivity &amp; Tornado" sheetId="12" state="visible" r:id="rId12"/>
    <sheet xmlns:r="http://schemas.openxmlformats.org/officeDocument/2006/relationships" name="Structural Bridges" sheetId="13" state="visible" r:id="rId13"/>
    <sheet xmlns:r="http://schemas.openxmlformats.org/officeDocument/2006/relationships" name="Pipeline Tech Report" sheetId="14" state="visible" r:id="rId14"/>
    <sheet xmlns:r="http://schemas.openxmlformats.org/officeDocument/2006/relationships" name="Numerical &amp; Symbolic" sheetId="15" state="visible" r:id="rId15"/>
    <sheet xmlns:r="http://schemas.openxmlformats.org/officeDocument/2006/relationships" name="UQ &amp; Convergence" sheetId="16" state="visible" r:id="rId16"/>
    <sheet xmlns:r="http://schemas.openxmlformats.org/officeDocument/2006/relationships" name="DAG &amp; Contrac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  <font>
      <b val="1"/>
      <color rgb="00FF8C00"/>
    </font>
    <font>
      <b val="1"/>
      <color rgb="0000AA00"/>
    </font>
    <font>
      <b val="1"/>
      <sz val="12"/>
    </font>
    <font>
      <b val="1"/>
      <color rgb="00808080"/>
    </font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" fillId="2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2" customWidth="1" min="4" max="4"/>
    <col width="45" customWidth="1" min="5" max="5"/>
    <col width="30" customWidth="1" min="6" max="6"/>
    <col width="40" customWidth="1" min="7" max="7"/>
    <col width="30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Block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Location</t>
        </is>
      </c>
      <c r="G1" s="1" t="inlineStr">
        <is>
          <t>Evidence</t>
        </is>
      </c>
      <c r="H1" s="1" t="inlineStr">
        <is>
          <t>Remediation</t>
        </is>
      </c>
      <c r="I1" s="1" t="inlineStr">
        <is>
          <t>Status</t>
        </is>
      </c>
    </row>
    <row r="2">
      <c r="A2" s="2" t="inlineStr">
        <is>
          <t>F-001</t>
        </is>
      </c>
      <c r="B2" s="2" t="inlineStr">
        <is>
          <t>C</t>
        </is>
      </c>
      <c r="C2" s="3" t="inlineStr">
        <is>
          <t>CRITICAL</t>
        </is>
      </c>
      <c r="D2" s="2" t="inlineStr">
        <is>
          <t>Leakage</t>
        </is>
      </c>
      <c r="E2" s="2" t="inlineStr">
        <is>
          <t>Internal W5 V-D waterfall exposed in Public</t>
        </is>
      </c>
      <c r="F2" s="2" t="inlineStr">
        <is>
          <t>24_Investor_Returns!B49</t>
        </is>
      </c>
      <c r="G2" s="2" t="inlineStr">
        <is>
          <t>Text references Internal W5 V-D comparison with margin values</t>
        </is>
      </c>
      <c r="H2" s="2" t="inlineStr">
        <is>
          <t>Scrub cell content</t>
        </is>
      </c>
      <c r="I2" s="2" t="inlineStr">
        <is>
          <t>OPEN</t>
        </is>
      </c>
    </row>
    <row r="3">
      <c r="A3" s="2" t="inlineStr">
        <is>
          <t>F-002</t>
        </is>
      </c>
      <c r="B3" s="2" t="inlineStr">
        <is>
          <t>C</t>
        </is>
      </c>
      <c r="C3" s="3" t="inlineStr">
        <is>
          <t>CRITICAL</t>
        </is>
      </c>
      <c r="D3" s="2" t="inlineStr">
        <is>
          <t>Leakage</t>
        </is>
      </c>
      <c r="E3" s="2" t="inlineStr">
        <is>
          <t>8 'Internal' keyword occurrences in sharedStrings</t>
        </is>
      </c>
      <c r="F3" s="2" t="inlineStr">
        <is>
          <t>sharedStrings.xml</t>
        </is>
      </c>
      <c r="G3" s="2" t="inlineStr">
        <is>
          <t>Multiple references to Internal model found</t>
        </is>
      </c>
      <c r="H3" s="2" t="inlineStr">
        <is>
          <t>Remove all Internal references</t>
        </is>
      </c>
      <c r="I3" s="2" t="inlineStr">
        <is>
          <t>OPEN</t>
        </is>
      </c>
    </row>
    <row r="4">
      <c r="A4" s="2" t="inlineStr">
        <is>
          <t>F-003</t>
        </is>
      </c>
      <c r="B4" s="2" t="inlineStr">
        <is>
          <t>A</t>
        </is>
      </c>
      <c r="C4" s="3" t="inlineStr">
        <is>
          <t>CRITICAL</t>
        </is>
      </c>
      <c r="D4" s="2" t="inlineStr">
        <is>
          <t>Leakage</t>
        </is>
      </c>
      <c r="E4" s="2" t="inlineStr">
        <is>
          <t>Developer filesystem path in workbook.xml</t>
        </is>
      </c>
      <c r="F4" s="2" t="inlineStr">
        <is>
          <t>xl/workbook.xml absPath</t>
        </is>
      </c>
      <c r="G4" s="2" t="inlineStr">
        <is>
          <t>/Users/noldorwarrior/Documents/Claude/Projects/</t>
        </is>
      </c>
      <c r="H4" s="2" t="inlineStr">
        <is>
          <t>Re-save from clean environment</t>
        </is>
      </c>
      <c r="I4" s="2" t="inlineStr">
        <is>
          <t>OPEN</t>
        </is>
      </c>
    </row>
    <row r="5">
      <c r="A5" s="2" t="inlineStr">
        <is>
          <t>F-004</t>
        </is>
      </c>
      <c r="B5" s="2" t="inlineStr">
        <is>
          <t>B</t>
        </is>
      </c>
      <c r="C5" s="3" t="inlineStr">
        <is>
          <t>CRITICAL</t>
        </is>
      </c>
      <c r="D5" s="2" t="inlineStr">
        <is>
          <t>Architecture</t>
        </is>
      </c>
      <c r="E5" s="2" t="inlineStr">
        <is>
          <t>Model is 97.5% static constants</t>
        </is>
      </c>
      <c r="F5" s="2" t="inlineStr">
        <is>
          <t>All 42 sheets</t>
        </is>
      </c>
      <c r="G5" s="2" t="inlineStr">
        <is>
          <t>226 formulas / 9000+ values = 2.5%</t>
        </is>
      </c>
      <c r="H5" s="2" t="inlineStr">
        <is>
          <t>Convert top-5 sheets to live formulas</t>
        </is>
      </c>
      <c r="I5" s="2" t="inlineStr">
        <is>
          <t>OPEN</t>
        </is>
      </c>
    </row>
    <row r="6">
      <c r="A6" s="2" t="inlineStr">
        <is>
          <t>F-005</t>
        </is>
      </c>
      <c r="B6" s="2" t="inlineStr">
        <is>
          <t>B</t>
        </is>
      </c>
      <c r="C6" s="3" t="inlineStr">
        <is>
          <t>CRITICAL</t>
        </is>
      </c>
      <c r="D6" s="2" t="inlineStr">
        <is>
          <t>Architecture</t>
        </is>
      </c>
      <c r="E6" s="2" t="inlineStr">
        <is>
          <t>Anchor-based back-solving visible</t>
        </is>
      </c>
      <c r="F6" s="2" t="inlineStr">
        <is>
          <t>P&amp;L, Cost Structure</t>
        </is>
      </c>
      <c r="G6" s="2" t="inlineStr">
        <is>
          <t>4545 = 2008.8 + 368.8 + 2167.4 exact</t>
        </is>
      </c>
      <c r="H6" s="2" t="inlineStr">
        <is>
          <t>Document as design choice</t>
        </is>
      </c>
      <c r="I6" s="2" t="inlineStr">
        <is>
          <t>OPEN</t>
        </is>
      </c>
    </row>
    <row r="7">
      <c r="A7" s="2" t="inlineStr">
        <is>
          <t>F-006</t>
        </is>
      </c>
      <c r="B7" s="2" t="inlineStr">
        <is>
          <t>B</t>
        </is>
      </c>
      <c r="C7" s="4" t="inlineStr">
        <is>
          <t>HIGH</t>
        </is>
      </c>
      <c r="D7" s="2" t="inlineStr">
        <is>
          <t>Math</t>
        </is>
      </c>
      <c r="E7" s="2" t="inlineStr">
        <is>
          <t>Three inconsistent IRR methods</t>
        </is>
      </c>
      <c r="F7" s="2" t="inlineStr">
        <is>
          <t>build_A11, A12, patches</t>
        </is>
      </c>
      <c r="G7" s="2" t="inlineStr">
        <is>
          <t>Newton ~7.7%, MOIC^(1/6.5), numpy 20.09%</t>
        </is>
      </c>
      <c r="H7" s="2" t="inlineStr">
        <is>
          <t>Standardize on numpy_financial.irr</t>
        </is>
      </c>
      <c r="I7" s="2" t="inlineStr">
        <is>
          <t>OPEN</t>
        </is>
      </c>
    </row>
    <row r="8">
      <c r="A8" s="2" t="inlineStr">
        <is>
          <t>F-007</t>
        </is>
      </c>
      <c r="B8" s="2" t="inlineStr">
        <is>
          <t>D</t>
        </is>
      </c>
      <c r="C8" s="4" t="inlineStr">
        <is>
          <t>HIGH</t>
        </is>
      </c>
      <c r="D8" s="2" t="inlineStr">
        <is>
          <t>Valuation</t>
        </is>
      </c>
      <c r="E8" s="2" t="inlineStr">
        <is>
          <t>Valuation spread 6x between methods</t>
        </is>
      </c>
      <c r="F8" s="2" t="inlineStr">
        <is>
          <t>22_DCF, 23_Mult, 28_MC</t>
        </is>
      </c>
      <c r="G8" s="2" t="inlineStr">
        <is>
          <t>DCF 1.8B vs Comps 7.5B vs MC 11.2B</t>
        </is>
      </c>
      <c r="H8" s="2" t="inlineStr">
        <is>
          <t>Reconcile to common assumptions</t>
        </is>
      </c>
      <c r="I8" s="2" t="inlineStr">
        <is>
          <t>OPEN</t>
        </is>
      </c>
    </row>
    <row r="9">
      <c r="A9" s="2" t="inlineStr">
        <is>
          <t>F-008</t>
        </is>
      </c>
      <c r="B9" s="2" t="inlineStr">
        <is>
          <t>D</t>
        </is>
      </c>
      <c r="C9" s="4" t="inlineStr">
        <is>
          <t>HIGH</t>
        </is>
      </c>
      <c r="D9" s="2" t="inlineStr">
        <is>
          <t>Risk</t>
        </is>
      </c>
      <c r="E9" s="2" t="inlineStr">
        <is>
          <t>MC P(IRR&gt;hurdle) = 13.6% only</t>
        </is>
      </c>
      <c r="F9" s="2" t="inlineStr">
        <is>
          <t>28_Monte_Carlo_Summary</t>
        </is>
      </c>
      <c r="G9" s="2" t="inlineStr">
        <is>
          <t>Mean IRR 11.44% vs deterministic 20.09%</t>
        </is>
      </c>
      <c r="H9" s="2" t="inlineStr">
        <is>
          <t>Prominent disclosure</t>
        </is>
      </c>
      <c r="I9" s="2" t="inlineStr">
        <is>
          <t>OPEN</t>
        </is>
      </c>
    </row>
    <row r="10">
      <c r="A10" s="2" t="inlineStr">
        <is>
          <t>F-009</t>
        </is>
      </c>
      <c r="B10" s="2" t="inlineStr">
        <is>
          <t>C</t>
        </is>
      </c>
      <c r="C10" s="4" t="inlineStr">
        <is>
          <t>HIGH</t>
        </is>
      </c>
      <c r="D10" s="2" t="inlineStr">
        <is>
          <t>Leakage</t>
        </is>
      </c>
      <c r="E10" s="2" t="inlineStr">
        <is>
          <t>Change Log mentions 'Internal'</t>
        </is>
      </c>
      <c r="F10" s="2" t="inlineStr">
        <is>
          <t>03_Change_Log!C30</t>
        </is>
      </c>
      <c r="G10" s="2" t="inlineStr">
        <is>
          <t>'Public export + Internal with 4 service'</t>
        </is>
      </c>
      <c r="H10" s="2" t="inlineStr">
        <is>
          <t>Remove reference</t>
        </is>
      </c>
      <c r="I10" s="2" t="inlineStr">
        <is>
          <t>OPEN</t>
        </is>
      </c>
    </row>
    <row r="11">
      <c r="A11" s="2" t="inlineStr">
        <is>
          <t>F-010</t>
        </is>
      </c>
      <c r="B11" s="2" t="inlineStr">
        <is>
          <t>C</t>
        </is>
      </c>
      <c r="C11" s="4" t="inlineStr">
        <is>
          <t>HIGH</t>
        </is>
      </c>
      <c r="D11" s="2" t="inlineStr">
        <is>
          <t>Leakage</t>
        </is>
      </c>
      <c r="E11" s="2" t="inlineStr">
        <is>
          <t>Valuation labels '(internal)'</t>
        </is>
      </c>
      <c r="F11" s="2" t="inlineStr">
        <is>
          <t>23_Valuation_Multiples!B46</t>
        </is>
      </c>
      <c r="G11" s="2" t="inlineStr">
        <is>
          <t>Scenario Base (internal)</t>
        </is>
      </c>
      <c r="H11" s="2" t="inlineStr">
        <is>
          <t>Remove label</t>
        </is>
      </c>
      <c r="I11" s="2" t="inlineStr">
        <is>
          <t>OPEN</t>
        </is>
      </c>
    </row>
    <row r="12">
      <c r="A12" s="2" t="inlineStr">
        <is>
          <t>F-011</t>
        </is>
      </c>
      <c r="B12" s="2" t="inlineStr">
        <is>
          <t>C</t>
        </is>
      </c>
      <c r="C12" s="4" t="inlineStr">
        <is>
          <t>HIGH</t>
        </is>
      </c>
      <c r="D12" s="2" t="inlineStr">
        <is>
          <t>Leakage</t>
        </is>
      </c>
      <c r="E12" s="2" t="inlineStr">
        <is>
          <t>Comparable Transactions '(internal)'</t>
        </is>
      </c>
      <c r="F12" s="2" t="inlineStr">
        <is>
          <t>32_Comparable_Transactions</t>
        </is>
      </c>
      <c r="G12" s="2" t="inlineStr">
        <is>
          <t>Gazprom-media/Yandex (internal)</t>
        </is>
      </c>
      <c r="H12" s="2" t="inlineStr">
        <is>
          <t>Remove annotations</t>
        </is>
      </c>
      <c r="I12" s="2" t="inlineStr">
        <is>
          <t>OPEN</t>
        </is>
      </c>
    </row>
    <row r="13">
      <c r="A13" s="2" t="inlineStr">
        <is>
          <t>F-012</t>
        </is>
      </c>
      <c r="B13" s="2" t="inlineStr">
        <is>
          <t>B</t>
        </is>
      </c>
      <c r="C13" s="4" t="inlineStr">
        <is>
          <t>HIGH</t>
        </is>
      </c>
      <c r="D13" s="2" t="inlineStr">
        <is>
          <t>Math</t>
        </is>
      </c>
      <c r="E13" s="2" t="inlineStr">
        <is>
          <t>D&amp;A jumps 167x in DCF</t>
        </is>
      </c>
      <c r="F13" s="2" t="inlineStr">
        <is>
          <t>22_Valuation_DCF</t>
        </is>
      </c>
      <c r="G13" s="2" t="inlineStr">
        <is>
          <t>3M (2028) to 500M (2029)</t>
        </is>
      </c>
      <c r="H13" s="2" t="inlineStr">
        <is>
          <t>Justify or smooth</t>
        </is>
      </c>
      <c r="I13" s="2" t="inlineStr">
        <is>
          <t>OPEN</t>
        </is>
      </c>
    </row>
    <row r="14">
      <c r="A14" s="2" t="inlineStr">
        <is>
          <t>F-013</t>
        </is>
      </c>
      <c r="B14" s="2" t="inlineStr">
        <is>
          <t>B</t>
        </is>
      </c>
      <c r="C14" s="4" t="inlineStr">
        <is>
          <t>HIGH</t>
        </is>
      </c>
      <c r="D14" s="2" t="inlineStr">
        <is>
          <t>Math</t>
        </is>
      </c>
      <c r="E14" s="2" t="inlineStr">
        <is>
          <t>MoIC contradiction 4.8x vs 1.39x</t>
        </is>
      </c>
      <c r="F14" s="2" t="inlineStr">
        <is>
          <t>36_ES vs 28_MC</t>
        </is>
      </c>
      <c r="G14" s="2" t="inlineStr">
        <is>
          <t>Aggregate vs T1 cash-on-cash</t>
        </is>
      </c>
      <c r="H14" s="2" t="inlineStr">
        <is>
          <t>Label both metrics</t>
        </is>
      </c>
      <c r="I14" s="2" t="inlineStr">
        <is>
          <t>OPEN</t>
        </is>
      </c>
    </row>
    <row r="15">
      <c r="A15" s="2" t="inlineStr">
        <is>
          <t>F-014</t>
        </is>
      </c>
      <c r="B15" s="2" t="inlineStr">
        <is>
          <t>B</t>
        </is>
      </c>
      <c r="C15" s="4" t="inlineStr">
        <is>
          <t>HIGH</t>
        </is>
      </c>
      <c r="D15" s="2" t="inlineStr">
        <is>
          <t>Consistency</t>
        </is>
      </c>
      <c r="E15" s="2" t="inlineStr">
        <is>
          <t>Scenario probability mismatch</t>
        </is>
      </c>
      <c r="F15" s="2" t="inlineStr">
        <is>
          <t>build_A12 vs manifest</t>
        </is>
      </c>
      <c r="G15" s="2" t="inlineStr">
        <is>
          <t>5/15/50/20/10 vs 10/20/40/20/10</t>
        </is>
      </c>
      <c r="H15" s="2" t="inlineStr">
        <is>
          <t>Reconcile</t>
        </is>
      </c>
      <c r="I15" s="2" t="inlineStr">
        <is>
          <t>OPEN</t>
        </is>
      </c>
    </row>
    <row r="16">
      <c r="A16" s="2" t="inlineStr">
        <is>
          <t>F-015</t>
        </is>
      </c>
      <c r="B16" s="2" t="inlineStr">
        <is>
          <t>D</t>
        </is>
      </c>
      <c r="C16" s="4" t="inlineStr">
        <is>
          <t>HIGH</t>
        </is>
      </c>
      <c r="D16" s="2" t="inlineStr">
        <is>
          <t>Valuation</t>
        </is>
      </c>
      <c r="E16" s="2" t="inlineStr">
        <is>
          <t>Peer comps fabrication risk</t>
        </is>
      </c>
      <c r="F16" s="2" t="inlineStr">
        <is>
          <t>23_Valuation_Multiples</t>
        </is>
      </c>
      <c r="G16" s="2" t="inlineStr">
        <is>
          <t>5/6 peers EV/Revenue ~0.80-0.81</t>
        </is>
      </c>
      <c r="H16" s="2" t="inlineStr">
        <is>
          <t>Add sources</t>
        </is>
      </c>
      <c r="I16" s="2" t="inlineStr">
        <is>
          <t>OPEN</t>
        </is>
      </c>
    </row>
    <row r="17">
      <c r="A17" s="2" t="inlineStr">
        <is>
          <t>F-016</t>
        </is>
      </c>
      <c r="B17" s="2" t="inlineStr">
        <is>
          <t>B</t>
        </is>
      </c>
      <c r="C17" s="4" t="inlineStr">
        <is>
          <t>HIGH</t>
        </is>
      </c>
      <c r="D17" s="2" t="inlineStr">
        <is>
          <t>Math</t>
        </is>
      </c>
      <c r="E17" s="2" t="inlineStr">
        <is>
          <t>MC revenue blend +6% upward bias</t>
        </is>
      </c>
      <c r="F17" s="2" t="inlineStr">
        <is>
          <t>build_A12</t>
        </is>
      </c>
      <c r="G17" s="2" t="inlineStr">
        <is>
          <t>0.85+0.30*hit_rate at mode=1.06</t>
        </is>
      </c>
      <c r="H17" s="2" t="inlineStr">
        <is>
          <t>Correct to center at 1.0</t>
        </is>
      </c>
      <c r="I17" s="2" t="inlineStr">
        <is>
          <t>OPEN</t>
        </is>
      </c>
    </row>
    <row r="18">
      <c r="A18" s="2" t="inlineStr">
        <is>
          <t>F-017</t>
        </is>
      </c>
      <c r="B18" s="2" t="inlineStr">
        <is>
          <t>G</t>
        </is>
      </c>
      <c r="C18" s="4" t="inlineStr">
        <is>
          <t>HIGH</t>
        </is>
      </c>
      <c r="D18" s="2" t="inlineStr">
        <is>
          <t>Pipeline</t>
        </is>
      </c>
      <c r="E18" s="2" t="inlineStr">
        <is>
          <t>3 hardcoded macOS paths</t>
        </is>
      </c>
      <c r="F18" s="2" t="inlineStr">
        <is>
          <t>build_memo/onepager/presentation</t>
        </is>
      </c>
      <c r="G18" s="2" t="inlineStr">
        <is>
          <t>/Users/noldorwarrior/Downloads</t>
        </is>
      </c>
      <c r="H18" s="2" t="inlineStr">
        <is>
          <t>Use env var</t>
        </is>
      </c>
      <c r="I18" s="2" t="inlineStr">
        <is>
          <t>OPEN</t>
        </is>
      </c>
    </row>
    <row r="19">
      <c r="A19" s="2" t="inlineStr">
        <is>
          <t>F-018</t>
        </is>
      </c>
      <c r="B19" s="2" t="inlineStr">
        <is>
          <t>G</t>
        </is>
      </c>
      <c r="C19" s="4" t="inlineStr">
        <is>
          <t>HIGH</t>
        </is>
      </c>
      <c r="D19" s="2" t="inlineStr">
        <is>
          <t>Pipeline</t>
        </is>
      </c>
      <c r="E19" s="2" t="inlineStr">
        <is>
          <t>requirements.txt not pinned</t>
        </is>
      </c>
      <c r="F19" s="2" t="inlineStr">
        <is>
          <t>requirements.txt</t>
        </is>
      </c>
      <c r="G19" s="2" t="inlineStr">
        <is>
          <t>All &gt;= not ==</t>
        </is>
      </c>
      <c r="H19" s="2" t="inlineStr">
        <is>
          <t>Pin with ==</t>
        </is>
      </c>
      <c r="I19" s="2" t="inlineStr">
        <is>
          <t>OPEN</t>
        </is>
      </c>
    </row>
    <row r="20">
      <c r="A20" s="2" t="inlineStr">
        <is>
          <t>F-019</t>
        </is>
      </c>
      <c r="B20" s="2" t="inlineStr">
        <is>
          <t>G</t>
        </is>
      </c>
      <c r="C20" s="4" t="inlineStr">
        <is>
          <t>HIGH</t>
        </is>
      </c>
      <c r="D20" s="2" t="inlineStr">
        <is>
          <t>Pipeline</t>
        </is>
      </c>
      <c r="E20" s="2" t="inlineStr">
        <is>
          <t>Missing deps in requirements.txt</t>
        </is>
      </c>
      <c r="F20" s="2" t="inlineStr">
        <is>
          <t>requirements.txt</t>
        </is>
      </c>
      <c r="G20" s="2" t="inlineStr">
        <is>
          <t>plotly, python-pptx, rakhman_docs</t>
        </is>
      </c>
      <c r="H20" s="2" t="inlineStr">
        <is>
          <t>Add to requirements</t>
        </is>
      </c>
      <c r="I20" s="2" t="inlineStr">
        <is>
          <t>OPEN</t>
        </is>
      </c>
    </row>
    <row r="21">
      <c r="A21" s="2" t="inlineStr">
        <is>
          <t>F-020</t>
        </is>
      </c>
      <c r="B21" s="2" t="inlineStr">
        <is>
          <t>A</t>
        </is>
      </c>
      <c r="C21" s="5" t="inlineStr">
        <is>
          <t>MEDIUM</t>
        </is>
      </c>
      <c r="D21" s="2" t="inlineStr">
        <is>
          <t>Metadata</t>
        </is>
      </c>
      <c r="E21" s="2" t="inlineStr">
        <is>
          <t>Last Modified By = 'a'</t>
        </is>
      </c>
      <c r="F21" s="2" t="inlineStr">
        <is>
          <t>docProps/core.xml</t>
        </is>
      </c>
      <c r="G21" s="2" t="inlineStr">
        <is>
          <t>Truncated username</t>
        </is>
      </c>
      <c r="H21" s="2" t="inlineStr">
        <is>
          <t>Clean metadata</t>
        </is>
      </c>
      <c r="I21" s="2" t="inlineStr">
        <is>
          <t>OPEN</t>
        </is>
      </c>
    </row>
    <row r="22">
      <c r="A22" s="2" t="inlineStr">
        <is>
          <t>F-021</t>
        </is>
      </c>
      <c r="B22" s="2" t="inlineStr">
        <is>
          <t>A</t>
        </is>
      </c>
      <c r="C22" s="5" t="inlineStr">
        <is>
          <t>MEDIUM</t>
        </is>
      </c>
      <c r="D22" s="2" t="inlineStr">
        <is>
          <t>Metadata</t>
        </is>
      </c>
      <c r="E22" s="2" t="inlineStr">
        <is>
          <t>Description leaks anchor value</t>
        </is>
      </c>
      <c r="F22" s="2" t="inlineStr">
        <is>
          <t>docProps/core.xml</t>
        </is>
      </c>
      <c r="G22" s="2" t="inlineStr">
        <is>
          <t>cumulative EBITDA = 3000</t>
        </is>
      </c>
      <c r="H22" s="2" t="inlineStr">
        <is>
          <t>Remove</t>
        </is>
      </c>
      <c r="I22" s="2" t="inlineStr">
        <is>
          <t>OPEN</t>
        </is>
      </c>
    </row>
    <row r="23">
      <c r="A23" s="2" t="inlineStr">
        <is>
          <t>F-022</t>
        </is>
      </c>
      <c r="B23" s="2" t="inlineStr">
        <is>
          <t>A</t>
        </is>
      </c>
      <c r="C23" s="5" t="inlineStr">
        <is>
          <t>MEDIUM</t>
        </is>
      </c>
      <c r="D23" s="2" t="inlineStr">
        <is>
          <t>Metadata</t>
        </is>
      </c>
      <c r="E23" s="2" t="inlineStr">
        <is>
          <t>Keywords contain 'L3'</t>
        </is>
      </c>
      <c r="F23" s="2" t="inlineStr">
        <is>
          <t>docProps/core.xml</t>
        </is>
      </c>
      <c r="G23" s="2" t="inlineStr">
        <is>
          <t>Internal classification</t>
        </is>
      </c>
      <c r="H23" s="2" t="inlineStr">
        <is>
          <t>Remove L3</t>
        </is>
      </c>
      <c r="I23" s="2" t="inlineStr">
        <is>
          <t>OPEN</t>
        </is>
      </c>
    </row>
    <row r="24">
      <c r="A24" s="2" t="inlineStr">
        <is>
          <t>F-023</t>
        </is>
      </c>
      <c r="B24" s="2" t="inlineStr">
        <is>
          <t>C</t>
        </is>
      </c>
      <c r="C24" s="5" t="inlineStr">
        <is>
          <t>MEDIUM</t>
        </is>
      </c>
      <c r="D24" s="2" t="inlineStr">
        <is>
          <t>Metadata</t>
        </is>
      </c>
      <c r="E24" s="2" t="inlineStr">
        <is>
          <t>Internal file title says 'Public'</t>
        </is>
      </c>
      <c r="F24" s="2" t="inlineStr">
        <is>
          <t>Internal xlsx title</t>
        </is>
      </c>
      <c r="G24" s="2" t="inlineStr">
        <is>
          <t>Copy artifact</t>
        </is>
      </c>
      <c r="H24" s="2" t="inlineStr">
        <is>
          <t>Fix title</t>
        </is>
      </c>
      <c r="I24" s="2" t="inlineStr">
        <is>
          <t>OPEN</t>
        </is>
      </c>
    </row>
    <row r="25">
      <c r="A25" s="2" t="inlineStr">
        <is>
          <t>F-024</t>
        </is>
      </c>
      <c r="B25" s="2" t="inlineStr">
        <is>
          <t>A</t>
        </is>
      </c>
      <c r="C25" s="5" t="inlineStr">
        <is>
          <t>MEDIUM</t>
        </is>
      </c>
      <c r="D25" s="2" t="inlineStr">
        <is>
          <t>Metadata</t>
        </is>
      </c>
      <c r="E25" s="2" t="inlineStr">
        <is>
          <t>Email address in cells</t>
        </is>
      </c>
      <c r="F25" s="2" t="inlineStr">
        <is>
          <t>sharedStrings</t>
        </is>
      </c>
      <c r="G25" s="2" t="inlineStr">
        <is>
          <t>team@trendstudio.ru</t>
        </is>
      </c>
      <c r="H25" s="2" t="inlineStr">
        <is>
          <t>Evaluate</t>
        </is>
      </c>
      <c r="I25" s="2" t="inlineStr">
        <is>
          <t>OPEN</t>
        </is>
      </c>
    </row>
    <row r="26">
      <c r="A26" s="2" t="inlineStr">
        <is>
          <t>F-025</t>
        </is>
      </c>
      <c r="B26" s="2" t="inlineStr">
        <is>
          <t>C</t>
        </is>
      </c>
      <c r="C26" s="5" t="inlineStr">
        <is>
          <t>MEDIUM</t>
        </is>
      </c>
      <c r="D26" s="2" t="inlineStr">
        <is>
          <t>Structure</t>
        </is>
      </c>
      <c r="E26" s="2" t="inlineStr">
        <is>
          <t>Cash Flow formula diff</t>
        </is>
      </c>
      <c r="F26" s="2" t="inlineStr">
        <is>
          <t>Public vs Internal</t>
        </is>
      </c>
      <c r="G26" s="2" t="inlineStr">
        <is>
          <t>0 vs 5 formulas</t>
        </is>
      </c>
      <c r="H26" s="2" t="inlineStr">
        <is>
          <t>Investigate</t>
        </is>
      </c>
      <c r="I26" s="2" t="inlineStr">
        <is>
          <t>OPEN</t>
        </is>
      </c>
    </row>
    <row r="27">
      <c r="A27" s="2" t="inlineStr">
        <is>
          <t>F-026</t>
        </is>
      </c>
      <c r="B27" s="2" t="inlineStr">
        <is>
          <t>B</t>
        </is>
      </c>
      <c r="C27" s="5" t="inlineStr">
        <is>
          <t>MEDIUM</t>
        </is>
      </c>
      <c r="D27" s="2" t="inlineStr">
        <is>
          <t>Math</t>
        </is>
      </c>
      <c r="E27" s="2" t="inlineStr">
        <is>
          <t>NDP bridge uses plug number</t>
        </is>
      </c>
      <c r="F27" s="2" t="inlineStr">
        <is>
          <t>09_P&amp;L bridge</t>
        </is>
      </c>
      <c r="G27" s="2" t="inlineStr">
        <is>
          <t>WC/Gov 233 manual</t>
        </is>
      </c>
      <c r="H27" s="2" t="inlineStr">
        <is>
          <t>Document derivation</t>
        </is>
      </c>
      <c r="I27" s="2" t="inlineStr">
        <is>
          <t>OPEN</t>
        </is>
      </c>
    </row>
    <row r="28">
      <c r="A28" s="2" t="inlineStr">
        <is>
          <t>F-027</t>
        </is>
      </c>
      <c r="B28" s="2" t="inlineStr">
        <is>
          <t>B</t>
        </is>
      </c>
      <c r="C28" s="5" t="inlineStr">
        <is>
          <t>MEDIUM</t>
        </is>
      </c>
      <c r="D28" s="2" t="inlineStr">
        <is>
          <t>Tax</t>
        </is>
      </c>
      <c r="E28" s="2" t="inlineStr">
        <is>
          <t>VAT vs Profit Tax confusion</t>
        </is>
      </c>
      <c r="F28" s="2" t="inlineStr">
        <is>
          <t>P&amp;L/Tax</t>
        </is>
      </c>
      <c r="G28" s="2" t="inlineStr">
        <is>
          <t>20% without distinction</t>
        </is>
      </c>
      <c r="H28" s="2" t="inlineStr">
        <is>
          <t>Separate</t>
        </is>
      </c>
      <c r="I28" s="2" t="inlineStr">
        <is>
          <t>OPEN</t>
        </is>
      </c>
    </row>
    <row r="29">
      <c r="A29" s="2" t="inlineStr">
        <is>
          <t>F-028</t>
        </is>
      </c>
      <c r="B29" s="2" t="inlineStr">
        <is>
          <t>D</t>
        </is>
      </c>
      <c r="C29" s="5" t="inlineStr">
        <is>
          <t>MEDIUM</t>
        </is>
      </c>
      <c r="D29" s="2" t="inlineStr">
        <is>
          <t>Risk</t>
        </is>
      </c>
      <c r="E29" s="2" t="inlineStr">
        <is>
          <t>Risk scoring uncalibrated</t>
        </is>
      </c>
      <c r="F29" s="2" t="inlineStr">
        <is>
          <t>29_Risk_Register</t>
        </is>
      </c>
      <c r="G29" s="2" t="inlineStr">
        <is>
          <t>No rubric 1-5</t>
        </is>
      </c>
      <c r="H29" s="2" t="inlineStr">
        <is>
          <t>Add rubric</t>
        </is>
      </c>
      <c r="I29" s="2" t="inlineStr">
        <is>
          <t>OPEN</t>
        </is>
      </c>
    </row>
    <row r="30">
      <c r="A30" s="2" t="inlineStr">
        <is>
          <t>F-029</t>
        </is>
      </c>
      <c r="B30" s="2" t="inlineStr">
        <is>
          <t>B</t>
        </is>
      </c>
      <c r="C30" s="5" t="inlineStr">
        <is>
          <t>MEDIUM</t>
        </is>
      </c>
      <c r="D30" s="2" t="inlineStr">
        <is>
          <t>Structure</t>
        </is>
      </c>
      <c r="E30" s="2" t="inlineStr">
        <is>
          <t>Producer equity 600M ambiguous</t>
        </is>
      </c>
      <c r="F30" s="2" t="inlineStr">
        <is>
          <t>17_Deal_Structures</t>
        </is>
      </c>
      <c r="G30" s="2" t="inlineStr">
        <is>
          <t>Unclear hierarchy</t>
        </is>
      </c>
      <c r="H30" s="2" t="inlineStr">
        <is>
          <t>Create Capital Stack</t>
        </is>
      </c>
      <c r="I30" s="2" t="inlineStr">
        <is>
          <t>OPEN</t>
        </is>
      </c>
    </row>
    <row r="31">
      <c r="A31" s="2" t="inlineStr">
        <is>
          <t>F-030</t>
        </is>
      </c>
      <c r="B31" s="2" t="inlineStr">
        <is>
          <t>B</t>
        </is>
      </c>
      <c r="C31" s="5" t="inlineStr">
        <is>
          <t>MEDIUM</t>
        </is>
      </c>
      <c r="D31" s="2" t="inlineStr">
        <is>
          <t>Valuation</t>
        </is>
      </c>
      <c r="E31" s="2" t="inlineStr">
        <is>
          <t>WACC single point no CAPM</t>
        </is>
      </c>
      <c r="F31" s="2" t="inlineStr">
        <is>
          <t>22_Valuation_DCF</t>
        </is>
      </c>
      <c r="G31" s="2" t="inlineStr">
        <is>
          <t>19.05% without decomp</t>
        </is>
      </c>
      <c r="H31" s="2" t="inlineStr">
        <is>
          <t>Add CAPM</t>
        </is>
      </c>
      <c r="I31" s="2" t="inlineStr">
        <is>
          <t>OPEN</t>
        </is>
      </c>
    </row>
    <row r="32">
      <c r="A32" s="2" t="inlineStr">
        <is>
          <t>F-031</t>
        </is>
      </c>
      <c r="B32" s="2" t="inlineStr">
        <is>
          <t>A</t>
        </is>
      </c>
      <c r="C32" s="5" t="inlineStr">
        <is>
          <t>MEDIUM</t>
        </is>
      </c>
      <c r="D32" s="2" t="inlineStr">
        <is>
          <t>Integrity</t>
        </is>
      </c>
      <c r="E32" s="2" t="inlineStr">
        <is>
          <t>Cached values are None</t>
        </is>
      </c>
      <c r="F32" s="2" t="inlineStr">
        <is>
          <t>Multiple sheets</t>
        </is>
      </c>
      <c r="G32" s="2" t="inlineStr">
        <is>
          <t>Not recalculated</t>
        </is>
      </c>
      <c r="H32" s="2" t="inlineStr">
        <is>
          <t>Open/recalculate/save</t>
        </is>
      </c>
      <c r="I32" s="2" t="inlineStr">
        <is>
          <t>OPEN</t>
        </is>
      </c>
    </row>
    <row r="33">
      <c r="A33" s="2" t="inlineStr">
        <is>
          <t>F-032</t>
        </is>
      </c>
      <c r="B33" s="2" t="inlineStr">
        <is>
          <t>F</t>
        </is>
      </c>
      <c r="C33" s="5" t="inlineStr">
        <is>
          <t>MEDIUM</t>
        </is>
      </c>
      <c r="D33" s="2" t="inlineStr">
        <is>
          <t>Docs</t>
        </is>
      </c>
      <c r="E33" s="2" t="inlineStr">
        <is>
          <t>Template placeholders</t>
        </is>
      </c>
      <c r="F33" s="2" t="inlineStr">
        <is>
          <t>42_Cover_Letter</t>
        </is>
      </c>
      <c r="G33" s="2" t="inlineStr">
        <is>
          <t>[Name of LP], [Date]</t>
        </is>
      </c>
      <c r="H33" s="2" t="inlineStr">
        <is>
          <t>Fill</t>
        </is>
      </c>
      <c r="I33" s="2" t="inlineStr">
        <is>
          <t>OPEN</t>
        </is>
      </c>
    </row>
    <row r="34">
      <c r="A34" s="2" t="inlineStr">
        <is>
          <t>F-033</t>
        </is>
      </c>
      <c r="B34" s="2" t="inlineStr">
        <is>
          <t>G</t>
        </is>
      </c>
      <c r="C34" s="5" t="inlineStr">
        <is>
          <t>MEDIUM</t>
        </is>
      </c>
      <c r="D34" s="2" t="inlineStr">
        <is>
          <t>Pipeline</t>
        </is>
      </c>
      <c r="E34" s="2" t="inlineStr">
        <is>
          <t>verify.py bug: hardcoded 14</t>
        </is>
      </c>
      <c r="F34" s="2" t="inlineStr">
        <is>
          <t>scripts/verify.py:161</t>
        </is>
      </c>
      <c r="G34" s="2" t="inlineStr">
        <is>
          <t>Should be 18</t>
        </is>
      </c>
      <c r="H34" s="2" t="inlineStr">
        <is>
          <t>Fix to len()</t>
        </is>
      </c>
      <c r="I34" s="2" t="inlineStr">
        <is>
          <t>OPEN</t>
        </is>
      </c>
    </row>
    <row r="35">
      <c r="A35" s="2" t="inlineStr">
        <is>
          <t>F-034</t>
        </is>
      </c>
      <c r="B35" s="2" t="inlineStr">
        <is>
          <t>B</t>
        </is>
      </c>
      <c r="C35" s="5" t="inlineStr">
        <is>
          <t>MEDIUM</t>
        </is>
      </c>
      <c r="D35" s="2" t="inlineStr">
        <is>
          <t>Anchor</t>
        </is>
      </c>
      <c r="E35" s="2" t="inlineStr">
        <is>
          <t>EBITDA anchor mismatch</t>
        </is>
      </c>
      <c r="F35" s="2" t="inlineStr">
        <is>
          <t>09_P&amp;L</t>
        </is>
      </c>
      <c r="G35" s="2" t="inlineStr">
        <is>
          <t>Model 2167.4 vs spec 2076.1</t>
        </is>
      </c>
      <c r="H35" s="2" t="inlineStr">
        <is>
          <t>Clarify</t>
        </is>
      </c>
      <c r="I35" s="2" t="inlineStr">
        <is>
          <t>OPEN</t>
        </is>
      </c>
    </row>
    <row r="36">
      <c r="A36" s="2" t="inlineStr">
        <is>
          <t>F-035</t>
        </is>
      </c>
      <c r="B36" s="2" t="inlineStr">
        <is>
          <t>A</t>
        </is>
      </c>
      <c r="C36" s="6" t="inlineStr">
        <is>
          <t>LOW</t>
        </is>
      </c>
      <c r="D36" s="2" t="inlineStr">
        <is>
          <t>Cosmetic</t>
        </is>
      </c>
      <c r="E36" s="2" t="inlineStr">
        <is>
          <t>Counter 62 vs 45</t>
        </is>
      </c>
      <c r="F36" s="2" t="inlineStr">
        <is>
          <t>40_Investor_Checklist</t>
        </is>
      </c>
      <c r="G36" s="2" t="inlineStr">
        <is>
          <t>Heading mismatch</t>
        </is>
      </c>
      <c r="H36" s="2" t="inlineStr">
        <is>
          <t>Fix</t>
        </is>
      </c>
      <c r="I36" s="2" t="inlineStr">
        <is>
          <t>OPEN</t>
        </is>
      </c>
    </row>
    <row r="37">
      <c r="A37" s="2" t="inlineStr">
        <is>
          <t>F-036</t>
        </is>
      </c>
      <c r="B37" s="2" t="inlineStr">
        <is>
          <t>A</t>
        </is>
      </c>
      <c r="C37" s="6" t="inlineStr">
        <is>
          <t>LOW</t>
        </is>
      </c>
      <c r="D37" s="2" t="inlineStr">
        <is>
          <t>Integrity</t>
        </is>
      </c>
      <c r="E37" s="2" t="inlineStr">
        <is>
          <t>Dangling = in cell</t>
        </is>
      </c>
      <c r="F37" s="2" t="inlineStr">
        <is>
          <t>17_Deal!R31C2</t>
        </is>
      </c>
      <c r="G37" s="2" t="inlineStr">
        <is>
          <t>Bare equals sign</t>
        </is>
      </c>
      <c r="H37" s="2" t="inlineStr">
        <is>
          <t>Remove</t>
        </is>
      </c>
      <c r="I37" s="2" t="inlineStr">
        <is>
          <t>OPEN</t>
        </is>
      </c>
    </row>
    <row r="38">
      <c r="A38" s="2" t="inlineStr">
        <is>
          <t>F-037</t>
        </is>
      </c>
      <c r="B38" s="2" t="inlineStr">
        <is>
          <t>A</t>
        </is>
      </c>
      <c r="C38" s="6" t="inlineStr">
        <is>
          <t>LOW</t>
        </is>
      </c>
      <c r="D38" s="2" t="inlineStr">
        <is>
          <t>Cosmetic</t>
        </is>
      </c>
      <c r="E38" s="2" t="inlineStr">
        <is>
          <t>Print_Area not set</t>
        </is>
      </c>
      <c r="F38" s="2" t="inlineStr">
        <is>
          <t>All sheets</t>
        </is>
      </c>
      <c r="G38" s="2" t="inlineStr">
        <is>
          <t>No print area</t>
        </is>
      </c>
      <c r="H38" s="2" t="inlineStr">
        <is>
          <t>Set</t>
        </is>
      </c>
      <c r="I38" s="2" t="inlineStr">
        <is>
          <t>OPEN</t>
        </is>
      </c>
    </row>
    <row r="39">
      <c r="A39" s="2" t="inlineStr">
        <is>
          <t>F-038</t>
        </is>
      </c>
      <c r="B39" s="2" t="inlineStr">
        <is>
          <t>G</t>
        </is>
      </c>
      <c r="C39" s="6" t="inlineStr">
        <is>
          <t>LOW</t>
        </is>
      </c>
      <c r="D39" s="2" t="inlineStr">
        <is>
          <t>Docs</t>
        </is>
      </c>
      <c r="E39" s="2" t="inlineStr">
        <is>
          <t>README says 78 tests, actual 287+</t>
        </is>
      </c>
      <c r="F39" s="2" t="inlineStr">
        <is>
          <t>pipeline/README.md</t>
        </is>
      </c>
      <c r="G39" s="2" t="inlineStr">
        <is>
          <t>Version mismatch</t>
        </is>
      </c>
      <c r="H39" s="2" t="inlineStr">
        <is>
          <t>Update</t>
        </is>
      </c>
      <c r="I39" s="2" t="inlineStr">
        <is>
          <t>OPEN</t>
        </is>
      </c>
    </row>
    <row r="40">
      <c r="A40" s="2" t="inlineStr">
        <is>
          <t>F-039</t>
        </is>
      </c>
      <c r="B40" s="2" t="inlineStr">
        <is>
          <t>A</t>
        </is>
      </c>
      <c r="C40" s="6" t="inlineStr">
        <is>
          <t>LOW</t>
        </is>
      </c>
      <c r="D40" s="2" t="inlineStr">
        <is>
          <t>Hygiene</t>
        </is>
      </c>
      <c r="E40" s="2" t="inlineStr">
        <is>
          <t>20+ backup files</t>
        </is>
      </c>
      <c r="F40" s="2" t="inlineStr">
        <is>
          <t>Investor_Package/</t>
        </is>
      </c>
      <c r="G40" s="2" t="inlineStr">
        <is>
          <t>*.bak files</t>
        </is>
      </c>
      <c r="H40" s="2" t="inlineStr">
        <is>
          <t>Remove from release</t>
        </is>
      </c>
      <c r="I40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Details</t>
        </is>
      </c>
    </row>
    <row r="2">
      <c r="A2" s="2" t="inlineStr">
        <is>
          <t>CRITICAL</t>
        </is>
      </c>
      <c r="B2" s="2" t="n">
        <v>5</v>
      </c>
      <c r="C2" s="2" t="inlineStr">
        <is>
          <t>Leakage (3), Architecture (2)</t>
        </is>
      </c>
    </row>
    <row r="3">
      <c r="A3" s="2" t="inlineStr">
        <is>
          <t>HIGH</t>
        </is>
      </c>
      <c r="B3" s="2" t="n">
        <v>14</v>
      </c>
      <c r="C3" s="2" t="inlineStr">
        <is>
          <t>Math (5), Leakage (3), Valuation (2), Pipeline (3), Consistency (1)</t>
        </is>
      </c>
    </row>
    <row r="4">
      <c r="A4" s="2" t="inlineStr">
        <is>
          <t>MEDIUM</t>
        </is>
      </c>
      <c r="B4" s="2" t="n">
        <v>15</v>
      </c>
      <c r="C4" s="2" t="inlineStr">
        <is>
          <t>Metadata (5), Math (3), Structure (2), Tax (1), Risk (1), Docs (1), Pipeline (1), Anchor (1)</t>
        </is>
      </c>
    </row>
    <row r="5">
      <c r="A5" s="2" t="inlineStr">
        <is>
          <t>LOW</t>
        </is>
      </c>
      <c r="B5" s="2" t="n">
        <v>5</v>
      </c>
      <c r="C5" s="2" t="inlineStr">
        <is>
          <t>Cosmetic (2), Integrity (1), Hygiene (1), Docs (1)</t>
        </is>
      </c>
    </row>
    <row r="6">
      <c r="A6" s="2" t="inlineStr">
        <is>
          <t>TOTAL</t>
        </is>
      </c>
      <c r="B6" s="2" t="n">
        <v>39</v>
      </c>
      <c r="C6" s="2" t="inlineStr"/>
    </row>
    <row r="7">
      <c r="A7" s="2" t="inlineStr"/>
      <c r="B7" s="2" t="inlineStr"/>
      <c r="C7" s="2" t="inlineStr"/>
    </row>
    <row r="8">
      <c r="A8" s="2" t="inlineStr">
        <is>
          <t>Block</t>
        </is>
      </c>
      <c r="B8" s="2" t="inlineStr">
        <is>
          <t>Count</t>
        </is>
      </c>
      <c r="C8" s="2" t="inlineStr"/>
    </row>
    <row r="9">
      <c r="A9" s="2" t="inlineStr">
        <is>
          <t>A - xlsx Technical</t>
        </is>
      </c>
      <c r="B9" s="2" t="n">
        <v>11</v>
      </c>
      <c r="C9" s="2" t="inlineStr"/>
    </row>
    <row r="10">
      <c r="A10" s="2" t="inlineStr">
        <is>
          <t>B - Financial Math</t>
        </is>
      </c>
      <c r="B10" s="2" t="n">
        <v>12</v>
      </c>
      <c r="C10" s="2" t="inlineStr"/>
    </row>
    <row r="11">
      <c r="A11" s="2" t="inlineStr">
        <is>
          <t>C - Public/Internal</t>
        </is>
      </c>
      <c r="B11" s="2" t="n">
        <v>6</v>
      </c>
      <c r="C11" s="2" t="inlineStr"/>
    </row>
    <row r="12">
      <c r="A12" s="2" t="inlineStr">
        <is>
          <t>D - Investor Readiness</t>
        </is>
      </c>
      <c r="B12" s="2" t="n">
        <v>4</v>
      </c>
      <c r="C12" s="2" t="inlineStr"/>
    </row>
    <row r="13">
      <c r="A13" s="2" t="inlineStr">
        <is>
          <t>E - Going Concern</t>
        </is>
      </c>
      <c r="B13" s="2" t="n">
        <v>0</v>
      </c>
      <c r="C13" s="2" t="inlineStr">
        <is>
          <t>GREEN - no findings</t>
        </is>
      </c>
    </row>
    <row r="14">
      <c r="A14" s="2" t="inlineStr">
        <is>
          <t>F - Cover Docs</t>
        </is>
      </c>
      <c r="B14" s="2" t="n">
        <v>1</v>
      </c>
      <c r="C14" s="2" t="inlineStr"/>
    </row>
    <row r="15">
      <c r="A15" s="2" t="inlineStr">
        <is>
          <t>G - Pipeline</t>
        </is>
      </c>
      <c r="B15" s="2" t="n">
        <v>5</v>
      </c>
      <c r="C15" s="2" t="inlineStr"/>
    </row>
    <row r="16">
      <c r="A16" s="2" t="inlineStr"/>
      <c r="B16" s="2" t="inlineStr"/>
      <c r="C16" s="2" t="inlineStr"/>
    </row>
    <row r="17">
      <c r="A17" s="2" t="inlineStr">
        <is>
          <t>VERDICT</t>
        </is>
      </c>
      <c r="B17" s="2" t="inlineStr">
        <is>
          <t>CONDITIONAL FAIL</t>
        </is>
      </c>
      <c r="C17" s="2" t="inlineStr">
        <is>
          <t>Requires remediation before investor 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12" customWidth="1" min="4" max="4"/>
    <col width="50" customWidth="1" min="5" max="5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Items</t>
        </is>
      </c>
      <c r="D1" s="1" t="inlineStr">
        <is>
          <t>Effort</t>
        </is>
      </c>
      <c r="E1" s="1" t="inlineStr">
        <is>
          <t>Description</t>
        </is>
      </c>
    </row>
    <row r="2">
      <c r="A2" s="2" t="inlineStr">
        <is>
          <t>Quick Wins</t>
        </is>
      </c>
      <c r="B2" s="2" t="inlineStr">
        <is>
          <t>0-2 days</t>
        </is>
      </c>
      <c r="C2" s="2" t="inlineStr">
        <is>
          <t>F-001-003,009-011,020-024,032,035-036,039</t>
        </is>
      </c>
      <c r="D2" s="2" t="inlineStr">
        <is>
          <t>8-16h</t>
        </is>
      </c>
      <c r="E2" s="2" t="inlineStr">
        <is>
          <t>Leakage scrub, metadata cleanup, cosmetics</t>
        </is>
      </c>
    </row>
    <row r="3">
      <c r="A3" s="2" t="inlineStr">
        <is>
          <t>Structural</t>
        </is>
      </c>
      <c r="B3" s="2" t="inlineStr">
        <is>
          <t>1-3 weeks</t>
        </is>
      </c>
      <c r="C3" s="2" t="inlineStr">
        <is>
          <t>F-004-008,012-016,027,029-030</t>
        </is>
      </c>
      <c r="D3" s="2" t="inlineStr">
        <is>
          <t>80-120h</t>
        </is>
      </c>
      <c r="E3" s="2" t="inlineStr">
        <is>
          <t>Live formulas, IRR standardization, valuation reconciliation</t>
        </is>
      </c>
    </row>
    <row r="4">
      <c r="A4" s="2" t="inlineStr">
        <is>
          <t>Architectural</t>
        </is>
      </c>
      <c r="B4" s="2" t="inlineStr">
        <is>
          <t>4-6 weeks</t>
        </is>
      </c>
      <c r="C4" s="2" t="inlineStr">
        <is>
          <t>Full formula rebuild, independent verification</t>
        </is>
      </c>
      <c r="D4" s="2" t="inlineStr">
        <is>
          <t>160-240h</t>
        </is>
      </c>
      <c r="E4" s="2" t="inlineStr">
        <is>
          <t>Formula-based architecture, second-engineer verification, MC upgrade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5" customWidth="1" min="3" max="3"/>
    <col width="10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Effort</t>
        </is>
      </c>
    </row>
    <row r="2">
      <c r="A2" s="2" t="n">
        <v>1</v>
      </c>
      <c r="B2" s="2" t="inlineStr">
        <is>
          <t>Architecture</t>
        </is>
      </c>
      <c r="C2" s="2" t="inlineStr">
        <is>
          <t>Convert from anchor-based to formula-based model</t>
        </is>
      </c>
      <c r="D2" s="2" t="inlineStr">
        <is>
          <t>HIGH</t>
        </is>
      </c>
      <c r="E2" s="2" t="inlineStr">
        <is>
          <t>3 weeks</t>
        </is>
      </c>
    </row>
    <row r="3">
      <c r="A3" s="2" t="n">
        <v>2</v>
      </c>
      <c r="B3" s="2" t="inlineStr">
        <is>
          <t>IRR</t>
        </is>
      </c>
      <c r="C3" s="2" t="inlineStr">
        <is>
          <t>Standardize on numpy_financial.irr across all scripts</t>
        </is>
      </c>
      <c r="D3" s="2" t="inlineStr">
        <is>
          <t>HIGH</t>
        </is>
      </c>
      <c r="E3" s="2" t="inlineStr">
        <is>
          <t>2 days</t>
        </is>
      </c>
    </row>
    <row r="4">
      <c r="A4" s="2" t="n">
        <v>3</v>
      </c>
      <c r="B4" s="2" t="inlineStr">
        <is>
          <t>MC</t>
        </is>
      </c>
      <c r="C4" s="2" t="inlineStr">
        <is>
          <t>Upgrade to vectorized numpy MC with proper cashflow-based IRR</t>
        </is>
      </c>
      <c r="D4" s="2" t="inlineStr">
        <is>
          <t>HIGH</t>
        </is>
      </c>
      <c r="E4" s="2" t="inlineStr">
        <is>
          <t>1 week</t>
        </is>
      </c>
    </row>
    <row r="5">
      <c r="A5" s="2" t="n">
        <v>4</v>
      </c>
      <c r="B5" s="2" t="inlineStr">
        <is>
          <t>Comps</t>
        </is>
      </c>
      <c r="C5" s="2" t="inlineStr">
        <is>
          <t>Add Pitchbook/Mergermarket source citations</t>
        </is>
      </c>
      <c r="D5" s="2" t="inlineStr">
        <is>
          <t>HIGH</t>
        </is>
      </c>
      <c r="E5" s="2" t="inlineStr">
        <is>
          <t>3 days</t>
        </is>
      </c>
    </row>
    <row r="6">
      <c r="A6" s="2" t="n">
        <v>5</v>
      </c>
      <c r="B6" s="2" t="inlineStr">
        <is>
          <t>WACC</t>
        </is>
      </c>
      <c r="C6" s="2" t="inlineStr">
        <is>
          <t>Full CAPM build-up with sourced components</t>
        </is>
      </c>
      <c r="D6" s="2" t="inlineStr">
        <is>
          <t>MEDIUM</t>
        </is>
      </c>
      <c r="E6" s="2" t="inlineStr">
        <is>
          <t>2 days</t>
        </is>
      </c>
    </row>
    <row r="7">
      <c r="A7" s="2" t="n">
        <v>6</v>
      </c>
      <c r="B7" s="2" t="inlineStr">
        <is>
          <t>Tax</t>
        </is>
      </c>
      <c r="C7" s="2" t="inlineStr">
        <is>
          <t>Separate VAT pass-through from profit tax</t>
        </is>
      </c>
      <c r="D7" s="2" t="inlineStr">
        <is>
          <t>MEDIUM</t>
        </is>
      </c>
      <c r="E7" s="2" t="inlineStr">
        <is>
          <t>1 day</t>
        </is>
      </c>
    </row>
    <row r="8">
      <c r="A8" s="2" t="n">
        <v>7</v>
      </c>
      <c r="B8" s="2" t="inlineStr">
        <is>
          <t>D&amp;A</t>
        </is>
      </c>
      <c r="C8" s="2" t="inlineStr">
        <is>
          <t>Add asset depreciation schedule to justify DCF D&amp;A</t>
        </is>
      </c>
      <c r="D8" s="2" t="inlineStr">
        <is>
          <t>MEDIUM</t>
        </is>
      </c>
      <c r="E8" s="2" t="inlineStr">
        <is>
          <t>2 days</t>
        </is>
      </c>
    </row>
    <row r="9">
      <c r="A9" s="2" t="n">
        <v>8</v>
      </c>
      <c r="B9" s="2" t="inlineStr">
        <is>
          <t>Pipeline</t>
        </is>
      </c>
      <c r="C9" s="2" t="inlineStr">
        <is>
          <t>Pin all dependencies with ==</t>
        </is>
      </c>
      <c r="D9" s="2" t="inlineStr">
        <is>
          <t>MEDIUM</t>
        </is>
      </c>
      <c r="E9" s="2" t="inlineStr">
        <is>
          <t>1 hour</t>
        </is>
      </c>
    </row>
    <row r="10">
      <c r="A10" s="2" t="n">
        <v>9</v>
      </c>
      <c r="B10" s="2" t="inlineStr">
        <is>
          <t>Pipeline</t>
        </is>
      </c>
      <c r="C10" s="2" t="inlineStr">
        <is>
          <t>Add plotly, python-pptx to requirements.txt</t>
        </is>
      </c>
      <c r="D10" s="2" t="inlineStr">
        <is>
          <t>LOW</t>
        </is>
      </c>
      <c r="E10" s="2" t="inlineStr">
        <is>
          <t>30 min</t>
        </is>
      </c>
    </row>
    <row r="11">
      <c r="A11" s="2" t="n">
        <v>10</v>
      </c>
      <c r="B11" s="2" t="inlineStr">
        <is>
          <t>Docs</t>
        </is>
      </c>
      <c r="C11" s="2" t="inlineStr">
        <is>
          <t>Complete Cover Letter, remove all placeholders</t>
        </is>
      </c>
      <c r="D11" s="2" t="inlineStr">
        <is>
          <t>LOW</t>
        </is>
      </c>
      <c r="E11" s="2" t="inlineStr">
        <is>
          <t>2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40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Key Issue</t>
        </is>
      </c>
      <c r="E1" s="1" t="inlineStr">
        <is>
          <t>Action Required</t>
        </is>
      </c>
    </row>
    <row r="2">
      <c r="A2" s="2" t="n">
        <v>1</v>
      </c>
      <c r="B2" s="2" t="inlineStr">
        <is>
          <t>Model Integrity</t>
        </is>
      </c>
      <c r="C2" s="7" t="inlineStr">
        <is>
          <t>FAIL</t>
        </is>
      </c>
      <c r="D2" s="2" t="inlineStr">
        <is>
          <t>97.5% constants, not live</t>
        </is>
      </c>
      <c r="E2" s="2" t="inlineStr">
        <is>
          <t>Convert to formula-based</t>
        </is>
      </c>
    </row>
    <row r="3">
      <c r="A3" s="2" t="n">
        <v>2</v>
      </c>
      <c r="B3" s="2" t="inlineStr">
        <is>
          <t>Leakage Control</t>
        </is>
      </c>
      <c r="C3" s="7" t="inlineStr">
        <is>
          <t>FAIL</t>
        </is>
      </c>
      <c r="D3" s="2" t="inlineStr">
        <is>
          <t>23 leakage findings</t>
        </is>
      </c>
      <c r="E3" s="2" t="inlineStr">
        <is>
          <t>Scrub all Internal refs</t>
        </is>
      </c>
    </row>
    <row r="4">
      <c r="A4" s="2" t="n">
        <v>3</v>
      </c>
      <c r="B4" s="2" t="inlineStr">
        <is>
          <t>Financial Math</t>
        </is>
      </c>
      <c r="C4" s="8" t="inlineStr">
        <is>
          <t>CONDITIONAL</t>
        </is>
      </c>
      <c r="D4" s="2" t="inlineStr">
        <is>
          <t>Anchors verified but back-solved</t>
        </is>
      </c>
      <c r="E4" s="2" t="inlineStr">
        <is>
          <t>Document methodology</t>
        </is>
      </c>
    </row>
    <row r="5">
      <c r="A5" s="2" t="n">
        <v>4</v>
      </c>
      <c r="B5" s="2" t="inlineStr">
        <is>
          <t>Valuation</t>
        </is>
      </c>
      <c r="C5" s="7" t="inlineStr">
        <is>
          <t>FAIL</t>
        </is>
      </c>
      <c r="D5" s="2" t="inlineStr">
        <is>
          <t>6x spread, fabricated comps</t>
        </is>
      </c>
      <c r="E5" s="2" t="inlineStr">
        <is>
          <t>Reconcile, add sources</t>
        </is>
      </c>
    </row>
    <row r="6">
      <c r="A6" s="2" t="n">
        <v>5</v>
      </c>
      <c r="B6" s="2" t="inlineStr">
        <is>
          <t>MC Simulation</t>
        </is>
      </c>
      <c r="C6" s="8" t="inlineStr">
        <is>
          <t>CONDITIONAL</t>
        </is>
      </c>
      <c r="D6" s="2" t="inlineStr">
        <is>
          <t>Results verified, underpowered</t>
        </is>
      </c>
      <c r="E6" s="2" t="inlineStr">
        <is>
          <t>Increase N, fix bias</t>
        </is>
      </c>
    </row>
    <row r="7">
      <c r="A7" s="2" t="n">
        <v>6</v>
      </c>
      <c r="B7" s="2" t="inlineStr">
        <is>
          <t>Documentation</t>
        </is>
      </c>
      <c r="C7" s="9" t="inlineStr">
        <is>
          <t>PASS</t>
        </is>
      </c>
      <c r="D7" s="2" t="inlineStr">
        <is>
          <t>34-item self-audit, 8 ADRs</t>
        </is>
      </c>
      <c r="E7" s="2" t="inlineStr">
        <is>
          <t>Minor updates</t>
        </is>
      </c>
    </row>
    <row r="8">
      <c r="A8" s="2" t="n">
        <v>7</v>
      </c>
      <c r="B8" s="2" t="inlineStr">
        <is>
          <t>Pipeline</t>
        </is>
      </c>
      <c r="C8" s="9" t="inlineStr">
        <is>
          <t>PASS</t>
        </is>
      </c>
      <c r="D8" s="2" t="inlineStr">
        <is>
          <t>16K LOC, 323/328 tests</t>
        </is>
      </c>
      <c r="E8" s="2" t="inlineStr">
        <is>
          <t>Pin deps</t>
        </is>
      </c>
    </row>
    <row r="9">
      <c r="A9" s="2" t="n">
        <v>8</v>
      </c>
      <c r="B9" s="2" t="inlineStr">
        <is>
          <t>Cover Docs</t>
        </is>
      </c>
      <c r="C9" s="8" t="inlineStr">
        <is>
          <t>CONDITIONAL</t>
        </is>
      </c>
      <c r="D9" s="2" t="inlineStr">
        <is>
          <t>Honest but incomplete</t>
        </is>
      </c>
      <c r="E9" s="2" t="inlineStr">
        <is>
          <t>Fill placeholders</t>
        </is>
      </c>
    </row>
    <row r="10">
      <c r="A10" s="2" t="n">
        <v>9</v>
      </c>
      <c r="B10" s="2" t="inlineStr">
        <is>
          <t>Stress Testing</t>
        </is>
      </c>
      <c r="C10" s="8" t="inlineStr">
        <is>
          <t>CONDITIONAL</t>
        </is>
      </c>
      <c r="D10" s="2" t="inlineStr">
        <is>
          <t>Base passes, tails weak</t>
        </is>
      </c>
      <c r="E10" s="2" t="inlineStr">
        <is>
          <t>Add scenario detail</t>
        </is>
      </c>
    </row>
    <row r="11">
      <c r="A11" s="2" t="n">
        <v>10</v>
      </c>
      <c r="B11" s="2" t="inlineStr">
        <is>
          <t>Legal/Disclaimers</t>
        </is>
      </c>
      <c r="C11" s="8" t="inlineStr">
        <is>
          <t>CONDITIONAL</t>
        </is>
      </c>
      <c r="D11" s="2" t="inlineStr">
        <is>
          <t>Present but templates</t>
        </is>
      </c>
      <c r="E11" s="2" t="inlineStr">
        <is>
          <t>Complete</t>
        </is>
      </c>
    </row>
    <row r="12">
      <c r="A12" s="2" t="n">
        <v>11</v>
      </c>
      <c r="B12" s="2" t="inlineStr">
        <is>
          <t>Metadata</t>
        </is>
      </c>
      <c r="C12" s="7" t="inlineStr">
        <is>
          <t>FAIL</t>
        </is>
      </c>
      <c r="D12" s="2" t="inlineStr">
        <is>
          <t>Dev path, L3 classification</t>
        </is>
      </c>
      <c r="E12" s="2" t="inlineStr">
        <is>
          <t>Clean all</t>
        </is>
      </c>
    </row>
    <row r="13">
      <c r="A13" s="2" t="n">
        <v>12</v>
      </c>
      <c r="B13" s="2" t="inlineStr">
        <is>
          <t>Version Control</t>
        </is>
      </c>
      <c r="C13" s="9" t="inlineStr">
        <is>
          <t>PASS</t>
        </is>
      </c>
      <c r="D13" s="2" t="inlineStr">
        <is>
          <t>Manifest, SHA-256, backups</t>
        </is>
      </c>
      <c r="E13" s="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Rationale</t>
        </is>
      </c>
      <c r="D1" s="1" t="inlineStr">
        <is>
          <t>Risk</t>
        </is>
      </c>
      <c r="E1" s="1" t="inlineStr">
        <is>
          <t>Mitigation</t>
        </is>
      </c>
    </row>
    <row r="2">
      <c r="A2" s="2" t="n">
        <v>1</v>
      </c>
      <c r="B2" s="2" t="inlineStr">
        <is>
          <t>Anchor-based model (97.5% constants)</t>
        </is>
      </c>
      <c r="C2" s="2" t="inlineStr">
        <is>
          <t>Ensures iron convergence on NDP=3000</t>
        </is>
      </c>
      <c r="D2" s="2" t="inlineStr">
        <is>
          <t>Analyst sees 'static spreadsheet'</t>
        </is>
      </c>
      <c r="E2" s="2" t="inlineStr">
        <is>
          <t>v2.0: convert to formula-based</t>
        </is>
      </c>
    </row>
    <row r="3">
      <c r="A3" s="2" t="n">
        <v>2</v>
      </c>
      <c r="B3" s="2" t="inlineStr">
        <is>
          <t>Dual-metric GAAP/NDP</t>
        </is>
      </c>
      <c r="C3" s="2" t="inlineStr">
        <is>
          <t>GAAP EBITDA=2167 vs NDP=3000 serve different audiences</t>
        </is>
      </c>
      <c r="D3" s="2" t="inlineStr">
        <is>
          <t>Confusion if not labeled</t>
        </is>
      </c>
      <c r="E3" s="2" t="inlineStr">
        <is>
          <t>Prefix all EBITDA with (GAAP) or (NDP)</t>
        </is>
      </c>
    </row>
    <row r="4">
      <c r="A4" s="2" t="n">
        <v>3</v>
      </c>
      <c r="B4" s="2" t="inlineStr">
        <is>
          <t>W3 vs W5 waterfall difference</t>
        </is>
      </c>
      <c r="C4" s="2" t="inlineStr">
        <is>
          <t>W3 (Public) conservative, W5 (Internal) full terms</t>
        </is>
      </c>
      <c r="D4" s="2" t="inlineStr">
        <is>
          <t>IRR gap 4.66pp</t>
        </is>
      </c>
      <c r="E4" s="2" t="inlineStr">
        <is>
          <t>Disclosed in manifest</t>
        </is>
      </c>
    </row>
    <row r="5">
      <c r="A5" s="2" t="n">
        <v>4</v>
      </c>
      <c r="B5" s="2" t="inlineStr">
        <is>
          <t>MC mean &lt; deterministic IRR</t>
        </is>
      </c>
      <c r="C5" s="2" t="inlineStr">
        <is>
          <t>Hit_rate, frontload pattern reduce expected returns</t>
        </is>
      </c>
      <c r="D5" s="2" t="inlineStr">
        <is>
          <t>P(IRR&gt;hurdle)=13.6%</t>
        </is>
      </c>
      <c r="E5" s="2" t="inlineStr">
        <is>
          <t>Prominent disclosure, narrative</t>
        </is>
      </c>
    </row>
    <row r="6">
      <c r="A6" s="2" t="n">
        <v>5</v>
      </c>
      <c r="B6" s="2" t="inlineStr">
        <is>
          <t>Revenue pattern A+C 33/45/9/13</t>
        </is>
      </c>
      <c r="C6" s="2" t="inlineStr">
        <is>
          <t>Front-loaded for time-value advantage</t>
        </is>
      </c>
      <c r="D6" s="2" t="inlineStr">
        <is>
          <t>Sensitive to front-end shocks</t>
        </is>
      </c>
      <c r="E6" s="2" t="inlineStr">
        <is>
          <t>Bear scenario documented</t>
        </is>
      </c>
    </row>
    <row r="7">
      <c r="A7" s="2" t="n">
        <v>6</v>
      </c>
      <c r="B7" s="2" t="inlineStr">
        <is>
          <t>Back-solved COGS/OpEx split</t>
        </is>
      </c>
      <c r="C7" s="2" t="inlineStr">
        <is>
          <t>COGS 2008.8 + OpEx 368.8 = 2377.6 (Revenue-EBITDA)</t>
        </is>
      </c>
      <c r="D7" s="2" t="inlineStr">
        <is>
          <t>Visible as fitting</t>
        </is>
      </c>
      <c r="E7" s="2" t="inlineStr">
        <is>
          <t>Document as target margin approach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Scenario</t>
        </is>
      </c>
      <c r="C1" s="1" t="inlineStr">
        <is>
          <t>Shock</t>
        </is>
      </c>
      <c r="D1" s="1" t="inlineStr">
        <is>
          <t>NDP Impact</t>
        </is>
      </c>
      <c r="E1" s="1" t="inlineStr">
        <is>
          <t>IRR Impact</t>
        </is>
      </c>
      <c r="F1" s="1" t="inlineStr">
        <is>
          <t>BS Status</t>
        </is>
      </c>
      <c r="G1" s="1" t="inlineStr">
        <is>
          <t>Covenant</t>
        </is>
      </c>
    </row>
    <row r="2">
      <c r="A2" s="2" t="n">
        <v>1</v>
      </c>
      <c r="B2" s="2" t="inlineStr">
        <is>
          <t>Recession</t>
        </is>
      </c>
      <c r="C2" s="2" t="inlineStr">
        <is>
          <t>Revenue -20%</t>
        </is>
      </c>
      <c r="D2" s="2" t="inlineStr">
        <is>
          <t>NDP ~2400</t>
        </is>
      </c>
      <c r="E2" s="2" t="inlineStr">
        <is>
          <t>IRR ~15.14%</t>
        </is>
      </c>
      <c r="F2" s="2" t="inlineStr">
        <is>
          <t>Balanced</t>
        </is>
      </c>
      <c r="G2" s="2" t="inlineStr">
        <is>
          <t>Within limits</t>
        </is>
      </c>
    </row>
    <row r="3">
      <c r="A3" s="2" t="n">
        <v>2</v>
      </c>
      <c r="B3" s="2" t="inlineStr">
        <is>
          <t>Inflation/FOT</t>
        </is>
      </c>
      <c r="C3" s="2" t="inlineStr">
        <is>
          <t>FOT +15%</t>
        </is>
      </c>
      <c r="D3" s="2" t="inlineStr">
        <is>
          <t>NDP ~2850</t>
        </is>
      </c>
      <c r="E3" s="2" t="inlineStr">
        <is>
          <t>IRR ~18.5%</t>
        </is>
      </c>
      <c r="F3" s="2" t="inlineStr">
        <is>
          <t>Balanced</t>
        </is>
      </c>
      <c r="G3" s="2" t="inlineStr">
        <is>
          <t>Within limits</t>
        </is>
      </c>
    </row>
    <row r="4">
      <c r="A4" s="2" t="n">
        <v>3</v>
      </c>
      <c r="B4" s="2" t="inlineStr">
        <is>
          <t>Rate Shock</t>
        </is>
      </c>
      <c r="C4" s="2" t="inlineStr">
        <is>
          <t>WACC +3pp</t>
        </is>
      </c>
      <c r="D4" s="2" t="inlineStr">
        <is>
          <t>NPV -25%</t>
        </is>
      </c>
      <c r="E4" s="2" t="inlineStr">
        <is>
          <t>IRR unchanged, NPV drops</t>
        </is>
      </c>
      <c r="F4" s="2" t="inlineStr">
        <is>
          <t>Balanced</t>
        </is>
      </c>
      <c r="G4" s="2" t="inlineStr">
        <is>
          <t>N/A</t>
        </is>
      </c>
    </row>
    <row r="5">
      <c r="A5" s="2" t="n">
        <v>4</v>
      </c>
      <c r="B5" s="2" t="inlineStr">
        <is>
          <t>Regulatory</t>
        </is>
      </c>
      <c r="C5" s="2" t="inlineStr">
        <is>
          <t>NDP -50%</t>
        </is>
      </c>
      <c r="D5" s="2" t="inlineStr">
        <is>
          <t>NDP 1500</t>
        </is>
      </c>
      <c r="E5" s="2" t="inlineStr">
        <is>
          <t>IRR ~2%</t>
        </is>
      </c>
      <c r="F5" s="2" t="inlineStr">
        <is>
          <t>Cash tight</t>
        </is>
      </c>
      <c r="G5" s="2" t="inlineStr">
        <is>
          <t>Breach risk</t>
        </is>
      </c>
    </row>
    <row r="6">
      <c r="A6" s="2" t="n">
        <v>5</v>
      </c>
      <c r="B6" s="2" t="inlineStr">
        <is>
          <t>Box Office Fail</t>
        </is>
      </c>
      <c r="C6" s="2" t="inlineStr">
        <is>
          <t>3/12 films fail</t>
        </is>
      </c>
      <c r="D6" s="2" t="inlineStr">
        <is>
          <t>NDP ~2250</t>
        </is>
      </c>
      <c r="E6" s="2" t="inlineStr">
        <is>
          <t>IRR ~12%</t>
        </is>
      </c>
      <c r="F6" s="2" t="inlineStr">
        <is>
          <t>Balanced</t>
        </is>
      </c>
      <c r="G6" s="2" t="inlineStr">
        <is>
          <t>Within limits</t>
        </is>
      </c>
    </row>
    <row r="7">
      <c r="A7" s="2" t="n">
        <v>6</v>
      </c>
      <c r="B7" s="2" t="inlineStr">
        <is>
          <t>FX Shock</t>
        </is>
      </c>
      <c r="C7" s="2" t="inlineStr">
        <is>
          <t>Ruble -30%</t>
        </is>
      </c>
      <c r="D7" s="2" t="inlineStr">
        <is>
          <t>Rev+10%/Cost+20%</t>
        </is>
      </c>
      <c r="E7" s="2" t="inlineStr">
        <is>
          <t>IRR ~16%</t>
        </is>
      </c>
      <c r="F7" s="2" t="inlineStr">
        <is>
          <t>Balanced</t>
        </is>
      </c>
      <c r="G7" s="2" t="inlineStr">
        <is>
          <t>Monitor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5" customWidth="1" min="4" max="4"/>
    <col width="40" customWidth="1" min="5" max="5"/>
  </cols>
  <sheetData>
    <row r="1">
      <c r="A1" s="1" t="inlineStr">
        <is>
          <t>Company</t>
        </is>
      </c>
      <c r="B1" s="1" t="inlineStr">
        <is>
          <t>EV/Revenue</t>
        </is>
      </c>
      <c r="C1" s="1" t="inlineStr">
        <is>
          <t>EV/EBITDA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Kinopoisk</t>
        </is>
      </c>
      <c r="B2" s="2" t="inlineStr">
        <is>
          <t>0.80</t>
        </is>
      </c>
      <c r="C2" s="2" t="inlineStr">
        <is>
          <t>5.0</t>
        </is>
      </c>
      <c r="D2" s="2" t="inlineStr">
        <is>
          <t>Model (no citation)</t>
        </is>
      </c>
      <c r="E2" s="2" t="inlineStr">
        <is>
          <t>Sber subsidiary</t>
        </is>
      </c>
    </row>
    <row r="3">
      <c r="A3" s="2" t="inlineStr">
        <is>
          <t>Okko</t>
        </is>
      </c>
      <c r="B3" s="2" t="inlineStr">
        <is>
          <t>0.81</t>
        </is>
      </c>
      <c r="C3" s="2" t="inlineStr">
        <is>
          <t>5.2</t>
        </is>
      </c>
      <c r="D3" s="2" t="inlineStr">
        <is>
          <t>Model (no citation)</t>
        </is>
      </c>
      <c r="E3" s="2" t="inlineStr">
        <is>
          <t>Acquired by Sber 2023</t>
        </is>
      </c>
    </row>
    <row r="4">
      <c r="A4" s="2" t="inlineStr">
        <is>
          <t>ivi</t>
        </is>
      </c>
      <c r="B4" s="2" t="inlineStr">
        <is>
          <t>0.80</t>
        </is>
      </c>
      <c r="C4" s="2" t="inlineStr">
        <is>
          <t>4.8</t>
        </is>
      </c>
      <c r="D4" s="2" t="inlineStr">
        <is>
          <t>Model (no citation)</t>
        </is>
      </c>
      <c r="E4" s="2" t="inlineStr">
        <is>
          <t>Independent OTT</t>
        </is>
      </c>
    </row>
    <row r="5">
      <c r="A5" s="2" t="inlineStr">
        <is>
          <t>START</t>
        </is>
      </c>
      <c r="B5" s="2" t="inlineStr">
        <is>
          <t>0.80</t>
        </is>
      </c>
      <c r="C5" s="2" t="inlineStr">
        <is>
          <t>5.5</t>
        </is>
      </c>
      <c r="D5" s="2" t="inlineStr">
        <is>
          <t>Model (no citation)</t>
        </is>
      </c>
      <c r="E5" s="2" t="inlineStr">
        <is>
          <t>MTS subsidiary</t>
        </is>
      </c>
    </row>
    <row r="6">
      <c r="A6" s="2" t="inlineStr">
        <is>
          <t>Premier</t>
        </is>
      </c>
      <c r="B6" s="2" t="inlineStr">
        <is>
          <t>0.81</t>
        </is>
      </c>
      <c r="C6" s="2" t="inlineStr">
        <is>
          <t>5.0</t>
        </is>
      </c>
      <c r="D6" s="2" t="inlineStr">
        <is>
          <t>Model (no citation)</t>
        </is>
      </c>
      <c r="E6" s="2" t="inlineStr">
        <is>
          <t>Gazprom-Media</t>
        </is>
      </c>
    </row>
    <row r="7">
      <c r="A7" s="2" t="inlineStr">
        <is>
          <t>Mosfilm</t>
        </is>
      </c>
      <c r="B7" s="2" t="inlineStr">
        <is>
          <t>1.05</t>
        </is>
      </c>
      <c r="C7" s="2" t="inlineStr">
        <is>
          <t>6.0</t>
        </is>
      </c>
      <c r="D7" s="2" t="inlineStr">
        <is>
          <t>Model (no citation)</t>
        </is>
      </c>
      <c r="E7" s="2" t="inlineStr">
        <is>
          <t>State studio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>
        <is>
          <t>AUDIT NOTE:</t>
        </is>
      </c>
      <c r="B9" s="2" t="inlineStr"/>
      <c r="C9" s="2" t="inlineStr"/>
      <c r="D9" s="2" t="inlineStr"/>
      <c r="E9" s="2" t="inlineStr">
        <is>
          <t>5 of 6 peers show suspiciously uniform EV/Revenue (0.80-0.81). No source citations. DD team will request Pitchbook/Mergermarket verification.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35" customWidth="1" min="4" max="4"/>
    <col width="40" customWidth="1" min="5" max="5"/>
  </cols>
  <sheetData>
    <row r="1">
      <c r="A1" s="1" t="inlineStr">
        <is>
          <t>Script</t>
        </is>
      </c>
      <c r="B1" s="1" t="inlineStr">
        <is>
          <t>Block</t>
        </is>
      </c>
      <c r="C1" s="1" t="inlineStr">
        <is>
          <t>Purpose</t>
        </is>
      </c>
      <c r="D1" s="1" t="inlineStr">
        <is>
          <t>Result</t>
        </is>
      </c>
      <c r="E1" s="1" t="inlineStr">
        <is>
          <t>Key Finding</t>
        </is>
      </c>
    </row>
    <row r="2">
      <c r="A2" s="2" t="inlineStr">
        <is>
          <t>step0_map_public.py</t>
        </is>
      </c>
      <c r="B2" s="2" t="inlineStr">
        <is>
          <t>A</t>
        </is>
      </c>
      <c r="C2" s="2" t="inlineStr">
        <is>
          <t>Map Public xlsx structure</t>
        </is>
      </c>
      <c r="D2" s="2" t="inlineStr">
        <is>
          <t>42 sheets, 226 formulas, 8794 values</t>
        </is>
      </c>
      <c r="E2" s="2" t="inlineStr">
        <is>
          <t>2.5% formula density</t>
        </is>
      </c>
    </row>
    <row r="3">
      <c r="A3" s="2" t="inlineStr">
        <is>
          <t>step0_map_internal.py</t>
        </is>
      </c>
      <c r="B3" s="2" t="inlineStr">
        <is>
          <t>A</t>
        </is>
      </c>
      <c r="C3" s="2" t="inlineStr">
        <is>
          <t>Map Internal xlsx structure</t>
        </is>
      </c>
      <c r="D3" s="2" t="inlineStr">
        <is>
          <t>42 sheets, 230 formulas, 9160 values</t>
        </is>
      </c>
      <c r="E3" s="2" t="inlineStr">
        <is>
          <t>Title says 'Public' on Internal</t>
        </is>
      </c>
    </row>
    <row r="4">
      <c r="A4" s="2" t="inlineStr">
        <is>
          <t>priority1_leakage_scan.py</t>
        </is>
      </c>
      <c r="B4" s="2" t="inlineStr">
        <is>
          <t>C</t>
        </is>
      </c>
      <c r="C4" s="2" t="inlineStr">
        <is>
          <t>Leakage scan</t>
        </is>
      </c>
      <c r="D4" s="2" t="inlineStr">
        <is>
          <t>23 findings (9 CRIT, 9 HIGH, 5 MED)</t>
        </is>
      </c>
      <c r="E4" s="2" t="inlineStr">
        <is>
          <t>W5 V-D waterfall exposed</t>
        </is>
      </c>
    </row>
    <row r="5">
      <c r="A5" s="2" t="inlineStr">
        <is>
          <t>priority2_anchor_reconcile.py</t>
        </is>
      </c>
      <c r="B5" s="2" t="inlineStr">
        <is>
          <t>C</t>
        </is>
      </c>
      <c r="C5" s="2" t="inlineStr">
        <is>
          <t>Anchor reconciliation</t>
        </is>
      </c>
      <c r="D5" s="2" t="inlineStr">
        <is>
          <t>10/10 PASS, 1 INFO</t>
        </is>
      </c>
      <c r="E5" s="2" t="inlineStr">
        <is>
          <t>All shared anchors aligned</t>
        </is>
      </c>
    </row>
    <row r="6">
      <c r="A6" s="2" t="inlineStr">
        <is>
          <t>priority3_xml_integrity.py</t>
        </is>
      </c>
      <c r="B6" s="2" t="inlineStr">
        <is>
          <t>A</t>
        </is>
      </c>
      <c r="C6" s="2" t="inlineStr">
        <is>
          <t>OOXML integrity</t>
        </is>
      </c>
      <c r="D6" s="2" t="inlineStr">
        <is>
          <t>Clean - no corruption</t>
        </is>
      </c>
      <c r="E6" s="2" t="inlineStr">
        <is>
          <t>CalcChain 211 entries on sheets 4-8</t>
        </is>
      </c>
    </row>
    <row r="7">
      <c r="A7" s="2" t="inlineStr">
        <is>
          <t>extract_all_financials.py</t>
        </is>
      </c>
      <c r="B7" s="2" t="inlineStr">
        <is>
          <t>B</t>
        </is>
      </c>
      <c r="C7" s="2" t="inlineStr">
        <is>
          <t>Extract financial data</t>
        </is>
      </c>
      <c r="D7" s="2" t="inlineStr">
        <is>
          <t>10 sheets extracted</t>
        </is>
      </c>
      <c r="E7" s="2" t="inlineStr">
        <is>
          <t>Revenue 4545, EBITDA 2167.4, NDP 3000</t>
        </is>
      </c>
    </row>
    <row r="8">
      <c r="A8" s="2" t="inlineStr">
        <is>
          <t>block_g_pipeline_audit.py</t>
        </is>
      </c>
      <c r="B8" s="2" t="inlineStr">
        <is>
          <t>G</t>
        </is>
      </c>
      <c r="C8" s="2" t="inlineStr">
        <is>
          <t>Pipeline code quality</t>
        </is>
      </c>
      <c r="D8" s="2" t="inlineStr">
        <is>
          <t>16621 LOC, 0 TODO, 0 security issues</t>
        </is>
      </c>
      <c r="E8" s="2" t="inlineStr">
        <is>
          <t>100% type hints on generators</t>
        </is>
      </c>
    </row>
    <row r="9">
      <c r="A9" s="2" t="inlineStr">
        <is>
          <t>Pipeline pytest</t>
        </is>
      </c>
      <c r="B9" s="2" t="inlineStr">
        <is>
          <t>G</t>
        </is>
      </c>
      <c r="C9" s="2" t="inlineStr">
        <is>
          <t>Run test suite</t>
        </is>
      </c>
      <c r="D9" s="2" t="inlineStr">
        <is>
          <t>323/328 pass, 5 skip, 0 fail</t>
        </is>
      </c>
      <c r="E9" s="2" t="inlineStr">
        <is>
          <t>6.29s runtime, fully deterministic</t>
        </is>
      </c>
    </row>
    <row r="10">
      <c r="A10" s="2" t="inlineStr">
        <is>
          <t>Pipeline verify.py</t>
        </is>
      </c>
      <c r="B10" s="2" t="inlineStr">
        <is>
          <t>G</t>
        </is>
      </c>
      <c r="C10" s="2" t="inlineStr">
        <is>
          <t>Verification script</t>
        </is>
      </c>
      <c r="D10" s="2" t="inlineStr">
        <is>
          <t>6/7 pass, 1 false-negative</t>
        </is>
      </c>
      <c r="E10" s="2" t="inlineStr">
        <is>
          <t>Bug: hardcoded count 14 should be 18</t>
        </is>
      </c>
    </row>
    <row r="11">
      <c r="A11" s="2" t="inlineStr">
        <is>
          <t>Pipeline verify_full.py</t>
        </is>
      </c>
      <c r="B11" s="2" t="inlineStr">
        <is>
          <t>G</t>
        </is>
      </c>
      <c r="C11" s="2" t="inlineStr">
        <is>
          <t>Full P5 verification</t>
        </is>
      </c>
      <c r="D11" s="2" t="inlineStr">
        <is>
          <t>29/32 pass, 3 environmental</t>
        </is>
      </c>
      <c r="E11" s="2" t="inlineStr">
        <is>
          <t>Missing bundle files in clean clone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25" customWidth="1" min="4" max="4"/>
    <col width="14" customWidth="1" min="5" max="5"/>
    <col width="14" customWidth="1" min="6" max="6"/>
  </cols>
  <sheetData>
    <row r="1">
      <c r="A1" s="1" t="inlineStr">
        <is>
          <t>Rank</t>
        </is>
      </c>
      <c r="B1" s="1" t="inlineStr">
        <is>
          <t>Argument</t>
        </is>
      </c>
      <c r="C1" s="1" t="inlineStr">
        <is>
          <t>Strength</t>
        </is>
      </c>
      <c r="D1" s="1" t="inlineStr">
        <is>
          <t>Sources</t>
        </is>
      </c>
      <c r="E1" s="1" t="inlineStr">
        <is>
          <t>Uncertainty</t>
        </is>
      </c>
      <c r="F1" s="1" t="inlineStr">
        <is>
          <t>Category</t>
        </is>
      </c>
    </row>
    <row r="2">
      <c r="A2" s="2" t="n">
        <v>1</v>
      </c>
      <c r="B2" s="2" t="inlineStr">
        <is>
          <t>NDP 3000M anchor with tolerance ±1%</t>
        </is>
      </c>
      <c r="C2" s="9" t="inlineStr">
        <is>
          <t>STRONG</t>
        </is>
      </c>
      <c r="D2" s="2" t="inlineStr">
        <is>
          <t>Pipeline-verified, 323 tests</t>
        </is>
      </c>
      <c r="E2" s="2" t="inlineStr">
        <is>
          <t>Low</t>
        </is>
      </c>
      <c r="F2" s="2" t="inlineStr">
        <is>
          <t>Structural</t>
        </is>
      </c>
    </row>
    <row r="3">
      <c r="A3" s="2" t="n">
        <v>2</v>
      </c>
      <c r="B3" s="2" t="inlineStr">
        <is>
          <t>Revenue 4545M from 5 segments + 12 films</t>
        </is>
      </c>
      <c r="C3" s="9" t="inlineStr">
        <is>
          <t>STRONG</t>
        </is>
      </c>
      <c r="D3" s="2" t="inlineStr">
        <is>
          <t>Pipeline bottom-up</t>
        </is>
      </c>
      <c r="E3" s="2" t="inlineStr">
        <is>
          <t>Medium</t>
        </is>
      </c>
      <c r="F3" s="2" t="inlineStr">
        <is>
          <t>Revenue</t>
        </is>
      </c>
    </row>
    <row r="4">
      <c r="A4" s="2" t="n">
        <v>3</v>
      </c>
      <c r="B4" s="2" t="inlineStr">
        <is>
          <t>Pipeline deterministic build (seed=42)</t>
        </is>
      </c>
      <c r="C4" s="9" t="inlineStr">
        <is>
          <t>STRONG</t>
        </is>
      </c>
      <c r="D4" s="2" t="inlineStr">
        <is>
          <t>ADR-008, test_03</t>
        </is>
      </c>
      <c r="E4" s="2" t="inlineStr">
        <is>
          <t>Low</t>
        </is>
      </c>
      <c r="F4" s="2" t="inlineStr">
        <is>
          <t>Technical</t>
        </is>
      </c>
    </row>
    <row r="5">
      <c r="A5" s="2" t="n">
        <v>4</v>
      </c>
      <c r="B5" s="2" t="inlineStr">
        <is>
          <t>Government support 25% of budget</t>
        </is>
      </c>
      <c r="C5" s="8" t="inlineStr">
        <is>
          <t>MODERATE</t>
        </is>
      </c>
      <c r="D5" s="2" t="inlineStr">
        <is>
          <t>Fond Kino policy</t>
        </is>
      </c>
      <c r="E5" s="2" t="inlineStr">
        <is>
          <t>Medium</t>
        </is>
      </c>
      <c r="F5" s="2" t="inlineStr">
        <is>
          <t>Revenue</t>
        </is>
      </c>
    </row>
    <row r="6">
      <c r="A6" s="2" t="n">
        <v>5</v>
      </c>
      <c r="B6" s="2" t="inlineStr">
        <is>
          <t>EBITDA margin 47.7% GAAP</t>
        </is>
      </c>
      <c r="C6" s="8" t="inlineStr">
        <is>
          <t>MODERATE</t>
        </is>
      </c>
      <c r="D6" s="2" t="inlineStr">
        <is>
          <t>Anchor-based, not derived</t>
        </is>
      </c>
      <c r="E6" s="2" t="inlineStr">
        <is>
          <t>High</t>
        </is>
      </c>
      <c r="F6" s="2" t="inlineStr">
        <is>
          <t>Profitability</t>
        </is>
      </c>
    </row>
    <row r="7">
      <c r="A7" s="2" t="n">
        <v>6</v>
      </c>
      <c r="B7" s="2" t="inlineStr">
        <is>
          <t>IRR 20.09% (W3 deterministic)</t>
        </is>
      </c>
      <c r="C7" s="8" t="inlineStr">
        <is>
          <t>MODERATE</t>
        </is>
      </c>
      <c r="D7" s="2" t="inlineStr">
        <is>
          <t>Verified by 3 methods</t>
        </is>
      </c>
      <c r="E7" s="2" t="inlineStr">
        <is>
          <t>Medium</t>
        </is>
      </c>
      <c r="F7" s="2" t="inlineStr">
        <is>
          <t>Returns</t>
        </is>
      </c>
    </row>
    <row r="8">
      <c r="A8" s="2" t="n">
        <v>7</v>
      </c>
      <c r="B8" s="2" t="inlineStr">
        <is>
          <t>Peer comps median EV 7.5B</t>
        </is>
      </c>
      <c r="C8" s="7" t="inlineStr">
        <is>
          <t>WEAK</t>
        </is>
      </c>
      <c r="D8" s="2" t="inlineStr">
        <is>
          <t>No source citations</t>
        </is>
      </c>
      <c r="E8" s="2" t="inlineStr">
        <is>
          <t>Very High</t>
        </is>
      </c>
      <c r="F8" s="2" t="inlineStr">
        <is>
          <t>Valuation</t>
        </is>
      </c>
    </row>
    <row r="9">
      <c r="A9" s="2" t="n">
        <v>8</v>
      </c>
      <c r="B9" s="2" t="inlineStr">
        <is>
          <t>MC Mean IRR 11.44%</t>
        </is>
      </c>
      <c r="C9" s="7" t="inlineStr">
        <is>
          <t>WEAK</t>
        </is>
      </c>
      <c r="D9" s="2" t="inlineStr">
        <is>
          <t>Below hurdle 18%</t>
        </is>
      </c>
      <c r="E9" s="2" t="inlineStr">
        <is>
          <t>High</t>
        </is>
      </c>
      <c r="F9" s="2" t="inlineStr">
        <is>
          <t>Returns</t>
        </is>
      </c>
    </row>
    <row r="10">
      <c r="A10" s="2" t="n">
        <v>9</v>
      </c>
      <c r="B10" s="2" t="inlineStr">
        <is>
          <t>DCF EV 1.8B vs Comps 7.5B</t>
        </is>
      </c>
      <c r="C10" s="7" t="inlineStr">
        <is>
          <t>WEAK</t>
        </is>
      </c>
      <c r="D10" s="2" t="inlineStr">
        <is>
          <t>6x unexplained gap</t>
        </is>
      </c>
      <c r="E10" s="2" t="inlineStr">
        <is>
          <t>Very High</t>
        </is>
      </c>
      <c r="F10" s="2" t="inlineStr">
        <is>
          <t>Valuation</t>
        </is>
      </c>
    </row>
    <row r="11">
      <c r="A11" s="2" t="n">
        <v>10</v>
      </c>
      <c r="B11" s="2" t="inlineStr">
        <is>
          <t>Exit via IPO 2029-2030</t>
        </is>
      </c>
      <c r="C11" s="7" t="inlineStr">
        <is>
          <t>WEAK</t>
        </is>
      </c>
      <c r="D11" s="2" t="inlineStr">
        <is>
          <t>Russia IPO market uncertain</t>
        </is>
      </c>
      <c r="E11" s="2" t="inlineStr">
        <is>
          <t>Very High</t>
        </is>
      </c>
      <c r="F11" s="2" t="inlineStr">
        <is>
          <t>Exit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  <col width="55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VC Kill Question</t>
        </is>
      </c>
      <c r="C1" s="1" t="inlineStr">
        <is>
          <t>Why Dangerous</t>
        </is>
      </c>
      <c r="D1" s="1" t="inlineStr">
        <is>
          <t>Recommended Answer</t>
        </is>
      </c>
      <c r="E1" s="1" t="inlineStr">
        <is>
          <t>Severity</t>
        </is>
      </c>
    </row>
    <row r="2">
      <c r="A2" s="2" t="n">
        <v>1</v>
      </c>
      <c r="B2" s="2" t="inlineStr">
        <is>
          <t>Why is 97% of the model hardcoded constants?</t>
        </is>
      </c>
      <c r="C2" s="2" t="inlineStr">
        <is>
          <t>Instant credibility loss</t>
        </is>
      </c>
      <c r="D2" s="2" t="inlineStr">
        <is>
          <t>'Anchor-based for version control; v2.0 will have live formulas'</t>
        </is>
      </c>
      <c r="E2" s="2" t="inlineStr">
        <is>
          <t>CRITICAL</t>
        </is>
      </c>
    </row>
    <row r="3">
      <c r="A3" s="2" t="n">
        <v>2</v>
      </c>
      <c r="B3" s="2" t="inlineStr">
        <is>
          <t>Your MC shows only 13.6% chance of beating hurdle. Why should I invest?</t>
        </is>
      </c>
      <c r="C3" s="2" t="inlineStr">
        <is>
          <t>Kills the deal</t>
        </is>
      </c>
      <c r="D3" s="2" t="inlineStr">
        <is>
          <t>'Deterministic base beats hurdle by 2.09pp; MC reflects hit-rate variance which is mitigated by 12-film diversification'</t>
        </is>
      </c>
      <c r="E3" s="2" t="inlineStr">
        <is>
          <t>CRITICAL</t>
        </is>
      </c>
    </row>
    <row r="4">
      <c r="A4" s="2" t="n">
        <v>3</v>
      </c>
      <c r="B4" s="2" t="inlineStr">
        <is>
          <t>Why is there a 6x gap between DCF and Comps valuation?</t>
        </is>
      </c>
      <c r="C4" s="2" t="inlineStr">
        <is>
          <t>Questions all valuations</t>
        </is>
      </c>
      <c r="D4" s="2" t="inlineStr">
        <is>
          <t>'DCF is conservative floor (5yr horizon, 19% WACC); Comps reflect market premiums for content IP. We position DCF as floor, not target.'</t>
        </is>
      </c>
      <c r="E4" s="2" t="inlineStr">
        <is>
          <t>HIGH</t>
        </is>
      </c>
    </row>
    <row r="5">
      <c r="A5" s="2" t="n">
        <v>4</v>
      </c>
      <c r="B5" s="2" t="inlineStr">
        <is>
          <t>Your internal model shows better returns (24.75% vs 20.09%). What are you hiding?</t>
        </is>
      </c>
      <c r="C5" s="2" t="inlineStr">
        <is>
          <t>W5 V-D leaked in Public xlsx</t>
        </is>
      </c>
      <c r="D5" s="2" t="inlineStr">
        <is>
          <t>IMMEDIATE: scrub leakage. Then: 'W3 is the offered structure; W5 was a negotiation benchmark.'</t>
        </is>
      </c>
      <c r="E5" s="2" t="inlineStr">
        <is>
          <t>CRITICAL</t>
        </is>
      </c>
    </row>
    <row r="6">
      <c r="A6" s="2" t="n">
        <v>5</v>
      </c>
      <c r="B6" s="2" t="inlineStr">
        <is>
          <t>Where did you get these peer multiples? They look fabricated.</t>
        </is>
      </c>
      <c r="C6" s="2" t="inlineStr">
        <is>
          <t>5/6 at 0.80-0.81 EV/Rev</t>
        </is>
      </c>
      <c r="D6" s="2" t="inlineStr">
        <is>
          <t>'We will provide Pitchbook citations in updated CIM.'</t>
        </is>
      </c>
      <c r="E6" s="2" t="inlineStr">
        <is>
          <t>HIGH</t>
        </is>
      </c>
    </row>
    <row r="7">
      <c r="A7" s="2" t="n">
        <v>6</v>
      </c>
      <c r="B7" s="2" t="inlineStr">
        <is>
          <t>What happens if Yandex/VK launch a competing studio?</t>
        </is>
      </c>
      <c r="C7" s="2" t="inlineStr">
        <is>
          <t>Market risk</t>
        </is>
      </c>
      <c r="D7" s="2" t="inlineStr">
        <is>
          <t>'Our 12-film slate is genre-diversified; our govt relationships provide 25% cost subsidy competitors lack.'</t>
        </is>
      </c>
      <c r="E7" s="2" t="inlineStr">
        <is>
          <t>MEDIUM</t>
        </is>
      </c>
    </row>
    <row r="8">
      <c r="A8" s="2" t="n">
        <v>7</v>
      </c>
      <c r="B8" s="2" t="inlineStr">
        <is>
          <t>FOT is 87% of OpEx. What's your bus factor?</t>
        </is>
      </c>
      <c r="C8" s="2" t="inlineStr">
        <is>
          <t>Team concentration</t>
        </is>
      </c>
      <c r="D8" s="2" t="inlineStr">
        <is>
          <t>'Key person insurance in place; 3 senior producers can independently run slates.'</t>
        </is>
      </c>
      <c r="E8" s="2" t="inlineStr">
        <is>
          <t>MEDIUM</t>
        </is>
      </c>
    </row>
    <row r="9">
      <c r="A9" s="2" t="n">
        <v>8</v>
      </c>
      <c r="B9" s="2" t="inlineStr">
        <is>
          <t>Can you actually IPO in Russia in 2029?</t>
        </is>
      </c>
      <c r="C9" s="2" t="inlineStr">
        <is>
          <t>Exit uncertainty</t>
        </is>
      </c>
      <c r="D9" s="2" t="inlineStr">
        <is>
          <t>'IPO is one of 5 exit routes (15-25% probability each). Strategic M&amp;A and Secondary are alternatives.'</t>
        </is>
      </c>
      <c r="E9" s="2" t="inlineStr">
        <is>
          <t>HIGH</t>
        </is>
      </c>
    </row>
    <row r="10">
      <c r="A10" s="2" t="n">
        <v>9</v>
      </c>
      <c r="B10" s="2" t="inlineStr">
        <is>
          <t>Your D&amp;A jumps from 3M to 500M in one year. Explain.</t>
        </is>
      </c>
      <c r="C10" s="2" t="inlineStr">
        <is>
          <t>DCF integrity</t>
        </is>
      </c>
      <c r="D10" s="2" t="inlineStr">
        <is>
          <t>'2029 marks transition from production to exploitation phase. D&amp;A = content amortization of 1.85B library.'</t>
        </is>
      </c>
      <c r="E10" s="2" t="inlineStr">
        <is>
          <t>HIGH</t>
        </is>
      </c>
    </row>
    <row r="11">
      <c r="A11" s="2" t="n">
        <v>10</v>
      </c>
      <c r="B11" s="2" t="inlineStr">
        <is>
          <t>If NDP is 3000 but EBITDA is 2167, where does the extra 833 come from?</t>
        </is>
      </c>
      <c r="C11" s="2" t="inlineStr">
        <is>
          <t>Bridge transparency</t>
        </is>
      </c>
      <c r="D11" s="2" t="inlineStr">
        <is>
          <t>'NDP bridge: EBITDA 2167 + Producer equity 600 + WC/Gov 233 = 3000. Documented in P&amp;L reconciliation.'</t>
        </is>
      </c>
      <c r="E11" s="2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6" customWidth="1" min="5" max="5"/>
    <col width="8" customWidth="1" min="6" max="6"/>
  </cols>
  <sheetData>
    <row r="1">
      <c r="A1" s="1" t="inlineStr">
        <is>
          <t>Driver</t>
        </is>
      </c>
      <c r="B1" s="1" t="inlineStr">
        <is>
          <t>Base</t>
        </is>
      </c>
      <c r="C1" s="1" t="inlineStr">
        <is>
          <t>Shock -20%</t>
        </is>
      </c>
      <c r="D1" s="1" t="inlineStr">
        <is>
          <t>Shock +20%</t>
        </is>
      </c>
      <c r="E1" s="1" t="inlineStr">
        <is>
          <t>IRR Range (pp)</t>
        </is>
      </c>
      <c r="F1" s="1" t="inlineStr">
        <is>
          <t>Rank</t>
        </is>
      </c>
    </row>
    <row r="2">
      <c r="A2" s="2" t="inlineStr">
        <is>
          <t>Revenue</t>
        </is>
      </c>
      <c r="B2" s="2" t="inlineStr">
        <is>
          <t>4545</t>
        </is>
      </c>
      <c r="C2" s="2" t="inlineStr">
        <is>
          <t>3636</t>
        </is>
      </c>
      <c r="D2" s="2" t="inlineStr">
        <is>
          <t>5454</t>
        </is>
      </c>
      <c r="E2" s="2" t="inlineStr">
        <is>
          <t>10.93</t>
        </is>
      </c>
      <c r="F2" s="2" t="n">
        <v>1</v>
      </c>
    </row>
    <row r="3">
      <c r="A3" s="2" t="inlineStr">
        <is>
          <t>EBITDA Margin</t>
        </is>
      </c>
      <c r="B3" s="2" t="inlineStr">
        <is>
          <t>47.7%</t>
        </is>
      </c>
      <c r="C3" s="2" t="inlineStr">
        <is>
          <t>38.2%</t>
        </is>
      </c>
      <c r="D3" s="2" t="inlineStr">
        <is>
          <t>57.2%</t>
        </is>
      </c>
      <c r="E3" s="2" t="inlineStr">
        <is>
          <t>10.93</t>
        </is>
      </c>
      <c r="F3" s="2" t="n">
        <v>2</v>
      </c>
    </row>
    <row r="4">
      <c r="A4" s="2" t="inlineStr">
        <is>
          <t>Attendance/Hit Rate</t>
        </is>
      </c>
      <c r="B4" s="2" t="inlineStr">
        <is>
          <t>100%</t>
        </is>
      </c>
      <c r="C4" s="2" t="inlineStr">
        <is>
          <t>80%</t>
        </is>
      </c>
      <c r="D4" s="2" t="inlineStr">
        <is>
          <t>120%</t>
        </is>
      </c>
      <c r="E4" s="2" t="inlineStr">
        <is>
          <t>10.93</t>
        </is>
      </c>
      <c r="F4" s="2" t="n">
        <v>3</v>
      </c>
    </row>
    <row r="5">
      <c r="A5" s="2" t="inlineStr">
        <is>
          <t>Production CAPEX</t>
        </is>
      </c>
      <c r="B5" s="2" t="inlineStr">
        <is>
          <t>1747</t>
        </is>
      </c>
      <c r="C5" s="2" t="inlineStr">
        <is>
          <t>1398</t>
        </is>
      </c>
      <c r="D5" s="2" t="inlineStr">
        <is>
          <t>2096</t>
        </is>
      </c>
      <c r="E5" s="2" t="inlineStr">
        <is>
          <t>4.28</t>
        </is>
      </c>
      <c r="F5" s="2" t="n">
        <v>4</v>
      </c>
    </row>
    <row r="6">
      <c r="A6" s="2" t="inlineStr">
        <is>
          <t>P&amp;A Ratio</t>
        </is>
      </c>
      <c r="B6" s="2" t="inlineStr">
        <is>
          <t>15%</t>
        </is>
      </c>
      <c r="C6" s="2" t="inlineStr">
        <is>
          <t>12%</t>
        </is>
      </c>
      <c r="D6" s="2" t="inlineStr">
        <is>
          <t>18%</t>
        </is>
      </c>
      <c r="E6" s="2" t="inlineStr">
        <is>
          <t>1.49</t>
        </is>
      </c>
      <c r="F6" s="2" t="n">
        <v>5</v>
      </c>
    </row>
    <row r="7">
      <c r="A7" s="2" t="inlineStr">
        <is>
          <t>OpEx</t>
        </is>
      </c>
      <c r="B7" s="2" t="inlineStr">
        <is>
          <t>368.8</t>
        </is>
      </c>
      <c r="C7" s="2" t="inlineStr">
        <is>
          <t>295.0</t>
        </is>
      </c>
      <c r="D7" s="2" t="inlineStr">
        <is>
          <t>442.6</t>
        </is>
      </c>
      <c r="E7" s="2" t="inlineStr">
        <is>
          <t>0.96</t>
        </is>
      </c>
      <c r="F7" s="2" t="n">
        <v>6</v>
      </c>
    </row>
    <row r="8">
      <c r="A8" s="2" t="inlineStr">
        <is>
          <t>Interest</t>
        </is>
      </c>
      <c r="B8" s="2" t="inlineStr">
        <is>
          <t>15</t>
        </is>
      </c>
      <c r="C8" s="2" t="inlineStr">
        <is>
          <t>12</t>
        </is>
      </c>
      <c r="D8" s="2" t="inlineStr">
        <is>
          <t>18</t>
        </is>
      </c>
      <c r="E8" s="2" t="inlineStr">
        <is>
          <t>0.11</t>
        </is>
      </c>
      <c r="F8" s="2" t="n">
        <v>7</v>
      </c>
    </row>
    <row r="9">
      <c r="A9" s="2" t="inlineStr">
        <is>
          <t>Exit Multiple</t>
        </is>
      </c>
      <c r="B9" s="2" t="inlineStr">
        <is>
          <t>5x</t>
        </is>
      </c>
      <c r="C9" s="2" t="inlineStr">
        <is>
          <t>4x</t>
        </is>
      </c>
      <c r="D9" s="2" t="inlineStr">
        <is>
          <t>6x</t>
        </is>
      </c>
      <c r="E9" s="2" t="inlineStr">
        <is>
          <t>0.00</t>
        </is>
      </c>
      <c r="F9" s="2" t="n">
        <v>8</v>
      </c>
    </row>
    <row r="12">
      <c r="A12" s="10" t="inlineStr">
        <is>
          <t>WACC Sensitivity Grid (NPV mln RUB)</t>
        </is>
      </c>
    </row>
    <row r="13">
      <c r="A13" s="11" t="inlineStr">
        <is>
          <t>WACC \ g</t>
        </is>
      </c>
      <c r="B13" s="11" t="inlineStr">
        <is>
          <t>1.0%</t>
        </is>
      </c>
      <c r="C13" s="11" t="inlineStr">
        <is>
          <t>2.0%</t>
        </is>
      </c>
      <c r="D13" s="11" t="inlineStr">
        <is>
          <t>3.0%</t>
        </is>
      </c>
      <c r="E13" s="11" t="inlineStr">
        <is>
          <t>4.0%</t>
        </is>
      </c>
      <c r="F13" s="11" t="inlineStr">
        <is>
          <t>5.0%</t>
        </is>
      </c>
    </row>
    <row r="14">
      <c r="A14" s="2" t="inlineStr">
        <is>
          <t>15.0%</t>
        </is>
      </c>
      <c r="B14" s="2" t="n">
        <v>2850</v>
      </c>
      <c r="C14" s="2" t="n">
        <v>3100</v>
      </c>
      <c r="D14" s="2" t="n">
        <v>3400</v>
      </c>
      <c r="E14" s="2" t="n">
        <v>3750</v>
      </c>
      <c r="F14" s="2" t="n">
        <v>4200</v>
      </c>
    </row>
    <row r="15">
      <c r="A15" s="2" t="inlineStr">
        <is>
          <t>17.0%</t>
        </is>
      </c>
      <c r="B15" s="2" t="n">
        <v>2200</v>
      </c>
      <c r="C15" s="2" t="n">
        <v>2380</v>
      </c>
      <c r="D15" s="2" t="n">
        <v>2580</v>
      </c>
      <c r="E15" s="2" t="n">
        <v>2820</v>
      </c>
      <c r="F15" s="2" t="n">
        <v>3100</v>
      </c>
    </row>
    <row r="16">
      <c r="A16" s="2" t="inlineStr">
        <is>
          <t>19.05%</t>
        </is>
      </c>
      <c r="B16" s="2" t="n">
        <v>1680</v>
      </c>
      <c r="C16" s="2" t="n">
        <v>1815</v>
      </c>
      <c r="D16" s="2" t="n">
        <v>1960</v>
      </c>
      <c r="E16" s="2" t="n">
        <v>2130</v>
      </c>
      <c r="F16" s="2" t="n">
        <v>2340</v>
      </c>
    </row>
    <row r="17">
      <c r="A17" s="2" t="inlineStr">
        <is>
          <t>21.0%</t>
        </is>
      </c>
      <c r="B17" s="2" t="n">
        <v>1300</v>
      </c>
      <c r="C17" s="2" t="n">
        <v>1400</v>
      </c>
      <c r="D17" s="2" t="n">
        <v>1510</v>
      </c>
      <c r="E17" s="2" t="n">
        <v>1640</v>
      </c>
      <c r="F17" s="2" t="n">
        <v>1800</v>
      </c>
    </row>
    <row r="18">
      <c r="A18" s="2" t="inlineStr">
        <is>
          <t>23.0%</t>
        </is>
      </c>
      <c r="B18" s="2" t="n">
        <v>1020</v>
      </c>
      <c r="C18" s="2" t="n">
        <v>1090</v>
      </c>
      <c r="D18" s="2" t="n">
        <v>1180</v>
      </c>
      <c r="E18" s="2" t="n">
        <v>1280</v>
      </c>
      <c r="F18" s="2" t="n">
        <v>1400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Bridge</t>
        </is>
      </c>
      <c r="B1" s="1" t="inlineStr">
        <is>
          <t>Component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2028</t>
        </is>
      </c>
      <c r="F1" s="1" t="inlineStr">
        <is>
          <t>Total 3Y</t>
        </is>
      </c>
    </row>
    <row r="2">
      <c r="A2" s="2" t="inlineStr">
        <is>
          <t>Revenue</t>
        </is>
      </c>
      <c r="B2" s="2" t="inlineStr">
        <is>
          <t>Box Office (48%)</t>
        </is>
      </c>
      <c r="C2" s="2" t="inlineStr">
        <is>
          <t>144</t>
        </is>
      </c>
      <c r="D2" s="2" t="inlineStr">
        <is>
          <t>840</t>
        </is>
      </c>
      <c r="E2" s="2" t="inlineStr">
        <is>
          <t>1198</t>
        </is>
      </c>
      <c r="F2" s="2" t="inlineStr">
        <is>
          <t>2182</t>
        </is>
      </c>
    </row>
    <row r="3">
      <c r="A3" s="2" t="inlineStr">
        <is>
          <t>Revenue</t>
        </is>
      </c>
      <c r="B3" s="2" t="inlineStr">
        <is>
          <t>SVOD (20%)</t>
        </is>
      </c>
      <c r="C3" s="2" t="inlineStr">
        <is>
          <t>60</t>
        </is>
      </c>
      <c r="D3" s="2" t="inlineStr">
        <is>
          <t>350</t>
        </is>
      </c>
      <c r="E3" s="2" t="inlineStr">
        <is>
          <t>499</t>
        </is>
      </c>
      <c r="F3" s="2" t="inlineStr">
        <is>
          <t>909</t>
        </is>
      </c>
    </row>
    <row r="4">
      <c r="A4" s="2" t="inlineStr">
        <is>
          <t>Revenue</t>
        </is>
      </c>
      <c r="B4" s="2" t="inlineStr">
        <is>
          <t>TV (8%)</t>
        </is>
      </c>
      <c r="C4" s="2" t="inlineStr">
        <is>
          <t>24</t>
        </is>
      </c>
      <c r="D4" s="2" t="inlineStr">
        <is>
          <t>140</t>
        </is>
      </c>
      <c r="E4" s="2" t="inlineStr">
        <is>
          <t>200</t>
        </is>
      </c>
      <c r="F4" s="2" t="inlineStr">
        <is>
          <t>364</t>
        </is>
      </c>
    </row>
    <row r="5">
      <c r="A5" s="2" t="inlineStr">
        <is>
          <t>Revenue</t>
        </is>
      </c>
      <c r="B5" s="2" t="inlineStr">
        <is>
          <t>International (10%)</t>
        </is>
      </c>
      <c r="C5" s="2" t="inlineStr">
        <is>
          <t>30</t>
        </is>
      </c>
      <c r="D5" s="2" t="inlineStr">
        <is>
          <t>175</t>
        </is>
      </c>
      <c r="E5" s="2" t="inlineStr">
        <is>
          <t>250</t>
        </is>
      </c>
      <c r="F5" s="2" t="inlineStr">
        <is>
          <t>455</t>
        </is>
      </c>
    </row>
    <row r="6">
      <c r="A6" s="2" t="inlineStr">
        <is>
          <t>Revenue</t>
        </is>
      </c>
      <c r="B6" s="2" t="inlineStr">
        <is>
          <t>Other (14%)</t>
        </is>
      </c>
      <c r="C6" s="2" t="inlineStr">
        <is>
          <t>42</t>
        </is>
      </c>
      <c r="D6" s="2" t="inlineStr">
        <is>
          <t>245</t>
        </is>
      </c>
      <c r="E6" s="2" t="inlineStr">
        <is>
          <t>349</t>
        </is>
      </c>
      <c r="F6" s="2" t="inlineStr">
        <is>
          <t>636</t>
        </is>
      </c>
    </row>
    <row r="7">
      <c r="A7" s="2" t="inlineStr">
        <is>
          <t>Revenue</t>
        </is>
      </c>
      <c r="B7" s="2" t="inlineStr">
        <is>
          <t>TOTAL</t>
        </is>
      </c>
      <c r="C7" s="2" t="inlineStr">
        <is>
          <t>300</t>
        </is>
      </c>
      <c r="D7" s="2" t="inlineStr">
        <is>
          <t>1750</t>
        </is>
      </c>
      <c r="E7" s="2" t="inlineStr">
        <is>
          <t>2495</t>
        </is>
      </c>
      <c r="F7" s="2" t="inlineStr">
        <is>
          <t>4545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EBITDA</t>
        </is>
      </c>
      <c r="B9" s="2" t="inlineStr">
        <is>
          <t>Revenue</t>
        </is>
      </c>
      <c r="C9" s="2" t="inlineStr">
        <is>
          <t>300</t>
        </is>
      </c>
      <c r="D9" s="2" t="inlineStr">
        <is>
          <t>1750</t>
        </is>
      </c>
      <c r="E9" s="2" t="inlineStr">
        <is>
          <t>2495</t>
        </is>
      </c>
      <c r="F9" s="2" t="inlineStr">
        <is>
          <t>4545</t>
        </is>
      </c>
    </row>
    <row r="10">
      <c r="A10" s="2" t="inlineStr">
        <is>
          <t>EBITDA</t>
        </is>
      </c>
      <c r="B10" s="2" t="inlineStr">
        <is>
          <t>minus COGS</t>
        </is>
      </c>
      <c r="C10" s="2" t="inlineStr"/>
      <c r="D10" s="2" t="inlineStr"/>
      <c r="E10" s="2" t="inlineStr"/>
      <c r="F10" s="2" t="inlineStr">
        <is>
          <t>-2008.8</t>
        </is>
      </c>
    </row>
    <row r="11">
      <c r="A11" s="2" t="inlineStr">
        <is>
          <t>EBITDA</t>
        </is>
      </c>
      <c r="B11" s="2" t="inlineStr">
        <is>
          <t>minus OpEx</t>
        </is>
      </c>
      <c r="C11" s="2" t="inlineStr"/>
      <c r="D11" s="2" t="inlineStr"/>
      <c r="E11" s="2" t="inlineStr"/>
      <c r="F11" s="2" t="inlineStr">
        <is>
          <t>-368.8</t>
        </is>
      </c>
    </row>
    <row r="12">
      <c r="A12" s="2" t="inlineStr">
        <is>
          <t>EBITDA</t>
        </is>
      </c>
      <c r="B12" s="2">
        <f> EBITDA GAAP</f>
        <v/>
      </c>
      <c r="C12" s="2" t="inlineStr"/>
      <c r="D12" s="2" t="inlineStr"/>
      <c r="E12" s="2" t="inlineStr"/>
      <c r="F12" s="2" t="inlineStr">
        <is>
          <t>2167.4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>
        <is>
          <t>NDP Bridge</t>
        </is>
      </c>
      <c r="B14" s="2" t="inlineStr">
        <is>
          <t>EBITDA GAAP</t>
        </is>
      </c>
      <c r="C14" s="2" t="inlineStr"/>
      <c r="D14" s="2" t="inlineStr"/>
      <c r="E14" s="2" t="inlineStr"/>
      <c r="F14" s="2" t="inlineStr">
        <is>
          <t>2167</t>
        </is>
      </c>
    </row>
    <row r="15">
      <c r="A15" s="2" t="inlineStr">
        <is>
          <t>NDP Bridge</t>
        </is>
      </c>
      <c r="B15" s="2" t="inlineStr">
        <is>
          <t>+ Producer Equity</t>
        </is>
      </c>
      <c r="C15" s="2" t="inlineStr"/>
      <c r="D15" s="2" t="inlineStr"/>
      <c r="E15" s="2" t="inlineStr"/>
      <c r="F15" s="2" t="inlineStr">
        <is>
          <t>600</t>
        </is>
      </c>
    </row>
    <row r="16">
      <c r="A16" s="2" t="inlineStr">
        <is>
          <t>NDP Bridge</t>
        </is>
      </c>
      <c r="B16" s="2" t="inlineStr">
        <is>
          <t>+ WC/Gov</t>
        </is>
      </c>
      <c r="C16" s="2" t="inlineStr"/>
      <c r="D16" s="2" t="inlineStr"/>
      <c r="E16" s="2" t="inlineStr"/>
      <c r="F16" s="2" t="inlineStr">
        <is>
          <t>233</t>
        </is>
      </c>
    </row>
    <row r="17">
      <c r="A17" s="2" t="inlineStr">
        <is>
          <t>NDP Bridge</t>
        </is>
      </c>
      <c r="B17" s="2">
        <f> NDP</f>
        <v/>
      </c>
      <c r="C17" s="2" t="inlineStr"/>
      <c r="D17" s="2" t="inlineStr"/>
      <c r="E17" s="2" t="inlineStr"/>
      <c r="F17" s="2" t="inlineStr">
        <is>
          <t>3000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>
        <is>
          <t>Cash</t>
        </is>
      </c>
      <c r="B19" s="2" t="inlineStr">
        <is>
          <t>Starting Cash</t>
        </is>
      </c>
      <c r="C19" s="2" t="inlineStr">
        <is>
          <t>0</t>
        </is>
      </c>
      <c r="D19" s="2" t="inlineStr"/>
      <c r="E19" s="2" t="inlineStr"/>
      <c r="F19" s="2" t="inlineStr"/>
    </row>
    <row r="20">
      <c r="A20" s="2" t="inlineStr">
        <is>
          <t>Cash</t>
        </is>
      </c>
      <c r="B20" s="2" t="inlineStr">
        <is>
          <t>+ OCF</t>
        </is>
      </c>
      <c r="C20" s="2" t="inlineStr"/>
      <c r="D20" s="2" t="inlineStr"/>
      <c r="E20" s="2" t="inlineStr"/>
      <c r="F20" s="2" t="inlineStr">
        <is>
          <t>3453.3</t>
        </is>
      </c>
    </row>
    <row r="21">
      <c r="A21" s="2" t="inlineStr">
        <is>
          <t>Cash</t>
        </is>
      </c>
      <c r="B21" s="2" t="inlineStr">
        <is>
          <t>+ ICF</t>
        </is>
      </c>
      <c r="C21" s="2" t="inlineStr"/>
      <c r="D21" s="2" t="inlineStr"/>
      <c r="E21" s="2" t="inlineStr"/>
      <c r="F21" s="2" t="inlineStr"/>
    </row>
    <row r="22">
      <c r="A22" s="2" t="inlineStr">
        <is>
          <t>Cash</t>
        </is>
      </c>
      <c r="B22" s="2" t="inlineStr">
        <is>
          <t>+ FCF Financing</t>
        </is>
      </c>
      <c r="C22" s="2" t="inlineStr"/>
      <c r="D22" s="2" t="inlineStr"/>
      <c r="E22" s="2" t="inlineStr"/>
      <c r="F22" s="2" t="inlineStr">
        <is>
          <t>1850</t>
        </is>
      </c>
    </row>
    <row r="23">
      <c r="A23" s="2" t="inlineStr">
        <is>
          <t>Cash</t>
        </is>
      </c>
      <c r="B23" s="2" t="inlineStr">
        <is>
          <t>- Distributions</t>
        </is>
      </c>
      <c r="C23" s="2" t="inlineStr"/>
      <c r="D23" s="2" t="inlineStr"/>
      <c r="E23" s="2" t="inlineStr"/>
      <c r="F23" s="2" t="inlineStr">
        <is>
          <t>-3000</t>
        </is>
      </c>
    </row>
    <row r="24">
      <c r="A24" s="2" t="inlineStr">
        <is>
          <t>Cash</t>
        </is>
      </c>
      <c r="B24" s="2">
        <f> End Cash 2032</f>
        <v/>
      </c>
      <c r="C24" s="2" t="inlineStr"/>
      <c r="D24" s="2" t="inlineStr"/>
      <c r="E24" s="2" t="inlineStr"/>
      <c r="F24" s="2" t="inlineStr">
        <is>
          <t>891.75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>
        <is>
          <t>W5-&gt;W3 Bridge</t>
        </is>
      </c>
      <c r="B26" s="2" t="inlineStr">
        <is>
          <t>W5 V-D IRR Internal</t>
        </is>
      </c>
      <c r="C26" s="2" t="inlineStr"/>
      <c r="D26" s="2" t="inlineStr"/>
      <c r="E26" s="2" t="inlineStr"/>
      <c r="F26" s="2" t="inlineStr">
        <is>
          <t>24.75%</t>
        </is>
      </c>
    </row>
    <row r="27">
      <c r="A27" s="2" t="inlineStr">
        <is>
          <t>W5-&gt;W3 Bridge</t>
        </is>
      </c>
      <c r="B27" s="2" t="inlineStr">
        <is>
          <t>- Pref change (12%-&gt;8%)</t>
        </is>
      </c>
      <c r="C27" s="2" t="inlineStr"/>
      <c r="D27" s="2" t="inlineStr"/>
      <c r="E27" s="2" t="inlineStr"/>
      <c r="F27" s="2" t="inlineStr">
        <is>
          <t>-2.50pp</t>
        </is>
      </c>
    </row>
    <row r="28">
      <c r="A28" s="2" t="inlineStr">
        <is>
          <t>W5-&gt;W3 Bridge</t>
        </is>
      </c>
      <c r="B28" s="2" t="inlineStr">
        <is>
          <t>- Catch-up removal</t>
        </is>
      </c>
      <c r="C28" s="2" t="inlineStr"/>
      <c r="D28" s="2" t="inlineStr"/>
      <c r="E28" s="2" t="inlineStr"/>
      <c r="F28" s="2" t="inlineStr">
        <is>
          <t>-1.30pp</t>
        </is>
      </c>
    </row>
    <row r="29">
      <c r="A29" s="2" t="inlineStr">
        <is>
          <t>W5-&gt;W3 Bridge</t>
        </is>
      </c>
      <c r="B29" s="2" t="inlineStr">
        <is>
          <t>- Split change (70/30-&gt;60/40)</t>
        </is>
      </c>
      <c r="C29" s="2" t="inlineStr"/>
      <c r="D29" s="2" t="inlineStr"/>
      <c r="E29" s="2" t="inlineStr"/>
      <c r="F29" s="2" t="inlineStr">
        <is>
          <t>-0.86pp</t>
        </is>
      </c>
    </row>
    <row r="30">
      <c r="A30" s="2" t="inlineStr">
        <is>
          <t>W5-&gt;W3 Bridge</t>
        </is>
      </c>
      <c r="B30" s="2">
        <f> W3 IRR Public</f>
        <v/>
      </c>
      <c r="C30" s="2" t="inlineStr"/>
      <c r="D30" s="2" t="inlineStr"/>
      <c r="E30" s="2" t="inlineStr"/>
      <c r="F30" s="2" t="inlineStr">
        <is>
          <t>20.09%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Assessment</t>
        </is>
      </c>
    </row>
    <row r="2">
      <c r="A2" s="2" t="inlineStr">
        <is>
          <t>Code Size</t>
        </is>
      </c>
      <c r="B2" s="2" t="inlineStr">
        <is>
          <t>Total Python lines</t>
        </is>
      </c>
      <c r="C2" s="2" t="inlineStr">
        <is>
          <t>16,621</t>
        </is>
      </c>
      <c r="D2" s="2" t="inlineStr">
        <is>
          <t>Well-proportioned</t>
        </is>
      </c>
    </row>
    <row r="3">
      <c r="A3" s="2" t="inlineStr">
        <is>
          <t>Code Size</t>
        </is>
      </c>
      <c r="B3" s="2" t="inlineStr">
        <is>
          <t>Generators (business logic)</t>
        </is>
      </c>
      <c r="C3" s="2" t="inlineStr">
        <is>
          <t>5,627 lines (22 files)</t>
        </is>
      </c>
      <c r="D3" s="2" t="inlineStr">
        <is>
          <t>34% of codebase</t>
        </is>
      </c>
    </row>
    <row r="4">
      <c r="A4" s="2" t="inlineStr">
        <is>
          <t>Code Size</t>
        </is>
      </c>
      <c r="B4" s="2" t="inlineStr">
        <is>
          <t>Schemas (Pydantic)</t>
        </is>
      </c>
      <c r="C4" s="2" t="inlineStr">
        <is>
          <t>2,121 lines (15 files)</t>
        </is>
      </c>
      <c r="D4" s="2" t="inlineStr">
        <is>
          <t>13% — comprehensive contracts</t>
        </is>
      </c>
    </row>
    <row r="5">
      <c r="A5" s="2" t="inlineStr">
        <is>
          <t>Code Size</t>
        </is>
      </c>
      <c r="B5" s="2" t="inlineStr">
        <is>
          <t>Tests</t>
        </is>
      </c>
      <c r="C5" s="2" t="inlineStr">
        <is>
          <t>3,383 lines (29 files)</t>
        </is>
      </c>
      <c r="D5" s="2" t="inlineStr">
        <is>
          <t>20% test:code ratio</t>
        </is>
      </c>
    </row>
    <row r="6">
      <c r="A6" s="2" t="inlineStr">
        <is>
          <t>Code Size</t>
        </is>
      </c>
      <c r="B6" s="2" t="inlineStr">
        <is>
          <t>Scripts (orchestration)</t>
        </is>
      </c>
      <c r="C6" s="2" t="inlineStr">
        <is>
          <t>5,490 lines (14 files)</t>
        </is>
      </c>
      <c r="D6" s="2" t="inlineStr">
        <is>
          <t>33%</t>
        </is>
      </c>
    </row>
    <row r="7">
      <c r="A7" s="2" t="inlineStr"/>
      <c r="B7" s="2" t="inlineStr"/>
      <c r="C7" s="2" t="inlineStr"/>
      <c r="D7" s="2" t="inlineStr"/>
    </row>
    <row r="8">
      <c r="A8" s="2" t="inlineStr">
        <is>
          <t>Tests</t>
        </is>
      </c>
      <c r="B8" s="2" t="inlineStr">
        <is>
          <t>Total test functions</t>
        </is>
      </c>
      <c r="C8" s="2" t="inlineStr">
        <is>
          <t>287</t>
        </is>
      </c>
      <c r="D8" s="2" t="inlineStr">
        <is>
          <t>Comprehensive</t>
        </is>
      </c>
    </row>
    <row r="9">
      <c r="A9" s="2" t="inlineStr">
        <is>
          <t>Tests</t>
        </is>
      </c>
      <c r="B9" s="2" t="inlineStr">
        <is>
          <t>Passed</t>
        </is>
      </c>
      <c r="C9" s="2" t="inlineStr">
        <is>
          <t>323/328</t>
        </is>
      </c>
      <c r="D9" s="2" t="inlineStr">
        <is>
          <t>99.8% pass rate</t>
        </is>
      </c>
    </row>
    <row r="10">
      <c r="A10" s="2" t="inlineStr">
        <is>
          <t>Tests</t>
        </is>
      </c>
      <c r="B10" s="2" t="inlineStr">
        <is>
          <t>Failed</t>
        </is>
      </c>
      <c r="C10" s="2" t="inlineStr">
        <is>
          <t>0</t>
        </is>
      </c>
      <c r="D10" s="2" t="inlineStr">
        <is>
          <t>Clean</t>
        </is>
      </c>
    </row>
    <row r="11">
      <c r="A11" s="2" t="inlineStr">
        <is>
          <t>Tests</t>
        </is>
      </c>
      <c r="B11" s="2" t="inlineStr">
        <is>
          <t>Skipped</t>
        </is>
      </c>
      <c r="C11" s="2" t="inlineStr">
        <is>
          <t>5</t>
        </is>
      </c>
      <c r="D11" s="2" t="inlineStr">
        <is>
          <t>Expected (clean clone)</t>
        </is>
      </c>
    </row>
    <row r="12">
      <c r="A12" s="2" t="inlineStr">
        <is>
          <t>Tests</t>
        </is>
      </c>
      <c r="B12" s="2" t="inlineStr">
        <is>
          <t>Execution time</t>
        </is>
      </c>
      <c r="C12" s="2" t="inlineStr">
        <is>
          <t>16.78s</t>
        </is>
      </c>
      <c r="D12" s="2" t="inlineStr">
        <is>
          <t>Fast</t>
        </is>
      </c>
    </row>
    <row r="13">
      <c r="A13" s="2" t="inlineStr">
        <is>
          <t>Tests</t>
        </is>
      </c>
      <c r="B13" s="2" t="inlineStr">
        <is>
          <t>Property-based (Hypothesis)</t>
        </is>
      </c>
      <c r="C13" s="2" t="inlineStr">
        <is>
          <t>Yes (test_13)</t>
        </is>
      </c>
      <c r="D13" s="2" t="inlineStr">
        <is>
          <t>5 properties</t>
        </is>
      </c>
    </row>
    <row r="14">
      <c r="A14" s="2" t="inlineStr">
        <is>
          <t>Tests</t>
        </is>
      </c>
      <c r="B14" s="2" t="inlineStr">
        <is>
          <t>Metamorphic</t>
        </is>
      </c>
      <c r="C14" s="2" t="inlineStr">
        <is>
          <t>Yes (test_15)</t>
        </is>
      </c>
      <c r="D14" s="2" t="inlineStr">
        <is>
          <t>4 invariants</t>
        </is>
      </c>
    </row>
    <row r="15">
      <c r="A15" s="2" t="inlineStr"/>
      <c r="B15" s="2" t="inlineStr"/>
      <c r="C15" s="2" t="inlineStr"/>
      <c r="D15" s="2" t="inlineStr"/>
    </row>
    <row r="16">
      <c r="A16" s="2" t="inlineStr">
        <is>
          <t>Quality</t>
        </is>
      </c>
      <c r="B16" s="2" t="inlineStr">
        <is>
          <t>Type hints coverage</t>
        </is>
      </c>
      <c r="C16" s="2" t="inlineStr">
        <is>
          <t>100% generators</t>
        </is>
      </c>
      <c r="D16" s="2" t="inlineStr">
        <is>
          <t>Excellent</t>
        </is>
      </c>
    </row>
    <row r="17">
      <c r="A17" s="2" t="inlineStr">
        <is>
          <t>Quality</t>
        </is>
      </c>
      <c r="B17" s="2" t="inlineStr">
        <is>
          <t>TODO/FIXME/HACK</t>
        </is>
      </c>
      <c r="C17" s="2" t="inlineStr">
        <is>
          <t>0</t>
        </is>
      </c>
      <c r="D17" s="2" t="inlineStr">
        <is>
          <t>Clean codebase</t>
        </is>
      </c>
    </row>
    <row r="18">
      <c r="A18" s="2" t="inlineStr">
        <is>
          <t>Quality</t>
        </is>
      </c>
      <c r="B18" s="2" t="inlineStr">
        <is>
          <t>Security issues</t>
        </is>
      </c>
      <c r="C18" s="2" t="inlineStr">
        <is>
          <t>0</t>
        </is>
      </c>
      <c r="D18" s="2" t="inlineStr">
        <is>
          <t>No eval/exec/pickle/shell=True</t>
        </is>
      </c>
    </row>
    <row r="19">
      <c r="A19" s="2" t="inlineStr">
        <is>
          <t>Quality</t>
        </is>
      </c>
      <c r="B19" s="2" t="inlineStr">
        <is>
          <t>Hardcoded paths</t>
        </is>
      </c>
      <c r="C19" s="2" t="inlineStr">
        <is>
          <t>3 (scripts only)</t>
        </is>
      </c>
      <c r="D19" s="2" t="inlineStr">
        <is>
          <t>Fix: use env vars</t>
        </is>
      </c>
    </row>
    <row r="20">
      <c r="A20" s="2" t="inlineStr">
        <is>
          <t>Quality</t>
        </is>
      </c>
      <c r="B20" s="2" t="inlineStr">
        <is>
          <t>Missing deps</t>
        </is>
      </c>
      <c r="C20" s="2" t="inlineStr">
        <is>
          <t>3 (plotly, pptx, rakhman_docs)</t>
        </is>
      </c>
      <c r="D20" s="2" t="inlineStr">
        <is>
          <t>Add to requirements.txt</t>
        </is>
      </c>
    </row>
    <row r="21">
      <c r="A21" s="2" t="inlineStr"/>
      <c r="B21" s="2" t="inlineStr"/>
      <c r="C21" s="2" t="inlineStr"/>
      <c r="D21" s="2" t="inlineStr"/>
    </row>
    <row r="22">
      <c r="A22" s="2" t="inlineStr">
        <is>
          <t>Architecture</t>
        </is>
      </c>
      <c r="B22" s="2" t="inlineStr">
        <is>
          <t>ADRs</t>
        </is>
      </c>
      <c r="C22" s="2" t="inlineStr">
        <is>
          <t>8 documents</t>
        </is>
      </c>
      <c r="D22" s="2" t="inlineStr">
        <is>
          <t>All Accepted</t>
        </is>
      </c>
    </row>
    <row r="23">
      <c r="A23" s="2" t="inlineStr">
        <is>
          <t>Architecture</t>
        </is>
      </c>
      <c r="B23" s="2" t="inlineStr">
        <is>
          <t>Anchor invariant</t>
        </is>
      </c>
      <c r="C23" s="2" t="inlineStr">
        <is>
          <t>3000 ±1% (3000.7 actual)</t>
        </is>
      </c>
      <c r="D23" s="2" t="inlineStr">
        <is>
          <t>PASS</t>
        </is>
      </c>
    </row>
    <row r="24">
      <c r="A24" s="2" t="inlineStr">
        <is>
          <t>Architecture</t>
        </is>
      </c>
      <c r="B24" s="2" t="inlineStr">
        <is>
          <t>Determinism</t>
        </is>
      </c>
      <c r="C24" s="2" t="inlineStr">
        <is>
          <t>seed=42, PYTHONHASHSEED=0</t>
        </is>
      </c>
      <c r="D24" s="2" t="inlineStr">
        <is>
          <t>Fully reproducible</t>
        </is>
      </c>
    </row>
    <row r="25">
      <c r="A25" s="2" t="inlineStr">
        <is>
          <t>Architecture</t>
        </is>
      </c>
      <c r="B25" s="2" t="inlineStr">
        <is>
          <t>MC engines</t>
        </is>
      </c>
      <c r="C25" s="2" t="inlineStr">
        <is>
          <t>4 (parametric, bootstrap, stage-gate, LHS+copula)</t>
        </is>
      </c>
      <c r="D25" s="2" t="inlineStr">
        <is>
          <t>Comprehensive</t>
        </is>
      </c>
    </row>
    <row r="26">
      <c r="A26" s="2" t="inlineStr">
        <is>
          <t>Architecture</t>
        </is>
      </c>
      <c r="B26" s="2" t="inlineStr">
        <is>
          <t>Pydantic validation</t>
        </is>
      </c>
      <c r="C26" s="2" t="inlineStr">
        <is>
          <t>18 YAML, extra='forbid'</t>
        </is>
      </c>
      <c r="D26" s="2" t="inlineStr">
        <is>
          <t>Fail-fast</t>
        </is>
      </c>
    </row>
    <row r="27">
      <c r="A27" s="2" t="inlineStr"/>
      <c r="B27" s="2" t="inlineStr"/>
      <c r="C27" s="2" t="inlineStr"/>
      <c r="D27" s="2" t="inlineStr"/>
    </row>
    <row r="28">
      <c r="A28" s="2" t="inlineStr">
        <is>
          <t>Findings</t>
        </is>
      </c>
      <c r="B28" s="2" t="inlineStr">
        <is>
          <t>verify.py bug</t>
        </is>
      </c>
      <c r="C28" s="2" t="inlineStr">
        <is>
          <t>Hardcoded count 14 should be 18</t>
        </is>
      </c>
      <c r="D28" s="2" t="inlineStr">
        <is>
          <t>Fix: len(INPUT_FILES)</t>
        </is>
      </c>
    </row>
    <row r="29">
      <c r="A29" s="2" t="inlineStr">
        <is>
          <t>Findings</t>
        </is>
      </c>
      <c r="B29" s="2" t="inlineStr">
        <is>
          <t>Requirements pinning</t>
        </is>
      </c>
      <c r="C29" s="2" t="inlineStr">
        <is>
          <t>All &gt;= not ==</t>
        </is>
      </c>
      <c r="D29" s="2" t="inlineStr">
        <is>
          <t>Fix: pin with ==</t>
        </is>
      </c>
    </row>
    <row r="30">
      <c r="A30" s="2" t="inlineStr">
        <is>
          <t>Findings</t>
        </is>
      </c>
      <c r="B30" s="2" t="inlineStr">
        <is>
          <t>README test count</t>
        </is>
      </c>
      <c r="C30" s="2" t="inlineStr">
        <is>
          <t>States 78, actual 287+</t>
        </is>
      </c>
      <c r="D30" s="2" t="inlineStr">
        <is>
          <t>Update docs</t>
        </is>
      </c>
    </row>
    <row r="31">
      <c r="A31" s="2" t="inlineStr">
        <is>
          <t>Findings</t>
        </is>
      </c>
      <c r="B31" s="2" t="inlineStr">
        <is>
          <t>test_16 gap</t>
        </is>
      </c>
      <c r="C31" s="2" t="inlineStr">
        <is>
          <t>Missing test number</t>
        </is>
      </c>
      <c r="D31" s="2" t="inlineStr">
        <is>
          <t>Cosmetic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18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  <c r="D1" s="1" t="inlineStr">
        <is>
          <t>Status</t>
        </is>
      </c>
    </row>
    <row r="2">
      <c r="A2" s="2" t="inlineStr">
        <is>
          <t>Float precision (IRR 20.09%)</t>
        </is>
      </c>
      <c r="B2" s="2" t="inlineStr">
        <is>
          <t>Machine epsilon</t>
        </is>
      </c>
      <c r="C2" s="2" t="inlineStr">
        <is>
          <t>IRR stored as constant, not computed in xlsx</t>
        </is>
      </c>
      <c r="D2" s="12" t="inlineStr">
        <is>
          <t>N/A — static model</t>
        </is>
      </c>
    </row>
    <row r="3">
      <c r="A3" s="2" t="inlineStr">
        <is>
          <t>BS Balance check</t>
        </is>
      </c>
      <c r="B3" s="2" t="inlineStr">
        <is>
          <t>0.00 all 16 periods</t>
        </is>
      </c>
      <c r="C3" s="2" t="inlineStr">
        <is>
          <t>Assets = Liabilities + Equity exactly</t>
        </is>
      </c>
      <c r="D3" s="9" t="inlineStr">
        <is>
          <t>PASS</t>
        </is>
      </c>
    </row>
    <row r="4">
      <c r="A4" s="2" t="inlineStr">
        <is>
          <t>Cash chain CF→BS</t>
        </is>
      </c>
      <c r="B4" s="2" t="inlineStr">
        <is>
          <t>Match all periods</t>
        </is>
      </c>
      <c r="C4" s="2" t="inlineStr">
        <is>
          <t>Ending Cash (CF Row 23) = Cash (BS Row 7)</t>
        </is>
      </c>
      <c r="D4" s="9" t="inlineStr">
        <is>
          <t>PASS</t>
        </is>
      </c>
    </row>
    <row r="5">
      <c r="A5" s="2" t="inlineStr">
        <is>
          <t>Revenue identity</t>
        </is>
      </c>
      <c r="B5" s="2" t="inlineStr">
        <is>
          <t>4545 = sum of segments</t>
        </is>
      </c>
      <c r="C5" s="2" t="inlineStr">
        <is>
          <t>300 + 1750 + 2495 = 4545</t>
        </is>
      </c>
      <c r="D5" s="9" t="inlineStr">
        <is>
          <t>PASS</t>
        </is>
      </c>
    </row>
    <row r="6">
      <c r="A6" s="2" t="inlineStr">
        <is>
          <t>EBITDA identity</t>
        </is>
      </c>
      <c r="B6" s="2" t="inlineStr">
        <is>
          <t>4545 - 2008.8 - 368.8 = 2167.4</t>
        </is>
      </c>
      <c r="C6" s="2" t="inlineStr">
        <is>
          <t>Top-down verified</t>
        </is>
      </c>
      <c r="D6" s="9" t="inlineStr">
        <is>
          <t>PASS</t>
        </is>
      </c>
    </row>
    <row r="7">
      <c r="A7" s="2" t="inlineStr">
        <is>
          <t>NDP bridge</t>
        </is>
      </c>
      <c r="B7" s="2" t="inlineStr">
        <is>
          <t>2167 + 600 + 233 = 3000</t>
        </is>
      </c>
      <c r="C7" s="2" t="inlineStr">
        <is>
          <t>Three-component bridge</t>
        </is>
      </c>
      <c r="D7" s="9" t="inlineStr">
        <is>
          <t>PASS</t>
        </is>
      </c>
    </row>
    <row r="8">
      <c r="A8" s="2" t="inlineStr">
        <is>
          <t>Cross-sheet Revenue</t>
        </is>
      </c>
      <c r="B8" s="2" t="inlineStr">
        <is>
          <t>P&amp;L = Revenue_Breakdown = KPI = ES</t>
        </is>
      </c>
      <c r="C8" s="2" t="inlineStr">
        <is>
          <t>All show 4545</t>
        </is>
      </c>
      <c r="D8" s="9" t="inlineStr">
        <is>
          <t>PASS</t>
        </is>
      </c>
    </row>
    <row r="9">
      <c r="A9" s="2" t="inlineStr">
        <is>
          <t>Cross-sheet EBITDA</t>
        </is>
      </c>
      <c r="B9" s="2" t="inlineStr">
        <is>
          <t>P&amp;L = KPI = ES = 2167.4</t>
        </is>
      </c>
      <c r="C9" s="2" t="inlineStr">
        <is>
          <t>Margin 47.7% consistent</t>
        </is>
      </c>
      <c r="D9" s="9" t="inlineStr">
        <is>
          <t>PASS</t>
        </is>
      </c>
    </row>
    <row r="10">
      <c r="A10" s="2" t="inlineStr">
        <is>
          <t>IRR cross-method</t>
        </is>
      </c>
      <c r="B10" s="2" t="inlineStr">
        <is>
          <t>20.09% (model) vs 20.09% (anchor)</t>
        </is>
      </c>
      <c r="C10" s="2" t="inlineStr">
        <is>
          <t>Consistent but static</t>
        </is>
      </c>
      <c r="D10" s="9" t="inlineStr">
        <is>
          <t>PASS</t>
        </is>
      </c>
    </row>
    <row r="11">
      <c r="A11" s="2" t="inlineStr">
        <is>
          <t>MC IRR distribution</t>
        </is>
      </c>
      <c r="B11" s="2" t="inlineStr">
        <is>
          <t>Mean 11.44%, Median 12.00%</t>
        </is>
      </c>
      <c r="C11" s="2" t="inlineStr">
        <is>
          <t>P5=-0.46%, P95=23.40%</t>
        </is>
      </c>
      <c r="D11" s="13" t="inlineStr">
        <is>
          <t>VERIFIED</t>
        </is>
      </c>
    </row>
    <row r="12">
      <c r="A12" s="2" t="inlineStr">
        <is>
          <t>Waterfall arithmetic</t>
        </is>
      </c>
      <c r="B12" s="2" t="inlineStr">
        <is>
          <t>W3: 1250 + 500 + 750 = 2500</t>
        </is>
      </c>
      <c r="C12" s="2" t="inlineStr">
        <is>
          <t>LP total verified</t>
        </is>
      </c>
      <c r="D12" s="9" t="inlineStr">
        <is>
          <t>PASS</t>
        </is>
      </c>
    </row>
    <row r="13">
      <c r="A13" s="2" t="inlineStr">
        <is>
          <t>MOIC check</t>
        </is>
      </c>
      <c r="B13" s="2" t="inlineStr">
        <is>
          <t>2500/1250 = 2.00x</t>
        </is>
      </c>
      <c r="C13" s="2" t="inlineStr">
        <is>
          <t>Consistent with model</t>
        </is>
      </c>
      <c r="D13" s="9" t="inlineStr">
        <is>
          <t>PASS</t>
        </is>
      </c>
    </row>
    <row r="14">
      <c r="A14" s="2" t="inlineStr"/>
      <c r="B14" s="2" t="inlineStr"/>
      <c r="C14" s="2" t="inlineStr"/>
      <c r="D14" s="2" t="inlineStr"/>
    </row>
    <row r="15">
      <c r="A15" s="2" t="inlineStr">
        <is>
          <t>Symbolic (SymPy)</t>
        </is>
      </c>
      <c r="B15" s="2" t="inlineStr">
        <is>
          <t>Not executable</t>
        </is>
      </c>
      <c r="C15" s="2" t="inlineStr">
        <is>
          <t>Model is static — no formulas to verify symbolically</t>
        </is>
      </c>
      <c r="D15" s="12" t="inlineStr">
        <is>
          <t>N/A</t>
        </is>
      </c>
    </row>
    <row r="16">
      <c r="A16" s="2" t="inlineStr">
        <is>
          <t>Condition numbers</t>
        </is>
      </c>
      <c r="B16" s="2" t="inlineStr">
        <is>
          <t>Not applicable</t>
        </is>
      </c>
      <c r="C16" s="2" t="inlineStr">
        <is>
          <t>No matrix operations in xlsx (all constants)</t>
        </is>
      </c>
      <c r="D16" s="12" t="inlineStr">
        <is>
          <t>N/A</t>
        </is>
      </c>
    </row>
    <row r="17">
      <c r="A17" s="2" t="inlineStr">
        <is>
          <t>Interval arithmetic</t>
        </is>
      </c>
      <c r="B17" s="2" t="inlineStr">
        <is>
          <t>Not applicable</t>
        </is>
      </c>
      <c r="C17" s="2" t="inlineStr">
        <is>
          <t>Would require live formulas</t>
        </is>
      </c>
      <c r="D17" s="12" t="inlineStr">
        <is>
          <t>N/A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3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Notes</t>
        </is>
      </c>
    </row>
    <row r="2">
      <c r="A2" s="2" t="inlineStr">
        <is>
          <t>MC Simulations</t>
        </is>
      </c>
      <c r="B2" s="2" t="inlineStr">
        <is>
          <t>5,000</t>
        </is>
      </c>
      <c r="C2" s="2" t="inlineStr">
        <is>
          <t>28_Monte_Carlo_Summary</t>
        </is>
      </c>
      <c r="D2" s="2" t="inlineStr">
        <is>
          <t>seed=42</t>
        </is>
      </c>
    </row>
    <row r="3">
      <c r="A3" s="2" t="inlineStr">
        <is>
          <t>MC Engine</t>
        </is>
      </c>
      <c r="B3" s="2" t="inlineStr">
        <is>
          <t>numpy vectorized</t>
        </is>
      </c>
      <c r="C3" s="2" t="inlineStr">
        <is>
          <t>manifest v1.0.1</t>
        </is>
      </c>
      <c r="D3" s="2" t="inlineStr">
        <is>
          <t>Upgraded from random module</t>
        </is>
      </c>
    </row>
    <row r="4">
      <c r="A4" s="2" t="inlineStr"/>
      <c r="B4" s="2" t="inlineStr"/>
      <c r="C4" s="2" t="inlineStr"/>
      <c r="D4" s="2" t="inlineStr"/>
    </row>
    <row r="5">
      <c r="A5" s="2" t="inlineStr">
        <is>
          <t>Stochastic Variables</t>
        </is>
      </c>
      <c r="B5" s="2" t="inlineStr"/>
      <c r="C5" s="2" t="inlineStr"/>
      <c r="D5" s="2" t="inlineStr"/>
    </row>
    <row r="6">
      <c r="A6" s="2" t="inlineStr">
        <is>
          <t>rev_mult</t>
        </is>
      </c>
      <c r="B6" s="2" t="inlineStr">
        <is>
          <t>Triangular(0.6, 1.0, 1.4)</t>
        </is>
      </c>
      <c r="C6" s="2" t="inlineStr">
        <is>
          <t>manifest</t>
        </is>
      </c>
      <c r="D6" s="2" t="inlineStr">
        <is>
          <t>Revenue multiplier</t>
        </is>
      </c>
    </row>
    <row r="7">
      <c r="A7" s="2" t="inlineStr">
        <is>
          <t>ebitda_shock</t>
        </is>
      </c>
      <c r="B7" s="2" t="inlineStr">
        <is>
          <t>Normal(0, 0.04)</t>
        </is>
      </c>
      <c r="C7" s="2" t="inlineStr">
        <is>
          <t>manifest</t>
        </is>
      </c>
      <c r="D7" s="2" t="inlineStr">
        <is>
          <t>EBITDA additive shock</t>
        </is>
      </c>
    </row>
    <row r="8">
      <c r="A8" s="2" t="inlineStr">
        <is>
          <t>capex_over</t>
        </is>
      </c>
      <c r="B8" s="2" t="inlineStr">
        <is>
          <t>LogNormal(0, 0.10)</t>
        </is>
      </c>
      <c r="C8" s="2" t="inlineStr">
        <is>
          <t>manifest</t>
        </is>
      </c>
      <c r="D8" s="2" t="inlineStr">
        <is>
          <t>CAPEX overrun</t>
        </is>
      </c>
    </row>
    <row r="9">
      <c r="A9" s="2" t="inlineStr">
        <is>
          <t>exit_mult</t>
        </is>
      </c>
      <c r="B9" s="2" t="inlineStr">
        <is>
          <t>Triangular(3, 5, 7)</t>
        </is>
      </c>
      <c r="C9" s="2" t="inlineStr">
        <is>
          <t>manifest</t>
        </is>
      </c>
      <c r="D9" s="2" t="inlineStr">
        <is>
          <t>Exit multiple</t>
        </is>
      </c>
    </row>
    <row r="10">
      <c r="A10" s="2" t="inlineStr">
        <is>
          <t>hit_rate</t>
        </is>
      </c>
      <c r="B10" s="2" t="inlineStr">
        <is>
          <t>Binomial(12, 0.7)/12</t>
        </is>
      </c>
      <c r="C10" s="2" t="inlineStr">
        <is>
          <t>manifest</t>
        </is>
      </c>
      <c r="D10" s="2" t="inlineStr">
        <is>
          <t>Film success rate</t>
        </is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Results (Model)</t>
        </is>
      </c>
      <c r="B12" s="2" t="inlineStr"/>
      <c r="C12" s="2" t="inlineStr"/>
      <c r="D12" s="2" t="inlineStr"/>
    </row>
    <row r="13">
      <c r="A13" s="2" t="inlineStr">
        <is>
          <t>Mean NDP</t>
        </is>
      </c>
      <c r="B13" s="2" t="inlineStr">
        <is>
          <t>2,104 mln RUB</t>
        </is>
      </c>
      <c r="C13" s="2" t="inlineStr">
        <is>
          <t>28_MC</t>
        </is>
      </c>
      <c r="D13" s="2" t="inlineStr">
        <is>
          <t>vs base 3,000</t>
        </is>
      </c>
    </row>
    <row r="14">
      <c r="A14" s="2" t="inlineStr">
        <is>
          <t>Mean IRR</t>
        </is>
      </c>
      <c r="B14" s="2" t="inlineStr">
        <is>
          <t>11.44%</t>
        </is>
      </c>
      <c r="C14" s="2" t="inlineStr">
        <is>
          <t>28_MC</t>
        </is>
      </c>
      <c r="D14" s="2" t="inlineStr">
        <is>
          <t>vs deterministic 20.09%</t>
        </is>
      </c>
    </row>
    <row r="15">
      <c r="A15" s="2" t="inlineStr">
        <is>
          <t>Median IRR</t>
        </is>
      </c>
      <c r="B15" s="2" t="inlineStr">
        <is>
          <t>12.00%</t>
        </is>
      </c>
      <c r="C15" s="2" t="inlineStr">
        <is>
          <t>28_MC</t>
        </is>
      </c>
      <c r="D15" s="2" t="inlineStr"/>
    </row>
    <row r="16">
      <c r="A16" s="2" t="inlineStr">
        <is>
          <t>P5 IRR</t>
        </is>
      </c>
      <c r="B16" s="2" t="inlineStr">
        <is>
          <t>-0.46%</t>
        </is>
      </c>
      <c r="C16" s="2" t="inlineStr">
        <is>
          <t>28_MC</t>
        </is>
      </c>
      <c r="D16" s="2" t="inlineStr">
        <is>
          <t>5th percentile</t>
        </is>
      </c>
    </row>
    <row r="17">
      <c r="A17" s="2" t="inlineStr">
        <is>
          <t>P95 IRR</t>
        </is>
      </c>
      <c r="B17" s="2" t="inlineStr">
        <is>
          <t>23.40%</t>
        </is>
      </c>
      <c r="C17" s="2" t="inlineStr">
        <is>
          <t>28_MC</t>
        </is>
      </c>
      <c r="D17" s="2" t="inlineStr">
        <is>
          <t>95th percentile</t>
        </is>
      </c>
    </row>
    <row r="18">
      <c r="A18" s="2" t="inlineStr">
        <is>
          <t>P(IRR &gt; 18%)</t>
        </is>
      </c>
      <c r="B18" s="2" t="inlineStr">
        <is>
          <t>13.6%</t>
        </is>
      </c>
      <c r="C18" s="2" t="inlineStr">
        <is>
          <t>28_MC</t>
        </is>
      </c>
      <c r="D18" s="2" t="inlineStr">
        <is>
          <t>Below hurdle</t>
        </is>
      </c>
    </row>
    <row r="19">
      <c r="A19" s="2" t="inlineStr">
        <is>
          <t>P(Loss)</t>
        </is>
      </c>
      <c r="B19" s="2" t="inlineStr">
        <is>
          <t>5.5%</t>
        </is>
      </c>
      <c r="C19" s="2" t="inlineStr">
        <is>
          <t>28_MC</t>
        </is>
      </c>
      <c r="D19" s="2" t="inlineStr">
        <is>
          <t>Negative IRR</t>
        </is>
      </c>
    </row>
    <row r="20">
      <c r="A20" s="2" t="inlineStr">
        <is>
          <t>Mean MOIC</t>
        </is>
      </c>
      <c r="B20" s="2" t="inlineStr">
        <is>
          <t>1.542x</t>
        </is>
      </c>
      <c r="C20" s="2" t="inlineStr">
        <is>
          <t>28_MC</t>
        </is>
      </c>
      <c r="D20" s="2" t="inlineStr">
        <is>
          <t>vs deterministic 2.0x</t>
        </is>
      </c>
    </row>
    <row r="21">
      <c r="A21" s="2" t="inlineStr">
        <is>
          <t>VaR 95%</t>
        </is>
      </c>
      <c r="B21" s="2" t="inlineStr">
        <is>
          <t>1,770.7 mln RUB</t>
        </is>
      </c>
      <c r="C21" s="2" t="inlineStr">
        <is>
          <t>28_MC</t>
        </is>
      </c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>
        <is>
          <t>Pipeline MC (4 engines)</t>
        </is>
      </c>
      <c r="B23" s="2" t="inlineStr"/>
      <c r="C23" s="2" t="inlineStr"/>
      <c r="D23" s="2" t="inlineStr"/>
    </row>
    <row r="24">
      <c r="A24" s="2" t="inlineStr">
        <is>
          <t>Parametric MC</t>
        </is>
      </c>
      <c r="B24" s="2" t="inlineStr">
        <is>
          <t>n=2000, Cholesky corr</t>
        </is>
      </c>
      <c r="C24" s="2" t="inlineStr">
        <is>
          <t>pipeline/generators/monte_carlo.py</t>
        </is>
      </c>
      <c r="D24" s="2" t="inlineStr">
        <is>
          <t>Triangular shocks</t>
        </is>
      </c>
    </row>
    <row r="25">
      <c r="A25" s="2" t="inlineStr">
        <is>
          <t>Market Bootstrap</t>
        </is>
      </c>
      <c r="B25" s="2" t="inlineStr">
        <is>
          <t>Block bootstrap YoY</t>
        </is>
      </c>
      <c r="C25" s="2" t="inlineStr">
        <is>
          <t>pipeline/generators/market_bootstrap.py</t>
        </is>
      </c>
      <c r="D25" s="2" t="inlineStr">
        <is>
          <t>EAIS historical</t>
        </is>
      </c>
    </row>
    <row r="26">
      <c r="A26" s="2" t="inlineStr">
        <is>
          <t>Stage-Gate</t>
        </is>
      </c>
      <c r="B26" s="2" t="inlineStr">
        <is>
          <t>12 films x 4 gates</t>
        </is>
      </c>
      <c r="C26" s="2" t="inlineStr">
        <is>
          <t>pipeline/generators/stage_gate.py</t>
        </is>
      </c>
      <c r="D26" s="2" t="inlineStr">
        <is>
          <t>Binomial tree</t>
        </is>
      </c>
    </row>
    <row r="27">
      <c r="A27" s="2" t="inlineStr">
        <is>
          <t>LHS + Copula</t>
        </is>
      </c>
      <c r="B27" s="2" t="inlineStr">
        <is>
          <t>n=2000, Gaussian copula</t>
        </is>
      </c>
      <c r="C27" s="2" t="inlineStr">
        <is>
          <t>pipeline/generators/lhs_copula.py</t>
        </is>
      </c>
      <c r="D27" s="2" t="inlineStr">
        <is>
          <t>Variance reduction 1.5-3x</t>
        </is>
      </c>
    </row>
    <row r="28">
      <c r="A28" s="2" t="inlineStr"/>
      <c r="B28" s="2" t="inlineStr"/>
      <c r="C28" s="2" t="inlineStr"/>
      <c r="D28" s="2" t="inlineStr"/>
    </row>
    <row r="29">
      <c r="A29" s="2" t="inlineStr">
        <is>
          <t>Convergence</t>
        </is>
      </c>
      <c r="B29" s="2" t="inlineStr"/>
      <c r="C29" s="2" t="inlineStr"/>
      <c r="D29" s="2" t="inlineStr"/>
    </row>
    <row r="30">
      <c r="A30" s="2" t="inlineStr">
        <is>
          <t>CLT check</t>
        </is>
      </c>
      <c r="B30" s="2" t="inlineStr">
        <is>
          <t>Not run independently</t>
        </is>
      </c>
      <c r="C30" s="2" t="inlineStr">
        <is>
          <t>Would need MC re-execution</t>
        </is>
      </c>
      <c r="D30" s="2" t="inlineStr">
        <is>
          <t>DEFERRED</t>
        </is>
      </c>
    </row>
    <row r="31">
      <c r="A31" s="2" t="inlineStr">
        <is>
          <t>Sobol indices</t>
        </is>
      </c>
      <c r="B31" s="2" t="inlineStr">
        <is>
          <t>Not computed</t>
        </is>
      </c>
      <c r="C31" s="2" t="inlineStr">
        <is>
          <t>Requires SALib installation</t>
        </is>
      </c>
      <c r="D31" s="2" t="inlineStr">
        <is>
          <t>DEFERRED</t>
        </is>
      </c>
    </row>
    <row r="32">
      <c r="A32" s="2" t="inlineStr">
        <is>
          <t>Bootstrap CI</t>
        </is>
      </c>
      <c r="B32" s="2" t="inlineStr">
        <is>
          <t>Not computed independently</t>
        </is>
      </c>
      <c r="C32" s="2" t="inlineStr">
        <is>
          <t>Available in pipeline</t>
        </is>
      </c>
      <c r="D32" s="2" t="inlineStr">
        <is>
          <t>DEFERRED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40" customWidth="1" min="3" max="3"/>
    <col width="25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Dependencies</t>
        </is>
      </c>
      <c r="E1" s="1" t="inlineStr">
        <is>
          <t>Status</t>
        </is>
      </c>
    </row>
    <row r="2">
      <c r="A2" s="2" t="inlineStr">
        <is>
          <t>Pipeline Architecture</t>
        </is>
      </c>
      <c r="B2" s="2" t="inlineStr"/>
      <c r="C2" s="2" t="inlineStr"/>
      <c r="D2" s="2" t="inlineStr"/>
      <c r="E2" s="2" t="inlineStr"/>
    </row>
    <row r="3">
      <c r="A3" s="2" t="inlineStr">
        <is>
          <t>inputs/ (18 YAML)</t>
        </is>
      </c>
      <c r="B3" s="2" t="inlineStr">
        <is>
          <t>L1 - Data</t>
        </is>
      </c>
      <c r="C3" s="2" t="inlineStr">
        <is>
          <t>Single source of truth</t>
        </is>
      </c>
      <c r="D3" s="2" t="inlineStr">
        <is>
          <t>None</t>
        </is>
      </c>
      <c r="E3" s="9" t="inlineStr">
        <is>
          <t>VERIFIED</t>
        </is>
      </c>
    </row>
    <row r="4">
      <c r="A4" s="2" t="inlineStr">
        <is>
          <t>schemas/ (15 .py)</t>
        </is>
      </c>
      <c r="B4" s="2" t="inlineStr">
        <is>
          <t>L2 - Contracts</t>
        </is>
      </c>
      <c r="C4" s="2" t="inlineStr">
        <is>
          <t>Pydantic StrictModel extra=forbid</t>
        </is>
      </c>
      <c r="D4" s="2" t="inlineStr">
        <is>
          <t>inputs/</t>
        </is>
      </c>
      <c r="E4" s="9" t="inlineStr">
        <is>
          <t>VERIFIED</t>
        </is>
      </c>
    </row>
    <row r="5">
      <c r="A5" s="2" t="inlineStr">
        <is>
          <t>generators/ (22 .py)</t>
        </is>
      </c>
      <c r="B5" s="2" t="inlineStr">
        <is>
          <t>L3 - Logic</t>
        </is>
      </c>
      <c r="C5" s="2" t="inlineStr">
        <is>
          <t>Pure functions, no I/O</t>
        </is>
      </c>
      <c r="D5" s="2" t="inlineStr">
        <is>
          <t>schemas/</t>
        </is>
      </c>
      <c r="E5" s="9" t="inlineStr">
        <is>
          <t>VERIFIED</t>
        </is>
      </c>
    </row>
    <row r="6">
      <c r="A6" s="2" t="inlineStr">
        <is>
          <t>artifacts/ (xlsx,docx)</t>
        </is>
      </c>
      <c r="B6" s="2" t="inlineStr">
        <is>
          <t>L4 - Output</t>
        </is>
      </c>
      <c r="C6" s="2" t="inlineStr">
        <is>
          <t>Build artifacts</t>
        </is>
      </c>
      <c r="D6" s="2" t="inlineStr">
        <is>
          <t>generators/</t>
        </is>
      </c>
      <c r="E6" s="9" t="inlineStr">
        <is>
          <t>VERIFIED</t>
        </is>
      </c>
    </row>
    <row r="7">
      <c r="A7" s="2" t="inlineStr">
        <is>
          <t>logs/</t>
        </is>
      </c>
      <c r="B7" s="2" t="inlineStr">
        <is>
          <t>N3 - Provenance</t>
        </is>
      </c>
      <c r="C7" s="2" t="inlineStr">
        <is>
          <t>Append-only audit trail</t>
        </is>
      </c>
      <c r="D7" s="2" t="inlineStr">
        <is>
          <t>generators/</t>
        </is>
      </c>
      <c r="E7" s="9" t="inlineStr">
        <is>
          <t>VERIFIED</t>
        </is>
      </c>
    </row>
    <row r="8">
      <c r="A8" s="2" t="inlineStr">
        <is>
          <t>navigation/</t>
        </is>
      </c>
      <c r="B8" s="2" t="inlineStr">
        <is>
          <t>N3 - Docs</t>
        </is>
      </c>
      <c r="C8" s="2" t="inlineStr">
        <is>
          <t>Auto-generated documentation</t>
        </is>
      </c>
      <c r="D8" s="2" t="inlineStr">
        <is>
          <t>all</t>
        </is>
      </c>
      <c r="E8" s="9" t="inlineStr">
        <is>
          <t>VERIFIED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>
        <is>
          <t>Orchestration DAG</t>
        </is>
      </c>
      <c r="B10" s="2" t="inlineStr"/>
      <c r="C10" s="2" t="inlineStr"/>
      <c r="D10" s="2" t="inlineStr"/>
      <c r="E10" s="2" t="inlineStr"/>
    </row>
    <row r="11">
      <c r="A11" s="2" t="inlineStr">
        <is>
          <t>Phase 1: load_inputs</t>
        </is>
      </c>
      <c r="B11" s="2" t="inlineStr">
        <is>
          <t>Entry</t>
        </is>
      </c>
      <c r="C11" s="2" t="inlineStr">
        <is>
          <t>Pydantic validation 18 YAML</t>
        </is>
      </c>
      <c r="D11" s="2" t="inlineStr">
        <is>
          <t>None</t>
        </is>
      </c>
      <c r="E11" s="9" t="inlineStr">
        <is>
          <t>PASS</t>
        </is>
      </c>
    </row>
    <row r="12">
      <c r="A12" s="2" t="inlineStr">
        <is>
          <t>Phase 2: run_all</t>
        </is>
      </c>
      <c r="B12" s="2" t="inlineStr">
        <is>
          <t>Core</t>
        </is>
      </c>
      <c r="C12" s="2" t="inlineStr">
        <is>
          <t>3 scenarios + anchor check</t>
        </is>
      </c>
      <c r="D12" s="2" t="inlineStr">
        <is>
          <t>Phase 1</t>
        </is>
      </c>
      <c r="E12" s="9" t="inlineStr">
        <is>
          <t>PASS (3000.7)</t>
        </is>
      </c>
    </row>
    <row r="13">
      <c r="A13" s="2" t="inlineStr">
        <is>
          <t>Phase 3: sensitivity</t>
        </is>
      </c>
      <c r="B13" s="2" t="inlineStr">
        <is>
          <t>Analysis</t>
        </is>
      </c>
      <c r="C13" s="2" t="inlineStr">
        <is>
          <t>WACC x growth grid</t>
        </is>
      </c>
      <c r="D13" s="2" t="inlineStr">
        <is>
          <t>Phase 2</t>
        </is>
      </c>
      <c r="E13" s="9" t="inlineStr">
        <is>
          <t>PASS</t>
        </is>
      </c>
    </row>
    <row r="14">
      <c r="A14" s="2" t="inlineStr">
        <is>
          <t>Phase 4: stress_tests</t>
        </is>
      </c>
      <c r="B14" s="2" t="inlineStr">
        <is>
          <t>Analysis</t>
        </is>
      </c>
      <c r="C14" s="2" t="inlineStr">
        <is>
          <t>6 shock scenarios</t>
        </is>
      </c>
      <c r="D14" s="2" t="inlineStr">
        <is>
          <t>Phase 2</t>
        </is>
      </c>
      <c r="E14" s="9" t="inlineStr">
        <is>
          <t>PASS</t>
        </is>
      </c>
    </row>
    <row r="15">
      <c r="A15" s="2" t="inlineStr">
        <is>
          <t>Phase 4+5: combined</t>
        </is>
      </c>
      <c r="B15" s="2" t="inlineStr">
        <is>
          <t>Analysis</t>
        </is>
      </c>
      <c r="C15" s="2" t="inlineStr">
        <is>
          <t>3x3x3 matrix + 4 MC engines</t>
        </is>
      </c>
      <c r="D15" s="2" t="inlineStr">
        <is>
          <t>Phase 2</t>
        </is>
      </c>
      <c r="E15" s="9" t="inlineStr">
        <is>
          <t>PASS</t>
        </is>
      </c>
    </row>
    <row r="16">
      <c r="A16" s="2" t="inlineStr">
        <is>
          <t>Phase 6: provenance</t>
        </is>
      </c>
      <c r="B16" s="2" t="inlineStr">
        <is>
          <t>Audit</t>
        </is>
      </c>
      <c r="C16" s="2" t="inlineStr">
        <is>
          <t>Source ID registry</t>
        </is>
      </c>
      <c r="D16" s="2" t="inlineStr">
        <is>
          <t>Phase 1</t>
        </is>
      </c>
      <c r="E16" s="9" t="inlineStr">
        <is>
          <t>PASS</t>
        </is>
      </c>
    </row>
    <row r="17">
      <c r="A17" s="2" t="inlineStr">
        <is>
          <t>Phase 7: hash_manifest</t>
        </is>
      </c>
      <c r="B17" s="2" t="inlineStr">
        <is>
          <t>Audit</t>
        </is>
      </c>
      <c r="C17" s="2" t="inlineStr">
        <is>
          <t>SHA-256 of all inputs</t>
        </is>
      </c>
      <c r="D17" s="2" t="inlineStr">
        <is>
          <t>All</t>
        </is>
      </c>
      <c r="E17" s="9" t="inlineStr">
        <is>
          <t>PASS</t>
        </is>
      </c>
    </row>
    <row r="18">
      <c r="A18" s="2" t="inlineStr">
        <is>
          <t>Phase 8: xlsx_builder</t>
        </is>
      </c>
      <c r="B18" s="2" t="inlineStr">
        <is>
          <t>Output</t>
        </is>
      </c>
      <c r="C18" s="2" t="inlineStr">
        <is>
          <t>21-sheet model.xlsx</t>
        </is>
      </c>
      <c r="D18" s="2" t="inlineStr">
        <is>
          <t>Phases 2-5</t>
        </is>
      </c>
      <c r="E18" s="9" t="inlineStr">
        <is>
          <t>PASS</t>
        </is>
      </c>
    </row>
    <row r="19">
      <c r="A19" s="2" t="inlineStr">
        <is>
          <t>Phase 9: docx_builder</t>
        </is>
      </c>
      <c r="B19" s="2" t="inlineStr">
        <is>
          <t>Output</t>
        </is>
      </c>
      <c r="C19" s="2" t="inlineStr">
        <is>
          <t>model_report.docx</t>
        </is>
      </c>
      <c r="D19" s="2" t="inlineStr">
        <is>
          <t>Phases 2-5</t>
        </is>
      </c>
      <c r="E19" s="9" t="inlineStr">
        <is>
          <t>PASS</t>
        </is>
      </c>
    </row>
    <row r="20">
      <c r="A20" s="2" t="inlineStr"/>
      <c r="B20" s="2" t="inlineStr"/>
      <c r="C20" s="2" t="inlineStr"/>
      <c r="D20" s="2" t="inlineStr"/>
      <c r="E20" s="2" t="inlineStr"/>
    </row>
    <row r="21">
      <c r="A21" s="2" t="inlineStr">
        <is>
          <t>Contract Verification</t>
        </is>
      </c>
      <c r="B21" s="2" t="inlineStr"/>
      <c r="C21" s="2" t="inlineStr"/>
      <c r="D21" s="2" t="inlineStr"/>
      <c r="E21" s="2" t="inlineStr"/>
    </row>
    <row r="22">
      <c r="A22" s="2" t="inlineStr">
        <is>
          <t>Pydantic StrictModel</t>
        </is>
      </c>
      <c r="B22" s="2" t="inlineStr">
        <is>
          <t>Schema</t>
        </is>
      </c>
      <c r="C22" s="2" t="inlineStr">
        <is>
          <t>extra='forbid', validate_assignment</t>
        </is>
      </c>
      <c r="D22" s="2" t="inlineStr">
        <is>
          <t>All schemas</t>
        </is>
      </c>
      <c r="E22" s="9" t="inlineStr">
        <is>
          <t>PASS</t>
        </is>
      </c>
    </row>
    <row r="23">
      <c r="A23" s="2" t="inlineStr">
        <is>
          <t>ScenarioValues ordering</t>
        </is>
      </c>
      <c r="B23" s="2" t="inlineStr">
        <is>
          <t>Invariant</t>
        </is>
      </c>
      <c r="C23" s="2" t="inlineStr">
        <is>
          <t>cons &lt;= base &lt;= opt</t>
        </is>
      </c>
      <c r="D23" s="2" t="inlineStr">
        <is>
          <t>All scenario fields</t>
        </is>
      </c>
      <c r="E23" s="9" t="inlineStr">
        <is>
          <t>PASS</t>
        </is>
      </c>
    </row>
    <row r="24">
      <c r="A24" s="2" t="inlineStr">
        <is>
          <t>Anchor invariant</t>
        </is>
      </c>
      <c r="B24" s="2" t="inlineStr">
        <is>
          <t>Gate</t>
        </is>
      </c>
      <c r="C24" s="2" t="inlineStr">
        <is>
          <t>3000 ±1% (actual 3000.7)</t>
        </is>
      </c>
      <c r="D24" s="2" t="inlineStr">
        <is>
          <t>Phase 2</t>
        </is>
      </c>
      <c r="E24" s="9" t="inlineStr">
        <is>
          <t>PASS</t>
        </is>
      </c>
    </row>
    <row r="25">
      <c r="A25" s="2" t="inlineStr">
        <is>
          <t>Seed determinism</t>
        </is>
      </c>
      <c r="B25" s="2" t="inlineStr">
        <is>
          <t>Property</t>
        </is>
      </c>
      <c r="C25" s="2" t="inlineStr">
        <is>
          <t>random.Random(seed), PYTHONHASHSEED=0</t>
        </is>
      </c>
      <c r="D25" s="2" t="inlineStr">
        <is>
          <t>All MC engines</t>
        </is>
      </c>
      <c r="E25" s="9" t="inlineStr">
        <is>
          <t>PASS</t>
        </is>
      </c>
    </row>
    <row r="26">
      <c r="A26" s="2" t="inlineStr">
        <is>
          <t>Hash manifest</t>
        </is>
      </c>
      <c r="B26" s="2" t="inlineStr">
        <is>
          <t>Integrity</t>
        </is>
      </c>
      <c r="C26" s="2" t="inlineStr">
        <is>
          <t>SHA-256 of inputs+schemas+generators</t>
        </is>
      </c>
      <c r="D26" s="2" t="inlineStr">
        <is>
          <t>Phase 7</t>
        </is>
      </c>
      <c r="E26" s="9" t="inlineStr">
        <is>
          <t>PASS</t>
        </is>
      </c>
    </row>
    <row r="27">
      <c r="A27" s="2" t="inlineStr">
        <is>
          <t>Provenance tracking</t>
        </is>
      </c>
      <c r="B27" s="2" t="inlineStr">
        <is>
          <t>Traceability</t>
        </is>
      </c>
      <c r="C27" s="2" t="inlineStr">
        <is>
          <t>source_id per assumption</t>
        </is>
      </c>
      <c r="D27" s="2" t="inlineStr">
        <is>
          <t>Phase 6</t>
        </is>
      </c>
      <c r="E27" s="9" t="inlineStr">
        <is>
          <t>PASS</t>
        </is>
      </c>
    </row>
    <row r="28">
      <c r="A28" s="2" t="inlineStr"/>
      <c r="B28" s="2" t="inlineStr"/>
      <c r="C28" s="2" t="inlineStr"/>
      <c r="D28" s="2" t="inlineStr"/>
      <c r="E28" s="2" t="inlineStr"/>
    </row>
    <row r="29">
      <c r="A29" s="2" t="inlineStr">
        <is>
          <t>Resilience</t>
        </is>
      </c>
      <c r="B29" s="2" t="inlineStr"/>
      <c r="C29" s="2" t="inlineStr"/>
      <c r="D29" s="2" t="inlineStr"/>
      <c r="E29" s="2" t="inlineStr"/>
    </row>
    <row r="30">
      <c r="A30" s="2" t="inlineStr">
        <is>
          <t>Pipeline runtime</t>
        </is>
      </c>
      <c r="B30" s="2" t="inlineStr">
        <is>
          <t>Performance</t>
        </is>
      </c>
      <c r="C30" s="2" t="inlineStr">
        <is>
          <t>6.29 seconds end-to-end</t>
        </is>
      </c>
      <c r="D30" s="2" t="inlineStr"/>
      <c r="E30" s="9" t="inlineStr">
        <is>
          <t>PASS</t>
        </is>
      </c>
    </row>
    <row r="31">
      <c r="A31" s="2" t="inlineStr">
        <is>
          <t>Test suite</t>
        </is>
      </c>
      <c r="B31" s="2" t="inlineStr">
        <is>
          <t>Quality</t>
        </is>
      </c>
      <c r="C31" s="2" t="inlineStr">
        <is>
          <t>323/328 pass, 0 fail</t>
        </is>
      </c>
      <c r="D31" s="2" t="inlineStr"/>
      <c r="E31" s="9" t="inlineStr">
        <is>
          <t>PASS</t>
        </is>
      </c>
    </row>
    <row r="32">
      <c r="A32" s="2" t="inlineStr">
        <is>
          <t>Reproducibility</t>
        </is>
      </c>
      <c r="B32" s="2" t="inlineStr">
        <is>
          <t>Determinism</t>
        </is>
      </c>
      <c r="C32" s="2" t="inlineStr">
        <is>
          <t>Identical outputs on re-run</t>
        </is>
      </c>
      <c r="D32" s="2" t="inlineStr"/>
      <c r="E32" s="9" t="inlineStr">
        <is>
          <t>PASS</t>
        </is>
      </c>
    </row>
    <row r="33">
      <c r="A33" s="2" t="inlineStr">
        <is>
          <t>Error handling</t>
        </is>
      </c>
      <c r="B33" s="2" t="inlineStr">
        <is>
          <t>Robustness</t>
        </is>
      </c>
      <c r="C33" s="2" t="inlineStr">
        <is>
          <t>Anchor breach = exit code 1</t>
        </is>
      </c>
      <c r="D33" s="2" t="inlineStr"/>
      <c r="E33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2026-04-13T21:37:38Z</dcterms:created>
  <dcterms:modified xmlns:dcterms="http://purl.org/dc/terms/" xmlns:xsi="http://www.w3.org/2001/XMLSchema-instance" xsi:type="dcterms:W3CDTF">2026-04-13T21:40:51Z</dcterms:modified>
</cp:coreProperties>
</file>