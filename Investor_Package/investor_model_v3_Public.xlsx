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2"/>
  <workbookPr/>
  <mc:AlternateContent xmlns:mc="http://schemas.openxmlformats.org/markup-compatibility/2006">
    <mc:Choice Requires="x15">
      <x15ac:absPath xmlns:x15ac="http://schemas.microsoft.com/office/spreadsheetml/2010/11/ac" url="/Users/noldorwarrior/Documents/Claude/Projects/Холдинг/Investor_Package/"/>
    </mc:Choice>
  </mc:AlternateContent>
  <xr:revisionPtr revIDLastSave="0" documentId="13_ncr:1_{6C7C402F-2C9A-4545-9419-7164EBCF2A11}" xr6:coauthVersionLast="47" xr6:coauthVersionMax="47" xr10:uidLastSave="{00000000-0000-0000-0000-000000000000}"/>
  <bookViews>
    <workbookView xWindow="4360" yWindow="660" windowWidth="30200" windowHeight="21680" firstSheet="23" activeTab="31" xr2:uid="{00000000-000D-0000-FFFF-FFFF00000000}"/>
  </bookViews>
  <sheets>
    <sheet name="01_Cover" sheetId="1" r:id="rId1"/>
    <sheet name="02_Assumptions" sheetId="2" r:id="rId2"/>
    <sheet name="03_Change_Log" sheetId="3" r:id="rId3"/>
    <sheet name="04_FOT_Staff_A1" sheetId="4" r:id="rId4"/>
    <sheet name="05_FOT_Staff_A2" sheetId="5" r:id="rId5"/>
    <sheet name="06_Cost_Structure" sheetId="6" r:id="rId6"/>
    <sheet name="07_Revenue_Breakdown" sheetId="7" r:id="rId7"/>
    <sheet name="08_Content_Pipeline" sheetId="8" r:id="rId8"/>
    <sheet name="09_P&amp;L_Statement" sheetId="9" r:id="rId9"/>
    <sheet name="10_Cash_Flow" sheetId="10" r:id="rId10"/>
    <sheet name="11_Balance_Sheet" sheetId="11" r:id="rId11"/>
    <sheet name="12_Working_Capital" sheetId="12" r:id="rId12"/>
    <sheet name="13_Debt_Schedule" sheetId="13" r:id="rId13"/>
    <sheet name="14_Investment_Inflow" sheetId="14" r:id="rId14"/>
    <sheet name="15_Use_of_Funds" sheetId="15" r:id="rId15"/>
    <sheet name="16_CAPEX_Schedule" sheetId="16" r:id="rId16"/>
    <sheet name="17_Deal_Structures" sheetId="17" r:id="rId17"/>
    <sheet name="18_Cap_Table" sheetId="18" r:id="rId18"/>
    <sheet name="19_Waterfall" sheetId="19" r:id="rId19"/>
    <sheet name="20_Unit_Economics_per_Film" sheetId="20" r:id="rId20"/>
    <sheet name="21_KPI_Dashboard" sheetId="21" r:id="rId21"/>
    <sheet name="22_Valuation_DCF" sheetId="22" r:id="rId22"/>
    <sheet name="23_Valuation_Multiples" sheetId="23" r:id="rId23"/>
    <sheet name="24_Investor_Returns" sheetId="24" r:id="rId24"/>
    <sheet name="25_Exit_Scenarios" sheetId="25" r:id="rId25"/>
    <sheet name="26_Sensitivity" sheetId="26" r:id="rId26"/>
    <sheet name="27_Scenario_Analysis" sheetId="27" r:id="rId27"/>
    <sheet name="28_Monte_Carlo_Summary" sheetId="28" r:id="rId28"/>
    <sheet name="29_Risk_Register" sheetId="29" r:id="rId29"/>
    <sheet name="30_Market_Analysis" sheetId="30" r:id="rId30"/>
    <sheet name="31_Benchmarks" sheetId="31" r:id="rId31"/>
    <sheet name="32_Comparable_Transactions" sheetId="32" r:id="rId32"/>
    <sheet name="33_Gov_KPI" sheetId="33" r:id="rId33"/>
    <sheet name="34_Tax_Schedule" sheetId="34" r:id="rId34"/>
    <sheet name="35_Roadmap_2026_2032" sheetId="35" r:id="rId35"/>
    <sheet name="36_Executive_Summary" sheetId="36" r:id="rId36"/>
    <sheet name="37_Glossary" sheetId="37" r:id="rId37"/>
    <sheet name="38_Notes_and_Sources" sheetId="38" r:id="rId38"/>
    <sheet name="39_TOC" sheetId="39" r:id="rId39"/>
    <sheet name="40_Investor_Checklist" sheetId="40" r:id="rId40"/>
    <sheet name="41_Print_Setup" sheetId="41" r:id="rId41"/>
    <sheet name="42_Cover_Letter" sheetId="42" r:id="rId4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164" formatCode="0.0%"/>
    <numFmt numFmtId="165" formatCode="#,##0.000;[Red]\-#,##0.000"/>
    <numFmt numFmtId="166" formatCode="0.0&quot;x&quot;"/>
    <numFmt numFmtId="167" formatCode="#,##0\ &quot;₽&quot;;[Red]\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\+#,##0.000;\-#,##0.000"/>
    <numFmt numFmtId="173" formatCode="\+0.0%;\-0.0%"/>
    <numFmt numFmtId="174" formatCode="#,##0.0"/>
    <numFmt numFmtId="175" formatCode="#,##0.00&quot; млн&quot;"/>
    <numFmt numFmtId="176" formatCode="#,##0.00&quot; млн ₽&quot;"/>
    <numFmt numFmtId="177" formatCode="\+#,##0.00;\-#,##0.00;&quot;0.00&quot;"/>
    <numFmt numFmtId="178" formatCode="0.00&quot;×&quot;"/>
    <numFmt numFmtId="179" formatCode="\+0%;\-0%"/>
    <numFmt numFmtId="180" formatCode="0&quot; мес&quot;"/>
    <numFmt numFmtId="181" formatCode="#,##0&quot; млн&quot;"/>
    <numFmt numFmtId="182" formatCode="0&quot; шт&quot;"/>
    <numFmt numFmtId="183" formatCode="#,##0.0;[Red]\-#,##0.0"/>
    <numFmt numFmtId="184" formatCode="0.0&quot;%&quot;;[Red]\-0.0&quot;%&quot;"/>
    <numFmt numFmtId="185" formatCode="0.0&quot;%&quot;"/>
    <numFmt numFmtId="186" formatCode="0.0&quot; Q&quot;"/>
    <numFmt numFmtId="187" formatCode="0.0"/>
    <numFmt numFmtId="188" formatCode="0.0&quot; years&quot;"/>
    <numFmt numFmtId="189" formatCode="0&quot;%&quot;"/>
    <numFmt numFmtId="190" formatCode="\+0.0&quot; pp&quot;;\-0.0&quot; pp&quot;"/>
    <numFmt numFmtId="191" formatCode="0.0&quot;×&quot;"/>
    <numFmt numFmtId="192" formatCode="0.000&quot;×&quot;"/>
    <numFmt numFmtId="193" formatCode="0.00&quot;%&quot;"/>
  </numFmts>
  <fonts count="10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22"/>
      <color rgb="FF002060"/>
      <name val="Arial"/>
      <family val="2"/>
    </font>
    <font>
      <i/>
      <sz val="14"/>
      <color rgb="FF595959"/>
      <name val="Arial"/>
      <family val="2"/>
    </font>
    <font>
      <sz val="10"/>
      <color rgb="FF595959"/>
      <name val="Arial"/>
      <family val="2"/>
    </font>
    <font>
      <b/>
      <sz val="10"/>
      <color rgb="FF595959"/>
      <name val="Arial"/>
      <family val="2"/>
    </font>
    <font>
      <sz val="10"/>
      <color rgb="FF0070C0"/>
      <name val="Arial"/>
      <family val="2"/>
    </font>
    <font>
      <i/>
      <sz val="8"/>
      <color rgb="FF595959"/>
      <name val="Arial"/>
      <family val="2"/>
    </font>
    <font>
      <b/>
      <sz val="11"/>
      <color rgb="FF548235"/>
      <name val="Arial"/>
      <family val="2"/>
    </font>
    <font>
      <b/>
      <sz val="11"/>
      <color rgb="FFFFFFFF"/>
      <name val="Arial"/>
      <family val="2"/>
    </font>
    <font>
      <sz val="10"/>
      <color rgb="FF002060"/>
      <name val="Arial"/>
      <family val="2"/>
    </font>
    <font>
      <i/>
      <sz val="9"/>
      <color rgb="FF595959"/>
      <name val="Arial"/>
      <family val="2"/>
    </font>
    <font>
      <b/>
      <sz val="18"/>
      <color rgb="FF002060"/>
      <name val="Arial"/>
      <family val="2"/>
    </font>
    <font>
      <i/>
      <sz val="10"/>
      <color rgb="FF595959"/>
      <name val="Arial"/>
      <family val="2"/>
    </font>
    <font>
      <sz val="9"/>
      <color rgb="FF595959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b/>
      <sz val="10"/>
      <color rgb="FF548235"/>
      <name val="Arial"/>
      <family val="2"/>
    </font>
    <font>
      <b/>
      <sz val="10"/>
      <color rgb="FF002060"/>
      <name val="Arial"/>
      <family val="2"/>
    </font>
    <font>
      <b/>
      <sz val="9"/>
      <color rgb="FF002060"/>
      <name val="Arial"/>
      <family val="2"/>
    </font>
    <font>
      <sz val="9"/>
      <name val="Arial"/>
      <family val="2"/>
    </font>
    <font>
      <b/>
      <sz val="9"/>
      <color rgb="FF54823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color rgb="FF006100"/>
      <name val="Arial"/>
      <family val="2"/>
    </font>
    <font>
      <sz val="10"/>
      <color rgb="FFC00000"/>
      <name val="Arial"/>
      <family val="2"/>
    </font>
    <font>
      <b/>
      <sz val="10"/>
      <color rgb="FF006100"/>
      <name val="Arial"/>
      <family val="2"/>
    </font>
    <font>
      <b/>
      <sz val="12"/>
      <color rgb="FFFFFFFF"/>
      <name val="Arial"/>
      <family val="2"/>
    </font>
    <font>
      <i/>
      <sz val="9"/>
      <color rgb="FF548235"/>
      <name val="Arial"/>
      <family val="2"/>
    </font>
    <font>
      <sz val="10"/>
      <color rgb="FF548235"/>
      <name val="Arial"/>
      <family val="2"/>
    </font>
    <font>
      <b/>
      <sz val="13"/>
      <color rgb="FF002060"/>
      <name val="Arial"/>
      <family val="2"/>
    </font>
    <font>
      <b/>
      <sz val="11"/>
      <name val="Arial"/>
      <family val="2"/>
    </font>
    <font>
      <b/>
      <sz val="12"/>
      <color rgb="FF0000FF"/>
      <name val="Arial"/>
      <family val="2"/>
    </font>
    <font>
      <b/>
      <sz val="12"/>
      <color rgb="FF000000"/>
      <name val="Arial"/>
      <family val="2"/>
    </font>
    <font>
      <b/>
      <sz val="12"/>
      <color rgb="FF548235"/>
      <name val="Arial"/>
      <family val="2"/>
    </font>
    <font>
      <sz val="10"/>
      <color rgb="FF0000FF"/>
      <name val="Arial"/>
      <family val="2"/>
    </font>
    <font>
      <b/>
      <sz val="10"/>
      <color rgb="FF0070C0"/>
      <name val="Arial"/>
      <family val="2"/>
    </font>
    <font>
      <b/>
      <sz val="10"/>
      <color rgb="FFBF8F00"/>
      <name val="Arial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22"/>
      <color rgb="FF1F3864"/>
      <name val="Calibri"/>
      <family val="2"/>
    </font>
    <font>
      <b/>
      <sz val="12"/>
      <color rgb="FF1F3864"/>
      <name val="Calibri"/>
      <family val="2"/>
    </font>
    <font>
      <sz val="10"/>
      <color rgb="FF595959"/>
      <name val="Calibri"/>
      <family val="2"/>
    </font>
    <font>
      <i/>
      <sz val="10"/>
      <color rgb="FF595959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1F3864"/>
      <name val="Calibri"/>
      <family val="2"/>
    </font>
    <font>
      <sz val="11"/>
      <color rgb="FF0000FF"/>
      <name val="Calibri"/>
      <family val="2"/>
    </font>
    <font>
      <i/>
      <sz val="9"/>
      <color rgb="FF595959"/>
      <name val="Calibri"/>
      <family val="2"/>
    </font>
    <font>
      <b/>
      <sz val="16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006100"/>
      <name val="Calibri"/>
      <family val="2"/>
    </font>
    <font>
      <sz val="10"/>
      <color rgb="FF000000"/>
      <name val="Calibri"/>
      <family val="2"/>
    </font>
    <font>
      <b/>
      <sz val="10"/>
      <color rgb="FF1F3864"/>
      <name val="Calibri"/>
      <family val="2"/>
    </font>
    <font>
      <b/>
      <sz val="10"/>
      <color rgb="FF000000"/>
      <name val="Calibri"/>
      <family val="2"/>
    </font>
    <font>
      <b/>
      <sz val="16"/>
      <color rgb="FF002060"/>
      <name val="Calibri"/>
      <family val="2"/>
    </font>
    <font>
      <i/>
      <sz val="10"/>
      <color rgb="FF808080"/>
      <name val="Calibri"/>
      <family val="2"/>
    </font>
    <font>
      <b/>
      <sz val="12"/>
      <color rgb="FF0070C0"/>
      <name val="Calibri"/>
      <family val="2"/>
    </font>
    <font>
      <sz val="9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sz val="10"/>
      <name val="Calibri"/>
      <family val="2"/>
    </font>
    <font>
      <i/>
      <sz val="9"/>
      <color rgb="FF808080"/>
      <name val="Calibri"/>
      <family val="2"/>
    </font>
    <font>
      <b/>
      <sz val="12"/>
      <color rgb="FF808080"/>
      <name val="Calibri"/>
      <family val="2"/>
    </font>
    <font>
      <b/>
      <sz val="11"/>
      <color rgb="FF00B050"/>
      <name val="Calibri"/>
      <family val="2"/>
    </font>
    <font>
      <b/>
      <sz val="11"/>
      <color rgb="FFED7D31"/>
      <name val="Calibri"/>
      <family val="2"/>
    </font>
    <font>
      <b/>
      <sz val="11"/>
      <color rgb="FFC00000"/>
      <name val="Calibri"/>
      <family val="2"/>
    </font>
    <font>
      <b/>
      <sz val="11"/>
      <name val="Calibri"/>
      <family val="2"/>
    </font>
    <font>
      <i/>
      <sz val="9"/>
      <name val="Calibri"/>
      <family val="2"/>
    </font>
    <font>
      <i/>
      <sz val="9"/>
      <color rgb="FF0070C0"/>
      <name val="Calibri"/>
      <family val="2"/>
    </font>
    <font>
      <sz val="7"/>
      <name val="Calibri"/>
      <family val="2"/>
    </font>
    <font>
      <b/>
      <sz val="7"/>
      <color rgb="FF006100"/>
      <name val="Calibri"/>
      <family val="2"/>
    </font>
    <font>
      <b/>
      <sz val="7"/>
      <name val="Calibri"/>
      <family val="2"/>
    </font>
    <font>
      <b/>
      <sz val="7"/>
      <color rgb="FFC00000"/>
      <name val="Calibri"/>
      <family val="2"/>
    </font>
    <font>
      <b/>
      <sz val="7"/>
      <color rgb="FF823B0B"/>
      <name val="Calibri"/>
      <family val="2"/>
    </font>
    <font>
      <b/>
      <sz val="7"/>
      <color rgb="FF002060"/>
      <name val="Calibri"/>
      <family val="2"/>
    </font>
    <font>
      <b/>
      <sz val="12"/>
      <color rgb="FFC00000"/>
      <name val="Calibri"/>
      <family val="2"/>
    </font>
    <font>
      <b/>
      <sz val="18"/>
      <color rgb="FF0070C0"/>
      <name val="Calibri"/>
      <family val="2"/>
    </font>
    <font>
      <i/>
      <sz val="11"/>
      <color rgb="FF808080"/>
      <name val="Calibri"/>
      <family val="2"/>
    </font>
    <font>
      <b/>
      <sz val="13"/>
      <color rgb="FFFFFFFF"/>
      <name val="Calibri"/>
      <family val="2"/>
    </font>
    <font>
      <b/>
      <sz val="11"/>
      <color rgb="FF0070C0"/>
      <name val="Calibri"/>
      <family val="2"/>
    </font>
    <font>
      <sz val="11"/>
      <name val="Calibri"/>
      <family val="2"/>
    </font>
    <font>
      <i/>
      <sz val="11"/>
      <color rgb="FF002060"/>
      <name val="Calibri"/>
      <family val="2"/>
    </font>
    <font>
      <b/>
      <sz val="11"/>
      <color rgb="FF002060"/>
      <name val="Calibri"/>
      <family val="2"/>
    </font>
    <font>
      <b/>
      <sz val="10"/>
      <color rgb="FF002060"/>
      <name val="Calibri"/>
      <family val="2"/>
    </font>
    <font>
      <i/>
      <sz val="9"/>
      <color rgb="FF002060"/>
      <name val="Calibri"/>
      <family val="2"/>
    </font>
    <font>
      <b/>
      <sz val="9"/>
      <color rgb="FF002060"/>
      <name val="Calibri"/>
      <family val="2"/>
    </font>
    <font>
      <b/>
      <u/>
      <sz val="10"/>
      <color rgb="FF0070C0"/>
      <name val="Calibri"/>
      <family val="2"/>
    </font>
    <font>
      <b/>
      <sz val="12"/>
      <color rgb="FF002060"/>
      <name val="Calibri"/>
      <family val="2"/>
    </font>
    <font>
      <i/>
      <sz val="10"/>
      <color rgb="FF000000"/>
      <name val="Calibri"/>
      <family val="2"/>
    </font>
    <font>
      <b/>
      <sz val="14"/>
      <color rgb="FF002060"/>
      <name val="Calibri"/>
      <family val="2"/>
    </font>
    <font>
      <b/>
      <sz val="16"/>
      <color rgb="FF0070C0"/>
      <name val="Calibri"/>
      <family val="2"/>
    </font>
    <font>
      <b/>
      <sz val="12"/>
      <color rgb="FF000000"/>
      <name val="Calibri"/>
      <family val="2"/>
    </font>
    <font>
      <b/>
      <sz val="14"/>
      <color rgb="FFFFFFFF"/>
      <name val="Calibri"/>
      <family val="2"/>
    </font>
    <font>
      <b/>
      <sz val="10"/>
      <color rgb="FF548235"/>
      <name val="Calibri"/>
      <family val="2"/>
    </font>
    <font>
      <sz val="12"/>
      <name val="Times New Roman"/>
      <family val="1"/>
    </font>
    <font>
      <b/>
      <sz val="14"/>
      <color rgb="FF0070C0"/>
      <name val="Times New Roman"/>
      <family val="1"/>
    </font>
    <font>
      <b/>
      <sz val="12"/>
      <name val="Times New Roman"/>
      <family val="1"/>
    </font>
    <font>
      <i/>
      <sz val="12"/>
      <color rgb="FFCC0000"/>
      <name val="Times New Roman"/>
      <family val="1"/>
    </font>
    <font>
      <sz val="12"/>
      <color rgb="FFCC0000"/>
      <name val="Times New Roman"/>
      <family val="1"/>
    </font>
    <font>
      <b/>
      <sz val="14"/>
      <color theme="0"/>
      <name val="Times New Roman"/>
      <family val="1"/>
    </font>
  </fonts>
  <fills count="4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0070C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rgb="FF548235"/>
      </patternFill>
    </fill>
    <fill>
      <patternFill patternType="solid">
        <fgColor rgb="FFFAFAFA"/>
      </patternFill>
    </fill>
    <fill>
      <patternFill patternType="solid">
        <fgColor rgb="FF1F3864"/>
      </patternFill>
    </fill>
    <fill>
      <patternFill patternType="solid">
        <fgColor rgb="FFDEEBF7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4B8B8"/>
      </patternFill>
    </fill>
    <fill>
      <patternFill patternType="solid">
        <fgColor rgb="FFFFC7CE"/>
      </patternFill>
    </fill>
    <fill>
      <patternFill patternType="solid">
        <fgColor rgb="FFDDEBD4"/>
      </patternFill>
    </fill>
    <fill>
      <patternFill patternType="solid">
        <fgColor rgb="FFF4B183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E7E6E6"/>
      </patternFill>
    </fill>
    <fill>
      <patternFill patternType="solid">
        <fgColor rgb="FFD5E3F0"/>
      </patternFill>
    </fill>
    <fill>
      <patternFill patternType="solid">
        <fgColor rgb="FFFCE4E4"/>
      </patternFill>
    </fill>
    <fill>
      <patternFill patternType="solid">
        <fgColor rgb="FFB4C7E7"/>
      </patternFill>
    </fill>
    <fill>
      <patternFill patternType="solid">
        <fgColor rgb="FFF2F8FD"/>
      </patternFill>
    </fill>
    <fill>
      <patternFill patternType="solid">
        <fgColor rgb="FF808080"/>
      </patternFill>
    </fill>
    <fill>
      <patternFill patternType="solid">
        <fgColor rgb="FF1F4E78"/>
      </patternFill>
    </fill>
    <fill>
      <patternFill patternType="solid">
        <fgColor rgb="FFD9D9D9"/>
      </patternFill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0070C0"/>
        <bgColor rgb="FF0070C0"/>
      </patternFill>
    </fill>
    <fill>
      <patternFill patternType="solid">
        <fgColor rgb="FFF2F2F2"/>
        <bgColor rgb="FFF2F2F2"/>
      </patternFill>
    </fill>
    <fill>
      <patternFill patternType="solid">
        <fgColor rgb="FFC6E0B4"/>
        <bgColor rgb="FFC6E0B4"/>
      </patternFill>
    </fill>
    <fill>
      <patternFill patternType="solid">
        <fgColor rgb="FFE2EFDA"/>
        <bgColor rgb="FFE2EFDA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FEBEE"/>
      </patternFill>
    </fill>
    <fill>
      <patternFill patternType="solid">
        <fgColor rgb="FFE8EAF6"/>
      </patternFill>
    </fill>
    <fill>
      <patternFill patternType="solid">
        <fgColor rgb="FFE8F5E9"/>
      </patternFill>
    </fill>
  </fills>
  <borders count="20">
    <border>
      <left/>
      <right/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/>
      <right style="thin">
        <color rgb="FFBFBFBF"/>
      </right>
      <top style="thin">
        <color auto="1"/>
      </top>
      <bottom style="thin">
        <color rgb="FFBFBFBF"/>
      </bottom>
      <diagonal/>
    </border>
  </borders>
  <cellStyleXfs count="1">
    <xf numFmtId="0" fontId="0" fillId="0" borderId="0"/>
  </cellStyleXfs>
  <cellXfs count="655">
    <xf numFmtId="0" fontId="0" fillId="0" borderId="0" xfId="0"/>
    <xf numFmtId="0" fontId="9" fillId="3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" fillId="3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 indent="1"/>
    </xf>
    <xf numFmtId="164" fontId="16" fillId="0" borderId="3" xfId="0" applyNumberFormat="1" applyFont="1" applyBorder="1" applyAlignment="1">
      <alignment horizontal="right" vertical="center" indent="1"/>
    </xf>
    <xf numFmtId="0" fontId="11" fillId="0" borderId="3" xfId="0" applyFont="1" applyBorder="1" applyAlignment="1">
      <alignment horizontal="left" vertical="center" wrapText="1" indent="1"/>
    </xf>
    <xf numFmtId="165" fontId="16" fillId="0" borderId="3" xfId="0" applyNumberFormat="1" applyFont="1" applyBorder="1" applyAlignment="1">
      <alignment horizontal="right" vertical="center" indent="1"/>
    </xf>
    <xf numFmtId="3" fontId="16" fillId="0" borderId="3" xfId="0" applyNumberFormat="1" applyFont="1" applyBorder="1" applyAlignment="1">
      <alignment horizontal="right" vertical="center" indent="1"/>
    </xf>
    <xf numFmtId="166" fontId="16" fillId="0" borderId="3" xfId="0" applyNumberFormat="1" applyFont="1" applyBorder="1" applyAlignment="1">
      <alignment horizontal="right" vertical="center" indent="1"/>
    </xf>
    <xf numFmtId="167" fontId="16" fillId="0" borderId="3" xfId="0" applyNumberFormat="1" applyFont="1" applyBorder="1" applyAlignment="1">
      <alignment horizontal="right" vertical="center" indent="1"/>
    </xf>
    <xf numFmtId="0" fontId="17" fillId="5" borderId="0" xfId="0" applyFont="1" applyFill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 wrapText="1" indent="1"/>
    </xf>
    <xf numFmtId="0" fontId="4" fillId="7" borderId="3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center" indent="1"/>
    </xf>
    <xf numFmtId="0" fontId="21" fillId="5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3" fontId="16" fillId="0" borderId="3" xfId="0" applyNumberFormat="1" applyFont="1" applyBorder="1" applyAlignment="1">
      <alignment horizontal="center" vertical="center"/>
    </xf>
    <xf numFmtId="168" fontId="16" fillId="0" borderId="3" xfId="0" applyNumberFormat="1" applyFont="1" applyBorder="1" applyAlignment="1">
      <alignment horizontal="right" vertical="center" indent="1"/>
    </xf>
    <xf numFmtId="168" fontId="22" fillId="0" borderId="3" xfId="0" applyNumberFormat="1" applyFont="1" applyBorder="1" applyAlignment="1">
      <alignment horizontal="right" vertical="center" indent="1"/>
    </xf>
    <xf numFmtId="168" fontId="23" fillId="7" borderId="3" xfId="0" applyNumberFormat="1" applyFont="1" applyFill="1" applyBorder="1" applyAlignment="1">
      <alignment horizontal="right" vertical="center" indent="1"/>
    </xf>
    <xf numFmtId="0" fontId="0" fillId="0" borderId="3" xfId="0" applyBorder="1"/>
    <xf numFmtId="0" fontId="9" fillId="3" borderId="3" xfId="0" applyFont="1" applyFill="1" applyBorder="1" applyAlignment="1">
      <alignment horizontal="left" vertical="center" indent="1"/>
    </xf>
    <xf numFmtId="3" fontId="9" fillId="3" borderId="3" xfId="0" applyNumberFormat="1" applyFont="1" applyFill="1" applyBorder="1" applyAlignment="1">
      <alignment horizontal="center" vertical="center" indent="1"/>
    </xf>
    <xf numFmtId="168" fontId="9" fillId="3" borderId="3" xfId="0" applyNumberFormat="1" applyFont="1" applyFill="1" applyBorder="1" applyAlignment="1">
      <alignment horizontal="right" vertical="center" indent="1"/>
    </xf>
    <xf numFmtId="0" fontId="24" fillId="0" borderId="3" xfId="0" applyFont="1" applyBorder="1" applyAlignment="1">
      <alignment horizontal="center" vertical="center"/>
    </xf>
    <xf numFmtId="3" fontId="22" fillId="0" borderId="3" xfId="0" applyNumberFormat="1" applyFont="1" applyBorder="1" applyAlignment="1">
      <alignment horizontal="center" vertical="center"/>
    </xf>
    <xf numFmtId="168" fontId="15" fillId="0" borderId="3" xfId="0" applyNumberFormat="1" applyFont="1" applyBorder="1" applyAlignment="1">
      <alignment horizontal="right" vertical="center" indent="1"/>
    </xf>
    <xf numFmtId="169" fontId="24" fillId="4" borderId="3" xfId="0" applyNumberFormat="1" applyFont="1" applyFill="1" applyBorder="1" applyAlignment="1">
      <alignment horizontal="right" vertical="center" indent="1"/>
    </xf>
    <xf numFmtId="169" fontId="4" fillId="0" borderId="3" xfId="0" applyNumberFormat="1" applyFont="1" applyBorder="1" applyAlignment="1">
      <alignment horizontal="right" vertical="center" indent="1"/>
    </xf>
    <xf numFmtId="0" fontId="13" fillId="0" borderId="3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169" fontId="9" fillId="3" borderId="3" xfId="0" applyNumberFormat="1" applyFont="1" applyFill="1" applyBorder="1" applyAlignment="1">
      <alignment horizontal="right" vertical="center" indent="1"/>
    </xf>
    <xf numFmtId="0" fontId="24" fillId="0" borderId="3" xfId="0" applyFont="1" applyBorder="1" applyAlignment="1">
      <alignment horizontal="left" vertical="center" indent="1"/>
    </xf>
    <xf numFmtId="170" fontId="22" fillId="0" borderId="3" xfId="0" applyNumberFormat="1" applyFont="1" applyBorder="1" applyAlignment="1">
      <alignment horizontal="center" vertical="center"/>
    </xf>
    <xf numFmtId="0" fontId="24" fillId="8" borderId="3" xfId="0" applyFont="1" applyFill="1" applyBorder="1" applyAlignment="1">
      <alignment horizontal="center" vertical="center"/>
    </xf>
    <xf numFmtId="171" fontId="22" fillId="0" borderId="3" xfId="0" applyNumberFormat="1" applyFont="1" applyBorder="1" applyAlignment="1">
      <alignment horizontal="right" vertical="center" indent="1"/>
    </xf>
    <xf numFmtId="171" fontId="23" fillId="4" borderId="3" xfId="0" applyNumberFormat="1" applyFont="1" applyFill="1" applyBorder="1" applyAlignment="1">
      <alignment horizontal="right" vertical="center" indent="1"/>
    </xf>
    <xf numFmtId="171" fontId="9" fillId="3" borderId="3" xfId="0" applyNumberFormat="1" applyFont="1" applyFill="1" applyBorder="1" applyAlignment="1">
      <alignment horizontal="right" vertical="center" indent="1"/>
    </xf>
    <xf numFmtId="171" fontId="25" fillId="0" borderId="3" xfId="0" applyNumberFormat="1" applyFont="1" applyBorder="1" applyAlignment="1">
      <alignment horizontal="right" vertical="center" indent="1"/>
    </xf>
    <xf numFmtId="172" fontId="26" fillId="0" borderId="3" xfId="0" applyNumberFormat="1" applyFont="1" applyBorder="1" applyAlignment="1">
      <alignment horizontal="right" vertical="center" indent="1"/>
    </xf>
    <xf numFmtId="173" fontId="26" fillId="0" borderId="3" xfId="0" applyNumberFormat="1" applyFont="1" applyBorder="1" applyAlignment="1">
      <alignment horizontal="right" vertical="center" indent="1"/>
    </xf>
    <xf numFmtId="172" fontId="9" fillId="3" borderId="3" xfId="0" applyNumberFormat="1" applyFont="1" applyFill="1" applyBorder="1" applyAlignment="1">
      <alignment horizontal="right" vertical="center" indent="1"/>
    </xf>
    <xf numFmtId="173" fontId="9" fillId="3" borderId="3" xfId="0" applyNumberFormat="1" applyFont="1" applyFill="1" applyBorder="1" applyAlignment="1">
      <alignment horizontal="right" vertical="center" indent="1"/>
    </xf>
    <xf numFmtId="171" fontId="27" fillId="0" borderId="3" xfId="0" applyNumberFormat="1" applyFont="1" applyBorder="1" applyAlignment="1">
      <alignment horizontal="right" vertical="center" indent="1"/>
    </xf>
    <xf numFmtId="169" fontId="23" fillId="4" borderId="3" xfId="0" applyNumberFormat="1" applyFont="1" applyFill="1" applyBorder="1" applyAlignment="1">
      <alignment horizontal="right" vertical="center" indent="1"/>
    </xf>
    <xf numFmtId="0" fontId="28" fillId="3" borderId="3" xfId="0" applyFont="1" applyFill="1" applyBorder="1" applyAlignment="1">
      <alignment horizontal="left" vertical="center" indent="1"/>
    </xf>
    <xf numFmtId="169" fontId="28" fillId="3" borderId="3" xfId="0" applyNumberFormat="1" applyFont="1" applyFill="1" applyBorder="1" applyAlignment="1">
      <alignment horizontal="right" vertical="center" indent="1"/>
    </xf>
    <xf numFmtId="169" fontId="23" fillId="0" borderId="3" xfId="0" applyNumberFormat="1" applyFont="1" applyBorder="1" applyAlignment="1">
      <alignment horizontal="right" vertical="center" indent="1"/>
    </xf>
    <xf numFmtId="164" fontId="6" fillId="0" borderId="3" xfId="0" applyNumberFormat="1" applyFont="1" applyBorder="1" applyAlignment="1">
      <alignment horizontal="right" vertical="center" indent="1"/>
    </xf>
    <xf numFmtId="0" fontId="11" fillId="0" borderId="3" xfId="0" applyFont="1" applyBorder="1" applyAlignment="1">
      <alignment horizontal="left" vertical="center" indent="1"/>
    </xf>
    <xf numFmtId="0" fontId="17" fillId="5" borderId="3" xfId="0" applyFont="1" applyFill="1" applyBorder="1" applyAlignment="1">
      <alignment horizontal="left" vertical="center" indent="1"/>
    </xf>
    <xf numFmtId="169" fontId="17" fillId="5" borderId="3" xfId="0" applyNumberFormat="1" applyFont="1" applyFill="1" applyBorder="1" applyAlignment="1">
      <alignment horizontal="right" vertical="center" indent="1"/>
    </xf>
    <xf numFmtId="164" fontId="17" fillId="5" borderId="3" xfId="0" applyNumberFormat="1" applyFont="1" applyFill="1" applyBorder="1" applyAlignment="1">
      <alignment horizontal="right" vertical="center" indent="1"/>
    </xf>
    <xf numFmtId="174" fontId="16" fillId="0" borderId="3" xfId="0" applyNumberFormat="1" applyFont="1" applyBorder="1" applyAlignment="1">
      <alignment horizontal="right" vertical="center" indent="1"/>
    </xf>
    <xf numFmtId="164" fontId="16" fillId="0" borderId="3" xfId="0" applyNumberFormat="1" applyFont="1" applyBorder="1" applyAlignment="1">
      <alignment horizontal="center" vertical="center"/>
    </xf>
    <xf numFmtId="4" fontId="22" fillId="0" borderId="3" xfId="0" applyNumberFormat="1" applyFont="1" applyBorder="1" applyAlignment="1">
      <alignment horizontal="right" vertical="center" indent="1"/>
    </xf>
    <xf numFmtId="175" fontId="23" fillId="4" borderId="3" xfId="0" applyNumberFormat="1" applyFont="1" applyFill="1" applyBorder="1" applyAlignment="1">
      <alignment horizontal="right" vertical="center" indent="1"/>
    </xf>
    <xf numFmtId="173" fontId="30" fillId="0" borderId="3" xfId="0" applyNumberFormat="1" applyFont="1" applyBorder="1" applyAlignment="1">
      <alignment horizontal="center" vertical="center"/>
    </xf>
    <xf numFmtId="164" fontId="28" fillId="3" borderId="3" xfId="0" applyNumberFormat="1" applyFont="1" applyFill="1" applyBorder="1" applyAlignment="1">
      <alignment horizontal="center" vertical="center"/>
    </xf>
    <xf numFmtId="175" fontId="28" fillId="3" borderId="3" xfId="0" applyNumberFormat="1" applyFont="1" applyFill="1" applyBorder="1" applyAlignment="1">
      <alignment horizontal="right" vertical="center" indent="1"/>
    </xf>
    <xf numFmtId="175" fontId="31" fillId="4" borderId="8" xfId="0" applyNumberFormat="1" applyFont="1" applyFill="1" applyBorder="1" applyAlignment="1">
      <alignment horizontal="right" vertical="center" indent="1"/>
    </xf>
    <xf numFmtId="173" fontId="28" fillId="3" borderId="3" xfId="0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left" vertical="center" indent="1"/>
    </xf>
    <xf numFmtId="178" fontId="36" fillId="7" borderId="3" xfId="0" applyNumberFormat="1" applyFont="1" applyFill="1" applyBorder="1" applyAlignment="1">
      <alignment horizontal="center" vertical="center"/>
    </xf>
    <xf numFmtId="4" fontId="15" fillId="7" borderId="3" xfId="0" applyNumberFormat="1" applyFont="1" applyFill="1" applyBorder="1" applyAlignment="1">
      <alignment horizontal="right" vertical="center" indent="1"/>
    </xf>
    <xf numFmtId="3" fontId="15" fillId="7" borderId="3" xfId="0" applyNumberFormat="1" applyFont="1" applyFill="1" applyBorder="1" applyAlignment="1">
      <alignment horizontal="right" vertical="center" indent="1"/>
    </xf>
    <xf numFmtId="164" fontId="30" fillId="7" borderId="3" xfId="0" applyNumberFormat="1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left" vertical="center" wrapText="1" indent="1"/>
    </xf>
    <xf numFmtId="0" fontId="18" fillId="4" borderId="3" xfId="0" applyFont="1" applyFill="1" applyBorder="1" applyAlignment="1">
      <alignment horizontal="left" vertical="center" indent="1"/>
    </xf>
    <xf numFmtId="178" fontId="36" fillId="4" borderId="3" xfId="0" applyNumberFormat="1" applyFont="1" applyFill="1" applyBorder="1" applyAlignment="1">
      <alignment horizontal="center" vertical="center"/>
    </xf>
    <xf numFmtId="4" fontId="24" fillId="4" borderId="3" xfId="0" applyNumberFormat="1" applyFont="1" applyFill="1" applyBorder="1" applyAlignment="1">
      <alignment horizontal="right" vertical="center" indent="1"/>
    </xf>
    <xf numFmtId="3" fontId="24" fillId="4" borderId="3" xfId="0" applyNumberFormat="1" applyFont="1" applyFill="1" applyBorder="1" applyAlignment="1">
      <alignment horizontal="right" vertical="center" indent="1"/>
    </xf>
    <xf numFmtId="164" fontId="17" fillId="4" borderId="3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center" wrapText="1" indent="1"/>
    </xf>
    <xf numFmtId="0" fontId="5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174" fontId="22" fillId="0" borderId="3" xfId="0" applyNumberFormat="1" applyFont="1" applyBorder="1" applyAlignment="1">
      <alignment horizontal="right" vertical="center" indent="1"/>
    </xf>
    <xf numFmtId="174" fontId="23" fillId="0" borderId="3" xfId="0" applyNumberFormat="1" applyFont="1" applyBorder="1" applyAlignment="1">
      <alignment horizontal="right" vertical="center" indent="1"/>
    </xf>
    <xf numFmtId="3" fontId="16" fillId="4" borderId="3" xfId="0" applyNumberFormat="1" applyFont="1" applyFill="1" applyBorder="1" applyAlignment="1">
      <alignment horizontal="right" vertical="center" indent="1"/>
    </xf>
    <xf numFmtId="179" fontId="30" fillId="0" borderId="3" xfId="0" applyNumberFormat="1" applyFont="1" applyBorder="1" applyAlignment="1">
      <alignment horizontal="center" vertical="center"/>
    </xf>
    <xf numFmtId="164" fontId="30" fillId="0" borderId="3" xfId="0" applyNumberFormat="1" applyFont="1" applyBorder="1" applyAlignment="1">
      <alignment horizontal="center" vertical="center"/>
    </xf>
    <xf numFmtId="180" fontId="36" fillId="0" borderId="3" xfId="0" applyNumberFormat="1" applyFont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38" fillId="4" borderId="3" xfId="0" applyFont="1" applyFill="1" applyBorder="1" applyAlignment="1">
      <alignment horizontal="center" vertical="center"/>
    </xf>
    <xf numFmtId="3" fontId="28" fillId="3" borderId="3" xfId="0" applyNumberFormat="1" applyFont="1" applyFill="1" applyBorder="1" applyAlignment="1">
      <alignment horizontal="right" vertical="center" indent="1"/>
    </xf>
    <xf numFmtId="174" fontId="28" fillId="3" borderId="3" xfId="0" applyNumberFormat="1" applyFont="1" applyFill="1" applyBorder="1" applyAlignment="1">
      <alignment horizontal="right" vertical="center" indent="1"/>
    </xf>
    <xf numFmtId="181" fontId="31" fillId="4" borderId="8" xfId="0" applyNumberFormat="1" applyFont="1" applyFill="1" applyBorder="1" applyAlignment="1">
      <alignment horizontal="right" vertical="center" indent="1"/>
    </xf>
    <xf numFmtId="179" fontId="28" fillId="3" borderId="3" xfId="0" applyNumberFormat="1" applyFont="1" applyFill="1" applyBorder="1" applyAlignment="1">
      <alignment horizontal="center" vertical="center"/>
    </xf>
    <xf numFmtId="180" fontId="28" fillId="3" borderId="3" xfId="0" applyNumberFormat="1" applyFont="1" applyFill="1" applyBorder="1" applyAlignment="1">
      <alignment horizontal="center" vertical="center"/>
    </xf>
    <xf numFmtId="0" fontId="28" fillId="3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right" vertical="center" indent="1"/>
    </xf>
    <xf numFmtId="4" fontId="16" fillId="0" borderId="3" xfId="0" applyNumberFormat="1" applyFont="1" applyBorder="1" applyAlignment="1">
      <alignment horizontal="right" vertical="center" indent="1"/>
    </xf>
    <xf numFmtId="4" fontId="23" fillId="0" borderId="3" xfId="0" applyNumberFormat="1" applyFont="1" applyBorder="1" applyAlignment="1">
      <alignment horizontal="right" vertical="center" indent="1"/>
    </xf>
    <xf numFmtId="182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right" vertical="center" indent="1"/>
    </xf>
    <xf numFmtId="0" fontId="39" fillId="0" borderId="9" xfId="0" applyFont="1" applyBorder="1"/>
    <xf numFmtId="0" fontId="45" fillId="12" borderId="10" xfId="0" applyFont="1" applyFill="1" applyBorder="1" applyAlignment="1">
      <alignment horizontal="center" vertical="center" wrapText="1"/>
    </xf>
    <xf numFmtId="0" fontId="46" fillId="0" borderId="10" xfId="0" applyFont="1" applyBorder="1" applyAlignment="1">
      <alignment horizontal="left" vertical="center" wrapText="1"/>
    </xf>
    <xf numFmtId="0" fontId="46" fillId="0" borderId="10" xfId="0" applyFont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0" fontId="44" fillId="10" borderId="0" xfId="0" applyFont="1" applyFill="1" applyAlignment="1">
      <alignment horizontal="left" vertical="top" wrapText="1"/>
    </xf>
    <xf numFmtId="38" fontId="46" fillId="0" borderId="10" xfId="0" applyNumberFormat="1" applyFont="1" applyBorder="1" applyAlignment="1">
      <alignment horizontal="right" vertical="center"/>
    </xf>
    <xf numFmtId="0" fontId="44" fillId="0" borderId="10" xfId="0" applyFont="1" applyBorder="1" applyAlignment="1">
      <alignment horizontal="left" vertical="center" wrapText="1"/>
    </xf>
    <xf numFmtId="0" fontId="47" fillId="4" borderId="10" xfId="0" applyFont="1" applyFill="1" applyBorder="1" applyAlignment="1">
      <alignment horizontal="center" vertical="center" wrapText="1"/>
    </xf>
    <xf numFmtId="0" fontId="47" fillId="4" borderId="10" xfId="0" applyFont="1" applyFill="1" applyBorder="1" applyAlignment="1">
      <alignment horizontal="left" vertical="center" wrapText="1"/>
    </xf>
    <xf numFmtId="38" fontId="47" fillId="4" borderId="10" xfId="0" applyNumberFormat="1" applyFont="1" applyFill="1" applyBorder="1" applyAlignment="1">
      <alignment horizontal="right" vertical="center"/>
    </xf>
    <xf numFmtId="0" fontId="44" fillId="4" borderId="10" xfId="0" applyFont="1" applyFill="1" applyBorder="1" applyAlignment="1">
      <alignment horizontal="left" vertical="center" wrapText="1"/>
    </xf>
    <xf numFmtId="0" fontId="45" fillId="0" borderId="0" xfId="0" applyFont="1" applyAlignment="1">
      <alignment horizontal="left" vertical="center" wrapText="1"/>
    </xf>
    <xf numFmtId="3" fontId="48" fillId="0" borderId="10" xfId="0" applyNumberFormat="1" applyFont="1" applyBorder="1" applyAlignment="1">
      <alignment horizontal="right" vertical="center"/>
    </xf>
    <xf numFmtId="0" fontId="49" fillId="0" borderId="10" xfId="0" applyFont="1" applyBorder="1" applyAlignment="1">
      <alignment horizontal="left" vertical="center" wrapText="1"/>
    </xf>
    <xf numFmtId="174" fontId="48" fillId="0" borderId="10" xfId="0" applyNumberFormat="1" applyFont="1" applyBorder="1" applyAlignment="1">
      <alignment horizontal="right" vertical="center"/>
    </xf>
    <xf numFmtId="0" fontId="48" fillId="0" borderId="10" xfId="0" applyFont="1" applyBorder="1" applyAlignment="1">
      <alignment horizontal="right" vertical="center"/>
    </xf>
    <xf numFmtId="0" fontId="51" fillId="3" borderId="10" xfId="0" applyFont="1" applyFill="1" applyBorder="1" applyAlignment="1">
      <alignment horizontal="center" vertical="center" wrapText="1"/>
    </xf>
    <xf numFmtId="0" fontId="51" fillId="3" borderId="10" xfId="0" applyFont="1" applyFill="1" applyBorder="1" applyAlignment="1">
      <alignment horizontal="left" vertical="center" wrapText="1"/>
    </xf>
    <xf numFmtId="0" fontId="52" fillId="3" borderId="10" xfId="0" applyFont="1" applyFill="1" applyBorder="1" applyAlignment="1">
      <alignment horizontal="center" vertical="center" wrapText="1"/>
    </xf>
    <xf numFmtId="0" fontId="52" fillId="11" borderId="10" xfId="0" applyFont="1" applyFill="1" applyBorder="1" applyAlignment="1">
      <alignment horizontal="center" vertical="center" wrapText="1"/>
    </xf>
    <xf numFmtId="183" fontId="46" fillId="0" borderId="10" xfId="0" applyNumberFormat="1" applyFont="1" applyBorder="1" applyAlignment="1">
      <alignment horizontal="right" vertical="center"/>
    </xf>
    <xf numFmtId="183" fontId="47" fillId="0" borderId="10" xfId="0" applyNumberFormat="1" applyFont="1" applyBorder="1" applyAlignment="1">
      <alignment horizontal="right" vertical="center"/>
    </xf>
    <xf numFmtId="0" fontId="47" fillId="0" borderId="10" xfId="0" applyFont="1" applyBorder="1" applyAlignment="1">
      <alignment horizontal="left" vertical="center" wrapText="1"/>
    </xf>
    <xf numFmtId="183" fontId="47" fillId="13" borderId="10" xfId="0" applyNumberFormat="1" applyFont="1" applyFill="1" applyBorder="1" applyAlignment="1">
      <alignment horizontal="right" vertical="center"/>
    </xf>
    <xf numFmtId="183" fontId="47" fillId="4" borderId="10" xfId="0" applyNumberFormat="1" applyFont="1" applyFill="1" applyBorder="1" applyAlignment="1">
      <alignment horizontal="right" vertical="center"/>
    </xf>
    <xf numFmtId="0" fontId="45" fillId="0" borderId="10" xfId="0" applyFont="1" applyBorder="1" applyAlignment="1">
      <alignment horizontal="left" vertical="center" wrapText="1"/>
    </xf>
    <xf numFmtId="184" fontId="46" fillId="0" borderId="10" xfId="0" applyNumberFormat="1" applyFont="1" applyBorder="1" applyAlignment="1">
      <alignment horizontal="right" vertical="center"/>
    </xf>
    <xf numFmtId="185" fontId="47" fillId="4" borderId="10" xfId="0" applyNumberFormat="1" applyFont="1" applyFill="1" applyBorder="1" applyAlignment="1">
      <alignment horizontal="right" vertical="center"/>
    </xf>
    <xf numFmtId="0" fontId="47" fillId="5" borderId="10" xfId="0" applyFont="1" applyFill="1" applyBorder="1" applyAlignment="1">
      <alignment horizontal="center" vertical="center" wrapText="1"/>
    </xf>
    <xf numFmtId="0" fontId="49" fillId="5" borderId="10" xfId="0" applyFont="1" applyFill="1" applyBorder="1" applyAlignment="1">
      <alignment horizontal="left" vertical="center" wrapText="1"/>
    </xf>
    <xf numFmtId="0" fontId="49" fillId="4" borderId="10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4" xfId="0" applyBorder="1"/>
    <xf numFmtId="0" fontId="52" fillId="3" borderId="10" xfId="0" applyFont="1" applyFill="1" applyBorder="1" applyAlignment="1">
      <alignment horizontal="left" vertical="center" wrapText="1"/>
    </xf>
    <xf numFmtId="0" fontId="55" fillId="5" borderId="10" xfId="0" applyFont="1" applyFill="1" applyBorder="1" applyAlignment="1">
      <alignment horizontal="center" vertical="center" wrapText="1"/>
    </xf>
    <xf numFmtId="0" fontId="55" fillId="5" borderId="10" xfId="0" applyFont="1" applyFill="1" applyBorder="1" applyAlignment="1">
      <alignment horizontal="left" vertical="center" wrapText="1"/>
    </xf>
    <xf numFmtId="183" fontId="55" fillId="5" borderId="10" xfId="0" applyNumberFormat="1" applyFont="1" applyFill="1" applyBorder="1" applyAlignment="1">
      <alignment horizontal="right" vertical="center"/>
    </xf>
    <xf numFmtId="183" fontId="56" fillId="5" borderId="10" xfId="0" applyNumberFormat="1" applyFont="1" applyFill="1" applyBorder="1" applyAlignment="1">
      <alignment horizontal="right" vertical="center"/>
    </xf>
    <xf numFmtId="0" fontId="56" fillId="13" borderId="10" xfId="0" applyFont="1" applyFill="1" applyBorder="1" applyAlignment="1">
      <alignment horizontal="center" vertical="center" wrapText="1"/>
    </xf>
    <xf numFmtId="0" fontId="56" fillId="13" borderId="10" xfId="0" applyFont="1" applyFill="1" applyBorder="1" applyAlignment="1">
      <alignment horizontal="left" vertical="center" wrapText="1"/>
    </xf>
    <xf numFmtId="183" fontId="56" fillId="13" borderId="10" xfId="0" applyNumberFormat="1" applyFont="1" applyFill="1" applyBorder="1" applyAlignment="1">
      <alignment horizontal="right" vertical="center"/>
    </xf>
    <xf numFmtId="183" fontId="56" fillId="4" borderId="10" xfId="0" applyNumberFormat="1" applyFont="1" applyFill="1" applyBorder="1" applyAlignment="1">
      <alignment horizontal="right" vertical="center"/>
    </xf>
    <xf numFmtId="0" fontId="49" fillId="13" borderId="10" xfId="0" applyFont="1" applyFill="1" applyBorder="1" applyAlignment="1">
      <alignment horizontal="left" vertical="center" wrapText="1"/>
    </xf>
    <xf numFmtId="0" fontId="55" fillId="14" borderId="10" xfId="0" applyFont="1" applyFill="1" applyBorder="1" applyAlignment="1">
      <alignment horizontal="center" vertical="center" wrapText="1"/>
    </xf>
    <xf numFmtId="0" fontId="55" fillId="14" borderId="10" xfId="0" applyFont="1" applyFill="1" applyBorder="1" applyAlignment="1">
      <alignment horizontal="left" vertical="center" wrapText="1"/>
    </xf>
    <xf numFmtId="183" fontId="55" fillId="14" borderId="10" xfId="0" applyNumberFormat="1" applyFont="1" applyFill="1" applyBorder="1" applyAlignment="1">
      <alignment horizontal="right" vertical="center"/>
    </xf>
    <xf numFmtId="183" fontId="56" fillId="14" borderId="10" xfId="0" applyNumberFormat="1" applyFont="1" applyFill="1" applyBorder="1" applyAlignment="1">
      <alignment horizontal="right" vertical="center"/>
    </xf>
    <xf numFmtId="0" fontId="49" fillId="14" borderId="10" xfId="0" applyFont="1" applyFill="1" applyBorder="1" applyAlignment="1">
      <alignment horizontal="left" vertical="center" wrapText="1"/>
    </xf>
    <xf numFmtId="0" fontId="55" fillId="0" borderId="10" xfId="0" applyFont="1" applyBorder="1" applyAlignment="1">
      <alignment horizontal="center" vertical="center" wrapText="1"/>
    </xf>
    <xf numFmtId="0" fontId="55" fillId="0" borderId="10" xfId="0" applyFont="1" applyBorder="1" applyAlignment="1">
      <alignment horizontal="left" vertical="center" wrapText="1"/>
    </xf>
    <xf numFmtId="183" fontId="55" fillId="0" borderId="10" xfId="0" applyNumberFormat="1" applyFont="1" applyBorder="1" applyAlignment="1">
      <alignment horizontal="right" vertical="center"/>
    </xf>
    <xf numFmtId="183" fontId="56" fillId="0" borderId="10" xfId="0" applyNumberFormat="1" applyFont="1" applyBorder="1" applyAlignment="1">
      <alignment horizontal="right" vertical="center"/>
    </xf>
    <xf numFmtId="0" fontId="56" fillId="5" borderId="10" xfId="0" applyFont="1" applyFill="1" applyBorder="1" applyAlignment="1">
      <alignment horizontal="center" vertical="center" wrapText="1"/>
    </xf>
    <xf numFmtId="0" fontId="56" fillId="5" borderId="10" xfId="0" applyFont="1" applyFill="1" applyBorder="1" applyAlignment="1">
      <alignment horizontal="left" vertical="center" wrapText="1"/>
    </xf>
    <xf numFmtId="0" fontId="57" fillId="0" borderId="10" xfId="0" applyFont="1" applyBorder="1" applyAlignment="1">
      <alignment horizontal="center" vertical="center" wrapText="1"/>
    </xf>
    <xf numFmtId="0" fontId="57" fillId="0" borderId="10" xfId="0" applyFont="1" applyBorder="1" applyAlignment="1">
      <alignment horizontal="left" vertical="center" wrapText="1"/>
    </xf>
    <xf numFmtId="183" fontId="57" fillId="15" borderId="10" xfId="0" applyNumberFormat="1" applyFont="1" applyFill="1" applyBorder="1" applyAlignment="1">
      <alignment horizontal="right" vertical="center"/>
    </xf>
    <xf numFmtId="0" fontId="57" fillId="15" borderId="10" xfId="0" applyFont="1" applyFill="1" applyBorder="1" applyAlignment="1">
      <alignment horizontal="center" vertical="center" wrapText="1"/>
    </xf>
    <xf numFmtId="0" fontId="56" fillId="4" borderId="10" xfId="0" applyFont="1" applyFill="1" applyBorder="1" applyAlignment="1">
      <alignment horizontal="center" vertical="center" wrapText="1"/>
    </xf>
    <xf numFmtId="0" fontId="56" fillId="4" borderId="10" xfId="0" applyFont="1" applyFill="1" applyBorder="1" applyAlignment="1">
      <alignment horizontal="left" vertical="center" wrapText="1"/>
    </xf>
    <xf numFmtId="183" fontId="57" fillId="5" borderId="10" xfId="0" applyNumberFormat="1" applyFont="1" applyFill="1" applyBorder="1" applyAlignment="1">
      <alignment horizontal="right" vertical="center"/>
    </xf>
    <xf numFmtId="183" fontId="57" fillId="12" borderId="10" xfId="0" applyNumberFormat="1" applyFont="1" applyFill="1" applyBorder="1" applyAlignment="1">
      <alignment horizontal="right" vertical="center"/>
    </xf>
    <xf numFmtId="185" fontId="57" fillId="12" borderId="10" xfId="0" applyNumberFormat="1" applyFont="1" applyFill="1" applyBorder="1" applyAlignment="1">
      <alignment horizontal="right" vertical="center"/>
    </xf>
    <xf numFmtId="185" fontId="56" fillId="4" borderId="10" xfId="0" applyNumberFormat="1" applyFont="1" applyFill="1" applyBorder="1" applyAlignment="1">
      <alignment horizontal="right" vertical="center"/>
    </xf>
    <xf numFmtId="0" fontId="49" fillId="0" borderId="10" xfId="0" applyFont="1" applyBorder="1" applyAlignment="1">
      <alignment horizontal="center" vertical="center" wrapText="1"/>
    </xf>
    <xf numFmtId="0" fontId="57" fillId="12" borderId="10" xfId="0" applyFont="1" applyFill="1" applyBorder="1" applyAlignment="1">
      <alignment horizontal="center" vertical="center" wrapText="1"/>
    </xf>
    <xf numFmtId="183" fontId="55" fillId="12" borderId="10" xfId="0" applyNumberFormat="1" applyFont="1" applyFill="1" applyBorder="1" applyAlignment="1">
      <alignment horizontal="right" vertical="center"/>
    </xf>
    <xf numFmtId="0" fontId="55" fillId="12" borderId="10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3" fontId="55" fillId="0" borderId="10" xfId="0" applyNumberFormat="1" applyFont="1" applyBorder="1" applyAlignment="1">
      <alignment horizontal="right" vertical="center"/>
    </xf>
    <xf numFmtId="185" fontId="55" fillId="0" borderId="10" xfId="0" applyNumberFormat="1" applyFont="1" applyBorder="1" applyAlignment="1">
      <alignment horizontal="center" vertical="center" wrapText="1"/>
    </xf>
    <xf numFmtId="3" fontId="56" fillId="4" borderId="10" xfId="0" applyNumberFormat="1" applyFont="1" applyFill="1" applyBorder="1" applyAlignment="1">
      <alignment horizontal="right" vertical="center"/>
    </xf>
    <xf numFmtId="183" fontId="55" fillId="4" borderId="10" xfId="0" applyNumberFormat="1" applyFont="1" applyFill="1" applyBorder="1" applyAlignment="1">
      <alignment horizontal="right" vertical="center"/>
    </xf>
    <xf numFmtId="0" fontId="57" fillId="5" borderId="10" xfId="0" applyFont="1" applyFill="1" applyBorder="1" applyAlignment="1">
      <alignment horizontal="center" vertical="center" wrapText="1"/>
    </xf>
    <xf numFmtId="185" fontId="55" fillId="0" borderId="10" xfId="0" applyNumberFormat="1" applyFont="1" applyBorder="1" applyAlignment="1">
      <alignment horizontal="right" vertical="center"/>
    </xf>
    <xf numFmtId="178" fontId="55" fillId="0" borderId="10" xfId="0" applyNumberFormat="1" applyFont="1" applyBorder="1" applyAlignment="1">
      <alignment horizontal="right" vertical="center"/>
    </xf>
    <xf numFmtId="186" fontId="55" fillId="0" borderId="10" xfId="0" applyNumberFormat="1" applyFont="1" applyBorder="1" applyAlignment="1">
      <alignment horizontal="right" vertical="center"/>
    </xf>
    <xf numFmtId="0" fontId="56" fillId="13" borderId="10" xfId="0" applyFont="1" applyFill="1" applyBorder="1" applyAlignment="1">
      <alignment horizontal="right" vertical="center"/>
    </xf>
    <xf numFmtId="185" fontId="56" fillId="13" borderId="10" xfId="0" applyNumberFormat="1" applyFont="1" applyFill="1" applyBorder="1" applyAlignment="1">
      <alignment horizontal="right" vertical="center"/>
    </xf>
    <xf numFmtId="178" fontId="56" fillId="13" borderId="10" xfId="0" applyNumberFormat="1" applyFont="1" applyFill="1" applyBorder="1" applyAlignment="1">
      <alignment horizontal="right" vertical="center"/>
    </xf>
    <xf numFmtId="186" fontId="56" fillId="13" borderId="10" xfId="0" applyNumberFormat="1" applyFont="1" applyFill="1" applyBorder="1" applyAlignment="1">
      <alignment horizontal="right" vertical="center"/>
    </xf>
    <xf numFmtId="0" fontId="57" fillId="4" borderId="10" xfId="0" applyFont="1" applyFill="1" applyBorder="1" applyAlignment="1">
      <alignment horizontal="center" vertical="center" wrapText="1"/>
    </xf>
    <xf numFmtId="49" fontId="55" fillId="0" borderId="10" xfId="0" applyNumberFormat="1" applyFont="1" applyBorder="1" applyAlignment="1">
      <alignment horizontal="right" vertical="center"/>
    </xf>
    <xf numFmtId="49" fontId="55" fillId="4" borderId="10" xfId="0" applyNumberFormat="1" applyFont="1" applyFill="1" applyBorder="1" applyAlignment="1">
      <alignment horizontal="right" vertical="center"/>
    </xf>
    <xf numFmtId="3" fontId="55" fillId="4" borderId="10" xfId="0" applyNumberFormat="1" applyFont="1" applyFill="1" applyBorder="1" applyAlignment="1">
      <alignment horizontal="right" vertical="center"/>
    </xf>
    <xf numFmtId="185" fontId="55" fillId="4" borderId="10" xfId="0" applyNumberFormat="1" applyFont="1" applyFill="1" applyBorder="1" applyAlignment="1">
      <alignment horizontal="right" vertical="center"/>
    </xf>
    <xf numFmtId="187" fontId="55" fillId="0" borderId="10" xfId="0" applyNumberFormat="1" applyFont="1" applyBorder="1" applyAlignment="1">
      <alignment horizontal="right" vertical="center"/>
    </xf>
    <xf numFmtId="187" fontId="55" fillId="4" borderId="10" xfId="0" applyNumberFormat="1" applyFont="1" applyFill="1" applyBorder="1" applyAlignment="1">
      <alignment horizontal="right" vertical="center"/>
    </xf>
    <xf numFmtId="0" fontId="57" fillId="14" borderId="10" xfId="0" applyFont="1" applyFill="1" applyBorder="1" applyAlignment="1">
      <alignment horizontal="center" vertical="center" wrapText="1"/>
    </xf>
    <xf numFmtId="0" fontId="55" fillId="14" borderId="10" xfId="0" applyFont="1" applyFill="1" applyBorder="1" applyAlignment="1">
      <alignment horizontal="right" vertical="center"/>
    </xf>
    <xf numFmtId="0" fontId="55" fillId="4" borderId="10" xfId="0" applyFont="1" applyFill="1" applyBorder="1" applyAlignment="1">
      <alignment horizontal="right" vertical="center"/>
    </xf>
    <xf numFmtId="0" fontId="55" fillId="5" borderId="10" xfId="0" applyFont="1" applyFill="1" applyBorder="1" applyAlignment="1">
      <alignment horizontal="right" vertical="center"/>
    </xf>
    <xf numFmtId="10" fontId="55" fillId="0" borderId="10" xfId="0" applyNumberFormat="1" applyFont="1" applyBorder="1" applyAlignment="1">
      <alignment horizontal="right" vertical="center"/>
    </xf>
    <xf numFmtId="2" fontId="55" fillId="0" borderId="10" xfId="0" applyNumberFormat="1" applyFont="1" applyBorder="1" applyAlignment="1">
      <alignment horizontal="right" vertical="center"/>
    </xf>
    <xf numFmtId="0" fontId="57" fillId="4" borderId="10" xfId="0" applyFont="1" applyFill="1" applyBorder="1" applyAlignment="1">
      <alignment horizontal="left" vertical="center" wrapText="1"/>
    </xf>
    <xf numFmtId="10" fontId="57" fillId="4" borderId="10" xfId="0" applyNumberFormat="1" applyFont="1" applyFill="1" applyBorder="1" applyAlignment="1">
      <alignment horizontal="right" vertical="center"/>
    </xf>
    <xf numFmtId="0" fontId="52" fillId="11" borderId="10" xfId="0" applyFont="1" applyFill="1" applyBorder="1" applyAlignment="1">
      <alignment horizontal="left" vertical="center" wrapText="1"/>
    </xf>
    <xf numFmtId="183" fontId="57" fillId="13" borderId="10" xfId="0" applyNumberFormat="1" applyFont="1" applyFill="1" applyBorder="1" applyAlignment="1">
      <alignment horizontal="right" vertical="center"/>
    </xf>
    <xf numFmtId="178" fontId="55" fillId="0" borderId="10" xfId="0" applyNumberFormat="1" applyFont="1" applyBorder="1" applyAlignment="1">
      <alignment horizontal="center" vertical="center" wrapText="1"/>
    </xf>
    <xf numFmtId="178" fontId="57" fillId="13" borderId="10" xfId="0" applyNumberFormat="1" applyFont="1" applyFill="1" applyBorder="1" applyAlignment="1">
      <alignment horizontal="right" vertical="center"/>
    </xf>
    <xf numFmtId="0" fontId="57" fillId="13" borderId="10" xfId="0" applyFont="1" applyFill="1" applyBorder="1" applyAlignment="1">
      <alignment horizontal="right" vertical="center"/>
    </xf>
    <xf numFmtId="183" fontId="57" fillId="4" borderId="10" xfId="0" applyNumberFormat="1" applyFont="1" applyFill="1" applyBorder="1" applyAlignment="1">
      <alignment horizontal="right" vertical="center"/>
    </xf>
    <xf numFmtId="183" fontId="47" fillId="5" borderId="10" xfId="0" applyNumberFormat="1" applyFont="1" applyFill="1" applyBorder="1" applyAlignment="1">
      <alignment horizontal="right" vertical="center"/>
    </xf>
    <xf numFmtId="0" fontId="0" fillId="13" borderId="10" xfId="0" applyFill="1" applyBorder="1"/>
    <xf numFmtId="185" fontId="57" fillId="4" borderId="10" xfId="0" applyNumberFormat="1" applyFont="1" applyFill="1" applyBorder="1" applyAlignment="1">
      <alignment horizontal="right" vertical="center"/>
    </xf>
    <xf numFmtId="0" fontId="55" fillId="4" borderId="10" xfId="0" applyFont="1" applyFill="1" applyBorder="1" applyAlignment="1">
      <alignment horizontal="left" vertical="center" wrapText="1"/>
    </xf>
    <xf numFmtId="189" fontId="55" fillId="0" borderId="10" xfId="0" applyNumberFormat="1" applyFont="1" applyBorder="1" applyAlignment="1">
      <alignment horizontal="center" vertical="center" wrapText="1"/>
    </xf>
    <xf numFmtId="0" fontId="47" fillId="13" borderId="10" xfId="0" applyFont="1" applyFill="1" applyBorder="1" applyAlignment="1">
      <alignment horizontal="right" vertical="center"/>
    </xf>
    <xf numFmtId="189" fontId="47" fillId="13" borderId="10" xfId="0" applyNumberFormat="1" applyFont="1" applyFill="1" applyBorder="1" applyAlignment="1">
      <alignment horizontal="right" vertical="center"/>
    </xf>
    <xf numFmtId="0" fontId="55" fillId="0" borderId="10" xfId="0" applyFont="1" applyBorder="1" applyAlignment="1">
      <alignment horizontal="right" vertical="center"/>
    </xf>
    <xf numFmtId="0" fontId="57" fillId="4" borderId="10" xfId="0" applyFont="1" applyFill="1" applyBorder="1" applyAlignment="1">
      <alignment horizontal="right" vertical="center"/>
    </xf>
    <xf numFmtId="0" fontId="55" fillId="16" borderId="10" xfId="0" applyFont="1" applyFill="1" applyBorder="1" applyAlignment="1">
      <alignment horizontal="left" vertical="center" wrapText="1"/>
    </xf>
    <xf numFmtId="183" fontId="55" fillId="17" borderId="10" xfId="0" applyNumberFormat="1" applyFont="1" applyFill="1" applyBorder="1" applyAlignment="1">
      <alignment horizontal="right" vertical="center"/>
    </xf>
    <xf numFmtId="183" fontId="55" fillId="15" borderId="10" xfId="0" applyNumberFormat="1" applyFont="1" applyFill="1" applyBorder="1" applyAlignment="1">
      <alignment horizontal="right" vertical="center"/>
    </xf>
    <xf numFmtId="0" fontId="57" fillId="16" borderId="10" xfId="0" applyFont="1" applyFill="1" applyBorder="1" applyAlignment="1">
      <alignment horizontal="center" vertical="center" wrapText="1"/>
    </xf>
    <xf numFmtId="183" fontId="55" fillId="16" borderId="10" xfId="0" applyNumberFormat="1" applyFont="1" applyFill="1" applyBorder="1" applyAlignment="1">
      <alignment horizontal="right" vertical="center"/>
    </xf>
    <xf numFmtId="183" fontId="55" fillId="18" borderId="10" xfId="0" applyNumberFormat="1" applyFont="1" applyFill="1" applyBorder="1" applyAlignment="1">
      <alignment horizontal="right" vertical="center"/>
    </xf>
    <xf numFmtId="185" fontId="55" fillId="16" borderId="10" xfId="0" applyNumberFormat="1" applyFont="1" applyFill="1" applyBorder="1" applyAlignment="1">
      <alignment horizontal="right" vertical="center"/>
    </xf>
    <xf numFmtId="185" fontId="55" fillId="14" borderId="10" xfId="0" applyNumberFormat="1" applyFont="1" applyFill="1" applyBorder="1" applyAlignment="1">
      <alignment horizontal="right" vertical="center"/>
    </xf>
    <xf numFmtId="185" fontId="55" fillId="18" borderId="10" xfId="0" applyNumberFormat="1" applyFont="1" applyFill="1" applyBorder="1" applyAlignment="1">
      <alignment horizontal="right" vertical="center"/>
    </xf>
    <xf numFmtId="185" fontId="55" fillId="5" borderId="10" xfId="0" applyNumberFormat="1" applyFont="1" applyFill="1" applyBorder="1" applyAlignment="1">
      <alignment horizontal="right" vertical="center"/>
    </xf>
    <xf numFmtId="182" fontId="55" fillId="16" borderId="10" xfId="0" applyNumberFormat="1" applyFont="1" applyFill="1" applyBorder="1" applyAlignment="1">
      <alignment horizontal="right" vertical="center"/>
    </xf>
    <xf numFmtId="182" fontId="55" fillId="14" borderId="10" xfId="0" applyNumberFormat="1" applyFont="1" applyFill="1" applyBorder="1" applyAlignment="1">
      <alignment horizontal="right" vertical="center"/>
    </xf>
    <xf numFmtId="182" fontId="57" fillId="4" borderId="10" xfId="0" applyNumberFormat="1" applyFont="1" applyFill="1" applyBorder="1" applyAlignment="1">
      <alignment horizontal="right" vertical="center"/>
    </xf>
    <xf numFmtId="182" fontId="55" fillId="18" borderId="10" xfId="0" applyNumberFormat="1" applyFont="1" applyFill="1" applyBorder="1" applyAlignment="1">
      <alignment horizontal="right" vertical="center"/>
    </xf>
    <xf numFmtId="182" fontId="55" fillId="5" borderId="10" xfId="0" applyNumberFormat="1" applyFont="1" applyFill="1" applyBorder="1" applyAlignment="1">
      <alignment horizontal="right" vertical="center"/>
    </xf>
    <xf numFmtId="182" fontId="55" fillId="0" borderId="10" xfId="0" applyNumberFormat="1" applyFont="1" applyBorder="1" applyAlignment="1">
      <alignment horizontal="right" vertical="center"/>
    </xf>
    <xf numFmtId="189" fontId="55" fillId="16" borderId="10" xfId="0" applyNumberFormat="1" applyFont="1" applyFill="1" applyBorder="1" applyAlignment="1">
      <alignment horizontal="right" vertical="center"/>
    </xf>
    <xf numFmtId="189" fontId="55" fillId="14" borderId="10" xfId="0" applyNumberFormat="1" applyFont="1" applyFill="1" applyBorder="1" applyAlignment="1">
      <alignment horizontal="right" vertical="center"/>
    </xf>
    <xf numFmtId="189" fontId="57" fillId="4" borderId="10" xfId="0" applyNumberFormat="1" applyFont="1" applyFill="1" applyBorder="1" applyAlignment="1">
      <alignment horizontal="right" vertical="center"/>
    </xf>
    <xf numFmtId="189" fontId="55" fillId="18" borderId="10" xfId="0" applyNumberFormat="1" applyFont="1" applyFill="1" applyBorder="1" applyAlignment="1">
      <alignment horizontal="right" vertical="center"/>
    </xf>
    <xf numFmtId="189" fontId="55" fillId="5" borderId="10" xfId="0" applyNumberFormat="1" applyFont="1" applyFill="1" applyBorder="1" applyAlignment="1">
      <alignment horizontal="right" vertical="center"/>
    </xf>
    <xf numFmtId="189" fontId="55" fillId="0" borderId="10" xfId="0" applyNumberFormat="1" applyFont="1" applyBorder="1" applyAlignment="1">
      <alignment horizontal="right" vertical="center"/>
    </xf>
    <xf numFmtId="0" fontId="60" fillId="0" borderId="0" xfId="0" applyFont="1"/>
    <xf numFmtId="0" fontId="51" fillId="2" borderId="10" xfId="0" applyFont="1" applyFill="1" applyBorder="1" applyAlignment="1">
      <alignment horizontal="center" vertical="center" wrapText="1"/>
    </xf>
    <xf numFmtId="0" fontId="61" fillId="0" borderId="10" xfId="0" applyFont="1" applyBorder="1" applyAlignment="1">
      <alignment horizontal="center" vertical="center" wrapText="1"/>
    </xf>
    <xf numFmtId="0" fontId="61" fillId="0" borderId="10" xfId="0" applyFont="1" applyBorder="1" applyAlignment="1">
      <alignment horizontal="left" vertical="center" wrapText="1"/>
    </xf>
    <xf numFmtId="0" fontId="62" fillId="19" borderId="10" xfId="0" applyFont="1" applyFill="1" applyBorder="1" applyAlignment="1">
      <alignment horizontal="center" vertical="center" wrapText="1"/>
    </xf>
    <xf numFmtId="0" fontId="61" fillId="19" borderId="10" xfId="0" applyFont="1" applyFill="1" applyBorder="1" applyAlignment="1">
      <alignment horizontal="center" vertical="center" wrapText="1"/>
    </xf>
    <xf numFmtId="0" fontId="62" fillId="20" borderId="10" xfId="0" applyFont="1" applyFill="1" applyBorder="1" applyAlignment="1">
      <alignment horizontal="center" vertical="center" wrapText="1"/>
    </xf>
    <xf numFmtId="0" fontId="61" fillId="20" borderId="10" xfId="0" applyFont="1" applyFill="1" applyBorder="1" applyAlignment="1">
      <alignment horizontal="center" vertical="center" wrapText="1"/>
    </xf>
    <xf numFmtId="0" fontId="62" fillId="4" borderId="10" xfId="0" applyFont="1" applyFill="1" applyBorder="1" applyAlignment="1">
      <alignment horizontal="center" vertical="center" wrapText="1"/>
    </xf>
    <xf numFmtId="0" fontId="61" fillId="4" borderId="10" xfId="0" applyFont="1" applyFill="1" applyBorder="1" applyAlignment="1">
      <alignment horizontal="center" vertical="center" wrapText="1"/>
    </xf>
    <xf numFmtId="0" fontId="62" fillId="21" borderId="10" xfId="0" applyFont="1" applyFill="1" applyBorder="1" applyAlignment="1">
      <alignment horizontal="center" vertical="center" wrapText="1"/>
    </xf>
    <xf numFmtId="0" fontId="61" fillId="21" borderId="10" xfId="0" applyFont="1" applyFill="1" applyBorder="1" applyAlignment="1">
      <alignment horizontal="center" vertical="center" wrapText="1"/>
    </xf>
    <xf numFmtId="0" fontId="63" fillId="7" borderId="10" xfId="0" applyFont="1" applyFill="1" applyBorder="1"/>
    <xf numFmtId="0" fontId="51" fillId="2" borderId="10" xfId="0" applyFont="1" applyFill="1" applyBorder="1" applyAlignment="1">
      <alignment horizontal="center" vertical="center"/>
    </xf>
    <xf numFmtId="0" fontId="64" fillId="4" borderId="10" xfId="0" applyFont="1" applyFill="1" applyBorder="1" applyAlignment="1">
      <alignment horizontal="center" vertical="center" wrapText="1"/>
    </xf>
    <xf numFmtId="0" fontId="65" fillId="20" borderId="10" xfId="0" applyFont="1" applyFill="1" applyBorder="1" applyAlignment="1">
      <alignment horizontal="center" vertical="center" wrapText="1"/>
    </xf>
    <xf numFmtId="0" fontId="65" fillId="19" borderId="10" xfId="0" applyFont="1" applyFill="1" applyBorder="1" applyAlignment="1">
      <alignment horizontal="center" vertical="center" wrapText="1"/>
    </xf>
    <xf numFmtId="0" fontId="64" fillId="21" borderId="10" xfId="0" applyFont="1" applyFill="1" applyBorder="1" applyAlignment="1">
      <alignment horizontal="center" vertical="center" wrapText="1"/>
    </xf>
    <xf numFmtId="0" fontId="64" fillId="5" borderId="10" xfId="0" applyFont="1" applyFill="1" applyBorder="1" applyAlignment="1">
      <alignment horizontal="center" vertical="center" wrapText="1"/>
    </xf>
    <xf numFmtId="0" fontId="65" fillId="4" borderId="10" xfId="0" applyFont="1" applyFill="1" applyBorder="1" applyAlignment="1">
      <alignment horizontal="center" vertical="center" wrapText="1"/>
    </xf>
    <xf numFmtId="0" fontId="65" fillId="21" borderId="10" xfId="0" applyFont="1" applyFill="1" applyBorder="1" applyAlignment="1">
      <alignment horizontal="center" vertical="center" wrapText="1"/>
    </xf>
    <xf numFmtId="0" fontId="64" fillId="20" borderId="10" xfId="0" applyFont="1" applyFill="1" applyBorder="1" applyAlignment="1">
      <alignment horizontal="center" vertical="center" wrapText="1"/>
    </xf>
    <xf numFmtId="0" fontId="63" fillId="0" borderId="0" xfId="0" applyFont="1"/>
    <xf numFmtId="0" fontId="61" fillId="5" borderId="10" xfId="0" applyFont="1" applyFill="1" applyBorder="1" applyAlignment="1">
      <alignment horizontal="center" vertical="center"/>
    </xf>
    <xf numFmtId="0" fontId="61" fillId="4" borderId="10" xfId="0" applyFont="1" applyFill="1" applyBorder="1" applyAlignment="1">
      <alignment horizontal="center" vertical="center"/>
    </xf>
    <xf numFmtId="0" fontId="61" fillId="20" borderId="10" xfId="0" applyFont="1" applyFill="1" applyBorder="1" applyAlignment="1">
      <alignment horizontal="center" vertical="center"/>
    </xf>
    <xf numFmtId="0" fontId="61" fillId="19" borderId="10" xfId="0" applyFont="1" applyFill="1" applyBorder="1" applyAlignment="1">
      <alignment horizontal="center" vertical="center"/>
    </xf>
    <xf numFmtId="0" fontId="61" fillId="21" borderId="10" xfId="0" applyFont="1" applyFill="1" applyBorder="1" applyAlignment="1">
      <alignment horizontal="center" vertical="center"/>
    </xf>
    <xf numFmtId="0" fontId="64" fillId="0" borderId="10" xfId="0" applyFont="1" applyBorder="1" applyAlignment="1">
      <alignment horizontal="center" vertical="top" wrapText="1"/>
    </xf>
    <xf numFmtId="0" fontId="64" fillId="0" borderId="10" xfId="0" applyFont="1" applyBorder="1" applyAlignment="1">
      <alignment horizontal="left" vertical="top" wrapText="1"/>
    </xf>
    <xf numFmtId="0" fontId="62" fillId="21" borderId="10" xfId="0" applyFont="1" applyFill="1" applyBorder="1" applyAlignment="1">
      <alignment horizontal="center" vertical="top" wrapText="1"/>
    </xf>
    <xf numFmtId="0" fontId="62" fillId="19" borderId="10" xfId="0" applyFont="1" applyFill="1" applyBorder="1" applyAlignment="1">
      <alignment horizontal="center" vertical="top" wrapText="1"/>
    </xf>
    <xf numFmtId="0" fontId="62" fillId="20" borderId="10" xfId="0" applyFont="1" applyFill="1" applyBorder="1" applyAlignment="1">
      <alignment horizontal="center" vertical="top" wrapText="1"/>
    </xf>
    <xf numFmtId="0" fontId="61" fillId="0" borderId="10" xfId="0" applyFont="1" applyBorder="1" applyAlignment="1">
      <alignment horizontal="left" vertical="center"/>
    </xf>
    <xf numFmtId="0" fontId="61" fillId="0" borderId="10" xfId="0" applyFont="1" applyBorder="1" applyAlignment="1">
      <alignment horizontal="center" vertical="center"/>
    </xf>
    <xf numFmtId="0" fontId="62" fillId="12" borderId="10" xfId="0" applyFont="1" applyFill="1" applyBorder="1"/>
    <xf numFmtId="0" fontId="62" fillId="12" borderId="10" xfId="0" applyFont="1" applyFill="1" applyBorder="1" applyAlignment="1">
      <alignment horizontal="center" vertical="center"/>
    </xf>
    <xf numFmtId="0" fontId="62" fillId="0" borderId="0" xfId="0" applyFont="1"/>
    <xf numFmtId="0" fontId="61" fillId="5" borderId="10" xfId="0" applyFont="1" applyFill="1" applyBorder="1" applyAlignment="1">
      <alignment horizontal="left" vertical="center"/>
    </xf>
    <xf numFmtId="0" fontId="61" fillId="4" borderId="10" xfId="0" applyFont="1" applyFill="1" applyBorder="1" applyAlignment="1">
      <alignment horizontal="left" vertical="center"/>
    </xf>
    <xf numFmtId="0" fontId="61" fillId="20" borderId="10" xfId="0" applyFont="1" applyFill="1" applyBorder="1" applyAlignment="1">
      <alignment horizontal="left" vertical="center"/>
    </xf>
    <xf numFmtId="0" fontId="61" fillId="19" borderId="10" xfId="0" applyFont="1" applyFill="1" applyBorder="1" applyAlignment="1">
      <alignment horizontal="left" vertical="center"/>
    </xf>
    <xf numFmtId="0" fontId="61" fillId="21" borderId="10" xfId="0" applyFont="1" applyFill="1" applyBorder="1" applyAlignment="1">
      <alignment horizontal="left" vertical="center"/>
    </xf>
    <xf numFmtId="0" fontId="63" fillId="12" borderId="10" xfId="0" applyFont="1" applyFill="1" applyBorder="1" applyAlignment="1">
      <alignment horizontal="left" vertical="center" wrapText="1"/>
    </xf>
    <xf numFmtId="174" fontId="61" fillId="0" borderId="10" xfId="0" applyNumberFormat="1" applyFont="1" applyBorder="1" applyAlignment="1">
      <alignment horizontal="right" vertical="center" wrapText="1"/>
    </xf>
    <xf numFmtId="164" fontId="63" fillId="0" borderId="10" xfId="0" applyNumberFormat="1" applyFont="1" applyBorder="1" applyAlignment="1">
      <alignment horizontal="right" vertical="center" wrapText="1"/>
    </xf>
    <xf numFmtId="0" fontId="63" fillId="5" borderId="10" xfId="0" applyFont="1" applyFill="1" applyBorder="1" applyAlignment="1">
      <alignment horizontal="left" vertical="center" wrapText="1"/>
    </xf>
    <xf numFmtId="0" fontId="63" fillId="14" borderId="10" xfId="0" applyFont="1" applyFill="1" applyBorder="1" applyAlignment="1">
      <alignment horizontal="left" vertical="center" wrapText="1"/>
    </xf>
    <xf numFmtId="0" fontId="63" fillId="4" borderId="10" xfId="0" applyFont="1" applyFill="1" applyBorder="1" applyAlignment="1">
      <alignment horizontal="left" vertical="center" wrapText="1"/>
    </xf>
    <xf numFmtId="0" fontId="63" fillId="22" borderId="10" xfId="0" applyFont="1" applyFill="1" applyBorder="1" applyAlignment="1">
      <alignment horizontal="left" vertical="center" wrapText="1"/>
    </xf>
    <xf numFmtId="0" fontId="62" fillId="12" borderId="10" xfId="0" applyFont="1" applyFill="1" applyBorder="1" applyAlignment="1">
      <alignment horizontal="left" vertical="center" wrapText="1"/>
    </xf>
    <xf numFmtId="174" fontId="63" fillId="12" borderId="10" xfId="0" applyNumberFormat="1" applyFont="1" applyFill="1" applyBorder="1" applyAlignment="1">
      <alignment horizontal="right" vertical="center" wrapText="1"/>
    </xf>
    <xf numFmtId="164" fontId="63" fillId="12" borderId="10" xfId="0" applyNumberFormat="1" applyFont="1" applyFill="1" applyBorder="1" applyAlignment="1">
      <alignment horizontal="right" vertical="center" wrapText="1"/>
    </xf>
    <xf numFmtId="0" fontId="61" fillId="12" borderId="10" xfId="0" applyFont="1" applyFill="1" applyBorder="1" applyAlignment="1">
      <alignment horizontal="left" vertical="center" wrapText="1"/>
    </xf>
    <xf numFmtId="174" fontId="61" fillId="12" borderId="10" xfId="0" applyNumberFormat="1" applyFont="1" applyFill="1" applyBorder="1" applyAlignment="1">
      <alignment horizontal="right" vertical="center" wrapText="1"/>
    </xf>
    <xf numFmtId="164" fontId="61" fillId="12" borderId="10" xfId="0" applyNumberFormat="1" applyFont="1" applyFill="1" applyBorder="1" applyAlignment="1">
      <alignment horizontal="right" vertical="center" wrapText="1"/>
    </xf>
    <xf numFmtId="0" fontId="61" fillId="5" borderId="10" xfId="0" applyFont="1" applyFill="1" applyBorder="1" applyAlignment="1">
      <alignment horizontal="left" vertical="center" wrapText="1"/>
    </xf>
    <xf numFmtId="174" fontId="61" fillId="5" borderId="10" xfId="0" applyNumberFormat="1" applyFont="1" applyFill="1" applyBorder="1" applyAlignment="1">
      <alignment horizontal="right" vertical="center" wrapText="1"/>
    </xf>
    <xf numFmtId="164" fontId="61" fillId="5" borderId="10" xfId="0" applyNumberFormat="1" applyFont="1" applyFill="1" applyBorder="1" applyAlignment="1">
      <alignment horizontal="right" vertical="center" wrapText="1"/>
    </xf>
    <xf numFmtId="0" fontId="61" fillId="14" borderId="10" xfId="0" applyFont="1" applyFill="1" applyBorder="1" applyAlignment="1">
      <alignment horizontal="left" vertical="center" wrapText="1"/>
    </xf>
    <xf numFmtId="174" fontId="61" fillId="14" borderId="10" xfId="0" applyNumberFormat="1" applyFont="1" applyFill="1" applyBorder="1" applyAlignment="1">
      <alignment horizontal="right" vertical="center" wrapText="1"/>
    </xf>
    <xf numFmtId="164" fontId="61" fillId="14" borderId="10" xfId="0" applyNumberFormat="1" applyFont="1" applyFill="1" applyBorder="1" applyAlignment="1">
      <alignment horizontal="right" vertical="center" wrapText="1"/>
    </xf>
    <xf numFmtId="0" fontId="61" fillId="4" borderId="10" xfId="0" applyFont="1" applyFill="1" applyBorder="1" applyAlignment="1">
      <alignment horizontal="left" vertical="center" wrapText="1"/>
    </xf>
    <xf numFmtId="174" fontId="61" fillId="4" borderId="10" xfId="0" applyNumberFormat="1" applyFont="1" applyFill="1" applyBorder="1" applyAlignment="1">
      <alignment horizontal="right" vertical="center" wrapText="1"/>
    </xf>
    <xf numFmtId="164" fontId="61" fillId="4" borderId="10" xfId="0" applyNumberFormat="1" applyFont="1" applyFill="1" applyBorder="1" applyAlignment="1">
      <alignment horizontal="right" vertical="center" wrapText="1"/>
    </xf>
    <xf numFmtId="0" fontId="61" fillId="22" borderId="10" xfId="0" applyFont="1" applyFill="1" applyBorder="1" applyAlignment="1">
      <alignment horizontal="left" vertical="center" wrapText="1"/>
    </xf>
    <xf numFmtId="174" fontId="61" fillId="22" borderId="10" xfId="0" applyNumberFormat="1" applyFont="1" applyFill="1" applyBorder="1" applyAlignment="1">
      <alignment horizontal="right" vertical="center" wrapText="1"/>
    </xf>
    <xf numFmtId="164" fontId="61" fillId="22" borderId="10" xfId="0" applyNumberFormat="1" applyFont="1" applyFill="1" applyBorder="1" applyAlignment="1">
      <alignment horizontal="right" vertical="center" wrapText="1"/>
    </xf>
    <xf numFmtId="171" fontId="61" fillId="12" borderId="10" xfId="0" applyNumberFormat="1" applyFont="1" applyFill="1" applyBorder="1" applyAlignment="1">
      <alignment horizontal="right" vertical="center" wrapText="1"/>
    </xf>
    <xf numFmtId="10" fontId="61" fillId="12" borderId="10" xfId="0" applyNumberFormat="1" applyFont="1" applyFill="1" applyBorder="1" applyAlignment="1">
      <alignment horizontal="right" vertical="center" wrapText="1"/>
    </xf>
    <xf numFmtId="171" fontId="61" fillId="5" borderId="10" xfId="0" applyNumberFormat="1" applyFont="1" applyFill="1" applyBorder="1" applyAlignment="1">
      <alignment horizontal="right" vertical="center" wrapText="1"/>
    </xf>
    <xf numFmtId="10" fontId="61" fillId="5" borderId="10" xfId="0" applyNumberFormat="1" applyFont="1" applyFill="1" applyBorder="1" applyAlignment="1">
      <alignment horizontal="right" vertical="center" wrapText="1"/>
    </xf>
    <xf numFmtId="171" fontId="61" fillId="14" borderId="10" xfId="0" applyNumberFormat="1" applyFont="1" applyFill="1" applyBorder="1" applyAlignment="1">
      <alignment horizontal="right" vertical="center" wrapText="1"/>
    </xf>
    <xf numFmtId="10" fontId="61" fillId="14" borderId="10" xfId="0" applyNumberFormat="1" applyFont="1" applyFill="1" applyBorder="1" applyAlignment="1">
      <alignment horizontal="right" vertical="center" wrapText="1"/>
    </xf>
    <xf numFmtId="0" fontId="63" fillId="0" borderId="10" xfId="0" applyFont="1" applyBorder="1" applyAlignment="1">
      <alignment horizontal="left" vertical="center" wrapText="1"/>
    </xf>
    <xf numFmtId="174" fontId="61" fillId="0" borderId="10" xfId="0" applyNumberFormat="1" applyFont="1" applyBorder="1" applyAlignment="1">
      <alignment horizontal="center" vertical="center" wrapText="1"/>
    </xf>
    <xf numFmtId="174" fontId="61" fillId="14" borderId="10" xfId="0" applyNumberFormat="1" applyFont="1" applyFill="1" applyBorder="1" applyAlignment="1">
      <alignment horizontal="center" vertical="center" wrapText="1"/>
    </xf>
    <xf numFmtId="0" fontId="61" fillId="14" borderId="10" xfId="0" applyFont="1" applyFill="1" applyBorder="1" applyAlignment="1">
      <alignment horizontal="center" vertical="center" wrapText="1"/>
    </xf>
    <xf numFmtId="0" fontId="63" fillId="0" borderId="10" xfId="0" applyFont="1" applyBorder="1" applyAlignment="1">
      <alignment horizontal="center" vertical="center" wrapText="1"/>
    </xf>
    <xf numFmtId="0" fontId="68" fillId="0" borderId="0" xfId="0" applyFont="1"/>
    <xf numFmtId="0" fontId="61" fillId="12" borderId="10" xfId="0" applyFont="1" applyFill="1" applyBorder="1" applyAlignment="1">
      <alignment horizontal="center" vertical="center" wrapText="1"/>
    </xf>
    <xf numFmtId="0" fontId="63" fillId="14" borderId="10" xfId="0" applyFont="1" applyFill="1" applyBorder="1" applyAlignment="1">
      <alignment horizontal="center" vertical="center" wrapText="1"/>
    </xf>
    <xf numFmtId="0" fontId="64" fillId="0" borderId="10" xfId="0" applyFont="1" applyBorder="1" applyAlignment="1">
      <alignment horizontal="left" vertical="center" wrapText="1"/>
    </xf>
    <xf numFmtId="174" fontId="61" fillId="0" borderId="10" xfId="0" applyNumberFormat="1" applyFont="1" applyBorder="1" applyAlignment="1">
      <alignment horizontal="left" vertical="center" wrapText="1"/>
    </xf>
    <xf numFmtId="191" fontId="63" fillId="12" borderId="10" xfId="0" applyNumberFormat="1" applyFont="1" applyFill="1" applyBorder="1" applyAlignment="1">
      <alignment horizontal="center" vertical="center" wrapText="1"/>
    </xf>
    <xf numFmtId="3" fontId="61" fillId="12" borderId="10" xfId="0" applyNumberFormat="1" applyFont="1" applyFill="1" applyBorder="1" applyAlignment="1">
      <alignment horizontal="right" vertical="center" wrapText="1"/>
    </xf>
    <xf numFmtId="3" fontId="63" fillId="14" borderId="10" xfId="0" applyNumberFormat="1" applyFont="1" applyFill="1" applyBorder="1" applyAlignment="1">
      <alignment horizontal="right" vertical="center" wrapText="1"/>
    </xf>
    <xf numFmtId="3" fontId="72" fillId="14" borderId="10" xfId="0" applyNumberFormat="1" applyFont="1" applyFill="1" applyBorder="1" applyAlignment="1">
      <alignment horizontal="right" vertical="center" wrapText="1"/>
    </xf>
    <xf numFmtId="0" fontId="63" fillId="0" borderId="10" xfId="0" applyFont="1" applyBorder="1" applyAlignment="1">
      <alignment horizontal="center" vertical="top" wrapText="1"/>
    </xf>
    <xf numFmtId="0" fontId="61" fillId="0" borderId="10" xfId="0" applyFont="1" applyBorder="1" applyAlignment="1">
      <alignment horizontal="left" vertical="top" wrapText="1"/>
    </xf>
    <xf numFmtId="0" fontId="62" fillId="12" borderId="10" xfId="0" applyFont="1" applyFill="1" applyBorder="1" applyAlignment="1">
      <alignment horizontal="left" vertical="center"/>
    </xf>
    <xf numFmtId="0" fontId="73" fillId="12" borderId="10" xfId="0" applyFont="1" applyFill="1" applyBorder="1" applyAlignment="1">
      <alignment horizontal="left" vertical="center" wrapText="1"/>
    </xf>
    <xf numFmtId="174" fontId="63" fillId="12" borderId="10" xfId="0" applyNumberFormat="1" applyFont="1" applyFill="1" applyBorder="1" applyAlignment="1">
      <alignment horizontal="center" vertical="center" wrapText="1"/>
    </xf>
    <xf numFmtId="0" fontId="64" fillId="0" borderId="10" xfId="0" applyFont="1" applyBorder="1" applyAlignment="1">
      <alignment horizontal="center" vertical="center" wrapText="1"/>
    </xf>
    <xf numFmtId="3" fontId="61" fillId="5" borderId="10" xfId="0" applyNumberFormat="1" applyFont="1" applyFill="1" applyBorder="1" applyAlignment="1">
      <alignment horizontal="center" vertical="center" wrapText="1"/>
    </xf>
    <xf numFmtId="164" fontId="61" fillId="0" borderId="10" xfId="0" applyNumberFormat="1" applyFont="1" applyBorder="1" applyAlignment="1">
      <alignment horizontal="center" vertical="center" wrapText="1"/>
    </xf>
    <xf numFmtId="0" fontId="63" fillId="12" borderId="10" xfId="0" applyFont="1" applyFill="1" applyBorder="1" applyAlignment="1">
      <alignment horizontal="center" vertical="center" wrapText="1"/>
    </xf>
    <xf numFmtId="3" fontId="63" fillId="12" borderId="10" xfId="0" applyNumberFormat="1" applyFont="1" applyFill="1" applyBorder="1" applyAlignment="1">
      <alignment horizontal="center" vertical="center" wrapText="1"/>
    </xf>
    <xf numFmtId="164" fontId="63" fillId="12" borderId="10" xfId="0" applyNumberFormat="1" applyFont="1" applyFill="1" applyBorder="1" applyAlignment="1">
      <alignment horizontal="center" vertical="center" wrapText="1"/>
    </xf>
    <xf numFmtId="0" fontId="61" fillId="5" borderId="10" xfId="0" applyFont="1" applyFill="1" applyBorder="1" applyAlignment="1">
      <alignment horizontal="center" vertical="center" wrapText="1"/>
    </xf>
    <xf numFmtId="0" fontId="63" fillId="7" borderId="10" xfId="0" applyFont="1" applyFill="1" applyBorder="1" applyAlignment="1">
      <alignment horizontal="left" vertical="center" wrapText="1"/>
    </xf>
    <xf numFmtId="174" fontId="61" fillId="7" borderId="10" xfId="0" applyNumberFormat="1" applyFont="1" applyFill="1" applyBorder="1" applyAlignment="1">
      <alignment horizontal="right" vertical="center" wrapText="1"/>
    </xf>
    <xf numFmtId="0" fontId="51" fillId="2" borderId="10" xfId="0" applyFont="1" applyFill="1" applyBorder="1" applyAlignment="1">
      <alignment horizontal="left" vertical="center" wrapText="1"/>
    </xf>
    <xf numFmtId="174" fontId="53" fillId="2" borderId="10" xfId="0" applyNumberFormat="1" applyFont="1" applyFill="1" applyBorder="1" applyAlignment="1">
      <alignment horizontal="right" vertical="center" wrapText="1"/>
    </xf>
    <xf numFmtId="174" fontId="63" fillId="14" borderId="10" xfId="0" applyNumberFormat="1" applyFont="1" applyFill="1" applyBorder="1" applyAlignment="1">
      <alignment horizontal="right" vertical="center" wrapText="1"/>
    </xf>
    <xf numFmtId="174" fontId="51" fillId="2" borderId="10" xfId="0" applyNumberFormat="1" applyFont="1" applyFill="1" applyBorder="1" applyAlignment="1">
      <alignment horizontal="right" vertical="center" wrapText="1"/>
    </xf>
    <xf numFmtId="164" fontId="51" fillId="2" borderId="10" xfId="0" applyNumberFormat="1" applyFont="1" applyFill="1" applyBorder="1" applyAlignment="1">
      <alignment horizontal="right" vertical="center" wrapText="1"/>
    </xf>
    <xf numFmtId="0" fontId="75" fillId="23" borderId="10" xfId="0" applyFont="1" applyFill="1" applyBorder="1" applyAlignment="1">
      <alignment horizontal="center" vertical="center"/>
    </xf>
    <xf numFmtId="0" fontId="75" fillId="14" borderId="10" xfId="0" applyFont="1" applyFill="1" applyBorder="1" applyAlignment="1">
      <alignment horizontal="center" vertical="center"/>
    </xf>
    <xf numFmtId="0" fontId="76" fillId="5" borderId="10" xfId="0" applyFont="1" applyFill="1" applyBorder="1" applyAlignment="1">
      <alignment horizontal="center" vertical="center"/>
    </xf>
    <xf numFmtId="0" fontId="75" fillId="7" borderId="10" xfId="0" applyFont="1" applyFill="1" applyBorder="1" applyAlignment="1">
      <alignment horizontal="center" vertical="center"/>
    </xf>
    <xf numFmtId="0" fontId="75" fillId="0" borderId="10" xfId="0" applyFont="1" applyBorder="1" applyAlignment="1">
      <alignment horizontal="center" vertical="center"/>
    </xf>
    <xf numFmtId="0" fontId="75" fillId="4" borderId="10" xfId="0" applyFont="1" applyFill="1" applyBorder="1" applyAlignment="1">
      <alignment horizontal="center" vertical="center"/>
    </xf>
    <xf numFmtId="0" fontId="65" fillId="23" borderId="10" xfId="0" applyFont="1" applyFill="1" applyBorder="1" applyAlignment="1">
      <alignment horizontal="center" vertical="center"/>
    </xf>
    <xf numFmtId="0" fontId="65" fillId="14" borderId="10" xfId="0" applyFont="1" applyFill="1" applyBorder="1" applyAlignment="1">
      <alignment horizontal="center" vertical="center"/>
    </xf>
    <xf numFmtId="0" fontId="65" fillId="4" borderId="10" xfId="0" applyFont="1" applyFill="1" applyBorder="1" applyAlignment="1">
      <alignment horizontal="center" vertical="center"/>
    </xf>
    <xf numFmtId="0" fontId="65" fillId="5" borderId="10" xfId="0" applyFont="1" applyFill="1" applyBorder="1" applyAlignment="1">
      <alignment horizontal="center" vertical="center"/>
    </xf>
    <xf numFmtId="0" fontId="65" fillId="7" borderId="10" xfId="0" applyFont="1" applyFill="1" applyBorder="1" applyAlignment="1">
      <alignment horizontal="center" vertical="center"/>
    </xf>
    <xf numFmtId="0" fontId="65" fillId="0" borderId="10" xfId="0" applyFont="1" applyBorder="1" applyAlignment="1">
      <alignment horizontal="left" vertical="center" wrapText="1"/>
    </xf>
    <xf numFmtId="0" fontId="77" fillId="12" borderId="10" xfId="0" applyFont="1" applyFill="1" applyBorder="1" applyAlignment="1">
      <alignment horizontal="center" vertical="center"/>
    </xf>
    <xf numFmtId="0" fontId="78" fillId="24" borderId="10" xfId="0" applyFont="1" applyFill="1" applyBorder="1" applyAlignment="1">
      <alignment horizontal="center" vertical="center"/>
    </xf>
    <xf numFmtId="0" fontId="79" fillId="14" borderId="10" xfId="0" applyFont="1" applyFill="1" applyBorder="1" applyAlignment="1">
      <alignment horizontal="center" vertical="center"/>
    </xf>
    <xf numFmtId="0" fontId="80" fillId="25" borderId="10" xfId="0" applyFont="1" applyFill="1" applyBorder="1" applyAlignment="1">
      <alignment horizontal="center" vertical="center"/>
    </xf>
    <xf numFmtId="0" fontId="80" fillId="22" borderId="10" xfId="0" applyFont="1" applyFill="1" applyBorder="1" applyAlignment="1">
      <alignment horizontal="center" vertical="center"/>
    </xf>
    <xf numFmtId="0" fontId="81" fillId="0" borderId="0" xfId="0" applyFont="1"/>
    <xf numFmtId="0" fontId="61" fillId="24" borderId="10" xfId="0" applyFont="1" applyFill="1" applyBorder="1" applyAlignment="1">
      <alignment horizontal="center" vertical="center" wrapText="1"/>
    </xf>
    <xf numFmtId="0" fontId="85" fillId="0" borderId="0" xfId="0" applyFont="1" applyAlignment="1">
      <alignment horizontal="center" vertical="top"/>
    </xf>
    <xf numFmtId="0" fontId="72" fillId="12" borderId="10" xfId="0" applyFont="1" applyFill="1" applyBorder="1" applyAlignment="1">
      <alignment horizontal="center" vertical="center"/>
    </xf>
    <xf numFmtId="0" fontId="61" fillId="0" borderId="10" xfId="0" applyFont="1" applyBorder="1" applyAlignment="1">
      <alignment horizontal="center" vertical="top" wrapText="1"/>
    </xf>
    <xf numFmtId="0" fontId="53" fillId="2" borderId="10" xfId="0" applyFont="1" applyFill="1" applyBorder="1" applyAlignment="1">
      <alignment horizontal="center" vertical="center" wrapText="1"/>
    </xf>
    <xf numFmtId="0" fontId="63" fillId="0" borderId="10" xfId="0" applyFont="1" applyBorder="1" applyAlignment="1">
      <alignment horizontal="center" vertical="top"/>
    </xf>
    <xf numFmtId="0" fontId="89" fillId="0" borderId="10" xfId="0" applyFont="1" applyBorder="1" applyAlignment="1">
      <alignment horizontal="left" vertical="top" wrapText="1" indent="1"/>
    </xf>
    <xf numFmtId="0" fontId="63" fillId="12" borderId="10" xfId="0" applyFont="1" applyFill="1" applyBorder="1" applyAlignment="1">
      <alignment horizontal="center" vertical="center"/>
    </xf>
    <xf numFmtId="0" fontId="63" fillId="14" borderId="10" xfId="0" applyFont="1" applyFill="1" applyBorder="1" applyAlignment="1">
      <alignment horizontal="center" vertical="center"/>
    </xf>
    <xf numFmtId="0" fontId="63" fillId="5" borderId="10" xfId="0" applyFont="1" applyFill="1" applyBorder="1" applyAlignment="1">
      <alignment horizontal="center" vertical="center"/>
    </xf>
    <xf numFmtId="0" fontId="63" fillId="4" borderId="10" xfId="0" applyFont="1" applyFill="1" applyBorder="1" applyAlignment="1">
      <alignment horizontal="center" vertical="center"/>
    </xf>
    <xf numFmtId="0" fontId="63" fillId="26" borderId="10" xfId="0" applyFont="1" applyFill="1" applyBorder="1" applyAlignment="1">
      <alignment horizontal="center" vertical="center"/>
    </xf>
    <xf numFmtId="0" fontId="89" fillId="26" borderId="10" xfId="0" applyFont="1" applyFill="1" applyBorder="1" applyAlignment="1">
      <alignment horizontal="left" vertical="top" wrapText="1" indent="1"/>
    </xf>
    <xf numFmtId="0" fontId="52" fillId="27" borderId="10" xfId="0" applyFont="1" applyFill="1" applyBorder="1" applyAlignment="1">
      <alignment horizontal="center" vertical="center"/>
    </xf>
    <xf numFmtId="0" fontId="52" fillId="27" borderId="10" xfId="0" applyFont="1" applyFill="1" applyBorder="1" applyAlignment="1">
      <alignment horizontal="left" vertical="center" indent="1"/>
    </xf>
    <xf numFmtId="0" fontId="92" fillId="0" borderId="10" xfId="0" applyFont="1" applyBorder="1" applyAlignment="1">
      <alignment horizontal="left" vertical="center" indent="1"/>
    </xf>
    <xf numFmtId="0" fontId="93" fillId="0" borderId="10" xfId="0" applyFont="1" applyBorder="1" applyAlignment="1">
      <alignment horizontal="center" vertical="center"/>
    </xf>
    <xf numFmtId="0" fontId="63" fillId="24" borderId="10" xfId="0" applyFont="1" applyFill="1" applyBorder="1" applyAlignment="1">
      <alignment horizontal="center" vertical="center"/>
    </xf>
    <xf numFmtId="0" fontId="63" fillId="29" borderId="10" xfId="0" applyFont="1" applyFill="1" applyBorder="1" applyAlignment="1">
      <alignment horizontal="center" vertical="center"/>
    </xf>
    <xf numFmtId="0" fontId="63" fillId="0" borderId="10" xfId="0" applyFont="1" applyBorder="1" applyAlignment="1">
      <alignment horizontal="center" vertical="center"/>
    </xf>
    <xf numFmtId="0" fontId="91" fillId="0" borderId="10" xfId="0" applyFont="1" applyBorder="1" applyAlignment="1">
      <alignment horizontal="left" vertical="center" indent="1"/>
    </xf>
    <xf numFmtId="191" fontId="55" fillId="0" borderId="10" xfId="0" applyNumberFormat="1" applyFont="1" applyBorder="1" applyAlignment="1">
      <alignment horizontal="left" vertical="center" wrapText="1"/>
    </xf>
    <xf numFmtId="10" fontId="55" fillId="0" borderId="10" xfId="0" applyNumberFormat="1" applyFont="1" applyBorder="1" applyAlignment="1">
      <alignment horizontal="left" vertical="center" wrapText="1"/>
    </xf>
    <xf numFmtId="1" fontId="55" fillId="0" borderId="10" xfId="0" applyNumberFormat="1" applyFont="1" applyBorder="1" applyAlignment="1">
      <alignment horizontal="left" vertical="center" wrapText="1"/>
    </xf>
    <xf numFmtId="0" fontId="51" fillId="32" borderId="10" xfId="0" applyFont="1" applyFill="1" applyBorder="1" applyAlignment="1">
      <alignment horizontal="center" vertical="center" wrapText="1"/>
    </xf>
    <xf numFmtId="174" fontId="55" fillId="0" borderId="10" xfId="0" applyNumberFormat="1" applyFont="1" applyBorder="1" applyAlignment="1">
      <alignment horizontal="right" vertical="center" wrapText="1"/>
    </xf>
    <xf numFmtId="0" fontId="57" fillId="33" borderId="10" xfId="0" applyFont="1" applyFill="1" applyBorder="1" applyAlignment="1">
      <alignment horizontal="center" vertical="center" wrapText="1"/>
    </xf>
    <xf numFmtId="0" fontId="57" fillId="33" borderId="10" xfId="0" applyFont="1" applyFill="1" applyBorder="1" applyAlignment="1">
      <alignment horizontal="left" vertical="center" wrapText="1"/>
    </xf>
    <xf numFmtId="174" fontId="57" fillId="33" borderId="10" xfId="0" applyNumberFormat="1" applyFont="1" applyFill="1" applyBorder="1" applyAlignment="1">
      <alignment horizontal="right" vertical="center" wrapText="1"/>
    </xf>
    <xf numFmtId="0" fontId="55" fillId="0" borderId="10" xfId="0" applyFont="1" applyBorder="1" applyAlignment="1">
      <alignment horizontal="right" vertical="center" wrapText="1"/>
    </xf>
    <xf numFmtId="0" fontId="57" fillId="35" borderId="10" xfId="0" applyFont="1" applyFill="1" applyBorder="1" applyAlignment="1">
      <alignment horizontal="center" vertical="center" wrapText="1"/>
    </xf>
    <xf numFmtId="0" fontId="57" fillId="35" borderId="10" xfId="0" applyFont="1" applyFill="1" applyBorder="1" applyAlignment="1">
      <alignment horizontal="left" vertical="center" wrapText="1"/>
    </xf>
    <xf numFmtId="174" fontId="57" fillId="35" borderId="10" xfId="0" applyNumberFormat="1" applyFont="1" applyFill="1" applyBorder="1" applyAlignment="1">
      <alignment horizontal="right" vertical="center" wrapText="1"/>
    </xf>
    <xf numFmtId="0" fontId="0" fillId="35" borderId="0" xfId="0" applyFill="1"/>
    <xf numFmtId="192" fontId="55" fillId="0" borderId="10" xfId="0" applyNumberFormat="1" applyFont="1" applyBorder="1" applyAlignment="1">
      <alignment horizontal="center" vertical="center" wrapText="1"/>
    </xf>
    <xf numFmtId="0" fontId="99" fillId="35" borderId="10" xfId="0" applyFont="1" applyFill="1" applyBorder="1" applyAlignment="1">
      <alignment horizontal="center" vertical="center" wrapText="1"/>
    </xf>
    <xf numFmtId="0" fontId="99" fillId="35" borderId="10" xfId="0" applyFont="1" applyFill="1" applyBorder="1" applyAlignment="1">
      <alignment horizontal="left" vertical="center" wrapText="1"/>
    </xf>
    <xf numFmtId="174" fontId="99" fillId="35" borderId="10" xfId="0" applyNumberFormat="1" applyFont="1" applyFill="1" applyBorder="1" applyAlignment="1">
      <alignment horizontal="right" vertical="center" wrapText="1"/>
    </xf>
    <xf numFmtId="185" fontId="99" fillId="35" borderId="10" xfId="0" applyNumberFormat="1" applyFont="1" applyFill="1" applyBorder="1" applyAlignment="1">
      <alignment horizontal="center" vertical="center" wrapText="1"/>
    </xf>
    <xf numFmtId="192" fontId="99" fillId="35" borderId="10" xfId="0" applyNumberFormat="1" applyFont="1" applyFill="1" applyBorder="1" applyAlignment="1">
      <alignment horizontal="center" vertical="center" wrapText="1"/>
    </xf>
    <xf numFmtId="174" fontId="55" fillId="5" borderId="10" xfId="0" applyNumberFormat="1" applyFont="1" applyFill="1" applyBorder="1" applyAlignment="1">
      <alignment horizontal="right" vertical="center"/>
    </xf>
    <xf numFmtId="3" fontId="57" fillId="33" borderId="10" xfId="0" applyNumberFormat="1" applyFont="1" applyFill="1" applyBorder="1" applyAlignment="1">
      <alignment horizontal="right" vertical="center"/>
    </xf>
    <xf numFmtId="0" fontId="72" fillId="0" borderId="0" xfId="0" applyFont="1"/>
    <xf numFmtId="0" fontId="100" fillId="14" borderId="15" xfId="0" applyFont="1" applyFill="1" applyBorder="1" applyAlignment="1">
      <alignment horizontal="center" vertical="center" wrapText="1"/>
    </xf>
    <xf numFmtId="193" fontId="100" fillId="0" borderId="15" xfId="0" applyNumberFormat="1" applyFont="1" applyBorder="1" applyAlignment="1">
      <alignment horizontal="center" vertical="center" wrapText="1"/>
    </xf>
    <xf numFmtId="192" fontId="100" fillId="0" borderId="15" xfId="0" applyNumberFormat="1" applyFont="1" applyBorder="1" applyAlignment="1">
      <alignment horizontal="center" vertical="center" wrapText="1"/>
    </xf>
    <xf numFmtId="193" fontId="100" fillId="38" borderId="15" xfId="0" applyNumberFormat="1" applyFont="1" applyFill="1" applyBorder="1" applyAlignment="1">
      <alignment horizontal="center" vertical="center" wrapText="1"/>
    </xf>
    <xf numFmtId="192" fontId="100" fillId="38" borderId="15" xfId="0" applyNumberFormat="1" applyFont="1" applyFill="1" applyBorder="1" applyAlignment="1">
      <alignment horizontal="center" vertical="center" wrapText="1"/>
    </xf>
    <xf numFmtId="193" fontId="100" fillId="37" borderId="15" xfId="0" applyNumberFormat="1" applyFont="1" applyFill="1" applyBorder="1" applyAlignment="1">
      <alignment horizontal="center" vertical="center" wrapText="1"/>
    </xf>
    <xf numFmtId="192" fontId="100" fillId="37" borderId="15" xfId="0" applyNumberFormat="1" applyFont="1" applyFill="1" applyBorder="1" applyAlignment="1">
      <alignment horizontal="center" vertical="center" wrapText="1"/>
    </xf>
    <xf numFmtId="0" fontId="100" fillId="0" borderId="15" xfId="0" applyFont="1" applyBorder="1" applyAlignment="1">
      <alignment horizontal="center" vertical="center" wrapText="1"/>
    </xf>
    <xf numFmtId="3" fontId="100" fillId="0" borderId="15" xfId="0" applyNumberFormat="1" applyFont="1" applyBorder="1" applyAlignment="1">
      <alignment horizontal="center" vertical="center" wrapText="1"/>
    </xf>
    <xf numFmtId="0" fontId="100" fillId="4" borderId="15" xfId="0" applyFont="1" applyFill="1" applyBorder="1" applyAlignment="1">
      <alignment horizontal="center" vertical="center" wrapText="1"/>
    </xf>
    <xf numFmtId="193" fontId="100" fillId="4" borderId="15" xfId="0" applyNumberFormat="1" applyFont="1" applyFill="1" applyBorder="1" applyAlignment="1">
      <alignment horizontal="center" vertical="center" wrapText="1"/>
    </xf>
    <xf numFmtId="192" fontId="100" fillId="4" borderId="15" xfId="0" applyNumberFormat="1" applyFont="1" applyFill="1" applyBorder="1" applyAlignment="1">
      <alignment horizontal="center" vertical="center" wrapText="1"/>
    </xf>
    <xf numFmtId="0" fontId="100" fillId="5" borderId="15" xfId="0" applyFont="1" applyFill="1" applyBorder="1" applyAlignment="1">
      <alignment horizontal="center" vertical="center" wrapText="1"/>
    </xf>
    <xf numFmtId="193" fontId="100" fillId="35" borderId="15" xfId="0" applyNumberFormat="1" applyFont="1" applyFill="1" applyBorder="1" applyAlignment="1">
      <alignment horizontal="center" vertical="center" wrapText="1"/>
    </xf>
    <xf numFmtId="192" fontId="100" fillId="35" borderId="15" xfId="0" applyNumberFormat="1" applyFont="1" applyFill="1" applyBorder="1" applyAlignment="1">
      <alignment horizontal="center" vertical="center" wrapText="1"/>
    </xf>
    <xf numFmtId="0" fontId="100" fillId="0" borderId="15" xfId="0" applyFont="1" applyBorder="1"/>
    <xf numFmtId="0" fontId="100" fillId="0" borderId="10" xfId="0" applyFont="1" applyBorder="1" applyAlignment="1">
      <alignment horizontal="left" vertical="center" wrapText="1"/>
    </xf>
    <xf numFmtId="0" fontId="100" fillId="0" borderId="0" xfId="0" applyFont="1"/>
    <xf numFmtId="0" fontId="102" fillId="0" borderId="0" xfId="0" applyFont="1"/>
    <xf numFmtId="0" fontId="102" fillId="39" borderId="10" xfId="0" applyFont="1" applyFill="1" applyBorder="1" applyAlignment="1">
      <alignment horizontal="center" vertical="center" wrapText="1"/>
    </xf>
    <xf numFmtId="3" fontId="102" fillId="39" borderId="10" xfId="0" applyNumberFormat="1" applyFont="1" applyFill="1" applyBorder="1" applyAlignment="1">
      <alignment horizontal="right" vertical="center"/>
    </xf>
    <xf numFmtId="185" fontId="102" fillId="39" borderId="10" xfId="0" applyNumberFormat="1" applyFont="1" applyFill="1" applyBorder="1" applyAlignment="1">
      <alignment horizontal="right" vertical="center"/>
    </xf>
    <xf numFmtId="0" fontId="100" fillId="0" borderId="15" xfId="0" applyFont="1" applyBorder="1" applyAlignment="1">
      <alignment horizontal="left" vertical="center" wrapText="1"/>
    </xf>
    <xf numFmtId="3" fontId="100" fillId="0" borderId="15" xfId="0" applyNumberFormat="1" applyFont="1" applyBorder="1" applyAlignment="1">
      <alignment horizontal="right" vertical="center"/>
    </xf>
    <xf numFmtId="185" fontId="100" fillId="0" borderId="15" xfId="0" applyNumberFormat="1" applyFont="1" applyBorder="1" applyAlignment="1">
      <alignment horizontal="right" vertical="center"/>
    </xf>
    <xf numFmtId="3" fontId="100" fillId="5" borderId="15" xfId="0" applyNumberFormat="1" applyFont="1" applyFill="1" applyBorder="1" applyAlignment="1">
      <alignment horizontal="right" vertical="center"/>
    </xf>
    <xf numFmtId="185" fontId="100" fillId="5" borderId="15" xfId="0" applyNumberFormat="1" applyFont="1" applyFill="1" applyBorder="1" applyAlignment="1">
      <alignment horizontal="right" vertical="center"/>
    </xf>
    <xf numFmtId="0" fontId="101" fillId="0" borderId="0" xfId="0" applyFont="1"/>
    <xf numFmtId="0" fontId="103" fillId="38" borderId="0" xfId="0" applyFont="1" applyFill="1" applyAlignment="1">
      <alignment horizontal="left" vertical="top" wrapText="1"/>
    </xf>
    <xf numFmtId="0" fontId="100" fillId="16" borderId="15" xfId="0" applyFont="1" applyFill="1" applyBorder="1" applyAlignment="1">
      <alignment horizontal="left" vertical="center" wrapText="1"/>
    </xf>
    <xf numFmtId="190" fontId="100" fillId="0" borderId="15" xfId="0" applyNumberFormat="1" applyFont="1" applyBorder="1" applyAlignment="1">
      <alignment horizontal="right" vertical="center"/>
    </xf>
    <xf numFmtId="0" fontId="100" fillId="16" borderId="15" xfId="0" applyFont="1" applyFill="1" applyBorder="1" applyAlignment="1">
      <alignment horizontal="center" vertical="center" wrapText="1"/>
    </xf>
    <xf numFmtId="185" fontId="100" fillId="38" borderId="10" xfId="0" applyNumberFormat="1" applyFont="1" applyFill="1" applyBorder="1" applyAlignment="1">
      <alignment horizontal="right" vertical="center"/>
    </xf>
    <xf numFmtId="185" fontId="100" fillId="4" borderId="10" xfId="0" applyNumberFormat="1" applyFont="1" applyFill="1" applyBorder="1" applyAlignment="1">
      <alignment horizontal="right" vertical="center"/>
    </xf>
    <xf numFmtId="185" fontId="100" fillId="18" borderId="10" xfId="0" applyNumberFormat="1" applyFont="1" applyFill="1" applyBorder="1" applyAlignment="1">
      <alignment horizontal="right" vertical="center"/>
    </xf>
    <xf numFmtId="185" fontId="100" fillId="5" borderId="10" xfId="0" applyNumberFormat="1" applyFont="1" applyFill="1" applyBorder="1" applyAlignment="1">
      <alignment horizontal="right" vertical="center"/>
    </xf>
    <xf numFmtId="178" fontId="100" fillId="16" borderId="10" xfId="0" applyNumberFormat="1" applyFont="1" applyFill="1" applyBorder="1" applyAlignment="1">
      <alignment horizontal="right" vertical="center"/>
    </xf>
    <xf numFmtId="178" fontId="100" fillId="14" borderId="10" xfId="0" applyNumberFormat="1" applyFont="1" applyFill="1" applyBorder="1" applyAlignment="1">
      <alignment horizontal="right" vertical="center"/>
    </xf>
    <xf numFmtId="178" fontId="100" fillId="4" borderId="10" xfId="0" applyNumberFormat="1" applyFont="1" applyFill="1" applyBorder="1" applyAlignment="1">
      <alignment horizontal="right" vertical="center"/>
    </xf>
    <xf numFmtId="178" fontId="100" fillId="18" borderId="10" xfId="0" applyNumberFormat="1" applyFont="1" applyFill="1" applyBorder="1" applyAlignment="1">
      <alignment horizontal="right" vertical="center"/>
    </xf>
    <xf numFmtId="178" fontId="100" fillId="5" borderId="10" xfId="0" applyNumberFormat="1" applyFont="1" applyFill="1" applyBorder="1" applyAlignment="1">
      <alignment horizontal="right" vertical="center"/>
    </xf>
    <xf numFmtId="183" fontId="100" fillId="16" borderId="10" xfId="0" applyNumberFormat="1" applyFont="1" applyFill="1" applyBorder="1" applyAlignment="1">
      <alignment horizontal="right" vertical="center"/>
    </xf>
    <xf numFmtId="183" fontId="100" fillId="14" borderId="10" xfId="0" applyNumberFormat="1" applyFont="1" applyFill="1" applyBorder="1" applyAlignment="1">
      <alignment horizontal="right" vertical="center"/>
    </xf>
    <xf numFmtId="183" fontId="100" fillId="4" borderId="10" xfId="0" applyNumberFormat="1" applyFont="1" applyFill="1" applyBorder="1" applyAlignment="1">
      <alignment horizontal="right" vertical="center"/>
    </xf>
    <xf numFmtId="183" fontId="100" fillId="18" borderId="10" xfId="0" applyNumberFormat="1" applyFont="1" applyFill="1" applyBorder="1" applyAlignment="1">
      <alignment horizontal="right" vertical="center"/>
    </xf>
    <xf numFmtId="183" fontId="100" fillId="5" borderId="10" xfId="0" applyNumberFormat="1" applyFont="1" applyFill="1" applyBorder="1" applyAlignment="1">
      <alignment horizontal="right" vertical="center"/>
    </xf>
    <xf numFmtId="183" fontId="100" fillId="0" borderId="10" xfId="0" applyNumberFormat="1" applyFont="1" applyBorder="1" applyAlignment="1">
      <alignment horizontal="right" vertical="center"/>
    </xf>
    <xf numFmtId="185" fontId="100" fillId="0" borderId="10" xfId="0" applyNumberFormat="1" applyFont="1" applyBorder="1" applyAlignment="1">
      <alignment horizontal="right" vertical="center"/>
    </xf>
    <xf numFmtId="178" fontId="100" fillId="0" borderId="10" xfId="0" applyNumberFormat="1" applyFont="1" applyBorder="1" applyAlignment="1">
      <alignment horizontal="right" vertical="center"/>
    </xf>
    <xf numFmtId="0" fontId="100" fillId="0" borderId="10" xfId="0" applyFont="1" applyBorder="1" applyAlignment="1">
      <alignment horizontal="center" vertical="center" wrapText="1"/>
    </xf>
    <xf numFmtId="0" fontId="100" fillId="4" borderId="10" xfId="0" applyFont="1" applyFill="1" applyBorder="1" applyAlignment="1">
      <alignment horizontal="center" vertical="center" wrapText="1"/>
    </xf>
    <xf numFmtId="0" fontId="100" fillId="0" borderId="10" xfId="0" applyFont="1" applyBorder="1" applyAlignment="1">
      <alignment horizontal="left" vertical="top" wrapText="1"/>
    </xf>
    <xf numFmtId="0" fontId="100" fillId="5" borderId="3" xfId="0" applyFont="1" applyFill="1" applyBorder="1" applyAlignment="1">
      <alignment horizontal="center" vertical="center"/>
    </xf>
    <xf numFmtId="0" fontId="102" fillId="40" borderId="0" xfId="0" applyFont="1" applyFill="1" applyAlignment="1">
      <alignment vertical="top" wrapText="1"/>
    </xf>
    <xf numFmtId="0" fontId="100" fillId="40" borderId="0" xfId="0" applyFont="1" applyFill="1" applyAlignment="1">
      <alignment vertical="top" wrapText="1"/>
    </xf>
    <xf numFmtId="0" fontId="41" fillId="4" borderId="1" xfId="0" applyFont="1" applyFill="1" applyBorder="1" applyAlignment="1">
      <alignment horizontal="center" vertical="center" wrapText="1"/>
    </xf>
    <xf numFmtId="0" fontId="0" fillId="0" borderId="11" xfId="0" applyBorder="1"/>
    <xf numFmtId="0" fontId="46" fillId="0" borderId="10" xfId="0" applyFont="1" applyBorder="1" applyAlignment="1">
      <alignment horizontal="center" vertical="center" wrapText="1"/>
    </xf>
    <xf numFmtId="0" fontId="0" fillId="0" borderId="12" xfId="0" applyBorder="1"/>
    <xf numFmtId="0" fontId="1" fillId="6" borderId="0" xfId="0" applyFont="1" applyFill="1" applyAlignment="1">
      <alignment horizontal="left" vertical="center" indent="1"/>
    </xf>
    <xf numFmtId="0" fontId="0" fillId="0" borderId="0" xfId="0"/>
    <xf numFmtId="0" fontId="10" fillId="0" borderId="0" xfId="0" applyFont="1" applyAlignment="1">
      <alignment horizontal="left" vertical="center"/>
    </xf>
    <xf numFmtId="0" fontId="11" fillId="7" borderId="0" xfId="0" applyFont="1" applyFill="1" applyAlignment="1">
      <alignment horizontal="left" vertical="top" wrapText="1" indent="1"/>
    </xf>
    <xf numFmtId="0" fontId="41" fillId="5" borderId="1" xfId="0" applyFont="1" applyFill="1" applyBorder="1" applyAlignment="1">
      <alignment horizontal="center" vertical="center" wrapText="1"/>
    </xf>
    <xf numFmtId="0" fontId="46" fillId="0" borderId="10" xfId="0" applyFont="1" applyBorder="1" applyAlignment="1">
      <alignment horizontal="left" vertical="center" wrapText="1"/>
    </xf>
    <xf numFmtId="0" fontId="0" fillId="0" borderId="13" xfId="0" applyBorder="1"/>
    <xf numFmtId="0" fontId="43" fillId="4" borderId="1" xfId="0" applyFont="1" applyFill="1" applyBorder="1" applyAlignment="1">
      <alignment horizontal="center" vertical="center" wrapText="1"/>
    </xf>
    <xf numFmtId="0" fontId="42" fillId="4" borderId="1" xfId="0" applyFont="1" applyFill="1" applyBorder="1" applyAlignment="1">
      <alignment horizontal="center" vertical="center" wrapText="1"/>
    </xf>
    <xf numFmtId="0" fontId="42" fillId="5" borderId="1" xfId="0" applyFont="1" applyFill="1" applyBorder="1" applyAlignment="1">
      <alignment horizontal="center" vertical="center" wrapText="1"/>
    </xf>
    <xf numFmtId="0" fontId="45" fillId="4" borderId="1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indent="1"/>
    </xf>
    <xf numFmtId="0" fontId="45" fillId="12" borderId="10" xfId="0" applyFont="1" applyFill="1" applyBorder="1" applyAlignment="1">
      <alignment horizontal="center" vertical="center" wrapText="1"/>
    </xf>
    <xf numFmtId="0" fontId="40" fillId="3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0" fillId="11" borderId="9" xfId="0" applyFont="1" applyFill="1" applyBorder="1" applyAlignment="1">
      <alignment horizontal="center" vertical="center" wrapText="1"/>
    </xf>
    <xf numFmtId="0" fontId="44" fillId="10" borderId="9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43" fillId="5" borderId="1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2" fillId="0" borderId="0" xfId="0" applyFont="1" applyAlignment="1">
      <alignment horizontal="left" vertical="center" indent="1"/>
    </xf>
    <xf numFmtId="0" fontId="9" fillId="3" borderId="0" xfId="0" applyFont="1" applyFill="1" applyAlignment="1">
      <alignment horizontal="left" vertical="center" indent="1"/>
    </xf>
    <xf numFmtId="0" fontId="13" fillId="0" borderId="0" xfId="0" applyFont="1" applyAlignment="1">
      <alignment horizontal="left" indent="1"/>
    </xf>
    <xf numFmtId="0" fontId="20" fillId="0" borderId="3" xfId="0" applyFont="1" applyBorder="1" applyAlignment="1">
      <alignment horizontal="left" vertical="center" indent="1"/>
    </xf>
    <xf numFmtId="0" fontId="29" fillId="5" borderId="3" xfId="0" applyFont="1" applyFill="1" applyBorder="1" applyAlignment="1">
      <alignment horizontal="left" vertical="center" inden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11" fillId="0" borderId="3" xfId="0" applyFont="1" applyBorder="1" applyAlignment="1">
      <alignment horizontal="left" vertical="center" indent="1"/>
    </xf>
    <xf numFmtId="0" fontId="8" fillId="5" borderId="3" xfId="0" applyFont="1" applyFill="1" applyBorder="1" applyAlignment="1">
      <alignment horizontal="left" vertical="center" indent="1"/>
    </xf>
    <xf numFmtId="176" fontId="33" fillId="0" borderId="3" xfId="0" applyNumberFormat="1" applyFont="1" applyBorder="1" applyAlignment="1">
      <alignment horizontal="right" vertical="center" indent="1"/>
    </xf>
    <xf numFmtId="176" fontId="34" fillId="0" borderId="3" xfId="0" applyNumberFormat="1" applyFont="1" applyBorder="1" applyAlignment="1">
      <alignment horizontal="right" vertical="center" indent="1"/>
    </xf>
    <xf numFmtId="0" fontId="32" fillId="0" borderId="3" xfId="0" applyFont="1" applyBorder="1" applyAlignment="1">
      <alignment horizontal="left" vertical="center" indent="1"/>
    </xf>
    <xf numFmtId="177" fontId="35" fillId="5" borderId="3" xfId="0" applyNumberFormat="1" applyFont="1" applyFill="1" applyBorder="1" applyAlignment="1">
      <alignment horizontal="right" vertical="center" indent="1"/>
    </xf>
    <xf numFmtId="0" fontId="9" fillId="9" borderId="0" xfId="0" applyFont="1" applyFill="1" applyAlignment="1">
      <alignment horizontal="left" vertical="center" indent="1"/>
    </xf>
    <xf numFmtId="0" fontId="20" fillId="0" borderId="3" xfId="0" applyFont="1" applyBorder="1" applyAlignment="1">
      <alignment horizontal="left" vertical="center" wrapText="1" indent="1"/>
    </xf>
    <xf numFmtId="0" fontId="28" fillId="3" borderId="3" xfId="0" applyFont="1" applyFill="1" applyBorder="1" applyAlignment="1">
      <alignment horizontal="left" vertical="center" indent="1"/>
    </xf>
    <xf numFmtId="0" fontId="8" fillId="5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left" vertical="center" indent="1"/>
    </xf>
    <xf numFmtId="179" fontId="30" fillId="0" borderId="3" xfId="0" applyNumberFormat="1" applyFont="1" applyBorder="1" applyAlignment="1">
      <alignment horizontal="center" vertical="center"/>
    </xf>
    <xf numFmtId="0" fontId="54" fillId="5" borderId="1" xfId="0" applyFont="1" applyFill="1" applyBorder="1" applyAlignment="1">
      <alignment horizontal="center" vertical="center" wrapText="1"/>
    </xf>
    <xf numFmtId="0" fontId="0" fillId="0" borderId="14" xfId="0" applyBorder="1"/>
    <xf numFmtId="0" fontId="44" fillId="0" borderId="0" xfId="0" applyFont="1" applyAlignment="1">
      <alignment horizontal="left" vertical="top" wrapText="1"/>
    </xf>
    <xf numFmtId="0" fontId="45" fillId="12" borderId="10" xfId="0" applyFont="1" applyFill="1" applyBorder="1" applyAlignment="1">
      <alignment horizontal="left" vertical="center" wrapText="1"/>
    </xf>
    <xf numFmtId="0" fontId="47" fillId="4" borderId="10" xfId="0" applyFont="1" applyFill="1" applyBorder="1" applyAlignment="1">
      <alignment horizontal="left" vertical="center" wrapText="1"/>
    </xf>
    <xf numFmtId="0" fontId="49" fillId="0" borderId="10" xfId="0" applyFont="1" applyBorder="1" applyAlignment="1">
      <alignment horizontal="left" vertical="center" wrapText="1"/>
    </xf>
    <xf numFmtId="38" fontId="46" fillId="0" borderId="10" xfId="0" applyNumberFormat="1" applyFont="1" applyBorder="1" applyAlignment="1">
      <alignment horizontal="right" vertical="center"/>
    </xf>
    <xf numFmtId="0" fontId="49" fillId="4" borderId="10" xfId="0" applyFont="1" applyFill="1" applyBorder="1" applyAlignment="1">
      <alignment horizontal="left" vertical="center" wrapText="1"/>
    </xf>
    <xf numFmtId="0" fontId="47" fillId="4" borderId="10" xfId="0" applyFont="1" applyFill="1" applyBorder="1" applyAlignment="1">
      <alignment horizontal="center" vertical="center" wrapText="1"/>
    </xf>
    <xf numFmtId="38" fontId="47" fillId="4" borderId="10" xfId="0" applyNumberFormat="1" applyFont="1" applyFill="1" applyBorder="1" applyAlignment="1">
      <alignment horizontal="right" vertical="center"/>
    </xf>
    <xf numFmtId="38" fontId="47" fillId="5" borderId="10" xfId="0" applyNumberFormat="1" applyFont="1" applyFill="1" applyBorder="1" applyAlignment="1">
      <alignment horizontal="right" vertical="center"/>
    </xf>
    <xf numFmtId="0" fontId="47" fillId="5" borderId="10" xfId="0" applyFont="1" applyFill="1" applyBorder="1" applyAlignment="1">
      <alignment horizontal="left" vertical="center" wrapText="1"/>
    </xf>
    <xf numFmtId="0" fontId="53" fillId="11" borderId="10" xfId="0" applyFont="1" applyFill="1" applyBorder="1" applyAlignment="1">
      <alignment horizontal="left" vertical="center" wrapText="1"/>
    </xf>
    <xf numFmtId="0" fontId="40" fillId="3" borderId="1" xfId="0" applyFont="1" applyFill="1" applyBorder="1" applyAlignment="1">
      <alignment horizontal="center" vertical="center" wrapText="1"/>
    </xf>
    <xf numFmtId="0" fontId="47" fillId="5" borderId="10" xfId="0" applyFont="1" applyFill="1" applyBorder="1" applyAlignment="1">
      <alignment horizontal="center" vertical="center" wrapText="1"/>
    </xf>
    <xf numFmtId="0" fontId="49" fillId="5" borderId="10" xfId="0" applyFont="1" applyFill="1" applyBorder="1" applyAlignment="1">
      <alignment horizontal="left" vertical="center" wrapText="1"/>
    </xf>
    <xf numFmtId="0" fontId="50" fillId="11" borderId="0" xfId="0" applyFont="1" applyFill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54" fillId="15" borderId="1" xfId="0" applyFont="1" applyFill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56" fillId="4" borderId="10" xfId="0" applyFont="1" applyFill="1" applyBorder="1" applyAlignment="1">
      <alignment horizontal="left" vertical="center" wrapText="1"/>
    </xf>
    <xf numFmtId="183" fontId="55" fillId="0" borderId="10" xfId="0" applyNumberFormat="1" applyFont="1" applyBorder="1" applyAlignment="1">
      <alignment horizontal="right" vertical="center"/>
    </xf>
    <xf numFmtId="183" fontId="56" fillId="4" borderId="10" xfId="0" applyNumberFormat="1" applyFont="1" applyFill="1" applyBorder="1" applyAlignment="1">
      <alignment horizontal="right" vertical="center"/>
    </xf>
    <xf numFmtId="0" fontId="55" fillId="0" borderId="10" xfId="0" applyFont="1" applyBorder="1" applyAlignment="1">
      <alignment horizontal="left" vertical="center" wrapText="1"/>
    </xf>
    <xf numFmtId="0" fontId="56" fillId="4" borderId="10" xfId="0" applyFont="1" applyFill="1" applyBorder="1" applyAlignment="1">
      <alignment horizontal="center" vertical="center" wrapText="1"/>
    </xf>
    <xf numFmtId="0" fontId="55" fillId="0" borderId="10" xfId="0" applyFont="1" applyBorder="1" applyAlignment="1">
      <alignment horizontal="center" vertical="center" wrapText="1"/>
    </xf>
    <xf numFmtId="185" fontId="55" fillId="0" borderId="10" xfId="0" applyNumberFormat="1" applyFont="1" applyBorder="1" applyAlignment="1">
      <alignment horizontal="center" vertical="center" wrapText="1"/>
    </xf>
    <xf numFmtId="0" fontId="52" fillId="3" borderId="10" xfId="0" applyFont="1" applyFill="1" applyBorder="1" applyAlignment="1">
      <alignment horizontal="center" vertical="center" wrapText="1"/>
    </xf>
    <xf numFmtId="185" fontId="56" fillId="4" borderId="10" xfId="0" applyNumberFormat="1" applyFont="1" applyFill="1" applyBorder="1" applyAlignment="1">
      <alignment horizontal="center" vertical="center" wrapText="1"/>
    </xf>
    <xf numFmtId="0" fontId="98" fillId="30" borderId="0" xfId="0" applyFont="1" applyFill="1" applyAlignment="1">
      <alignment horizontal="center" vertical="center" wrapText="1"/>
    </xf>
    <xf numFmtId="0" fontId="47" fillId="31" borderId="0" xfId="0" applyFont="1" applyFill="1" applyAlignment="1">
      <alignment horizontal="left" vertical="center" wrapText="1"/>
    </xf>
    <xf numFmtId="0" fontId="49" fillId="33" borderId="0" xfId="0" applyFont="1" applyFill="1" applyAlignment="1">
      <alignment horizontal="center" vertical="center" wrapText="1"/>
    </xf>
    <xf numFmtId="0" fontId="49" fillId="0" borderId="0" xfId="0" applyFont="1" applyAlignment="1">
      <alignment horizontal="left" vertical="center" wrapText="1"/>
    </xf>
    <xf numFmtId="0" fontId="47" fillId="34" borderId="0" xfId="0" applyFont="1" applyFill="1" applyAlignment="1">
      <alignment horizontal="left" vertical="center" wrapText="1"/>
    </xf>
    <xf numFmtId="0" fontId="47" fillId="36" borderId="0" xfId="0" applyFont="1" applyFill="1" applyAlignment="1">
      <alignment horizontal="left" vertical="center" wrapText="1"/>
    </xf>
    <xf numFmtId="0" fontId="55" fillId="0" borderId="0" xfId="0" applyFont="1" applyAlignment="1">
      <alignment horizontal="left" vertical="center" wrapText="1"/>
    </xf>
    <xf numFmtId="0" fontId="50" fillId="3" borderId="0" xfId="0" applyFont="1" applyFill="1" applyAlignment="1">
      <alignment horizontal="center" vertical="center" wrapText="1"/>
    </xf>
    <xf numFmtId="0" fontId="57" fillId="0" borderId="0" xfId="0" applyFont="1" applyAlignment="1">
      <alignment horizontal="left" vertical="center" wrapText="1"/>
    </xf>
    <xf numFmtId="0" fontId="53" fillId="3" borderId="0" xfId="0" applyFont="1" applyFill="1" applyAlignment="1">
      <alignment horizontal="left" vertical="center" wrapText="1"/>
    </xf>
    <xf numFmtId="0" fontId="56" fillId="13" borderId="0" xfId="0" applyFont="1" applyFill="1" applyAlignment="1">
      <alignment horizontal="left" vertical="center" wrapText="1"/>
    </xf>
    <xf numFmtId="0" fontId="63" fillId="14" borderId="10" xfId="0" applyFont="1" applyFill="1" applyBorder="1" applyAlignment="1">
      <alignment horizontal="center" vertical="top" wrapText="1"/>
    </xf>
    <xf numFmtId="183" fontId="47" fillId="4" borderId="10" xfId="0" applyNumberFormat="1" applyFont="1" applyFill="1" applyBorder="1" applyAlignment="1">
      <alignment horizontal="right" vertical="center"/>
    </xf>
    <xf numFmtId="0" fontId="59" fillId="0" borderId="0" xfId="0" applyFont="1"/>
    <xf numFmtId="0" fontId="62" fillId="14" borderId="10" xfId="0" applyFont="1" applyFill="1" applyBorder="1" applyAlignment="1">
      <alignment horizontal="center" vertical="center"/>
    </xf>
    <xf numFmtId="0" fontId="57" fillId="4" borderId="10" xfId="0" applyFont="1" applyFill="1" applyBorder="1" applyAlignment="1">
      <alignment horizontal="left" vertical="center" wrapText="1"/>
    </xf>
    <xf numFmtId="0" fontId="74" fillId="0" borderId="0" xfId="0" applyFont="1"/>
    <xf numFmtId="0" fontId="51" fillId="2" borderId="10" xfId="0" applyFont="1" applyFill="1" applyBorder="1" applyAlignment="1">
      <alignment horizontal="center" vertical="center" wrapText="1"/>
    </xf>
    <xf numFmtId="0" fontId="57" fillId="0" borderId="10" xfId="0" applyFont="1" applyBorder="1" applyAlignment="1">
      <alignment horizontal="left" vertical="center" wrapText="1"/>
    </xf>
    <xf numFmtId="0" fontId="60" fillId="0" borderId="0" xfId="0" applyFont="1"/>
    <xf numFmtId="0" fontId="61" fillId="0" borderId="0" xfId="0" applyFont="1" applyAlignment="1">
      <alignment horizontal="left" vertical="top" wrapText="1"/>
    </xf>
    <xf numFmtId="0" fontId="55" fillId="0" borderId="0" xfId="0" applyFont="1" applyAlignment="1">
      <alignment horizontal="right" vertical="center"/>
    </xf>
    <xf numFmtId="183" fontId="57" fillId="4" borderId="10" xfId="0" applyNumberFormat="1" applyFont="1" applyFill="1" applyBorder="1" applyAlignment="1">
      <alignment horizontal="right" vertical="center"/>
    </xf>
    <xf numFmtId="0" fontId="57" fillId="13" borderId="10" xfId="0" applyFont="1" applyFill="1" applyBorder="1" applyAlignment="1">
      <alignment horizontal="left" vertical="center" wrapText="1"/>
    </xf>
    <xf numFmtId="0" fontId="52" fillId="11" borderId="10" xfId="0" applyFont="1" applyFill="1" applyBorder="1" applyAlignment="1">
      <alignment horizontal="center" vertical="center" wrapText="1"/>
    </xf>
    <xf numFmtId="192" fontId="102" fillId="4" borderId="10" xfId="0" applyNumberFormat="1" applyFont="1" applyFill="1" applyBorder="1" applyAlignment="1">
      <alignment horizontal="right" vertical="center"/>
    </xf>
    <xf numFmtId="0" fontId="100" fillId="0" borderId="10" xfId="0" applyFont="1" applyBorder="1" applyAlignment="1">
      <alignment horizontal="left" vertical="center" wrapText="1"/>
    </xf>
    <xf numFmtId="0" fontId="100" fillId="5" borderId="15" xfId="0" applyFont="1" applyFill="1" applyBorder="1" applyAlignment="1">
      <alignment horizontal="left" vertical="center" wrapText="1"/>
    </xf>
    <xf numFmtId="0" fontId="0" fillId="0" borderId="16" xfId="0" applyBorder="1"/>
    <xf numFmtId="0" fontId="0" fillId="0" borderId="17" xfId="0" applyBorder="1"/>
    <xf numFmtId="193" fontId="102" fillId="4" borderId="10" xfId="0" applyNumberFormat="1" applyFont="1" applyFill="1" applyBorder="1" applyAlignment="1">
      <alignment horizontal="right" vertical="center"/>
    </xf>
    <xf numFmtId="0" fontId="100" fillId="0" borderId="18" xfId="0" applyFont="1" applyBorder="1" applyAlignment="1">
      <alignment horizontal="left" vertical="center" wrapText="1"/>
    </xf>
    <xf numFmtId="0" fontId="0" fillId="0" borderId="19" xfId="0" applyBorder="1"/>
    <xf numFmtId="3" fontId="47" fillId="4" borderId="10" xfId="0" applyNumberFormat="1" applyFont="1" applyFill="1" applyBorder="1" applyAlignment="1">
      <alignment horizontal="right" vertical="center"/>
    </xf>
    <xf numFmtId="188" fontId="102" fillId="4" borderId="10" xfId="0" applyNumberFormat="1" applyFont="1" applyFill="1" applyBorder="1" applyAlignment="1">
      <alignment horizontal="right" vertical="center"/>
    </xf>
    <xf numFmtId="0" fontId="100" fillId="5" borderId="18" xfId="0" applyFont="1" applyFill="1" applyBorder="1" applyAlignment="1">
      <alignment horizontal="left" vertical="center" wrapText="1"/>
    </xf>
    <xf numFmtId="0" fontId="101" fillId="0" borderId="10" xfId="0" applyFont="1" applyBorder="1" applyAlignment="1">
      <alignment horizontal="left" vertical="center" wrapText="1"/>
    </xf>
    <xf numFmtId="0" fontId="102" fillId="39" borderId="10" xfId="0" applyFont="1" applyFill="1" applyBorder="1" applyAlignment="1">
      <alignment horizontal="left" vertical="center" wrapText="1"/>
    </xf>
    <xf numFmtId="3" fontId="102" fillId="4" borderId="10" xfId="0" applyNumberFormat="1" applyFont="1" applyFill="1" applyBorder="1" applyAlignment="1">
      <alignment horizontal="right" vertical="center"/>
    </xf>
    <xf numFmtId="0" fontId="100" fillId="0" borderId="15" xfId="0" applyFont="1" applyBorder="1" applyAlignment="1">
      <alignment horizontal="left" vertical="center" wrapText="1"/>
    </xf>
    <xf numFmtId="0" fontId="47" fillId="13" borderId="10" xfId="0" applyFont="1" applyFill="1" applyBorder="1" applyAlignment="1">
      <alignment horizontal="left" vertical="center" wrapText="1"/>
    </xf>
    <xf numFmtId="178" fontId="55" fillId="0" borderId="10" xfId="0" applyNumberFormat="1" applyFont="1" applyBorder="1" applyAlignment="1">
      <alignment horizontal="right" vertical="center"/>
    </xf>
    <xf numFmtId="0" fontId="49" fillId="33" borderId="0" xfId="0" applyFont="1" applyFill="1" applyAlignment="1">
      <alignment horizontal="left" vertical="center" wrapText="1"/>
    </xf>
    <xf numFmtId="178" fontId="47" fillId="4" borderId="10" xfId="0" applyNumberFormat="1" applyFont="1" applyFill="1" applyBorder="1" applyAlignment="1">
      <alignment horizontal="right" vertical="center"/>
    </xf>
    <xf numFmtId="0" fontId="100" fillId="0" borderId="0" xfId="0" applyFont="1" applyAlignment="1">
      <alignment horizontal="left" vertical="center" wrapText="1"/>
    </xf>
    <xf numFmtId="185" fontId="47" fillId="4" borderId="10" xfId="0" applyNumberFormat="1" applyFont="1" applyFill="1" applyBorder="1" applyAlignment="1">
      <alignment horizontal="right" vertical="center"/>
    </xf>
    <xf numFmtId="0" fontId="101" fillId="3" borderId="0" xfId="0" applyFont="1" applyFill="1" applyAlignment="1">
      <alignment horizontal="left" vertical="center" wrapText="1"/>
    </xf>
    <xf numFmtId="0" fontId="57" fillId="5" borderId="10" xfId="0" applyFont="1" applyFill="1" applyBorder="1" applyAlignment="1">
      <alignment horizontal="left" vertical="center" wrapText="1"/>
    </xf>
    <xf numFmtId="0" fontId="57" fillId="16" borderId="10" xfId="0" applyFont="1" applyFill="1" applyBorder="1" applyAlignment="1">
      <alignment horizontal="left" vertical="center" wrapText="1"/>
    </xf>
    <xf numFmtId="0" fontId="57" fillId="14" borderId="10" xfId="0" applyFont="1" applyFill="1" applyBorder="1" applyAlignment="1">
      <alignment horizontal="left" vertical="center" wrapText="1"/>
    </xf>
    <xf numFmtId="0" fontId="57" fillId="18" borderId="10" xfId="0" applyFont="1" applyFill="1" applyBorder="1" applyAlignment="1">
      <alignment horizontal="left" vertical="center" wrapText="1"/>
    </xf>
    <xf numFmtId="0" fontId="57" fillId="12" borderId="10" xfId="0" applyFont="1" applyFill="1" applyBorder="1" applyAlignment="1">
      <alignment horizontal="left" vertical="center" wrapText="1"/>
    </xf>
    <xf numFmtId="0" fontId="100" fillId="4" borderId="10" xfId="0" applyFont="1" applyFill="1" applyBorder="1" applyAlignment="1">
      <alignment horizontal="left" vertical="center" wrapText="1"/>
    </xf>
    <xf numFmtId="185" fontId="102" fillId="38" borderId="10" xfId="0" applyNumberFormat="1" applyFont="1" applyFill="1" applyBorder="1" applyAlignment="1">
      <alignment horizontal="right" vertical="center"/>
    </xf>
    <xf numFmtId="0" fontId="67" fillId="0" borderId="0" xfId="0" applyFont="1"/>
    <xf numFmtId="0" fontId="66" fillId="0" borderId="0" xfId="0" applyFont="1" applyAlignment="1">
      <alignment horizontal="left" vertical="top" wrapText="1"/>
    </xf>
    <xf numFmtId="0" fontId="58" fillId="0" borderId="0" xfId="0" applyFont="1"/>
    <xf numFmtId="0" fontId="61" fillId="0" borderId="10" xfId="0" applyFont="1" applyBorder="1" applyAlignment="1">
      <alignment horizontal="left" vertical="center" wrapText="1"/>
    </xf>
    <xf numFmtId="0" fontId="69" fillId="12" borderId="10" xfId="0" applyFont="1" applyFill="1" applyBorder="1" applyAlignment="1">
      <alignment horizontal="left" vertical="center" wrapText="1"/>
    </xf>
    <xf numFmtId="0" fontId="71" fillId="12" borderId="10" xfId="0" applyFont="1" applyFill="1" applyBorder="1" applyAlignment="1">
      <alignment horizontal="left" vertical="center" wrapText="1"/>
    </xf>
    <xf numFmtId="0" fontId="70" fillId="12" borderId="10" xfId="0" applyFont="1" applyFill="1" applyBorder="1" applyAlignment="1">
      <alignment horizontal="left" vertical="center" wrapText="1"/>
    </xf>
    <xf numFmtId="0" fontId="62" fillId="0" borderId="10" xfId="0" applyFont="1" applyBorder="1" applyAlignment="1">
      <alignment horizontal="left" vertical="center" wrapText="1"/>
    </xf>
    <xf numFmtId="0" fontId="63" fillId="12" borderId="10" xfId="0" applyFont="1" applyFill="1" applyBorder="1" applyAlignment="1">
      <alignment horizontal="left" vertical="center" wrapText="1"/>
    </xf>
    <xf numFmtId="0" fontId="61" fillId="0" borderId="10" xfId="0" applyFont="1" applyBorder="1" applyAlignment="1">
      <alignment horizontal="left" vertical="center" wrapText="1" indent="1"/>
    </xf>
    <xf numFmtId="0" fontId="66" fillId="0" borderId="10" xfId="0" applyFont="1" applyBorder="1" applyAlignment="1">
      <alignment horizontal="left" vertical="center" wrapText="1"/>
    </xf>
    <xf numFmtId="0" fontId="62" fillId="12" borderId="10" xfId="0" applyFont="1" applyFill="1" applyBorder="1" applyAlignment="1">
      <alignment horizontal="left" vertical="center" wrapText="1" indent="1"/>
    </xf>
    <xf numFmtId="0" fontId="61" fillId="0" borderId="10" xfId="0" applyFont="1" applyBorder="1" applyAlignment="1">
      <alignment horizontal="left" vertical="top" wrapText="1" indent="1"/>
    </xf>
    <xf numFmtId="0" fontId="63" fillId="24" borderId="10" xfId="0" applyFont="1" applyFill="1" applyBorder="1" applyAlignment="1">
      <alignment horizontal="center" vertical="top" wrapText="1"/>
    </xf>
    <xf numFmtId="0" fontId="66" fillId="26" borderId="10" xfId="0" applyFont="1" applyFill="1" applyBorder="1" applyAlignment="1">
      <alignment horizontal="left" vertical="center" wrapText="1" indent="1"/>
    </xf>
    <xf numFmtId="0" fontId="62" fillId="4" borderId="10" xfId="0" applyFont="1" applyFill="1" applyBorder="1" applyAlignment="1">
      <alignment horizontal="center" vertical="center" wrapText="1"/>
    </xf>
    <xf numFmtId="0" fontId="66" fillId="26" borderId="10" xfId="0" applyFont="1" applyFill="1" applyBorder="1" applyAlignment="1">
      <alignment horizontal="center" vertical="center" wrapText="1"/>
    </xf>
    <xf numFmtId="0" fontId="74" fillId="0" borderId="0" xfId="0" applyFont="1" applyAlignment="1">
      <alignment horizontal="left" vertical="top" wrapText="1"/>
    </xf>
    <xf numFmtId="0" fontId="61" fillId="0" borderId="10" xfId="0" applyFont="1" applyBorder="1" applyAlignment="1">
      <alignment horizontal="center" vertical="center" wrapText="1"/>
    </xf>
    <xf numFmtId="0" fontId="82" fillId="0" borderId="0" xfId="0" applyFont="1" applyAlignment="1">
      <alignment horizontal="left" vertical="center"/>
    </xf>
    <xf numFmtId="0" fontId="84" fillId="2" borderId="0" xfId="0" applyFont="1" applyFill="1" applyAlignment="1">
      <alignment horizontal="left" vertical="center" indent="1"/>
    </xf>
    <xf numFmtId="0" fontId="86" fillId="0" borderId="0" xfId="0" applyFont="1" applyAlignment="1">
      <alignment horizontal="left" vertical="top" wrapText="1"/>
    </xf>
    <xf numFmtId="0" fontId="67" fillId="0" borderId="0" xfId="0" applyFont="1" applyAlignment="1">
      <alignment horizontal="left" vertical="top" wrapText="1"/>
    </xf>
    <xf numFmtId="0" fontId="84" fillId="3" borderId="0" xfId="0" applyFont="1" applyFill="1" applyAlignment="1">
      <alignment horizontal="left" vertical="center" indent="1"/>
    </xf>
    <xf numFmtId="0" fontId="55" fillId="0" borderId="0" xfId="0" applyFont="1" applyAlignment="1">
      <alignment horizontal="left" vertical="top" wrapText="1"/>
    </xf>
    <xf numFmtId="0" fontId="104" fillId="0" borderId="0" xfId="0" applyFont="1" applyAlignment="1">
      <alignment horizontal="left" vertical="top" wrapText="1"/>
    </xf>
    <xf numFmtId="0" fontId="83" fillId="0" borderId="0" xfId="0" applyFont="1"/>
    <xf numFmtId="0" fontId="51" fillId="2" borderId="10" xfId="0" applyFont="1" applyFill="1" applyBorder="1" applyAlignment="1">
      <alignment horizontal="left" vertical="center" wrapText="1"/>
    </xf>
    <xf numFmtId="0" fontId="100" fillId="0" borderId="10" xfId="0" applyFont="1" applyBorder="1" applyAlignment="1">
      <alignment horizontal="left" vertical="top" wrapText="1" indent="1"/>
    </xf>
    <xf numFmtId="0" fontId="72" fillId="14" borderId="10" xfId="0" applyFont="1" applyFill="1" applyBorder="1" applyAlignment="1">
      <alignment horizontal="center" vertical="center"/>
    </xf>
    <xf numFmtId="0" fontId="88" fillId="0" borderId="0" xfId="0" applyFont="1" applyAlignment="1">
      <alignment horizontal="left" vertical="top" wrapText="1"/>
    </xf>
    <xf numFmtId="0" fontId="51" fillId="2" borderId="10" xfId="0" applyFont="1" applyFill="1" applyBorder="1" applyAlignment="1">
      <alignment horizontal="left" vertical="center" wrapText="1" indent="1"/>
    </xf>
    <xf numFmtId="0" fontId="87" fillId="0" borderId="0" xfId="0" applyFont="1" applyAlignment="1">
      <alignment horizontal="left" vertical="top" wrapText="1"/>
    </xf>
    <xf numFmtId="0" fontId="63" fillId="4" borderId="10" xfId="0" applyFont="1" applyFill="1" applyBorder="1" applyAlignment="1">
      <alignment horizontal="center" vertical="center"/>
    </xf>
    <xf numFmtId="0" fontId="63" fillId="14" borderId="10" xfId="0" applyFont="1" applyFill="1" applyBorder="1" applyAlignment="1">
      <alignment horizontal="center" vertical="center"/>
    </xf>
    <xf numFmtId="0" fontId="63" fillId="12" borderId="10" xfId="0" applyFont="1" applyFill="1" applyBorder="1" applyAlignment="1">
      <alignment horizontal="center" vertical="center"/>
    </xf>
    <xf numFmtId="0" fontId="63" fillId="5" borderId="10" xfId="0" applyFont="1" applyFill="1" applyBorder="1" applyAlignment="1">
      <alignment horizontal="center" vertical="center"/>
    </xf>
    <xf numFmtId="0" fontId="63" fillId="26" borderId="10" xfId="0" applyFont="1" applyFill="1" applyBorder="1" applyAlignment="1">
      <alignment horizontal="center" vertical="center"/>
    </xf>
    <xf numFmtId="0" fontId="53" fillId="2" borderId="10" xfId="0" applyFont="1" applyFill="1" applyBorder="1" applyAlignment="1">
      <alignment horizontal="center" vertical="center" wrapText="1"/>
    </xf>
    <xf numFmtId="0" fontId="63" fillId="0" borderId="10" xfId="0" applyFont="1" applyBorder="1" applyAlignment="1">
      <alignment horizontal="left" vertical="top" wrapText="1" indent="1"/>
    </xf>
    <xf numFmtId="0" fontId="91" fillId="26" borderId="10" xfId="0" applyFont="1" applyFill="1" applyBorder="1" applyAlignment="1">
      <alignment horizontal="center" vertical="center"/>
    </xf>
    <xf numFmtId="0" fontId="74" fillId="0" borderId="10" xfId="0" applyFont="1" applyBorder="1" applyAlignment="1">
      <alignment horizontal="left" vertical="center" indent="1"/>
    </xf>
    <xf numFmtId="0" fontId="90" fillId="0" borderId="0" xfId="0" applyFont="1" applyAlignment="1">
      <alignment horizontal="left" vertical="top" wrapText="1"/>
    </xf>
    <xf numFmtId="0" fontId="61" fillId="0" borderId="10" xfId="0" applyFont="1" applyBorder="1" applyAlignment="1">
      <alignment horizontal="center" vertical="center"/>
    </xf>
    <xf numFmtId="0" fontId="84" fillId="28" borderId="0" xfId="0" applyFont="1" applyFill="1" applyAlignment="1">
      <alignment horizontal="left" vertical="center" indent="1"/>
    </xf>
    <xf numFmtId="0" fontId="52" fillId="27" borderId="10" xfId="0" applyFont="1" applyFill="1" applyBorder="1" applyAlignment="1">
      <alignment horizontal="left" vertical="center" indent="1"/>
    </xf>
    <xf numFmtId="0" fontId="74" fillId="0" borderId="10" xfId="0" applyFont="1" applyBorder="1" applyAlignment="1">
      <alignment horizontal="left" vertical="center" wrapText="1" indent="1"/>
    </xf>
    <xf numFmtId="0" fontId="53" fillId="2" borderId="0" xfId="0" applyFont="1" applyFill="1" applyAlignment="1">
      <alignment horizontal="left" vertical="center" indent="1"/>
    </xf>
    <xf numFmtId="0" fontId="73" fillId="0" borderId="10" xfId="0" applyFont="1" applyBorder="1" applyAlignment="1">
      <alignment horizontal="center" vertical="center"/>
    </xf>
    <xf numFmtId="0" fontId="94" fillId="0" borderId="0" xfId="0" applyFont="1" applyAlignment="1">
      <alignment horizontal="left" vertical="top" wrapText="1"/>
    </xf>
    <xf numFmtId="0" fontId="88" fillId="0" borderId="0" xfId="0" applyFont="1" applyAlignment="1">
      <alignment horizontal="left"/>
    </xf>
    <xf numFmtId="0" fontId="46" fillId="0" borderId="0" xfId="0" applyFont="1" applyAlignment="1">
      <alignment horizontal="left" vertical="top" wrapText="1"/>
    </xf>
    <xf numFmtId="0" fontId="67" fillId="0" borderId="0" xfId="0" applyFont="1" applyAlignment="1">
      <alignment horizontal="left"/>
    </xf>
    <xf numFmtId="0" fontId="95" fillId="0" borderId="0" xfId="0" applyFont="1" applyAlignment="1">
      <alignment horizontal="left"/>
    </xf>
    <xf numFmtId="0" fontId="66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97" fillId="0" borderId="0" xfId="0" applyFont="1" applyAlignment="1">
      <alignment horizontal="left" vertical="top" wrapText="1"/>
    </xf>
    <xf numFmtId="0" fontId="96" fillId="0" borderId="0" xfId="0" applyFont="1" applyAlignment="1">
      <alignment horizontal="center" vertical="center"/>
    </xf>
    <xf numFmtId="0" fontId="86" fillId="0" borderId="0" xfId="0" applyFont="1" applyAlignment="1">
      <alignment horizontal="left"/>
    </xf>
    <xf numFmtId="0" fontId="89" fillId="0" borderId="0" xfId="0" applyFont="1" applyAlignment="1">
      <alignment horizontal="left"/>
    </xf>
    <xf numFmtId="0" fontId="0" fillId="0" borderId="13" xfId="0" applyBorder="1" applyAlignment="1">
      <alignment vertical="center"/>
    </xf>
    <xf numFmtId="0" fontId="0" fillId="0" borderId="12" xfId="0" applyBorder="1" applyAlignment="1">
      <alignment vertical="center"/>
    </xf>
    <xf numFmtId="0" fontId="105" fillId="11" borderId="1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9.xml.rels><Relationships xmlns="http://schemas.openxmlformats.org/package/2006/relationships"><Relationship Type="http://schemas.openxmlformats.org/officeDocument/2006/relationships/hyperlink" Target="#'01_Cover'!A1" TargetMode="External" Id="rId1"/><Relationship Type="http://schemas.openxmlformats.org/officeDocument/2006/relationships/hyperlink" Target="#'02_Assumptions'!A1" TargetMode="External" Id="rId2"/><Relationship Type="http://schemas.openxmlformats.org/officeDocument/2006/relationships/hyperlink" Target="#'03_Change_Log'!A1" TargetMode="External" Id="rId3"/><Relationship Type="http://schemas.openxmlformats.org/officeDocument/2006/relationships/hyperlink" Target="#'04_FOT_Staff_A1'!A1" TargetMode="External" Id="rId4"/><Relationship Type="http://schemas.openxmlformats.org/officeDocument/2006/relationships/hyperlink" Target="#'05_FOT_Staff_A2'!A1" TargetMode="External" Id="rId5"/><Relationship Type="http://schemas.openxmlformats.org/officeDocument/2006/relationships/hyperlink" Target="#'06_Cost_Structure'!A1" TargetMode="External" Id="rId6"/><Relationship Type="http://schemas.openxmlformats.org/officeDocument/2006/relationships/hyperlink" Target="#'07_Revenue_Breakdown'!A1" TargetMode="External" Id="rId7"/><Relationship Type="http://schemas.openxmlformats.org/officeDocument/2006/relationships/hyperlink" Target="#'08_Content_Pipeline'!A1" TargetMode="External" Id="rId8"/><Relationship Type="http://schemas.openxmlformats.org/officeDocument/2006/relationships/hyperlink" Target="#'09_P&amp;L_Statement'!A1" TargetMode="External" Id="rId9"/><Relationship Type="http://schemas.openxmlformats.org/officeDocument/2006/relationships/hyperlink" Target="#'10_Cash_Flow'!A1" TargetMode="External" Id="rId10"/><Relationship Type="http://schemas.openxmlformats.org/officeDocument/2006/relationships/hyperlink" Target="#'11_Balance_Sheet'!A1" TargetMode="External" Id="rId11"/><Relationship Type="http://schemas.openxmlformats.org/officeDocument/2006/relationships/hyperlink" Target="#'12_Working_Capital'!A1" TargetMode="External" Id="rId12"/><Relationship Type="http://schemas.openxmlformats.org/officeDocument/2006/relationships/hyperlink" Target="#'13_Debt_Schedule'!A1" TargetMode="External" Id="rId13"/><Relationship Type="http://schemas.openxmlformats.org/officeDocument/2006/relationships/hyperlink" Target="#'14_Investment_Inflow'!A1" TargetMode="External" Id="rId14"/><Relationship Type="http://schemas.openxmlformats.org/officeDocument/2006/relationships/hyperlink" Target="#'15_Use_of_Funds'!A1" TargetMode="External" Id="rId15"/><Relationship Type="http://schemas.openxmlformats.org/officeDocument/2006/relationships/hyperlink" Target="#'16_CAPEX_Schedule'!A1" TargetMode="External" Id="rId16"/><Relationship Type="http://schemas.openxmlformats.org/officeDocument/2006/relationships/hyperlink" Target="#'17_Deal_Structures'!A1" TargetMode="External" Id="rId17"/><Relationship Type="http://schemas.openxmlformats.org/officeDocument/2006/relationships/hyperlink" Target="#'18_Cap_Table'!A1" TargetMode="External" Id="rId18"/><Relationship Type="http://schemas.openxmlformats.org/officeDocument/2006/relationships/hyperlink" Target="#'19_Waterfall'!A1" TargetMode="External" Id="rId19"/><Relationship Type="http://schemas.openxmlformats.org/officeDocument/2006/relationships/hyperlink" Target="#'20_Unit_Economics_per_Film'!A1" TargetMode="External" Id="rId20"/><Relationship Type="http://schemas.openxmlformats.org/officeDocument/2006/relationships/hyperlink" Target="#'21_KPI_Dashboard'!A1" TargetMode="External" Id="rId21"/><Relationship Type="http://schemas.openxmlformats.org/officeDocument/2006/relationships/hyperlink" Target="#'22_Valuation_DCF'!A1" TargetMode="External" Id="rId22"/><Relationship Type="http://schemas.openxmlformats.org/officeDocument/2006/relationships/hyperlink" Target="#'23_Valuation_Multiples'!A1" TargetMode="External" Id="rId23"/><Relationship Type="http://schemas.openxmlformats.org/officeDocument/2006/relationships/hyperlink" Target="#'24_Investor_Returns'!A1" TargetMode="External" Id="rId24"/><Relationship Type="http://schemas.openxmlformats.org/officeDocument/2006/relationships/hyperlink" Target="#'25_Exit_Scenarios'!A1" TargetMode="External" Id="rId25"/><Relationship Type="http://schemas.openxmlformats.org/officeDocument/2006/relationships/hyperlink" Target="#'26_Sensitivity'!A1" TargetMode="External" Id="rId26"/><Relationship Type="http://schemas.openxmlformats.org/officeDocument/2006/relationships/hyperlink" Target="#'27_Scenario_Analysis'!A1" TargetMode="External" Id="rId27"/><Relationship Type="http://schemas.openxmlformats.org/officeDocument/2006/relationships/hyperlink" Target="#'28_Monte_Carlo_Summary'!A1" TargetMode="External" Id="rId28"/><Relationship Type="http://schemas.openxmlformats.org/officeDocument/2006/relationships/hyperlink" Target="#'29_Risk_Register'!A1" TargetMode="External" Id="rId29"/><Relationship Type="http://schemas.openxmlformats.org/officeDocument/2006/relationships/hyperlink" Target="#'30_Market_Analysis'!A1" TargetMode="External" Id="rId30"/><Relationship Type="http://schemas.openxmlformats.org/officeDocument/2006/relationships/hyperlink" Target="#'31_Benchmarks'!A1" TargetMode="External" Id="rId31"/><Relationship Type="http://schemas.openxmlformats.org/officeDocument/2006/relationships/hyperlink" Target="#'32_Comparable_Transactions'!A1" TargetMode="External" Id="rId32"/><Relationship Type="http://schemas.openxmlformats.org/officeDocument/2006/relationships/hyperlink" Target="#'33_Gov_KPI'!A1" TargetMode="External" Id="rId33"/><Relationship Type="http://schemas.openxmlformats.org/officeDocument/2006/relationships/hyperlink" Target="#'34_Tax_Schedule'!A1" TargetMode="External" Id="rId34"/><Relationship Type="http://schemas.openxmlformats.org/officeDocument/2006/relationships/hyperlink" Target="#'35_Roadmap_2026_2032'!A1" TargetMode="External" Id="rId35"/><Relationship Type="http://schemas.openxmlformats.org/officeDocument/2006/relationships/hyperlink" Target="#'36_Executive_Summary'!A1" TargetMode="External" Id="rId36"/><Relationship Type="http://schemas.openxmlformats.org/officeDocument/2006/relationships/hyperlink" Target="#'37_Glossary'!A1" TargetMode="External" Id="rId37"/><Relationship Type="http://schemas.openxmlformats.org/officeDocument/2006/relationships/hyperlink" Target="#'38_Notes_and_Sources'!A1" TargetMode="External" Id="rId38"/><Relationship Type="http://schemas.openxmlformats.org/officeDocument/2006/relationships/hyperlink" Target="#'39_TOC'!A1" TargetMode="External" Id="rId39"/><Relationship Type="http://schemas.openxmlformats.org/officeDocument/2006/relationships/hyperlink" Target="#'40_Investor_Checklist'!A1" TargetMode="External" Id="rId40"/><Relationship Type="http://schemas.openxmlformats.org/officeDocument/2006/relationships/hyperlink" Target="#'41_Print_Setup'!A1" TargetMode="External" Id="rId41"/><Relationship Type="http://schemas.openxmlformats.org/officeDocument/2006/relationships/hyperlink" Target="#'42_Cover_Letter'!A1" TargetMode="External" Id="rId42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2:L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2" ht="22" customHeight="1">
      <c r="B2" s="1" t="inlineStr">
        <is>
          <t>ТРЕНДСТУДИО</t>
        </is>
      </c>
    </row>
    <row r="4" ht="36" customHeight="1">
      <c r="B4" s="2" t="inlineStr">
        <is>
          <t>ИНВЕСТИЦИОННАЯ ФИНАНСОВАЯ МОДЕЛЬ</t>
        </is>
      </c>
    </row>
    <row r="5" ht="22" customHeight="1">
      <c r="B5" s="3" t="inlineStr">
        <is>
          <t>Холдинг кинопроизводства «ТрендСтудио»</t>
        </is>
      </c>
    </row>
    <row r="7" ht="24" customHeight="1">
      <c r="B7" s="135" t="inlineStr">
        <is>
          <t>КЛЮЧЕВЫЕ МЕТРИКИ  ·  2026–2028  ·  Dual-metric представление</t>
        </is>
      </c>
      <c r="L7" s="136"/>
    </row>
    <row r="8" ht="36" customHeight="1">
      <c r="B8" s="137" t="inlineStr">
        <is>
          <t>4 545</t>
        </is>
      </c>
      <c r="C8" s="185"/>
      <c r="D8" s="137" t="inlineStr">
        <is>
          <t>2 152</t>
        </is>
      </c>
      <c r="E8" s="185"/>
      <c r="F8" s="138" t="inlineStr">
        <is>
          <t>3 000</t>
        </is>
      </c>
      <c r="G8" s="185"/>
      <c r="H8" s="137" t="inlineStr">
        <is>
          <t>1 689</t>
        </is>
      </c>
      <c r="I8" s="185"/>
      <c r="J8" s="137" t="inlineStr">
        <is>
          <t>1 250</t>
        </is>
      </c>
      <c r="K8" s="185"/>
      <c r="L8" s="136"/>
    </row>
    <row r="9" ht="20" customHeight="1">
      <c r="B9" s="139" t="inlineStr">
        <is>
          <t>Revenue (Выручка)  ·  Σ 2026–2028</t>
        </is>
      </c>
      <c r="C9" s="185"/>
      <c r="D9" s="139" t="inlineStr">
        <is>
          <t xml:space="preserve">EBITDA (прибыль до вычетов) GAAP </t>
        </is>
      </c>
      <c r="E9" s="185"/>
      <c r="F9" s="140" t="inlineStr">
        <is>
          <t>NDP (чистые распределяемые поступления) (Net Distrib. Proc.)</t>
        </is>
      </c>
      <c r="G9" s="185"/>
      <c r="H9" s="139" t="inlineStr">
        <is>
          <t>Net Profit (Чистая прибыль)</t>
        </is>
      </c>
      <c r="I9" s="185"/>
      <c r="J9" s="139" t="inlineStr">
        <is>
          <t>Investment (Инвестиция)  ·  T₁</t>
        </is>
      </c>
      <c r="K9" s="185"/>
      <c r="L9" s="136"/>
    </row>
    <row r="10" ht="18" customHeight="1">
      <c r="B10" s="141" t="inlineStr">
        <is>
          <t>млн ₽</t>
        </is>
      </c>
      <c r="C10" s="185"/>
      <c r="D10" s="141" t="inlineStr">
        <is>
          <t>млн ₽  ·  стандарт</t>
        </is>
      </c>
      <c r="E10" s="185"/>
      <c r="F10" s="142" t="inlineStr">
        <is>
          <t>млн ₽  ·  legacy (базовый вариант)</t>
        </is>
      </c>
      <c r="G10" s="185"/>
      <c r="H10" s="141" t="inlineStr">
        <is>
          <t>млн ₽  ·  после 20% налога</t>
        </is>
      </c>
      <c r="I10" s="185"/>
      <c r="J10" s="141" t="inlineStr">
        <is>
          <t>млн ₽  ·  4 транша</t>
        </is>
      </c>
      <c r="K10" s="185"/>
      <c r="L10" s="136"/>
    </row>
    <row r="11"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</row>
    <row r="12" ht="18" customHeight="1">
      <c r="B12" s="143" t="inlineStr">
        <is>
          <t>Dual-metric подход: EBITDA (прибыль до вычетов) GAAP 2 152 млн ₽ — стандартный бухгалтерский показатель для мультипликаторов и DCF (дисконтированный денежный поток).  NDP (чистые распределяемые поступления) (3 000 млн ₽) — legacy (базовый вариант)-якорь v1.4.4, суммарные распределяемые денежные потоки к пайщикам JV (совместное предприятие). Детальный мост EBITDA (EBITDA) → NDP — на листе 09_P&amp;L_Statement.</t>
        </is>
      </c>
      <c r="L12" s="136"/>
    </row>
    <row r="13" ht="18" customHeight="1">
      <c r="L13" s="136"/>
    </row>
    <row r="14" ht="30" customHeight="1"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</row>
    <row r="15" ht="22" customHeight="1">
      <c r="B15" s="144" t="inlineStr">
        <is>
          <t>СЦЕНАРИИ  ·  Bear (Пессимистичный)  /  Base (Базовый)  /  Bull (Оптимистичный)</t>
        </is>
      </c>
      <c r="L15" s="136"/>
    </row>
    <row r="16">
      <c r="B16" s="145" t="inlineStr">
        <is>
          <t>Показатель</t>
        </is>
      </c>
      <c r="C16" s="186"/>
      <c r="D16" s="186"/>
      <c r="E16" s="187"/>
      <c r="F16" s="145" t="inlineStr">
        <is>
          <t>Bear (Пессимистичный) (0.70×)</t>
        </is>
      </c>
      <c r="G16" s="187"/>
      <c r="H16" s="146" t="inlineStr">
        <is>
          <t>Base (Базовый) (1.00×)</t>
        </is>
      </c>
      <c r="I16" s="187"/>
      <c r="J16" s="145" t="inlineStr">
        <is>
          <t>Bull (Оптимистичный) (1.25×)</t>
        </is>
      </c>
      <c r="K16" s="187"/>
      <c r="L16" s="136"/>
    </row>
    <row r="17" ht="18" customHeight="1">
      <c r="B17" s="147" t="inlineStr">
        <is>
          <t>Revenue (Выручка) Σ, млн ₽</t>
        </is>
      </c>
      <c r="C17" s="186"/>
      <c r="D17" s="186"/>
      <c r="E17" s="187"/>
      <c r="F17" s="148" t="inlineStr">
        <is>
          <t>3 181</t>
        </is>
      </c>
      <c r="G17" s="187"/>
      <c r="H17" s="146" t="inlineStr">
        <is>
          <t>4 545</t>
        </is>
      </c>
      <c r="I17" s="187"/>
      <c r="J17" s="148" t="inlineStr">
        <is>
          <t>5 681</t>
        </is>
      </c>
      <c r="K17" s="187"/>
      <c r="L17" s="136"/>
    </row>
    <row r="18" ht="18" customHeight="1">
      <c r="B18" s="147" t="inlineStr">
        <is>
          <t>EBITDA (прибыль до вычетов) GAAP, млн ₽</t>
        </is>
      </c>
      <c r="C18" s="186"/>
      <c r="D18" s="186"/>
      <c r="E18" s="187"/>
      <c r="F18" s="148" t="inlineStr">
        <is>
          <t>1 506</t>
        </is>
      </c>
      <c r="G18" s="187"/>
      <c r="H18" s="146" t="inlineStr">
        <is>
          <t>2 152</t>
        </is>
      </c>
      <c r="I18" s="187"/>
      <c r="J18" s="148" t="inlineStr">
        <is>
          <t>2 690</t>
        </is>
      </c>
      <c r="K18" s="187"/>
      <c r="L18" s="136"/>
    </row>
    <row r="19" ht="18" customHeight="1">
      <c r="B19" s="147" t="inlineStr">
        <is>
          <t>NDP (чистые распределяемые поступления) Σ, млн ₽</t>
        </is>
      </c>
      <c r="C19" s="186"/>
      <c r="D19" s="186"/>
      <c r="E19" s="187"/>
      <c r="F19" s="148" t="inlineStr">
        <is>
          <t>2 100</t>
        </is>
      </c>
      <c r="G19" s="187"/>
      <c r="H19" s="146" t="inlineStr">
        <is>
          <t>3 000</t>
        </is>
      </c>
      <c r="I19" s="187"/>
      <c r="J19" s="148" t="inlineStr">
        <is>
          <t>3 750</t>
        </is>
      </c>
      <c r="K19" s="187"/>
      <c r="L19" s="136"/>
    </row>
    <row r="20" ht="18" customHeight="1">
      <c r="B20" s="147" t="inlineStr">
        <is>
          <t>Net Profit (Чистая прибыль), млн ₽</t>
        </is>
      </c>
      <c r="C20" s="186"/>
      <c r="D20" s="186"/>
      <c r="E20" s="187"/>
      <c r="F20" s="148" t="inlineStr">
        <is>
          <t>1 182</t>
        </is>
      </c>
      <c r="G20" s="187"/>
      <c r="H20" s="146" t="inlineStr">
        <is>
          <t>1 689</t>
        </is>
      </c>
      <c r="I20" s="187"/>
      <c r="J20" s="148" t="inlineStr">
        <is>
          <t>2 111</t>
        </is>
      </c>
      <c r="K20" s="187"/>
      <c r="L20" s="136"/>
    </row>
    <row r="21" ht="18" customHeight="1">
      <c r="B21" s="147" t="inlineStr">
        <is>
          <t>IRR (внутренняя норма доходности) (5-year), %</t>
        </is>
      </c>
      <c r="C21" s="186"/>
      <c r="D21" s="186"/>
      <c r="E21" s="187"/>
      <c r="F21" s="148" t="inlineStr">
        <is>
          <t>~14 %</t>
        </is>
      </c>
      <c r="G21" s="187"/>
      <c r="H21" s="146" t="inlineStr">
        <is>
          <t>~22 %</t>
        </is>
      </c>
      <c r="I21" s="187"/>
      <c r="J21" s="148" t="inlineStr">
        <is>
          <t>~31 %</t>
        </is>
      </c>
      <c r="K21" s="187"/>
      <c r="L21" s="136"/>
    </row>
    <row r="22" ht="20" customHeight="1"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</row>
    <row r="23" ht="18" customHeight="1"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</row>
    <row r="24" ht="18" customHeight="1"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</row>
    <row r="25" ht="18" customHeight="1"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</row>
    <row r="26" ht="18" customHeight="1">
      <c r="B26" s="15" t="inlineStr">
        <is>
          <t>Автор:</t>
        </is>
      </c>
      <c r="C26" s="16" t="inlineStr">
        <is>
          <t>Команда ТрендСтудио (подготовлено для инвестора)</t>
        </is>
      </c>
    </row>
    <row r="27" ht="18" customHeight="1">
      <c r="B27" s="15" t="inlineStr">
        <is>
          <t>Целевая аудитория:</t>
        </is>
      </c>
      <c r="C27" s="16" t="inlineStr">
        <is>
          <t>Государственный сектор (Фонд кино / ВЭБ) + Стратегический медиахолдинг</t>
        </is>
      </c>
    </row>
    <row r="28" ht="18" customHeight="1">
      <c r="B28" s="15" t="inlineStr">
        <is>
          <t>Базовая дата расчётов:</t>
        </is>
      </c>
      <c r="C28" s="16" t="inlineStr">
        <is>
          <t>01.01.2026</t>
        </is>
      </c>
    </row>
    <row r="29" ht="18" customHeight="1">
      <c r="B29" s="15" t="inlineStr">
        <is>
          <t>Горизонт прогноза:</t>
        </is>
      </c>
      <c r="C29" s="16" t="inlineStr">
        <is>
          <t>2026–2032 (Q1 2026–Q4 2028 поквартально, 2029–2032 годовые)</t>
        </is>
      </c>
    </row>
    <row r="30" ht="18" customHeight="1">
      <c r="B30" s="15" t="inlineStr">
        <is>
          <t>Единица измерения:</t>
        </is>
      </c>
      <c r="C30" s="16" t="inlineStr">
        <is>
          <t>млн ₽ (если не указано иное)</t>
        </is>
      </c>
    </row>
    <row r="31" ht="18" customHeight="1">
      <c r="B31" s="15" t="inlineStr">
        <is>
          <t>Основа:</t>
        </is>
      </c>
      <c r="C31" s="16" t="inlineStr">
        <is>
          <t>v3.0 (на базе v1.4.4, 348 тестов) — реструктуризация: 5 фильмов + 2 сериала</t>
        </is>
      </c>
    </row>
    <row r="32" ht="18" customHeight="1">
      <c r="B32" s="15" t="inlineStr">
        <is>
          <t>Верификация:</t>
        </is>
      </c>
      <c r="C32" s="16" t="inlineStr">
        <is>
          <t>П5 «Максимум» 32/32 механизма</t>
        </is>
      </c>
    </row>
    <row r="33" ht="18" customHeight="1">
      <c r="B33" s="15" t="inlineStr">
        <is>
          <t>Защита:</t>
        </is>
      </c>
      <c r="C33" s="16" t="inlineStr">
        <is>
          <t>Формулы защищены; допущения — редактируемые (Assumptions)</t>
        </is>
      </c>
    </row>
    <row r="35" ht="18" customHeight="1">
      <c r="B35" s="17" t="inlineStr">
        <is>
          <t>ДИСКЛЕЙМЕР</t>
        </is>
      </c>
    </row>
    <row r="36" ht="16" customHeight="1">
      <c r="B36" s="18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</row>
    <row r="37" ht="16" customHeight="1"/>
    <row r="38" ht="16" customHeight="1"/>
    <row r="39" ht="16" customHeight="1"/>
    <row r="41">
      <c r="B41" s="522" t="inlineStr">
        <is>
          <t>🔒 INTERNAL v3.0 — management use only</t>
        </is>
      </c>
    </row>
    <row r="42">
      <c r="B42" s="524" t="inlineStr">
        <is>
          <t>Internal v3.0 — 42 листа. Реструктуризация пайплайна: 7 проектов (5 фильмов + 2 сериала).</t>
        </is>
      </c>
    </row>
  </sheetData>
  <mergeCells count="57">
    <mergeCell ref="B4:F4"/>
    <mergeCell ref="D10:E10"/>
    <mergeCell ref="H20:I20"/>
    <mergeCell ref="F10:G10"/>
    <mergeCell ref="F16:G16"/>
    <mergeCell ref="H10:I10"/>
    <mergeCell ref="F19:G19"/>
    <mergeCell ref="J10:K10"/>
    <mergeCell ref="B15:K15"/>
    <mergeCell ref="J19:K19"/>
    <mergeCell ref="B12:K13"/>
    <mergeCell ref="C32:F32"/>
    <mergeCell ref="B20:E20"/>
    <mergeCell ref="H9:I9"/>
    <mergeCell ref="C28:F28"/>
    <mergeCell ref="J9:K9"/>
    <mergeCell ref="F21:G21"/>
    <mergeCell ref="H21:I21"/>
    <mergeCell ref="B2:F2"/>
    <mergeCell ref="B41:N41"/>
    <mergeCell ref="F20:G20"/>
    <mergeCell ref="B16:E16"/>
    <mergeCell ref="F18:G18"/>
    <mergeCell ref="C30:F30"/>
    <mergeCell ref="B7:K7"/>
    <mergeCell ref="C33:F33"/>
    <mergeCell ref="B36:F39"/>
    <mergeCell ref="B8:C8"/>
    <mergeCell ref="F17:G17"/>
    <mergeCell ref="F8:G8"/>
    <mergeCell ref="H17:I17"/>
    <mergeCell ref="B18:E18"/>
    <mergeCell ref="J20:K20"/>
    <mergeCell ref="H16:I16"/>
    <mergeCell ref="J16:K16"/>
    <mergeCell ref="C26:F26"/>
    <mergeCell ref="B10:C10"/>
    <mergeCell ref="B21:E21"/>
    <mergeCell ref="C29:F29"/>
    <mergeCell ref="H19:I19"/>
    <mergeCell ref="B9:C9"/>
    <mergeCell ref="D9:E9"/>
    <mergeCell ref="F9:G9"/>
    <mergeCell ref="B42:N42"/>
    <mergeCell ref="D8:E8"/>
    <mergeCell ref="B17:E17"/>
    <mergeCell ref="J21:K21"/>
    <mergeCell ref="C31:F31"/>
    <mergeCell ref="H18:I18"/>
    <mergeCell ref="B5:F5"/>
    <mergeCell ref="J18:K18"/>
    <mergeCell ref="B19:E19"/>
    <mergeCell ref="H8:I8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18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42" customWidth="1" min="3" max="3"/>
    <col width="18" customWidth="1" min="4" max="4"/>
    <col width="10" customWidth="1" min="5" max="5"/>
    <col width="38" customWidth="1" min="6" max="6"/>
    <col width="2" customWidth="1" min="7" max="7"/>
  </cols>
  <sheetData>
    <row r="2" ht="30" customHeight="1">
      <c r="B2" s="19" t="inlineStr">
        <is>
          <t>ДОПУЩЕНИЯ МОДЕЛИ (Assumptions)</t>
        </is>
      </c>
    </row>
    <row r="3">
      <c r="B3" s="20" t="inlineStr">
        <is>
          <t>Все расчёты модели ссылаются на этот лист. 🔵 синий = ввод  ·  ⚫ чёрный = расчёт  ·  🟢 зелёный = ссылка</t>
        </is>
      </c>
    </row>
    <row r="5" ht="22" customHeight="1">
      <c r="B5" s="21" t="inlineStr">
        <is>
          <t>#</t>
        </is>
      </c>
      <c r="C5" s="21" t="inlineStr">
        <is>
          <t>Параметр</t>
        </is>
      </c>
      <c r="D5" s="21" t="inlineStr">
        <is>
          <t>Значение</t>
        </is>
      </c>
      <c r="E5" s="21" t="inlineStr">
        <is>
          <t>Ед.изм.</t>
        </is>
      </c>
      <c r="F5" s="21" t="inlineStr">
        <is>
          <t>Примечание / источник</t>
        </is>
      </c>
    </row>
    <row r="6" ht="20" customHeight="1">
      <c r="B6" s="14" t="inlineStr">
        <is>
          <t>A. МАКРО-ДОПУЩЕНИЯ</t>
        </is>
      </c>
    </row>
    <row r="7" ht="18" customHeight="1">
      <c r="B7" s="22" t="n">
        <v>1</v>
      </c>
      <c r="C7" s="23" t="inlineStr">
        <is>
          <t>Инфляция РФ (CPI), годовая</t>
        </is>
      </c>
      <c r="D7" s="24" t="n">
        <v>0.065</v>
      </c>
      <c r="E7" s="22" t="inlineStr">
        <is>
          <t>%</t>
        </is>
      </c>
      <c r="F7" s="25" t="inlineStr">
        <is>
          <t>ЦБ РФ прогноз, Base (Базовый) 6.5% 2026–2028</t>
        </is>
      </c>
    </row>
    <row r="8" ht="18" customHeight="1">
      <c r="B8" s="22" t="n">
        <v>2</v>
      </c>
      <c r="C8" s="23" t="inlineStr">
        <is>
          <t>Ключевая ставка (среднегодовая)</t>
        </is>
      </c>
      <c r="D8" s="24" t="n">
        <v>0.14</v>
      </c>
      <c r="E8" s="22" t="inlineStr">
        <is>
          <t>%</t>
        </is>
      </c>
      <c r="F8" s="25" t="inlineStr">
        <is>
          <t>ЦБ РФ, Base (Базовый) 14% 2026</t>
        </is>
      </c>
    </row>
    <row r="9" ht="18" customHeight="1">
      <c r="B9" s="22" t="n">
        <v>3</v>
      </c>
      <c r="C9" s="23" t="inlineStr">
        <is>
          <t>WACC (средневзвешенная стоимость капитала) для DCF (дисконтированный денежный поток) (Russian media)</t>
        </is>
      </c>
      <c r="D9" s="24" t="n">
        <v>0.2</v>
      </c>
      <c r="E9" s="22" t="inlineStr">
        <is>
          <t>%</t>
        </is>
      </c>
      <c r="F9" s="25" t="inlineStr">
        <is>
          <t>Бенчмарк рос. медиа 18–22%, Base (Базовый) 20%</t>
        </is>
      </c>
    </row>
    <row r="10" ht="18" customHeight="1">
      <c r="B10" s="22" t="n">
        <v>4</v>
      </c>
      <c r="C10" s="23" t="inlineStr">
        <is>
          <t>Налог на прибыль РФ</t>
        </is>
      </c>
      <c r="D10" s="24" t="n">
        <v>0.2</v>
      </c>
      <c r="E10" s="22" t="inlineStr">
        <is>
          <t>%</t>
        </is>
      </c>
      <c r="F10" s="25" t="inlineStr">
        <is>
          <t>НК РФ, Глава 25</t>
        </is>
      </c>
    </row>
    <row r="11" ht="18" customHeight="1">
      <c r="B11" s="22" t="n">
        <v>5</v>
      </c>
      <c r="C11" s="23" t="inlineStr">
        <is>
          <t>Страховые взносы (работодатель)</t>
        </is>
      </c>
      <c r="D11" s="24" t="n">
        <v>0.3</v>
      </c>
      <c r="E11" s="22" t="inlineStr">
        <is>
          <t>%</t>
        </is>
      </c>
      <c r="F11" s="25" t="inlineStr">
        <is>
          <t>ПФР+ФОМС+ФСС, 30% + 0.2% НС (округл. 30%)</t>
        </is>
      </c>
    </row>
    <row r="12" ht="18" customHeight="1">
      <c r="B12" s="22" t="n">
        <v>6</v>
      </c>
      <c r="C12" s="23" t="inlineStr">
        <is>
          <t>Ставка дисконта для payback (номинальный)</t>
        </is>
      </c>
      <c r="D12" s="24" t="n">
        <v>0.15</v>
      </c>
      <c r="E12" s="22" t="inlineStr">
        <is>
          <t>%</t>
        </is>
      </c>
      <c r="F12" s="25" t="inlineStr">
        <is>
          <t>Инвестор-ориентир, консервативная</t>
        </is>
      </c>
    </row>
    <row r="13" ht="18" customHeight="1">
      <c r="B13" s="22" t="n">
        <v>7</v>
      </c>
      <c r="C13" s="23" t="inlineStr">
        <is>
          <t>Terminal growth (Терминальный рост) (Gordon)</t>
        </is>
      </c>
      <c r="D13" s="24" t="n">
        <v>0.03</v>
      </c>
      <c r="E13" s="22" t="inlineStr">
        <is>
          <t>%</t>
        </is>
      </c>
      <c r="F13" s="25" t="inlineStr">
        <is>
          <t>Long-run GDP RF, Base (Базовый) 3%</t>
        </is>
      </c>
    </row>
    <row r="14" ht="18" customHeight="1">
      <c r="B14" s="22" t="n">
        <v>8</v>
      </c>
      <c r="C14" s="23" t="inlineStr">
        <is>
          <t>Курс USD/RUB</t>
        </is>
      </c>
      <c r="D14" s="26" t="n">
        <v>95</v>
      </c>
      <c r="E14" s="22" t="inlineStr">
        <is>
          <t>RUB</t>
        </is>
      </c>
      <c r="F14" s="25" t="inlineStr">
        <is>
          <t>Для международных продаж и лицензий</t>
        </is>
      </c>
    </row>
    <row r="16" ht="20" customHeight="1">
      <c r="B16" s="14" t="inlineStr">
        <is>
          <t>B. АНКЕТНЫЕ ЯКОРЯ (v1.4.4 + legacy (базовый вариант))</t>
        </is>
      </c>
    </row>
    <row r="17" ht="18" customHeight="1">
      <c r="B17" s="22" t="n">
        <v>9</v>
      </c>
      <c r="C17" s="23" t="inlineStr">
        <is>
          <t>Cumulative EBITDA (прибыль до вычетов) 2026–2028 Base (Базовый)</t>
        </is>
      </c>
      <c r="D17" s="26" t="n">
        <v>3000</v>
      </c>
      <c r="E17" s="22" t="inlineStr">
        <is>
          <t>млн ₽</t>
        </is>
      </c>
      <c r="F17" s="25" t="inlineStr">
        <is>
          <t>Якорь L4+N3, tolerance ±1%</t>
        </is>
      </c>
    </row>
    <row r="18" ht="18" customHeight="1">
      <c r="B18" s="22" t="n">
        <v>10</v>
      </c>
      <c r="C18" s="23" t="inlineStr">
        <is>
          <t>Total (Итого) investment</t>
        </is>
      </c>
      <c r="D18" s="26" t="n">
        <v>1250</v>
      </c>
      <c r="E18" s="22" t="inlineStr">
        <is>
          <t>млн ₽</t>
        </is>
      </c>
      <c r="F18" s="25" t="inlineStr">
        <is>
          <t>4 транша 20/28/28/24% (legacy (базовый вариант))</t>
        </is>
      </c>
    </row>
    <row r="19" ht="18" customHeight="1">
      <c r="B19" s="22" t="n">
        <v>11</v>
      </c>
      <c r="C19" s="23" t="inlineStr">
        <is>
          <t>Total (Итого) content budget (бюджет) (5 фильмов + 2 сериала)</t>
        </is>
      </c>
      <c r="D19" s="26" t="n">
        <v>1850</v>
      </c>
      <c r="E19" s="22" t="inlineStr">
        <is>
          <t>млн ₽</t>
        </is>
      </c>
      <c r="F19" s="25" t="inlineStr">
        <is>
          <t>invest 1250 + producer equity (доля в капитале) 600</t>
        </is>
      </c>
    </row>
    <row r="20" ht="18" customHeight="1">
      <c r="B20" s="22" t="n">
        <v>12</v>
      </c>
      <c r="C20" s="23" t="inlineStr">
        <is>
          <t>Target revenue 2026–2028 Base (Базовый)</t>
        </is>
      </c>
      <c r="D20" s="26" t="n">
        <v>4545</v>
      </c>
      <c r="E20" s="22" t="inlineStr">
        <is>
          <t>млн ₽</t>
        </is>
      </c>
      <c r="F20" s="25" t="inlineStr">
        <is>
          <t>7 проектов × 649.29 млн средняя</t>
        </is>
      </c>
    </row>
    <row r="21" ht="18" customHeight="1">
      <c r="B21" s="22" t="n">
        <v>13</v>
      </c>
      <c r="C21" s="23" t="inlineStr">
        <is>
          <t>Target Net Profit (Чистая прибыль) 2026–2028</t>
        </is>
      </c>
      <c r="D21" s="26" t="n">
        <v>2280</v>
      </c>
      <c r="E21" s="22" t="inlineStr">
        <is>
          <t>млн ₽</t>
        </is>
      </c>
      <c r="F21" s="25" t="inlineStr">
        <is>
          <t>после налога 20%</t>
        </is>
      </c>
    </row>
    <row r="22" ht="18" customHeight="1">
      <c r="B22" s="22" t="n">
        <v>14</v>
      </c>
      <c r="C22" s="23" t="inlineStr">
        <is>
          <t>Количество проектов в портфеле</t>
        </is>
      </c>
      <c r="D22" s="27">
        <v>7</v>
      </c>
      <c r="E22" s="22" t="inlineStr">
        <is>
          <t>шт</t>
        </is>
      </c>
      <c r="F22" s="25" t="inlineStr">
        <is>
          <t>Холдинг Кино.xlsx / модель</t>
        </is>
      </c>
    </row>
    <row r="23" ht="18" customHeight="1">
      <c r="B23" s="22" t="n">
        <v>15</v>
      </c>
      <c r="C23" s="23" t="inlineStr">
        <is>
          <t>Средний бюджет проекта</t>
        </is>
      </c>
      <c r="D23" s="26">
        <v>264.3</v>
      </c>
      <c r="E23" s="22" t="inlineStr">
        <is>
          <t>млн ₽</t>
        </is>
      </c>
      <c r="F23" s="25" t="inlineStr">
        <is>
          <t>1850 / 7</t>
        </is>
      </c>
    </row>
    <row r="25" ht="20" customHeight="1">
      <c r="B25" s="14" t="inlineStr">
        <is>
          <t>C. РАСПИСАНИЕ ТРАНШЕЙ (T₁ Legacy (Базовый вариант))</t>
        </is>
      </c>
    </row>
    <row r="26" ht="18" customHeight="1">
      <c r="B26" s="22" t="n">
        <v>16</v>
      </c>
      <c r="C26" s="23" t="inlineStr">
        <is>
          <t>Транш 1 (Q1 2026), % от total</t>
        </is>
      </c>
      <c r="D26" s="24" t="n">
        <v>0.2</v>
      </c>
      <c r="E26" s="22" t="inlineStr">
        <is>
          <t>%</t>
        </is>
      </c>
      <c r="F26" s="25" t="inlineStr">
        <is>
          <t>250 млн ₽</t>
        </is>
      </c>
    </row>
    <row r="27" ht="18" customHeight="1">
      <c r="B27" s="22" t="n">
        <v>17</v>
      </c>
      <c r="C27" s="23" t="inlineStr">
        <is>
          <t>Транш 2 (Q2 2026), % от total</t>
        </is>
      </c>
      <c r="D27" s="24" t="n">
        <v>0.28</v>
      </c>
      <c r="E27" s="22" t="inlineStr">
        <is>
          <t>%</t>
        </is>
      </c>
      <c r="F27" s="25" t="inlineStr">
        <is>
          <t>350 млн ₽</t>
        </is>
      </c>
    </row>
    <row r="28" ht="18" customHeight="1">
      <c r="B28" s="22" t="n">
        <v>18</v>
      </c>
      <c r="C28" s="23" t="inlineStr">
        <is>
          <t>Транш 3 (Q3 2026), % от total</t>
        </is>
      </c>
      <c r="D28" s="24" t="n">
        <v>0.28</v>
      </c>
      <c r="E28" s="22" t="inlineStr">
        <is>
          <t>%</t>
        </is>
      </c>
      <c r="F28" s="25" t="inlineStr">
        <is>
          <t>350 млн ₽</t>
        </is>
      </c>
    </row>
    <row r="29" ht="18" customHeight="1">
      <c r="B29" s="22" t="n">
        <v>19</v>
      </c>
      <c r="C29" s="23" t="inlineStr">
        <is>
          <t>Транш 4 (Q4 2026), % от total</t>
        </is>
      </c>
      <c r="D29" s="24" t="n">
        <v>0.24</v>
      </c>
      <c r="E29" s="22" t="inlineStr">
        <is>
          <t>%</t>
        </is>
      </c>
      <c r="F29" s="25" t="inlineStr">
        <is>
          <t>300 млн ₽</t>
        </is>
      </c>
    </row>
    <row r="31" ht="20" customHeight="1">
      <c r="B31" s="14" t="inlineStr">
        <is>
          <t>D. АЛЬТЕРНАТИВНЫЙ ТИКЕТ (T₂ New Deal)</t>
        </is>
      </c>
    </row>
    <row r="32" ht="18" customHeight="1">
      <c r="B32" s="22" t="n">
        <v>20</v>
      </c>
      <c r="C32" s="23" t="inlineStr">
        <is>
          <t>Базовый тикет (New)</t>
        </is>
      </c>
      <c r="D32" s="26" t="n">
        <v>500</v>
      </c>
      <c r="E32" s="22" t="inlineStr">
        <is>
          <t>млн ₽</t>
        </is>
      </c>
      <c r="F32" s="25" t="inlineStr">
        <is>
          <t>За 20% equity (доля в капитале), диапазон 300–800</t>
        </is>
      </c>
    </row>
    <row r="33" ht="18" customHeight="1">
      <c r="B33" s="22" t="n">
        <v>21</v>
      </c>
      <c r="C33" s="23" t="inlineStr">
        <is>
          <t>Базовая доля (New)</t>
        </is>
      </c>
      <c r="D33" s="24" t="n">
        <v>0.2</v>
      </c>
      <c r="E33" s="22" t="inlineStr">
        <is>
          <t>%</t>
        </is>
      </c>
      <c r="F33" s="25" t="inlineStr">
        <is>
          <t>20%, диапазон 10–30%</t>
        </is>
      </c>
    </row>
    <row r="34" ht="18" customHeight="1">
      <c r="B34" s="22" t="n">
        <v>22</v>
      </c>
      <c r="C34" s="23" t="inlineStr">
        <is>
          <t>Pre-money valuation (базовый)</t>
        </is>
      </c>
      <c r="D34" s="26" t="n">
        <v>2000</v>
      </c>
      <c r="E34" s="22" t="inlineStr">
        <is>
          <t>млн ₽</t>
        </is>
      </c>
      <c r="F34" s="25" t="inlineStr">
        <is>
          <t>500 / 20% - 500</t>
        </is>
      </c>
    </row>
    <row r="35" ht="18" customHeight="1">
      <c r="B35" s="22" t="n">
        <v>23</v>
      </c>
      <c r="C35" s="23" t="inlineStr">
        <is>
          <t>Post-money valuation (базовый)</t>
        </is>
      </c>
      <c r="D35" s="26" t="n">
        <v>2500</v>
      </c>
      <c r="E35" s="22" t="inlineStr">
        <is>
          <t>млн ₽</t>
        </is>
      </c>
      <c r="F35" s="25" t="inlineStr">
        <is>
          <t>pre-money (доинвестиц.) + 500</t>
        </is>
      </c>
    </row>
    <row r="36" ht="18" customHeight="1">
      <c r="B36" s="22" t="n">
        <v>24</v>
      </c>
      <c r="C36" s="23" t="inlineStr">
        <is>
          <t>Coupon (Купон)</t>
        </is>
      </c>
      <c r="D36" s="24" t="n">
        <v>0.08</v>
      </c>
      <c r="E36" s="22" t="inlineStr">
        <is>
          <t>%</t>
        </is>
      </c>
      <c r="F36" s="25" t="inlineStr">
        <is>
          <t>8% годовых</t>
        </is>
      </c>
    </row>
    <row r="38" ht="20" customHeight="1">
      <c r="B38" s="14" t="inlineStr">
        <is>
          <t>E. РАСПРЕДЕЛЕНИЕ ПРИБЫЛИ (Waterfall (Каскад) — 4 варианта)</t>
        </is>
      </c>
    </row>
    <row r="39" ht="18" customHeight="1">
      <c r="B39" s="22" t="n">
        <v>25</v>
      </c>
      <c r="C39" s="23" t="inlineStr">
        <is>
          <t>W₁ Инвестор фаза I</t>
        </is>
      </c>
      <c r="D39" s="24" t="n">
        <v>0.6</v>
      </c>
      <c r="E39" s="22" t="inlineStr">
        <is>
          <t>%</t>
        </is>
      </c>
      <c r="F39" s="25" t="inlineStr">
        <is>
          <t>Legacy (Базовый вариант) 60/40</t>
        </is>
      </c>
    </row>
    <row r="40" ht="18" customHeight="1">
      <c r="B40" s="22" t="n">
        <v>26</v>
      </c>
      <c r="C40" s="23" t="inlineStr">
        <is>
          <t>W₁ Продюсер фаза I</t>
        </is>
      </c>
      <c r="D40" s="24" t="n">
        <v>0.4</v>
      </c>
      <c r="E40" s="22" t="inlineStr">
        <is>
          <t>%</t>
        </is>
      </c>
      <c r="F40" s="25" t="inlineStr">
        <is>
          <t>Legacy (Базовый вариант) 60/40</t>
        </is>
      </c>
    </row>
    <row r="41" ht="18" customHeight="1">
      <c r="B41" s="22" t="n">
        <v>27</v>
      </c>
      <c r="C41" s="23" t="inlineStr">
        <is>
          <t>W₁ Инвестор фаза II</t>
        </is>
      </c>
      <c r="D41" s="24" t="n">
        <v>0.5</v>
      </c>
      <c r="E41" s="22" t="inlineStr">
        <is>
          <t>%</t>
        </is>
      </c>
      <c r="F41" s="25" t="inlineStr">
        <is>
          <t>Legacy (Базовый вариант) 50/50</t>
        </is>
      </c>
    </row>
    <row r="42" ht="18" customHeight="1">
      <c r="B42" s="22" t="n">
        <v>28</v>
      </c>
      <c r="C42" s="23" t="inlineStr">
        <is>
          <t>W₁ Продюсер фаза II</t>
        </is>
      </c>
      <c r="D42" s="24" t="n">
        <v>0.5</v>
      </c>
      <c r="E42" s="22" t="inlineStr">
        <is>
          <t>%</t>
        </is>
      </c>
      <c r="F42" s="25" t="inlineStr">
        <is>
          <t>Legacy (Базовый вариант) 50/50</t>
        </is>
      </c>
    </row>
    <row r="43" ht="18" customHeight="1">
      <c r="B43" s="22" t="n">
        <v>29</v>
      </c>
      <c r="C43" s="23" t="inlineStr">
        <is>
          <t>W₂ Pro-rata по долям</t>
        </is>
      </c>
      <c r="D43" s="24" t="n">
        <v>0.8</v>
      </c>
      <c r="E43" s="22" t="inlineStr">
        <is>
          <t>%</t>
        </is>
      </c>
      <c r="F43" s="25" t="inlineStr">
        <is>
          <t>Пропорционально equity (доля в капитале) T₂ (инвестор)</t>
        </is>
      </c>
    </row>
    <row r="44" ht="18" customHeight="1">
      <c r="B44" s="22" t="n">
        <v>30</v>
      </c>
      <c r="C44" s="23" t="inlineStr">
        <is>
          <t>W₃ 1× liquidation preference (ликвидационная привилегия)</t>
        </is>
      </c>
      <c r="D44" s="28" t="n">
        <v>1</v>
      </c>
      <c r="E44" s="22" t="inlineStr">
        <is>
          <t>×</t>
        </is>
      </c>
      <c r="F44" s="25" t="inlineStr">
        <is>
          <t>Возврат инвестиций первыми</t>
        </is>
      </c>
    </row>
    <row r="45" ht="18" customHeight="1">
      <c r="B45" s="22" t="n">
        <v>31</v>
      </c>
      <c r="C45" s="23" t="inlineStr">
        <is>
          <t>W₃ Доля участия</t>
        </is>
      </c>
      <c r="D45" s="28" t="n">
        <v>1</v>
      </c>
      <c r="E45" s="22" t="inlineStr">
        <is>
          <t>×</t>
        </is>
      </c>
      <c r="F45" s="25" t="inlineStr">
        <is>
          <t>Full participation (Полное участие) after preference</t>
        </is>
      </c>
    </row>
    <row r="46">
      <c r="B46" s="206" t="inlineStr">
        <is>
          <t>31a</t>
        </is>
      </c>
      <c r="C46" s="206" t="inlineStr">
        <is>
          <t>W₄ 1× liquidation preference (ликвидационная привилегия)</t>
        </is>
      </c>
      <c r="D46" s="525" t="n">
        <v>1</v>
      </c>
      <c r="E46" s="206" t="inlineStr">
        <is>
          <t>×</t>
        </is>
      </c>
      <c r="F46" s="159" t="inlineStr">
        <is>
          <t>Возврат инвестиций первыми</t>
        </is>
      </c>
    </row>
    <row r="47" ht="20" customHeight="1">
      <c r="B47" s="206" t="inlineStr">
        <is>
          <t>31b</t>
        </is>
      </c>
      <c r="C47" s="206" t="inlineStr">
        <is>
          <t>W₄ Preferred return (Привилегированная доходность) rate</t>
        </is>
      </c>
      <c r="D47" s="526" t="n">
        <v>0.12</v>
      </c>
      <c r="E47" s="206" t="inlineStr">
        <is>
          <t>%</t>
        </is>
      </c>
      <c r="F47" s="159" t="inlineStr">
        <is>
          <t>12% annual (годовой) × 5y cumulative</t>
        </is>
      </c>
    </row>
    <row r="48" ht="18" customHeight="1">
      <c r="B48" s="206" t="inlineStr">
        <is>
          <t>31c</t>
        </is>
      </c>
      <c r="C48" s="206" t="inlineStr">
        <is>
          <t>W₄ Preferred return (Привилегированная доходность) duration (Срок привилегированной доходности)</t>
        </is>
      </c>
      <c r="D48" s="527" t="n">
        <v>5</v>
      </c>
      <c r="E48" s="206" t="inlineStr">
        <is>
          <t>years (лет)</t>
        </is>
      </c>
      <c r="F48" s="159" t="inlineStr">
        <is>
          <t>Накопление купона до exit</t>
        </is>
      </c>
    </row>
    <row r="49" ht="18" customHeight="1">
      <c r="B49" s="206" t="inlineStr">
        <is>
          <t>31d</t>
        </is>
      </c>
      <c r="C49" s="206" t="inlineStr">
        <is>
          <t>W₄ Carry split (разделение) investor</t>
        </is>
      </c>
      <c r="D49" s="526" t="n">
        <v>0.65</v>
      </c>
      <c r="E49" s="206" t="inlineStr">
        <is>
          <t>%</t>
        </is>
      </c>
      <c r="F49" s="159" t="inlineStr">
        <is>
          <t>65% инвестор после возврата+купона</t>
        </is>
      </c>
    </row>
    <row r="50" ht="18" customHeight="1">
      <c r="B50" s="206" t="inlineStr">
        <is>
          <t>31e</t>
        </is>
      </c>
      <c r="C50" s="206" t="inlineStr">
        <is>
          <t>W₄ Carry split (разделение) producer</t>
        </is>
      </c>
      <c r="D50" s="526" t="n">
        <v>0.35</v>
      </c>
      <c r="E50" s="206" t="inlineStr">
        <is>
          <t>%</t>
        </is>
      </c>
      <c r="F50" s="159" t="inlineStr">
        <is>
          <t>35% продюсер после возврата+купона</t>
        </is>
      </c>
    </row>
    <row r="51" ht="18" customHeight="1">
      <c r="B51" s="206" t="inlineStr">
        <is>
          <t>31f</t>
        </is>
      </c>
      <c r="C51" s="206" t="inlineStr">
        <is>
          <t>W₄ Exit multiple (Мультипликатор выхода) (EV/EBITDA)</t>
        </is>
      </c>
      <c r="D51" s="525" t="n">
        <v>6</v>
      </c>
      <c r="E51" s="206" t="inlineStr">
        <is>
          <t>×</t>
        </is>
      </c>
      <c r="F51" s="159" t="inlineStr">
        <is>
          <t>Premium (Премия) к базовым 5×</t>
        </is>
      </c>
    </row>
    <row r="52" ht="18" customHeight="1">
      <c r="B52" s="206" t="inlineStr">
        <is>
          <t>31g</t>
        </is>
      </c>
      <c r="C52" s="206" t="inlineStr">
        <is>
          <t>W₄ LP (ограниченный партнёр) equity (доля в капитале) allocation</t>
        </is>
      </c>
      <c r="D52" s="526" t="n">
        <v>0.25</v>
      </c>
      <c r="E52" s="206" t="inlineStr">
        <is>
          <t>%</t>
        </is>
      </c>
      <c r="F52" s="159" t="inlineStr">
        <is>
          <t>25% доля LP (ограниченный партнёр) (Только внутреннее)</t>
        </is>
      </c>
    </row>
    <row r="53" ht="18" customHeight="1">
      <c r="B53" s="206" t="inlineStr">
        <is>
          <t>31h</t>
        </is>
      </c>
      <c r="C53" s="206" t="inlineStr">
        <is>
          <t>Target IRR (внутренняя норма доходности) W₄ Base (Базовый)</t>
        </is>
      </c>
      <c r="D53" s="526" t="n">
        <v>0.198</v>
      </c>
      <c r="E53" s="206" t="inlineStr">
        <is>
          <t>%</t>
        </is>
      </c>
      <c r="F53" s="159" t="inlineStr">
        <is>
          <t>~19.8% (расчёт в 24_Investor_Returns)</t>
        </is>
      </c>
    </row>
    <row r="54" ht="18" customHeight="1"/>
    <row r="55" ht="18" customHeight="1">
      <c r="B55" s="14" t="inlineStr">
        <is>
          <t>F. СТРУКТУРА ВЫРУЧКИ (% от average revenue)</t>
        </is>
      </c>
    </row>
    <row r="56">
      <c r="B56" s="22" t="n">
        <v>32</v>
      </c>
      <c r="C56" s="23" t="inlineStr">
        <is>
          <t>Box Office (Кассовые сборы)</t>
        </is>
      </c>
      <c r="D56" s="24">
        <v>0.38</v>
      </c>
      <c r="E56" s="22" t="inlineStr">
        <is>
          <t>%</t>
        </is>
      </c>
      <c r="F56" s="25" t="inlineStr">
        <is>
          <t>Средневзвешенная доля, снижена из-за сериалов</t>
        </is>
      </c>
    </row>
    <row r="57" ht="20" customHeight="1">
      <c r="B57" s="22" t="n">
        <v>33</v>
      </c>
      <c r="C57" s="40" t="inlineStr">
        <is>
          <t>Online SVOD (подписной стриминг)</t>
        </is>
      </c>
      <c r="D57" s="40">
        <v>0.28</v>
      </c>
      <c r="E57" s="40" t="inlineStr">
        <is>
          <t>%</t>
        </is>
      </c>
      <c r="F57" s="41" t="inlineStr">
        <is>
          <t>Повышена доля: 2 сериала увеличивают SVOD</t>
        </is>
      </c>
    </row>
    <row r="58" ht="18" customHeight="1">
      <c r="B58" s="22" t="n">
        <v>34</v>
      </c>
      <c r="C58" s="23" t="inlineStr">
        <is>
          <t>TV (телевидение) rights</t>
        </is>
      </c>
      <c r="D58" s="24">
        <v>0.12</v>
      </c>
      <c r="E58" s="22" t="inlineStr">
        <is>
          <t>%</t>
        </is>
      </c>
      <c r="F58" s="25" t="inlineStr">
        <is>
          <t>Повышена доля: сериалы на Первый, Россия-1, ТНТ</t>
        </is>
      </c>
    </row>
    <row r="59" ht="18" customHeight="1">
      <c r="B59" s="22" t="n">
        <v>35</v>
      </c>
      <c r="C59" s="23" t="inlineStr">
        <is>
          <t>Международные продажи (Международные продажи)</t>
        </is>
      </c>
      <c r="D59" s="24" t="n">
        <v>0.1</v>
      </c>
      <c r="E59" s="22" t="inlineStr">
        <is>
          <t>%</t>
        </is>
      </c>
      <c r="F59" s="25" t="inlineStr">
        <is>
          <t>СНГ + BRICS, 30–500 млн</t>
        </is>
      </c>
    </row>
    <row r="60" ht="18" customHeight="1">
      <c r="B60" s="22" t="n">
        <v>36</v>
      </c>
      <c r="C60" s="23" t="inlineStr">
        <is>
          <t>VOD (транзакционный)</t>
        </is>
      </c>
      <c r="D60" s="24" t="n">
        <v>0.04</v>
      </c>
      <c r="E60" s="22" t="inlineStr">
        <is>
          <t>%</t>
        </is>
      </c>
      <c r="F60" s="25" t="inlineStr">
        <is>
          <t>20–100 млн</t>
        </is>
      </c>
    </row>
    <row r="61" ht="18" customHeight="1">
      <c r="B61" s="22" t="n">
        <v>37</v>
      </c>
      <c r="C61" s="23" t="inlineStr">
        <is>
          <t>Спонсорство / продакт-плейсмент (Спонсорство / продакт-плейсмент)</t>
        </is>
      </c>
      <c r="D61" s="24">
        <v>0.04</v>
      </c>
      <c r="E61" s="22" t="inlineStr">
        <is>
          <t>%</t>
        </is>
      </c>
      <c r="F61" s="25" t="inlineStr">
        <is>
          <t>15–120 млн</t>
        </is>
      </c>
    </row>
    <row r="62" ht="18" customHeight="1">
      <c r="B62" s="22" t="n">
        <v>38</v>
      </c>
      <c r="C62" s="23" t="inlineStr">
        <is>
          <t>Мерчандайзинг (Мерчандайзинг)</t>
        </is>
      </c>
      <c r="D62" s="24">
        <v>0.01</v>
      </c>
      <c r="E62" s="22" t="inlineStr">
        <is>
          <t>%</t>
        </is>
      </c>
      <c r="F62" s="25" t="inlineStr">
        <is>
          <t>5–50 млн</t>
        </is>
      </c>
    </row>
    <row r="63" ht="18" customHeight="1">
      <c r="B63" s="22" t="n">
        <v>39</v>
      </c>
      <c r="C63" s="23" t="inlineStr">
        <is>
          <t>Господдержка (грант + невозвр.)</t>
        </is>
      </c>
      <c r="D63" s="24" t="n">
        <v>0.03</v>
      </c>
      <c r="E63" s="22" t="inlineStr">
        <is>
          <t>%</t>
        </is>
      </c>
      <c r="F63" s="25" t="inlineStr">
        <is>
          <t>Фонд кино + Минкульт, 25% бюджета</t>
        </is>
      </c>
    </row>
    <row r="64" ht="18" customHeight="1"/>
    <row r="65">
      <c r="B65" s="14" t="inlineStr">
        <is>
          <t>G. ГОСПОДДЕРЖКА (State Support, Base (Базовый))</t>
        </is>
      </c>
    </row>
    <row r="66" ht="20" customHeight="1">
      <c r="B66" s="22" t="n">
        <v>40</v>
      </c>
      <c r="C66" s="40"/>
      <c r="D66" s="40"/>
      <c r="E66" s="40"/>
      <c r="F66" s="41"/>
    </row>
    <row r="67" ht="18" customHeight="1">
      <c r="B67" s="22" t="n">
        <v>41</v>
      </c>
      <c r="C67" s="23" t="inlineStr">
        <is>
          <t>Доля господдержки (Min)</t>
        </is>
      </c>
      <c r="D67" s="24" t="n">
        <v>0</v>
      </c>
      <c r="E67" s="22" t="inlineStr">
        <is>
          <t>%</t>
        </is>
      </c>
      <c r="F67" s="25" t="inlineStr">
        <is>
          <t>Sensitivity (Чувствительность) lower bound</t>
        </is>
      </c>
    </row>
    <row r="68" ht="18" customHeight="1">
      <c r="B68" s="22" t="n">
        <v>42</v>
      </c>
      <c r="C68" s="23" t="inlineStr">
        <is>
          <t>Доля господдержки (Max)</t>
        </is>
      </c>
      <c r="D68" s="24" t="n">
        <v>0.35</v>
      </c>
      <c r="E68" s="22" t="inlineStr">
        <is>
          <t>%</t>
        </is>
      </c>
      <c r="F68" s="25" t="inlineStr">
        <is>
          <t>Sensitivity (Чувствительность) upper bound</t>
        </is>
      </c>
    </row>
    <row r="69" ht="18" customHeight="1">
      <c r="B69" s="22" t="n">
        <v>43</v>
      </c>
      <c r="C69" s="23" t="inlineStr">
        <is>
          <t>Из них: Фонд кино (%)</t>
        </is>
      </c>
      <c r="D69" s="24" t="n">
        <v>0.6</v>
      </c>
      <c r="E69" s="22" t="inlineStr">
        <is>
          <t>%</t>
        </is>
      </c>
      <c r="F69" s="25" t="inlineStr">
        <is>
          <t>Самый значимый источник</t>
        </is>
      </c>
    </row>
    <row r="70" ht="18" customHeight="1">
      <c r="B70" s="22" t="n">
        <v>44</v>
      </c>
      <c r="C70" s="23" t="inlineStr">
        <is>
          <t>Из них: Минкульт (%)</t>
        </is>
      </c>
      <c r="D70" s="24" t="n">
        <v>0.25</v>
      </c>
      <c r="E70" s="22" t="inlineStr">
        <is>
          <t>%</t>
        </is>
      </c>
      <c r="F70" s="25" t="inlineStr">
        <is>
          <t>Невозвратные гранты</t>
        </is>
      </c>
    </row>
    <row r="71" ht="18" customHeight="1">
      <c r="B71" s="22" t="n">
        <v>45</v>
      </c>
      <c r="C71" s="23" t="inlineStr">
        <is>
          <t>Из них: ИРИ (%)</t>
        </is>
      </c>
      <c r="D71" s="24" t="n">
        <v>0.15</v>
      </c>
      <c r="E71" s="22" t="inlineStr">
        <is>
          <t>%</t>
        </is>
      </c>
      <c r="F71" s="25" t="inlineStr">
        <is>
          <t>Интернет-контент/цифровизация</t>
        </is>
      </c>
    </row>
    <row r="72" ht="18" customHeight="1">
      <c r="B72" s="22" t="n">
        <v>46</v>
      </c>
      <c r="C72" s="23" t="inlineStr">
        <is>
          <t>Безвозвратная часть (% от господдержки)</t>
        </is>
      </c>
      <c r="D72" s="24" t="n">
        <v>0.7</v>
      </c>
      <c r="E72" s="22" t="inlineStr">
        <is>
          <t>%</t>
        </is>
      </c>
      <c r="F72" s="25" t="inlineStr">
        <is>
          <t>Грант или заём</t>
        </is>
      </c>
    </row>
    <row r="74" ht="20" customHeight="1">
      <c r="B74" s="14" t="inlineStr">
        <is>
          <t>H. FOT (фонд оплаты труда) / ШТАТ (Модель A₁ Fixed (Фиксированный), Холдинг Кино.xlsx)</t>
        </is>
      </c>
    </row>
    <row r="75" ht="18" customHeight="1">
      <c r="B75" s="22" t="n">
        <v>47</v>
      </c>
      <c r="C75" s="23" t="inlineStr">
        <is>
          <t>Штат (фиксированный)</t>
        </is>
      </c>
      <c r="D75" s="27" t="n">
        <v>50</v>
      </c>
      <c r="E75" s="22" t="inlineStr">
        <is>
          <t>чел</t>
        </is>
      </c>
      <c r="F75" s="25" t="inlineStr">
        <is>
          <t>Оригинальная структура</t>
        </is>
      </c>
    </row>
    <row r="76" ht="18" customHeight="1">
      <c r="B76" s="22" t="n">
        <v>48</v>
      </c>
      <c r="C76" s="23" t="inlineStr">
        <is>
          <t>ФОТ gross</t>
        </is>
      </c>
      <c r="D76" s="29" t="n">
        <v>4740000</v>
      </c>
      <c r="E76" s="22" t="inlineStr">
        <is>
          <t>₽/мес</t>
        </is>
      </c>
      <c r="F76" s="25" t="inlineStr">
        <is>
          <t>До страховых</t>
        </is>
      </c>
    </row>
    <row r="77" ht="18" customHeight="1">
      <c r="B77" s="22" t="n">
        <v>49</v>
      </c>
      <c r="C77" s="23" t="inlineStr">
        <is>
          <t>Страховые взносы (30%)</t>
        </is>
      </c>
      <c r="D77" s="29" t="n">
        <v>1422000</v>
      </c>
      <c r="E77" s="22" t="inlineStr">
        <is>
          <t>₽/мес</t>
        </is>
      </c>
      <c r="F77" s="25" t="inlineStr">
        <is>
          <t>ПФР+ФОМС+ФСС</t>
        </is>
      </c>
    </row>
    <row r="78" ht="18" customHeight="1">
      <c r="B78" s="22" t="n">
        <v>50</v>
      </c>
      <c r="C78" s="23" t="inlineStr">
        <is>
          <t>ФОТ с налогами (месячный)</t>
        </is>
      </c>
      <c r="D78" s="29" t="n">
        <v>6162000</v>
      </c>
      <c r="E78" s="22" t="inlineStr">
        <is>
          <t>₽/мес</t>
        </is>
      </c>
      <c r="F78" s="25" t="inlineStr">
        <is>
          <t>Итоговая стоимость работодателя</t>
        </is>
      </c>
    </row>
    <row r="79" ht="18" customHeight="1">
      <c r="B79" s="22" t="n">
        <v>51</v>
      </c>
      <c r="C79" s="23" t="inlineStr">
        <is>
          <t>ФОТ годовой (A₁ fixed)</t>
        </is>
      </c>
      <c r="D79" s="26" t="n">
        <v>73.944</v>
      </c>
      <c r="E79" s="22" t="inlineStr">
        <is>
          <t>млн ₽</t>
        </is>
      </c>
      <c r="F79" s="25" t="inlineStr">
        <is>
          <t>× 12 мес</t>
        </is>
      </c>
    </row>
    <row r="80">
      <c r="B80" s="22" t="n">
        <v>52</v>
      </c>
      <c r="C80" s="23" t="inlineStr">
        <is>
          <t>ФОТ за 3 года (A₁ fixed)</t>
        </is>
      </c>
      <c r="D80" s="26" t="n">
        <v>221.832</v>
      </c>
      <c r="E80" s="22" t="inlineStr">
        <is>
          <t>млн ₽</t>
        </is>
      </c>
      <c r="F80" s="25" t="inlineStr">
        <is>
          <t>× 36 мес, без индексации</t>
        </is>
      </c>
    </row>
    <row r="81" ht="20" customHeight="1"/>
    <row r="82" ht="18" customHeight="1">
      <c r="B82" s="14" t="inlineStr">
        <is>
          <t>I. FOT (фонд оплаты труда) / ШТАТ (Модель A₂ Full Dynamic (Динамический))</t>
        </is>
      </c>
    </row>
    <row r="83" ht="18" customHeight="1">
      <c r="B83" s="22" t="n">
        <v>53</v>
      </c>
      <c r="C83" s="23" t="inlineStr">
        <is>
          <t>Штат 2026</t>
        </is>
      </c>
      <c r="D83" s="27" t="n">
        <v>50</v>
      </c>
      <c r="E83" s="22" t="inlineStr">
        <is>
          <t>чел</t>
        </is>
      </c>
      <c r="F83" s="25" t="inlineStr">
        <is>
          <t>Базовый</t>
        </is>
      </c>
    </row>
    <row r="84" ht="18" customHeight="1">
      <c r="B84" s="22" t="n">
        <v>54</v>
      </c>
      <c r="C84" s="23" t="inlineStr">
        <is>
          <t>Штат 2027</t>
        </is>
      </c>
      <c r="D84" s="27" t="n">
        <v>60</v>
      </c>
      <c r="E84" s="22" t="inlineStr">
        <is>
          <t>чел</t>
        </is>
      </c>
      <c r="F84" s="25" t="inlineStr">
        <is>
          <t>+10 (расширение)</t>
        </is>
      </c>
    </row>
    <row r="85" ht="18" customHeight="1">
      <c r="B85" s="22" t="n">
        <v>55</v>
      </c>
      <c r="C85" s="23" t="inlineStr">
        <is>
          <t>Штат 2028</t>
        </is>
      </c>
      <c r="D85" s="27" t="n">
        <v>70</v>
      </c>
      <c r="E85" s="22" t="inlineStr">
        <is>
          <t>чел</t>
        </is>
      </c>
      <c r="F85" s="25" t="inlineStr">
        <is>
          <t>+10 (пре-IPO команда)</t>
        </is>
      </c>
    </row>
    <row r="86" ht="18" customHeight="1">
      <c r="B86" s="22" t="n">
        <v>56</v>
      </c>
      <c r="C86" s="23" t="inlineStr">
        <is>
          <t>Индексация окладов (годовая)</t>
        </is>
      </c>
      <c r="D86" s="24" t="n">
        <v>0.07000000000000001</v>
      </c>
      <c r="E86" s="22" t="inlineStr">
        <is>
          <t>%</t>
        </is>
      </c>
      <c r="F86" s="25" t="inlineStr">
        <is>
          <t>CPI + премия, 7%</t>
        </is>
      </c>
    </row>
    <row r="87">
      <c r="B87" s="22" t="n">
        <v>57</v>
      </c>
      <c r="C87" s="23" t="inlineStr">
        <is>
          <t>Премиальный фонд (% от ФОТ)</t>
        </is>
      </c>
      <c r="D87" s="24" t="n">
        <v>0.15</v>
      </c>
      <c r="E87" s="22" t="inlineStr">
        <is>
          <t>%</t>
        </is>
      </c>
      <c r="F87" s="25" t="inlineStr">
        <is>
          <t>KPI (ключевые показатели)-bonus</t>
        </is>
      </c>
    </row>
    <row r="88" ht="20" customHeight="1"/>
    <row r="89" ht="18" customHeight="1">
      <c r="B89" s="14" t="inlineStr">
        <is>
          <t>J. OPEX (Операционные расходы)</t>
        </is>
      </c>
    </row>
    <row r="90" ht="18" customHeight="1">
      <c r="B90" s="22" t="n">
        <v>58</v>
      </c>
      <c r="C90" s="23" t="inlineStr">
        <is>
          <t>Аренда офиса (годовая)</t>
        </is>
      </c>
      <c r="D90" s="26" t="n">
        <v>8.25</v>
      </c>
      <c r="E90" s="22" t="inlineStr">
        <is>
          <t>млн ₽</t>
        </is>
      </c>
      <c r="F90" s="25" t="inlineStr">
        <is>
          <t>750 м² × 11000 × 12 / 12 мес</t>
        </is>
      </c>
    </row>
    <row r="91" ht="18" customHeight="1">
      <c r="B91" s="22" t="n">
        <v>59</v>
      </c>
      <c r="C91" s="23" t="inlineStr">
        <is>
          <t>Коммунальные платежи</t>
        </is>
      </c>
      <c r="D91" s="26" t="n">
        <v>0.396</v>
      </c>
      <c r="E91" s="22" t="inlineStr">
        <is>
          <t>млн ₽</t>
        </is>
      </c>
      <c r="F91" s="25" t="inlineStr">
        <is>
          <t>33 т.р./мес × 12</t>
        </is>
      </c>
    </row>
    <row r="92" ht="18" customHeight="1">
      <c r="B92" s="22" t="n">
        <v>60</v>
      </c>
      <c r="C92" s="23" t="inlineStr">
        <is>
          <t>Прочие OPEX (Операционные расходы)</t>
        </is>
      </c>
      <c r="D92" s="26" t="n">
        <v>5.916</v>
      </c>
      <c r="E92" s="22" t="inlineStr">
        <is>
          <t>млн ₽</t>
        </is>
      </c>
      <c r="F92" s="25" t="inlineStr">
        <is>
          <t>Командировки, связь, ПО и пр.</t>
        </is>
      </c>
    </row>
    <row r="93" ht="18" customHeight="1">
      <c r="B93" s="22" t="n">
        <v>61</v>
      </c>
      <c r="C93" s="23" t="inlineStr">
        <is>
          <t>Итого OPEX (Операционные расходы) без ФОТ (годовой)</t>
        </is>
      </c>
      <c r="D93" s="26" t="n">
        <v>14.562</v>
      </c>
      <c r="E93" s="22" t="inlineStr">
        <is>
          <t>млн ₽</t>
        </is>
      </c>
      <c r="F93" s="25" t="inlineStr">
        <is>
          <t>Аренда + ком + прочие</t>
        </is>
      </c>
    </row>
    <row r="94">
      <c r="B94" s="22" t="n">
        <v>62</v>
      </c>
      <c r="C94" s="23" t="inlineStr">
        <is>
          <t>Итого OPEX (Операционные расходы) с ФОТ A₁ (годовой)</t>
        </is>
      </c>
      <c r="D94" s="26" t="n">
        <v>88.506</v>
      </c>
      <c r="E94" s="22" t="inlineStr">
        <is>
          <t>млн ₽</t>
        </is>
      </c>
      <c r="F94" s="25" t="inlineStr">
        <is>
          <t>Соответствует Холдинг Кино.xlsx</t>
        </is>
      </c>
    </row>
    <row r="95" ht="20" customHeight="1"/>
    <row r="96" ht="18" customHeight="1">
      <c r="B96" s="14" t="inlineStr">
        <is>
          <t>K. COGS (себестоимость) / ПРОИЗВОДСТВО</t>
        </is>
      </c>
    </row>
    <row r="97" ht="18" customHeight="1">
      <c r="B97" s="22" t="n">
        <v>63</v>
      </c>
      <c r="C97" s="23" t="inlineStr">
        <is>
          <t>Total (Итого) content budget (бюджет)</t>
        </is>
      </c>
      <c r="D97" s="26" t="n">
        <v>1850</v>
      </c>
      <c r="E97" s="22" t="inlineStr">
        <is>
          <t>млн ₽</t>
        </is>
      </c>
      <c r="F97" s="25" t="inlineStr">
        <is>
          <t>Бюджет 5 фильмов + 2 сериалов</t>
        </is>
      </c>
    </row>
    <row r="98" ht="18" customHeight="1">
      <c r="B98" s="22" t="n">
        <v>64</v>
      </c>
      <c r="C98" s="23" t="inlineStr">
        <is>
          <t>Средний бюджет 1 проекта</t>
        </is>
      </c>
      <c r="D98" s="26">
        <v>264.3</v>
      </c>
      <c r="E98" s="22" t="inlineStr">
        <is>
          <t>млн ₽</t>
        </is>
      </c>
      <c r="F98" s="25" t="inlineStr">
        <is>
          <t>1850 / 7</t>
        </is>
      </c>
    </row>
    <row r="99" ht="18" customHeight="1">
      <c r="B99" s="22" t="n">
        <v>65</v>
      </c>
      <c r="C99" s="23" t="inlineStr">
        <is>
          <t>Производственный цикл (мес)</t>
        </is>
      </c>
      <c r="D99" s="27" t="n">
        <v>18</v>
      </c>
      <c r="E99" s="22" t="inlineStr">
        <is>
          <t>мес</t>
        </is>
      </c>
      <c r="F99" s="25" t="inlineStr">
        <is>
          <t>Предпродакшн 6 + продакшн 6 + постпродакшн 6</t>
        </is>
      </c>
    </row>
    <row r="100" ht="18" customHeight="1">
      <c r="B100" s="22" t="n">
        <v>66</v>
      </c>
      <c r="C100" s="23" t="inlineStr">
        <is>
          <t>Amortization (Амортизация) пленки (мес после релиза)</t>
        </is>
      </c>
      <c r="D100" s="27" t="n">
        <v>12</v>
      </c>
      <c r="E100" s="22" t="inlineStr">
        <is>
          <t>мес</t>
        </is>
      </c>
      <c r="F100" s="25" t="inlineStr">
        <is>
          <t>Линейная амортизация 12 мес</t>
        </is>
      </c>
    </row>
    <row r="101">
      <c r="B101" s="22" t="n">
        <v>67</v>
      </c>
      <c r="C101" s="23" t="inlineStr">
        <is>
          <t>Маркетинг P&amp;A (тиражирование и реклама) (% от бюджета)</t>
        </is>
      </c>
      <c r="D101" s="24" t="n">
        <v>0.15</v>
      </c>
      <c r="E101" s="22" t="inlineStr">
        <is>
          <t>%</t>
        </is>
      </c>
      <c r="F101" s="25" t="inlineStr">
        <is>
          <t>Prints &amp; Advertising (Тиражирование и реклама)</t>
        </is>
      </c>
    </row>
    <row r="102" ht="20" customHeight="1"/>
    <row r="103" ht="18" customHeight="1">
      <c r="B103" s="14" t="inlineStr">
        <is>
          <t>L. ОБОРОТНЫЙ КАПИТАЛ</t>
        </is>
      </c>
    </row>
    <row r="104" ht="18" customHeight="1">
      <c r="B104" s="22" t="n">
        <v>68</v>
      </c>
      <c r="C104" s="23" t="inlineStr">
        <is>
          <t>DSO (дни дебиторки)</t>
        </is>
      </c>
      <c r="D104" s="27" t="n">
        <v>45</v>
      </c>
      <c r="E104" s="22" t="inlineStr">
        <is>
          <t>дн</t>
        </is>
      </c>
      <c r="F104" s="25" t="inlineStr">
        <is>
          <t>Дебиторка от прокатчиков/стримингов</t>
        </is>
      </c>
    </row>
    <row r="105" ht="18" customHeight="1">
      <c r="B105" s="22" t="n">
        <v>69</v>
      </c>
      <c r="C105" s="23" t="inlineStr">
        <is>
          <t>DPO (дни кредиторки)</t>
        </is>
      </c>
      <c r="D105" s="27" t="n">
        <v>30</v>
      </c>
      <c r="E105" s="22" t="inlineStr">
        <is>
          <t>дн</t>
        </is>
      </c>
      <c r="F105" s="25" t="inlineStr">
        <is>
          <t>Кредиторка поставщикам</t>
        </is>
      </c>
    </row>
    <row r="106" ht="18" customHeight="1">
      <c r="B106" s="22" t="n">
        <v>70</v>
      </c>
      <c r="C106" s="23" t="inlineStr">
        <is>
          <t>DIO (дни запасов)</t>
        </is>
      </c>
      <c r="D106" s="27" t="n">
        <v>60</v>
      </c>
      <c r="E106" s="22" t="inlineStr">
        <is>
          <t>дн</t>
        </is>
      </c>
      <c r="F106" s="25" t="inlineStr">
        <is>
          <t>Незавершённое производство</t>
        </is>
      </c>
    </row>
    <row r="107" ht="18" customHeight="1">
      <c r="B107" s="22" t="n">
        <v>71</v>
      </c>
      <c r="C107" s="23" t="inlineStr">
        <is>
          <t>Cash (Денежные средства) Conversion Cycle</t>
        </is>
      </c>
      <c r="D107" s="27" t="n">
        <v>75</v>
      </c>
      <c r="E107" s="22" t="inlineStr">
        <is>
          <t>дн</t>
        </is>
      </c>
      <c r="F107" s="25" t="inlineStr">
        <is>
          <t>DSO (дни дебиторки)+DIO (дни запасов)−DPO (дни кредиторки)</t>
        </is>
      </c>
    </row>
    <row r="108" ht="18" customHeight="1">
      <c r="B108" s="22" t="n">
        <v>72</v>
      </c>
      <c r="C108" s="23" t="inlineStr">
        <is>
          <t>Минимальный кассовый остаток</t>
        </is>
      </c>
      <c r="D108" s="26" t="n">
        <v>50</v>
      </c>
      <c r="E108" s="22" t="inlineStr">
        <is>
          <t>млн ₽</t>
        </is>
      </c>
      <c r="F108" s="25" t="inlineStr">
        <is>
          <t>Подушка безопасности</t>
        </is>
      </c>
    </row>
    <row r="109" ht="18" customHeight="1"/>
    <row r="110" ht="18" customHeight="1">
      <c r="B110" s="14" t="inlineStr">
        <is>
          <t>M. ВЫХОД / ОЦЕНКА (ОЦЕНКА)</t>
        </is>
      </c>
    </row>
    <row r="111">
      <c r="B111" s="22" t="n">
        <v>73</v>
      </c>
      <c r="C111" s="23" t="inlineStr">
        <is>
          <t>EV/EBITDA Bear (Пессимистичный)</t>
        </is>
      </c>
      <c r="D111" s="28" t="n">
        <v>3</v>
      </c>
      <c r="E111" s="22" t="inlineStr">
        <is>
          <t>×</t>
        </is>
      </c>
      <c r="F111" s="25" t="inlineStr">
        <is>
          <t>Нижняя граница рос. медиа</t>
        </is>
      </c>
    </row>
    <row r="112" ht="22" customHeight="1">
      <c r="B112" s="22" t="n">
        <v>74</v>
      </c>
      <c r="C112" s="40"/>
      <c r="D112" s="40"/>
      <c r="E112" s="40"/>
      <c r="F112" s="41"/>
    </row>
    <row r="113">
      <c r="B113" s="22" t="n">
        <v>75</v>
      </c>
      <c r="C113" s="23" t="inlineStr">
        <is>
          <t>EV/EBITDA Bull (Оптимистичный)</t>
        </is>
      </c>
      <c r="D113" s="28" t="n">
        <v>7</v>
      </c>
      <c r="E113" s="22" t="inlineStr">
        <is>
          <t>×</t>
        </is>
      </c>
      <c r="F113" s="25" t="inlineStr">
        <is>
          <t>Russian media upper bound / premium (премия)</t>
        </is>
      </c>
    </row>
    <row r="114" ht="22" customHeight="1">
      <c r="B114" s="22" t="n">
        <v>76</v>
      </c>
      <c r="C114" s="40"/>
      <c r="D114" s="40"/>
      <c r="E114" s="41"/>
      <c r="F114" s="25" t="inlineStr">
        <is>
          <t>Q4 2028</t>
        </is>
      </c>
    </row>
    <row r="115" ht="36" customHeight="1">
      <c r="B115" s="22" t="n">
        <v>77</v>
      </c>
      <c r="C115" s="40"/>
      <c r="D115" s="40"/>
      <c r="E115" s="41"/>
      <c r="F115" s="25" t="inlineStr">
        <is>
          <t>Q4 2030</t>
        </is>
      </c>
    </row>
    <row r="116">
      <c r="B116" s="22" t="n">
        <v>78</v>
      </c>
      <c r="C116" s="23" t="inlineStr">
        <is>
          <t>Горизонт выхода (Горизонт выхода) 3 (Y7)</t>
        </is>
      </c>
      <c r="D116" s="27" t="n">
        <v>2032</v>
      </c>
      <c r="E116" s="22" t="inlineStr">
        <is>
          <t>год</t>
        </is>
      </c>
      <c r="F116" s="25" t="inlineStr">
        <is>
          <t>Q4 2032</t>
        </is>
      </c>
    </row>
    <row r="117" ht="18" customHeight="1">
      <c r="B117" s="22" t="n">
        <v>79</v>
      </c>
      <c r="C117" s="23" t="inlineStr">
        <is>
          <t>Target IRR (внутренняя норма доходности)</t>
        </is>
      </c>
      <c r="D117" s="24" t="n">
        <v>0.3</v>
      </c>
      <c r="E117" s="22" t="inlineStr">
        <is>
          <t>%</t>
        </is>
      </c>
      <c r="F117" s="25" t="inlineStr">
        <is>
          <t>30% minimum hurdle (порог) rate</t>
        </is>
      </c>
    </row>
    <row r="118" ht="20" customHeight="1">
      <c r="B118" s="22" t="n">
        <v>80</v>
      </c>
      <c r="C118" s="23" t="inlineStr">
        <is>
          <t>Target MOIC (мультипликатор вложенного капитала)</t>
        </is>
      </c>
      <c r="D118" s="28" t="n">
        <v>2.5</v>
      </c>
      <c r="E118" s="22" t="inlineStr">
        <is>
          <t>×</t>
        </is>
      </c>
      <c r="F118" s="25" t="inlineStr">
        <is>
          <t>Multiple (Мультипликатор) of Invested Capital (Капитал)</t>
        </is>
      </c>
    </row>
    <row r="119" ht="20" customHeight="1"/>
    <row r="120" ht="20" customHeight="1">
      <c r="B120" s="564" t="inlineStr">
        <is>
          <t>ВСЕГО ДОПУЩЕНИЙ: 124  ·  Блоков: 16  ·  Якорь NDP (чистые распределяемые поступления) 2029–2032 = 3 000 млн ₽  ·  Waterfall (Каскад): 5 вариантов (default (по умолчанию) W₅ L8+L4 V-D)</t>
        </is>
      </c>
    </row>
    <row r="121" ht="20" customHeight="1"/>
    <row r="122" ht="20" customHeight="1">
      <c r="B122" s="149" t="inlineStr">
        <is>
          <t>N.  NDP (чистые распределяемые поступления) RECONCILIATION BRIDGE  ·  EBITDA (прибыль до вычетов) GAAP → NDP (чистые распределяемые поступления) (legacy (базовый вариант))</t>
        </is>
      </c>
      <c r="C122" s="188"/>
      <c r="D122" s="188"/>
      <c r="E122" s="185"/>
    </row>
    <row r="123" ht="20" customHeight="1">
      <c r="B123" s="150" t="inlineStr">
        <is>
          <t>Методологическое примечание: legacy (базовый вариант)-якорь v1.4.4 «3 000 млн ₽» — это NDP (чистые распределяемые поступления) (Net Distributable Proceeds, распределяемые денежные потоки к пайщикам JV (совместное предприятие)), а не стандартный EBITDA (прибыль до вычетов). Бридж ниже переводит одну метрику в другую.</t>
        </is>
      </c>
    </row>
    <row r="125">
      <c r="B125" s="145" t="inlineStr">
        <is>
          <t>#</t>
        </is>
      </c>
      <c r="C125" s="186"/>
      <c r="D125" s="186"/>
      <c r="E125" s="187"/>
    </row>
    <row r="126" ht="18" customHeight="1">
      <c r="B126" s="148" t="inlineStr">
        <is>
          <t>1</t>
        </is>
      </c>
      <c r="C126" s="147" t="inlineStr">
        <is>
          <t>EBITDA (прибыль до вычетов) GAAP, standard Σ 2026–2028</t>
        </is>
      </c>
      <c r="D126" s="151" t="n">
        <v>2152</v>
      </c>
      <c r="E126" s="152" t="inlineStr">
        <is>
          <t>Revenue (Выручка) 4545 − COGS (себестоимость) 2127.5 − OpEx 265.5</t>
        </is>
      </c>
    </row>
    <row r="127" ht="18" customHeight="1">
      <c r="B127" s="148" t="inlineStr">
        <is>
          <t>2</t>
        </is>
      </c>
      <c r="C127" s="147" t="inlineStr">
        <is>
          <t>(+) Add-back: Producer equity contribution (вклад продюсера в капитал)</t>
        </is>
      </c>
      <c r="D127" s="151" t="n">
        <v>600</v>
      </c>
      <c r="E127" s="152" t="inlineStr">
        <is>
          <t>Участие продюсера (off-P&amp;L minority interest / JV (совместное предприятие) capital (капитал))</t>
        </is>
      </c>
    </row>
    <row r="128" ht="18" customHeight="1">
      <c r="B128" s="148" t="inlineStr">
        <is>
          <t>3</t>
        </is>
      </c>
      <c r="C128" s="147" t="inlineStr">
        <is>
          <t>(+) Add-back: Working capital (капитал) release &amp; gov credit timing</t>
        </is>
      </c>
      <c r="D128" s="151" t="n">
        <v>248</v>
      </c>
      <c r="E128" s="152" t="inlineStr">
        <is>
          <t>Высвобождение WC и налоговый кредит за периметром P&amp;L</t>
        </is>
      </c>
    </row>
    <row r="129" ht="18" customHeight="1">
      <c r="B129" s="153" t="inlineStr">
        <is>
          <t>=</t>
        </is>
      </c>
      <c r="C129" s="154" t="inlineStr">
        <is>
          <t>NDP (чистые распределяемые поступления) Σ (legacy v1.4.4 anchor (якорь))</t>
        </is>
      </c>
      <c r="D129" s="155" t="n">
        <v>3000</v>
      </c>
      <c r="E129" s="156" t="inlineStr">
        <is>
          <t>Cумма распределяемых cash flows к пайщикам</t>
        </is>
      </c>
    </row>
    <row r="130" ht="18" customHeight="1">
      <c r="B130" s="148" t="inlineStr">
        <is>
          <t>4</t>
        </is>
      </c>
      <c r="C130" s="465" t="inlineStr">
        <is>
          <t>(−) Producer share (доля продюсера) (waterfall (каскад) W₅ V-D default (по умолчанию) · L8+L4 catch-up 70/30 + carry 60/40)</t>
        </is>
      </c>
      <c r="D130" s="565" t="n">
        <v>-343</v>
      </c>
      <c r="E130" s="159" t="inlineStr">
        <is>
          <t>Под W₅ V-D: 172 catch 30% + 170 carry 40% = 343 (rounded)</t>
        </is>
      </c>
    </row>
    <row r="131" ht="18" customHeight="1">
      <c r="B131" s="153" t="inlineStr">
        <is>
          <t>=</t>
        </is>
      </c>
      <c r="C131" s="566" t="inlineStr">
        <is>
          <t>Investor (Инвестор) net distributable proceeds (LP (ограниченный партнёр) total)</t>
        </is>
      </c>
      <c r="D131" s="567" t="n">
        <v>2657</v>
      </c>
      <c r="E131" s="183" t="inlineStr">
        <is>
          <t>Под W₅ V-D: 1250 (Liq Pref (Ликвидационная привилегия)) + 750 (Pref 12%×5y) + 402 (catch 70%) + 256 (carry 60%) ≈ 2657</t>
        </is>
      </c>
    </row>
    <row r="132" ht="18" customHeight="1"/>
    <row r="133" ht="18" customHeight="1">
      <c r="B133" s="157" t="inlineStr">
        <is>
          <t>Ключевые параметры JV (совместное предприятие)-интерпретации:</t>
        </is>
      </c>
    </row>
    <row r="134">
      <c r="B134" s="148" t="inlineStr">
        <is>
          <t>N.01</t>
        </is>
      </c>
      <c r="C134" s="147" t="inlineStr">
        <is>
          <t>Investor (Инвестор) funded production cost</t>
        </is>
      </c>
      <c r="D134" s="158" t="n">
        <v>1250</v>
      </c>
      <c r="E134" s="159" t="inlineStr">
        <is>
          <t>млн ₽  ·  T₁ Legacy (Базовый вариант), 4 транша 20/28/28/24%</t>
        </is>
      </c>
    </row>
    <row r="135">
      <c r="B135" s="148" t="inlineStr">
        <is>
          <t>N.02</t>
        </is>
      </c>
      <c r="C135" s="147" t="inlineStr">
        <is>
          <t>Producer equity contribution (вклад продюсера в капитал) (off-P&amp;L)</t>
        </is>
      </c>
      <c r="D135" s="158" t="n">
        <v>600</v>
      </c>
      <c r="E135" s="159" t="inlineStr">
        <is>
          <t>млн ₽  ·  Вклад продюсера в JV (совместное предприятие)</t>
        </is>
      </c>
    </row>
    <row r="136">
      <c r="B136" s="148" t="inlineStr">
        <is>
          <t>N.03</t>
        </is>
      </c>
      <c r="C136" s="147" t="inlineStr">
        <is>
          <t>Total production budget (итого производственный бюджет) (consolidated COGS (себестоимость))</t>
        </is>
      </c>
      <c r="D136" s="158" t="n">
        <v>1850</v>
      </c>
      <c r="E136" s="159" t="inlineStr">
        <is>
          <t>млн ₽  ·  7 проектов, средний бюджет 264 млн</t>
        </is>
      </c>
    </row>
    <row r="137">
      <c r="B137" s="148" t="inlineStr">
        <is>
          <t>N.04</t>
        </is>
      </c>
      <c r="C137" s="147" t="inlineStr">
        <is>
          <t>P&amp;A (тиражирование и реклама) (Prints &amp; Advertising (Тиражирование и реклама))</t>
        </is>
      </c>
      <c r="D137" s="160" t="n">
        <v>277.5</v>
      </c>
      <c r="E137" s="159" t="inlineStr">
        <is>
          <t>млн ₽  ·  6.1% от выручки 4545</t>
        </is>
      </c>
    </row>
    <row r="138">
      <c r="B138" s="148" t="inlineStr">
        <is>
          <t>N.05</t>
        </is>
      </c>
      <c r="C138" s="465" t="inlineStr">
        <is>
          <t>Waterfall split (разделение каскада) (default (по умолчанию) W₅ V-D · L8+L4)</t>
        </is>
      </c>
      <c r="D138" s="568" t="inlineStr">
        <is>
          <t>1×+12%+70/30+60/40</t>
        </is>
      </c>
      <c r="E138" s="159" t="inlineStr">
        <is>
          <t>Инвестор / Продюсер · catch-up до hurdle (порог) 2402</t>
        </is>
      </c>
    </row>
    <row r="139">
      <c r="B139" s="148" t="inlineStr">
        <is>
          <t>N.06</t>
        </is>
      </c>
      <c r="C139" s="147" t="inlineStr">
        <is>
          <t>NDP (чистые распределяемые поступления) anchor (якорь) (legacy (базовый вариант) v1.4.4)</t>
        </is>
      </c>
      <c r="D139" s="158" t="n">
        <v>3000</v>
      </c>
      <c r="E139" s="159" t="inlineStr">
        <is>
          <t>млн ₽  ·  Инвариант, закреплено</t>
        </is>
      </c>
    </row>
    <row r="140">
      <c r="B140" s="148" t="inlineStr">
        <is>
          <t>N.07</t>
        </is>
      </c>
      <c r="C140" s="147" t="inlineStr">
        <is>
          <t>EBITDA (прибыль до вычетов) GAAP Σ 2026–2028</t>
        </is>
      </c>
      <c r="D140" s="158" t="n">
        <v>2152</v>
      </c>
      <c r="E140" s="159" t="inlineStr">
        <is>
          <t>млн ₽  ·  Расчёт по стандарту</t>
        </is>
      </c>
    </row>
    <row r="141">
      <c r="B141" s="148" t="inlineStr">
        <is>
          <t>N.08</t>
        </is>
      </c>
      <c r="C141" s="147" t="inlineStr">
        <is>
          <t>Net Profit (Чистая прибыль) Σ 2026–2028</t>
        </is>
      </c>
      <c r="D141" s="158" t="n">
        <v>1689</v>
      </c>
      <c r="E141" s="159" t="inlineStr">
        <is>
          <t>млн ₽  ·  После 20% налога на прибыль</t>
        </is>
      </c>
    </row>
    <row r="143">
      <c r="B143" s="569" t="inlineStr">
        <is>
          <t>E₂. WATERFALL (КАСКАД) W₅ V-D — РАСШИРЕНИЕ (Catch-up 70/30 + Carry 60/40, default (по умолчанию) v1.0.1)</t>
        </is>
      </c>
    </row>
    <row r="144" ht="36" customHeight="1">
      <c r="B144" s="570" t="inlineStr">
        <is>
          <t>Замечание: новый default (по умолчанию). W₃ остаётся в листе как baseline для сравнения, но все downstream-расчёты в P&amp;L, Cash (Денежные средства) Flow, Waterfall (Каскад) и Investor Returns (Доходность инвестора) переведены на W₅ V-D под A+C pattern (паттерн). Параметры синхронизированы с MC seed=42, N=1000.</t>
        </is>
      </c>
    </row>
    <row r="145"/>
    <row r="146">
      <c r="D146" s="573" t="n">
        <v>1</v>
      </c>
    </row>
    <row r="147">
      <c r="D147" s="573" t="n">
        <v>0.12</v>
      </c>
    </row>
    <row r="148">
      <c r="D148" s="573" t="n">
        <v>5</v>
      </c>
    </row>
    <row r="149">
      <c r="D149" s="573" t="n">
        <v>0.7</v>
      </c>
    </row>
    <row r="150">
      <c r="D150" s="573" t="n">
        <v>0.3</v>
      </c>
    </row>
    <row r="151">
      <c r="D151" s="573" t="n">
        <v>0.6</v>
      </c>
    </row>
    <row r="152">
      <c r="D152" s="573" t="n">
        <v>0.4</v>
      </c>
    </row>
    <row r="153">
      <c r="D153" s="573" t="n">
        <v>0.18</v>
      </c>
    </row>
    <row r="154">
      <c r="D154" s="573" t="n">
        <v>2402</v>
      </c>
    </row>
    <row r="155">
      <c r="D155" s="575" t="n">
        <v>0.209</v>
      </c>
    </row>
    <row r="158">
      <c r="B158" s="569" t="inlineStr">
        <is>
          <t>O.  NDP (чистые распределяемые поступления) DISTRIBUTION PATTERN — fast A+C (default (по умолчанию) под W₅)</t>
        </is>
      </c>
    </row>
    <row r="159" ht="48" customHeight="1">
      <c r="B159" s="570" t="inlineStr">
        <is>
          <t>Методологическое примечание: pattern (паттерн) 33/45/9/13 выведен из revenue-stream декомпозиции — (Domestic 2700 @ 20/50/15/15) + (SVoD presell 2 projects: +270 к 2029, −135/−135 от 2031/2032) + (International package: 300 всего, 60% к 2029 = 180, 40% к 2032 = 120). Итог: 990/1350/270/390 = 33/45/9/13. Якорь NDP (чистые распределяемые поступления)=3000 сохранён.</t>
        </is>
      </c>
    </row>
    <row r="161"/>
    <row r="162">
      <c r="D162" s="573" t="n">
        <v>2700</v>
      </c>
    </row>
    <row r="163">
      <c r="D163" s="573" t="n">
        <v>270</v>
      </c>
    </row>
    <row r="164">
      <c r="D164" s="573" t="n">
        <v>300</v>
      </c>
    </row>
    <row r="165">
      <c r="D165" s="573" t="n">
        <v>0.2</v>
      </c>
    </row>
    <row r="166">
      <c r="D166" s="573" t="n">
        <v>0.5</v>
      </c>
    </row>
    <row r="167">
      <c r="D167" s="573" t="n">
        <v>0.15</v>
      </c>
    </row>
    <row r="168">
      <c r="D168" s="573" t="n">
        <v>0.15</v>
      </c>
    </row>
    <row r="169">
      <c r="D169" s="573" t="n">
        <v>2029</v>
      </c>
    </row>
    <row r="170">
      <c r="D170" s="573" t="n">
        <v>0.6</v>
      </c>
    </row>
    <row r="171">
      <c r="D171" s="573" t="n">
        <v>0.4</v>
      </c>
    </row>
    <row r="172">
      <c r="D172" s="575" t="n">
        <v>990</v>
      </c>
    </row>
    <row r="173">
      <c r="D173" s="575" t="n">
        <v>1350</v>
      </c>
    </row>
    <row r="174">
      <c r="D174" s="575" t="n">
        <v>270</v>
      </c>
    </row>
    <row r="175">
      <c r="D175" s="575" t="n">
        <v>390</v>
      </c>
    </row>
    <row r="176">
      <c r="D176" s="575" t="n">
        <v>3000</v>
      </c>
      <c r="F176" s="574">
        <f> 990 + 1350 + 270 + 390 ✓ (якорь сохранён)</f>
        <v>0</v>
      </c>
    </row>
    <row r="177">
      <c r="D177" s="575" t="n">
        <v>0.33</v>
      </c>
    </row>
    <row r="178">
      <c r="D178" s="575" t="n">
        <v>0.45</v>
      </c>
    </row>
    <row r="179">
      <c r="D179" s="575" t="n">
        <v>0.09</v>
      </c>
    </row>
    <row r="180">
      <c r="D180" s="575" t="n">
        <v>0.13</v>
      </c>
    </row>
    <row r="181">
      <c r="D181" s="575" t="n">
        <v>2402</v>
      </c>
    </row>
    <row r="182">
      <c r="D182" s="575" t="n">
        <v>2657</v>
      </c>
    </row>
    <row r="183">
      <c r="D183" s="575" t="n">
        <v>343</v>
      </c>
    </row>
    <row r="184">
      <c r="D184" s="575" t="n">
        <v>2.13</v>
      </c>
    </row>
    <row r="185">
      <c r="D185" s="575" t="n">
        <v>0.209</v>
      </c>
    </row>
    <row r="186">
      <c r="D186" s="575" t="n">
        <v>0.747</v>
      </c>
    </row>
    <row r="187">
      <c r="D187" s="575" t="n">
        <v>0.971</v>
      </c>
    </row>
  </sheetData>
  <mergeCells count="23">
    <mergeCell ref="B144:F144"/>
    <mergeCell ref="B16:F16"/>
    <mergeCell ref="B81:F81"/>
    <mergeCell ref="B25:F25"/>
    <mergeCell ref="B3:F3"/>
    <mergeCell ref="B66:F66"/>
    <mergeCell ref="B31:F31"/>
    <mergeCell ref="B159:F159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143:F143"/>
    <mergeCell ref="B74:F74"/>
    <mergeCell ref="B158:F158"/>
    <mergeCell ref="B55:F55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22" customWidth="1" min="4" max="4"/>
    <col width="70" customWidth="1" min="5" max="5"/>
    <col width="18" customWidth="1" min="6" max="6"/>
    <col width="2" customWidth="1" min="7" max="7"/>
  </cols>
  <sheetData>
    <row r="2" ht="30" customHeight="1">
      <c r="B2" s="19" t="inlineStr">
        <is>
          <t>ЖУРНАЛ ИЗМЕНЕНИЙ (Change Log (Журнал изменений))</t>
        </is>
      </c>
    </row>
    <row r="3">
      <c r="B3" s="20" t="inlineStr">
        <is>
          <t>История версий модели investor_model v3.0. Все изменения фиксируются с указанием автора, даты и причины.</t>
        </is>
      </c>
    </row>
    <row r="5" ht="22" customHeight="1">
      <c r="B5" s="21" t="inlineStr">
        <is>
          <t>Версия</t>
        </is>
      </c>
      <c r="C5" s="21" t="inlineStr">
        <is>
          <t>Дата</t>
        </is>
      </c>
      <c r="D5" s="21" t="inlineStr">
        <is>
          <t>Автор</t>
        </is>
      </c>
      <c r="E5" s="21" t="inlineStr">
        <is>
          <t>Описание изменения</t>
        </is>
      </c>
      <c r="F5" s="21" t="inlineStr">
        <is>
          <t>Статус</t>
        </is>
      </c>
    </row>
    <row r="6" ht="36" customHeight="1">
      <c r="B6" s="31" t="inlineStr">
        <is>
          <t>v0.1</t>
        </is>
      </c>
      <c r="C6" s="32" t="inlineStr">
        <is>
          <t>05.04.2026</t>
        </is>
      </c>
      <c r="D6" s="23" t="inlineStr">
        <is>
          <t>Команда ТрендСтудио</t>
        </is>
      </c>
      <c r="E6" s="33" t="inlineStr">
        <is>
          <t>Каркас модели: определение структуры 14 листов (Уровень 1)</t>
        </is>
      </c>
      <c r="F6" s="34" t="inlineStr">
        <is>
          <t>Архивировано</t>
        </is>
      </c>
    </row>
    <row r="7" ht="36" customHeight="1">
      <c r="B7" s="31" t="inlineStr">
        <is>
          <t>v0.2</t>
        </is>
      </c>
      <c r="C7" s="32" t="inlineStr">
        <is>
          <t>06.04.2026</t>
        </is>
      </c>
      <c r="D7" s="23" t="inlineStr">
        <is>
          <t>Команда ТрендСтудио</t>
        </is>
      </c>
      <c r="E7" s="33" t="inlineStr">
        <is>
          <t>Добавлены Holding Кино.xlsx legacy (базовый вариант)-структуры: FOT (фонд оплаты труда) 50 чел, 12-квартальная P&amp;L, distribution (распределение) 60/40→50/50</t>
        </is>
      </c>
      <c r="F7" s="34" t="inlineStr">
        <is>
          <t>Архивировано</t>
        </is>
      </c>
    </row>
    <row r="8" ht="36" customHeight="1">
      <c r="B8" s="31" t="inlineStr">
        <is>
          <t>v0.3</t>
        </is>
      </c>
      <c r="C8" s="32" t="inlineStr">
        <is>
          <t>07.04.2026</t>
        </is>
      </c>
      <c r="D8" s="23" t="inlineStr">
        <is>
          <t>Команда ТрендСтудио</t>
        </is>
      </c>
      <c r="E8" s="33" t="inlineStr">
        <is>
          <t>Расширение до Уровня 2 (24 листа): добавлены Cash (Денежные средства) Flow, Balance Sheet (Баланс), Working Capital (Оборотный капитал), Cap Table (Таблица капитализации)</t>
        </is>
      </c>
      <c r="F8" s="34" t="inlineStr">
        <is>
          <t>Архивировано</t>
        </is>
      </c>
    </row>
    <row r="9" ht="36" customHeight="1">
      <c r="B9" s="31" t="inlineStr">
        <is>
          <t>v0.9</t>
        </is>
      </c>
      <c r="C9" s="32" t="inlineStr">
        <is>
          <t>09.04.2026</t>
        </is>
      </c>
      <c r="D9" s="23" t="inlineStr">
        <is>
          <t>Команда ТрендСтудио</t>
        </is>
      </c>
      <c r="E9" s="33" t="inlineStr">
        <is>
          <t>Расширение до Уровня 3 (36 листов) — pre-IPO (первичное размещение) institutional. Согласованы: T₁+T₂ параллельно, FOT (фонд оплаты труда) A₁+A₂, Waterfall (Каскад) W₁+W₂+W₃</t>
        </is>
      </c>
      <c r="F9" s="34" t="inlineStr">
        <is>
          <t>Архивировано</t>
        </is>
      </c>
    </row>
    <row r="10" ht="36" customHeight="1">
      <c r="B10" s="31" t="inlineStr">
        <is>
          <t>v1.0</t>
        </is>
      </c>
      <c r="C10" s="32" t="inlineStr">
        <is>
          <t>11.04.2026</t>
        </is>
      </c>
      <c r="D10" s="23" t="inlineStr">
        <is>
          <t>Команда ТрендСтудио</t>
        </is>
      </c>
      <c r="E10" s="33" t="inlineStr">
        <is>
          <t>А.1: созданы листы Cover, Assumptions (84 параметра в 13 блоках), Change_Log. Якорь 3000 млн ₽ зафиксирован</t>
        </is>
      </c>
      <c r="F10" s="35" t="inlineStr">
        <is>
          <t>Архивировано</t>
        </is>
      </c>
    </row>
    <row r="11" ht="120" customHeight="1">
      <c r="B11" s="596" t="inlineStr">
        <is>
          <t>v1.0.1</t>
        </is>
      </c>
      <c r="C11" s="597" t="inlineStr">
        <is>
          <t>12.04.2026</t>
        </is>
      </c>
      <c r="D11" s="597" t="inlineStr">
        <is>
          <t>rakhman + Claude</t>
        </is>
      </c>
      <c r="E11" s="597" t="inlineStr">
        <is>
          <t>ПАТЧ v1.0.1: введён waterfall (каскад) W₅ V-D (T₁ Liq Pref (Ликвидационная привилегия) 1× + T₂ Pref 12%×5y + T₃ Catch-up 70/30 + T₄ Carry 60/40) под A+C revenue pattern (паттерн) (33/45/9/13). Обновлены 13 листов: 24/27/26/28/36 + 13/17/21/25/29/35/40/42. Monte Carlo (Монте-Карло) расширен до N=5 000. Ключевые цифры: IRR (внутренняя норма доходности) Base (Базовый) 24.75% / MoIC 2.13× / Payback (Окупаемость) 3.21y / LP (ограниченный партнёр) 2657. Добавлены дислеймеры V.1-V.4. КРИТИЧЕСКОЕ: Bear (Пессимистичный) scenario IRR (внутренняя норма доходности)=10.70% (&lt;&lt;hurdle (порог) 18%), Mean MC IRR=13.95%, P(IRR&gt;18%)=32.7%. Backup chain: pre_v101 → 25A→B→C→D→E→F→G→B6. Верификация: П5 «Максимум» 89/89 + B.5 final sweep 67/67 = 100% PASS.</t>
        </is>
      </c>
      <c r="F11" s="598" t="inlineStr">
        <is>
          <t>Архивировано</t>
        </is>
      </c>
    </row>
    <row r="12">
      <c r="B12" t="inlineStr" s="596">
        <is>
          <t>v3.0</t>
        </is>
      </c>
      <c r="C12" t="inlineStr" s="597">
        <is>
          <t>12.04.2026</t>
        </is>
      </c>
      <c r="D12" t="inlineStr" s="597">
        <is>
          <t>rakhman + Claude</t>
        </is>
      </c>
      <c r="E12" t="inlineStr" s="597">
        <is>
          <t>Реструктуризация пайплайна: 12 фильмов → 7 проектов (5 фильмов + 2 сериала). Новые доли выручки: Box Office 38%, SVOD 28%, TV 12%, International 10%, VOD 4%, Sponsorship 4%, Merch 1%, Господдержка 3%. Пересчёт Revenue Breakdown 570/2475/1500. Обновлены Assumptions (блоки B, F, K, N, O).</t>
        </is>
      </c>
      <c r="F12" t="inlineStr" s="598">
        <is>
          <t>Текущая ★</t>
        </is>
      </c>
    </row>
    <row r="13" ht="20" customHeight="1">
      <c r="B13" s="14" t="inlineStr">
        <is>
          <t>ПЛАН СЛЕДУЮЩИХ ВЕРСИЙ (roadmap)</t>
        </is>
      </c>
    </row>
    <row r="14" ht="16" customHeight="1">
      <c r="B14" s="36" t="inlineStr">
        <is>
          <t>v1.0 А.1</t>
        </is>
      </c>
      <c r="C14" s="37" t="inlineStr">
        <is>
          <t>Cover + Assumptions + Change_Log</t>
        </is>
      </c>
      <c r="D14" s="40"/>
      <c r="E14" s="41"/>
      <c r="F14" s="38" t="inlineStr">
        <is>
          <t>Готово</t>
        </is>
      </c>
    </row>
    <row r="15" ht="16" customHeight="1">
      <c r="B15" s="36" t="inlineStr">
        <is>
          <t>v1.0 А.2</t>
        </is>
      </c>
      <c r="C15" s="37" t="inlineStr">
        <is>
          <t>FOT_Staff (A₁+A₂) + Cost_Structure</t>
        </is>
      </c>
      <c r="D15" s="40"/>
      <c r="E15" s="41"/>
      <c r="F15" s="38" t="inlineStr">
        <is>
          <t>Готово</t>
        </is>
      </c>
    </row>
    <row r="16" ht="16" customHeight="1">
      <c r="B16" s="36" t="inlineStr">
        <is>
          <t>v1.0 А.3</t>
        </is>
      </c>
      <c r="C16" s="37" t="inlineStr">
        <is>
          <t>Revenue_Breakdown + Content_Pipeline</t>
        </is>
      </c>
      <c r="D16" s="40"/>
      <c r="E16" s="41"/>
      <c r="F16" s="38" t="inlineStr">
        <is>
          <t>Готово</t>
        </is>
      </c>
    </row>
    <row r="17" ht="16" customHeight="1">
      <c r="B17" s="36" t="inlineStr">
        <is>
          <t>v1.0 А.4</t>
        </is>
      </c>
      <c r="C17" s="37" t="inlineStr">
        <is>
          <t>P&amp;L_Statements (12Q + 2029–2032)</t>
        </is>
      </c>
      <c r="D17" s="40"/>
      <c r="E17" s="41"/>
      <c r="F17" s="38" t="inlineStr">
        <is>
          <t>Готово</t>
        </is>
      </c>
    </row>
    <row r="18" ht="16" customHeight="1">
      <c r="B18" s="36" t="inlineStr">
        <is>
          <t>v1.0 А.5</t>
        </is>
      </c>
      <c r="C18" s="37" t="inlineStr">
        <is>
          <t>Cash_Flow_Statement + Balance_Sheet</t>
        </is>
      </c>
      <c r="D18" s="40"/>
      <c r="E18" s="41"/>
      <c r="F18" s="38" t="inlineStr">
        <is>
          <t>Готово</t>
        </is>
      </c>
    </row>
    <row r="19" ht="16" customHeight="1">
      <c r="B19" s="36" t="inlineStr">
        <is>
          <t>v1.0 А.6</t>
        </is>
      </c>
      <c r="C19" s="37" t="inlineStr">
        <is>
          <t>Working_Capital + Debt_Schedule</t>
        </is>
      </c>
      <c r="D19" s="40"/>
      <c r="E19" s="41"/>
      <c r="F19" s="38" t="inlineStr">
        <is>
          <t>Готово</t>
        </is>
      </c>
    </row>
    <row r="20" ht="16" customHeight="1">
      <c r="B20" s="36" t="inlineStr">
        <is>
          <t>v1.0 А.7</t>
        </is>
      </c>
      <c r="C20" s="37" t="inlineStr">
        <is>
          <t>Investment_Inflow + Use_of_Funds + CAPEX (Капзатраты)</t>
        </is>
      </c>
      <c r="D20" s="40"/>
      <c r="E20" s="41"/>
      <c r="F20" s="38" t="inlineStr">
        <is>
          <t>Готово</t>
        </is>
      </c>
    </row>
    <row r="21" ht="16" customHeight="1">
      <c r="B21" s="36" t="inlineStr">
        <is>
          <t>v1.0 А.8</t>
        </is>
      </c>
      <c r="C21" s="37" t="inlineStr">
        <is>
          <t>Deal_Structures + Cap_Table + Waterfall (Каскад)</t>
        </is>
      </c>
      <c r="D21" s="40"/>
      <c r="E21" s="41"/>
      <c r="F21" s="38" t="inlineStr">
        <is>
          <t>Готово</t>
        </is>
      </c>
    </row>
    <row r="22" ht="16" customHeight="1">
      <c r="B22" s="36" t="inlineStr">
        <is>
          <t>v1.0 А.9</t>
        </is>
      </c>
      <c r="C22" s="37" t="inlineStr">
        <is>
          <t>Unit_Economics + KPI_Dashboard</t>
        </is>
      </c>
      <c r="D22" s="40"/>
      <c r="E22" s="41"/>
      <c r="F22" s="38" t="inlineStr">
        <is>
          <t>Готово</t>
        </is>
      </c>
    </row>
    <row r="23" ht="16" customHeight="1">
      <c r="B23" s="36" t="inlineStr">
        <is>
          <t>v1.0 А.10</t>
        </is>
      </c>
      <c r="C23" s="37" t="inlineStr">
        <is>
          <t>Valuation_DCF + Valuation_Multiples</t>
        </is>
      </c>
      <c r="D23" s="40"/>
      <c r="E23" s="41"/>
      <c r="F23" s="38" t="inlineStr">
        <is>
          <t>Готово</t>
        </is>
      </c>
    </row>
    <row r="24" ht="16" customHeight="1">
      <c r="B24" s="36" t="inlineStr">
        <is>
          <t>v1.0 А.11</t>
        </is>
      </c>
      <c r="C24" s="37" t="inlineStr">
        <is>
          <t>Investor_Returns + Exit_Scenarios</t>
        </is>
      </c>
      <c r="D24" s="40"/>
      <c r="E24" s="41"/>
      <c r="F24" s="38" t="inlineStr">
        <is>
          <t>Готово</t>
        </is>
      </c>
    </row>
    <row r="25" ht="16" customHeight="1">
      <c r="B25" s="36" t="inlineStr">
        <is>
          <t>v1.0 А.12</t>
        </is>
      </c>
      <c r="C25" s="37" t="inlineStr">
        <is>
          <t>Sensitivity (Чувствительность) + Scenario (Сценарий) + Monte Carlo (Монте-Карло)</t>
        </is>
      </c>
      <c r="D25" s="40"/>
      <c r="E25" s="41"/>
      <c r="F25" s="38" t="inlineStr">
        <is>
          <t>Готово</t>
        </is>
      </c>
    </row>
    <row r="26" ht="16" customHeight="1">
      <c r="B26" s="36" t="inlineStr">
        <is>
          <t>v1.0 А.13</t>
        </is>
      </c>
      <c r="C26" s="37" t="inlineStr">
        <is>
          <t>Risk_Register</t>
        </is>
      </c>
      <c r="D26" s="40"/>
      <c r="E26" s="41"/>
      <c r="F26" s="38" t="inlineStr">
        <is>
          <t>Готово</t>
        </is>
      </c>
    </row>
    <row r="27" ht="16" customHeight="1">
      <c r="B27" s="36" t="inlineStr">
        <is>
          <t>v1.0 А.14</t>
        </is>
      </c>
      <c r="C27" s="37" t="inlineStr">
        <is>
          <t>Market + Benchmarks (Бенчмарки) + Comparable Tx</t>
        </is>
      </c>
      <c r="D27" s="40"/>
      <c r="E27" s="41"/>
      <c r="F27" s="38" t="inlineStr">
        <is>
          <t>Готово</t>
        </is>
      </c>
    </row>
    <row r="28" ht="16" customHeight="1">
      <c r="B28" s="36" t="inlineStr">
        <is>
          <t>v1.0 А.15</t>
        </is>
      </c>
      <c r="C28" s="37" t="inlineStr">
        <is>
          <t>Gov_KPI + Tax + Roadmap (Дорожная карта) 2026–2032</t>
        </is>
      </c>
      <c r="D28" s="40"/>
      <c r="E28" s="41"/>
      <c r="F28" s="38" t="inlineStr">
        <is>
          <t>Готово</t>
        </is>
      </c>
    </row>
    <row r="29" ht="16" customHeight="1">
      <c r="B29" s="36" t="inlineStr">
        <is>
          <t>v1.0 А.16</t>
        </is>
      </c>
      <c r="C29" s="37" t="inlineStr">
        <is>
          <t>Executive_Summary + Glossary (Глоссарий) + Notes</t>
        </is>
      </c>
      <c r="D29" s="40"/>
      <c r="E29" s="41"/>
      <c r="F29" s="38" t="inlineStr">
        <is>
          <t>Готово</t>
        </is>
      </c>
    </row>
    <row r="30" ht="16" customHeight="1">
      <c r="B30" s="36" t="inlineStr">
        <is>
          <t>v1.0 А.17</t>
        </is>
      </c>
      <c r="C30" s="37" t="inlineStr">
        <is>
          <t>Public export + Internal (Внутренний) с 4 сервисными</t>
        </is>
      </c>
      <c r="D30" s="40"/>
      <c r="E30" s="41"/>
      <c r="F30" s="38" t="inlineStr">
        <is>
          <t>Готово</t>
        </is>
      </c>
    </row>
    <row r="31" ht="16" customHeight="1">
      <c r="B31" s="36" t="inlineStr">
        <is>
          <t>v1.0 А.18</t>
        </is>
      </c>
      <c r="C31" s="37" t="inlineStr">
        <is>
          <t>П5 «Максимум» 32/32 верификация</t>
        </is>
      </c>
      <c r="D31" s="40"/>
      <c r="E31" s="41"/>
      <c r="F31" s="38" t="inlineStr">
        <is>
          <t>Готово</t>
        </is>
      </c>
    </row>
    <row r="32" ht="16" customHeight="1">
      <c r="B32" s="36" t="inlineStr">
        <is>
          <t>v1.0 А.19</t>
        </is>
      </c>
      <c r="C32" s="37" t="inlineStr">
        <is>
          <t>Финализация + computer:// ссылки</t>
        </is>
      </c>
      <c r="D32" s="40"/>
      <c r="E32" s="41"/>
      <c r="F32" s="38" t="inlineStr">
        <is>
          <t>Готово</t>
        </is>
      </c>
    </row>
    <row r="33">
      <c r="A33" t="inlineStr">
        <is>
          <t>v1.0.2</t>
        </is>
      </c>
      <c r="B33" t="inlineStr">
        <is>
          <t>2026-04-12</t>
        </is>
      </c>
      <c r="C33" t="inlineStr">
        <is>
          <t>FOT (фонд оплаты труда) A2 Market-Based + Cascade: Content (Контент) CAPEX (Капзатраты) rebalance (-103 -&gt; FOT), NDP (чистые распределяемые поступления)=3000 preserved</t>
        </is>
      </c>
      <c r="D33" t="inlineStr">
        <is>
          <t>Sheets 04-06, 09, 10, 06, 21, 36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2" ht="30" customHeight="1">
      <c r="B2" s="19" t="inlineStr">
        <is>
          <t>FOT (фонд оплаты труда) / Штат — Модель A₂ (Market-Based)</t>
        </is>
      </c>
    </row>
    <row r="3">
      <c r="B3" s="20" t="inlineStr">
        <is>
          <t>43 чел. Рыночные оклады P50 МСК. Индексация 8%/год.</t>
        </is>
      </c>
    </row>
    <row r="5" ht="32" customHeight="1">
      <c r="B5" s="42" t="inlineStr">
        <is>
          <t>#</t>
        </is>
      </c>
      <c r="C5" s="42" t="inlineStr">
        <is>
          <t>Категория</t>
        </is>
      </c>
      <c r="D5" s="42" t="inlineStr">
        <is>
          <t>Чел.</t>
        </is>
      </c>
      <c r="E5" s="42" t="inlineStr">
        <is>
          <t>Оклад gross</t>
        </is>
      </c>
      <c r="F5" s="42" t="inlineStr">
        <is>
          <t>ФОТ gross мес</t>
        </is>
      </c>
      <c r="G5" s="42" t="inlineStr">
        <is>
          <t>Страховые 30%</t>
        </is>
      </c>
      <c r="H5" s="42" t="inlineStr">
        <is>
          <t>Итого мес (с налогами)</t>
        </is>
      </c>
      <c r="I5" s="42" t="inlineStr">
        <is>
          <t>Итого год</t>
        </is>
      </c>
    </row>
    <row r="6" ht="20" customHeight="1">
      <c r="B6" s="43" t="n">
        <v>1</v>
      </c>
      <c r="C6" s="23" t="inlineStr">
        <is>
          <t>Продюсеры (вкл. линейные)</t>
        </is>
      </c>
      <c r="D6" s="44">
        <v>7</v>
      </c>
      <c r="E6" s="45" t="n">
        <v>200000</v>
      </c>
      <c r="F6" s="46">
        <f>D6*E6</f>
        <v>0</v>
      </c>
      <c r="G6" s="46">
        <f>F6*0.3</f>
        <v>0</v>
      </c>
      <c r="H6" s="47">
        <f>F6+G6</f>
        <v>0</v>
      </c>
      <c r="I6" s="47">
        <f>H6*12</f>
        <v>0</v>
      </c>
    </row>
    <row r="7" ht="20" customHeight="1">
      <c r="B7" s="43" t="n">
        <v>2</v>
      </c>
      <c r="C7" s="23" t="inlineStr">
        <is>
          <t>Юристы</t>
        </is>
      </c>
      <c r="D7" s="44" t="n">
        <v>3</v>
      </c>
      <c r="E7" s="45" t="n">
        <v>150000</v>
      </c>
      <c r="F7" s="46">
        <f>D7*E7</f>
        <v>0</v>
      </c>
      <c r="G7" s="46">
        <f>F7*0.3</f>
        <v>0</v>
      </c>
      <c r="H7" s="47">
        <f>F7+G7</f>
        <v>0</v>
      </c>
      <c r="I7" s="47">
        <f>H7*12</f>
        <v>0</v>
      </c>
    </row>
    <row r="8" ht="20" customHeight="1">
      <c r="B8" s="43" t="n">
        <v>3</v>
      </c>
      <c r="C8" s="23" t="inlineStr">
        <is>
          <t>Производственный цех</t>
        </is>
      </c>
      <c r="D8" s="44">
        <v>8</v>
      </c>
      <c r="E8" s="45">
        <v>150000</v>
      </c>
      <c r="F8" s="46">
        <f>D8*E8</f>
        <v>0</v>
      </c>
      <c r="G8" s="46">
        <f>F8*0.3</f>
        <v>0</v>
      </c>
      <c r="H8" s="47">
        <f>F8+G8</f>
        <v>0</v>
      </c>
      <c r="I8" s="47">
        <f>H8*12</f>
        <v>0</v>
      </c>
    </row>
    <row r="9" ht="20" customHeight="1">
      <c r="B9" s="43" t="n">
        <v>4</v>
      </c>
      <c r="C9" s="23" t="inlineStr">
        <is>
          <t>Аналитики</t>
        </is>
      </c>
      <c r="D9" s="44">
        <v>5</v>
      </c>
      <c r="E9" s="45">
        <v>140000</v>
      </c>
      <c r="F9" s="46">
        <f>D9*E9</f>
        <v>0</v>
      </c>
      <c r="G9" s="46">
        <f>F9*0.3</f>
        <v>0</v>
      </c>
      <c r="H9" s="47">
        <f>F9+G9</f>
        <v>0</v>
      </c>
      <c r="I9" s="47">
        <f>H9*12</f>
        <v>0</v>
      </c>
    </row>
    <row r="10" ht="20" customHeight="1">
      <c r="B10" s="43" t="n">
        <v>5</v>
      </c>
      <c r="C10" s="23" t="inlineStr">
        <is>
          <t>Бухгалтеры</t>
        </is>
      </c>
      <c r="D10" s="44" t="n">
        <v>4</v>
      </c>
      <c r="E10" s="45">
        <v>110000</v>
      </c>
      <c r="F10" s="46">
        <f>D10*E10</f>
        <v>0</v>
      </c>
      <c r="G10" s="46">
        <f>F10*0.3</f>
        <v>0</v>
      </c>
      <c r="H10" s="47">
        <f>F10+G10</f>
        <v>0</v>
      </c>
      <c r="I10" s="47">
        <f>H10*12</f>
        <v>0</v>
      </c>
    </row>
    <row r="11" ht="20" customHeight="1">
      <c r="B11" s="43" t="n">
        <v>6</v>
      </c>
      <c r="C11" s="23" t="inlineStr">
        <is>
          <t>Эксперты (творческая группа)</t>
        </is>
      </c>
      <c r="D11" s="44">
        <v>8</v>
      </c>
      <c r="E11" s="45">
        <v>180000</v>
      </c>
      <c r="F11" s="46">
        <f>D11*E11</f>
        <v>0</v>
      </c>
      <c r="G11" s="46">
        <f>F11*0.3</f>
        <v>0</v>
      </c>
      <c r="H11" s="47">
        <f>F11+G11</f>
        <v>0</v>
      </c>
      <c r="I11" s="47">
        <f>H11*12</f>
        <v>0</v>
      </c>
    </row>
    <row r="12" ht="20" customHeight="1">
      <c r="B12" s="43" t="n">
        <v>7</v>
      </c>
      <c r="C12" s="23" t="inlineStr">
        <is>
          <t>Водитель</t>
        </is>
      </c>
      <c r="D12" s="44" t="n">
        <v>1</v>
      </c>
      <c r="E12" s="45">
        <v>90000</v>
      </c>
      <c r="F12" s="46">
        <f>D12*E12</f>
        <v>0</v>
      </c>
      <c r="G12" s="46">
        <f>F12*0.3</f>
        <v>0</v>
      </c>
      <c r="H12" s="47">
        <f>F12+G12</f>
        <v>0</v>
      </c>
      <c r="I12" s="47">
        <f>H12*12</f>
        <v>0</v>
      </c>
    </row>
    <row r="13" ht="20" customHeight="1">
      <c r="B13" s="43" t="n">
        <v>8</v>
      </c>
      <c r="C13" s="23" t="inlineStr">
        <is>
          <t>Административный / IT</t>
        </is>
      </c>
      <c r="D13" s="44">
        <v>7</v>
      </c>
      <c r="E13" s="45">
        <v>100000</v>
      </c>
      <c r="F13" s="46">
        <f>D13*E13</f>
        <v>0</v>
      </c>
      <c r="G13" s="46">
        <f>F13*0.3</f>
        <v>0</v>
      </c>
      <c r="H13" s="47">
        <f>F13+G13</f>
        <v>0</v>
      </c>
      <c r="I13" s="47">
        <f>H13*12</f>
        <v>0</v>
      </c>
    </row>
    <row r="14" ht="26" customHeight="1">
      <c r="B14" s="48"/>
      <c r="C14" s="49" t="inlineStr">
        <is>
          <t>ИТОГО ФОТ (A₂ Market)</t>
        </is>
      </c>
      <c r="D14" s="50">
        <v>43</v>
      </c>
      <c r="E14" s="51"/>
      <c r="F14" s="51">
        <v>6420000</v>
      </c>
      <c r="G14" s="51">
        <v>1926000</v>
      </c>
      <c r="H14" s="51">
        <v>8346000</v>
      </c>
      <c r="I14" s="51">
        <v>100152000</v>
      </c>
    </row>
    <row r="16" ht="20" customHeight="1">
      <c r="B16" s="14" t="inlineStr">
        <is>
          <t>ФОТ A₂ за 3 года (2026–2028), млн ₽</t>
        </is>
      </c>
    </row>
    <row r="17" ht="28" customHeight="1">
      <c r="C17" s="42" t="inlineStr">
        <is>
          <t>Год</t>
        </is>
      </c>
      <c r="D17" s="42" t="inlineStr">
        <is>
          <t>Штат</t>
        </is>
      </c>
      <c r="E17" s="42" t="inlineStr">
        <is>
          <t>ФОТ мес gross</t>
        </is>
      </c>
      <c r="F17" s="42" t="inlineStr">
        <is>
          <t>ФОТ мес с нал.</t>
        </is>
      </c>
      <c r="G17" s="42" t="inlineStr">
        <is>
          <t>ФОТ год</t>
        </is>
      </c>
      <c r="H17" s="42" t="inlineStr">
        <is>
          <t>ФОТ/Налоги</t>
        </is>
      </c>
      <c r="I17" s="42" t="inlineStr">
        <is>
          <t>Индексация</t>
        </is>
      </c>
    </row>
    <row r="18" ht="20" customHeight="1">
      <c r="C18" s="52" t="n">
        <v>2026</v>
      </c>
      <c r="D18" s="53">
        <v>43</v>
      </c>
      <c r="E18" s="54">
        <v>6420000</v>
      </c>
      <c r="F18" s="54">
        <v>8346000</v>
      </c>
      <c r="G18" s="55">
        <v>100.152</v>
      </c>
      <c r="H18" s="56">
        <v>23.112</v>
      </c>
      <c r="I18" s="57" t="inlineStr">
        <is>
          <t>0.0%</t>
        </is>
      </c>
    </row>
    <row r="19" ht="20" customHeight="1">
      <c r="C19" s="52" t="n">
        <v>2027</v>
      </c>
      <c r="D19" s="53">
        <v>43</v>
      </c>
      <c r="E19" s="54">
        <v>6933600.0</v>
        <f>E18*1.08</f>
        <v>0</v>
      </c>
      <c r="F19" s="54">
        <v>9013680.0</v>
        <f>F18*1.08</f>
        <v>0</v>
      </c>
      <c r="G19" s="55">
        <v>108.16416000000001</v>
        <f>G18*1.08</f>
        <v>0</v>
      </c>
      <c r="H19" s="56">
        <v>24.96096</v>
        <f>H18*1.08</f>
        <v>0</v>
      </c>
      <c r="I19" s="57" t="inlineStr">
        <is>
          <t>8.0%</t>
        </is>
      </c>
    </row>
    <row r="20" ht="20" customHeight="1">
      <c r="C20" s="52" t="n">
        <v>2028</v>
      </c>
      <c r="D20" s="53">
        <v>43</v>
      </c>
      <c r="E20" s="54">
        <v>7488288.000000001</v>
        <f>E19*1.08</f>
        <v>0</v>
      </c>
      <c r="F20" s="54">
        <v>9734774.4</v>
        <f>F19*1.08</f>
        <v>0</v>
      </c>
      <c r="G20" s="55">
        <v>116.81729280000002</v>
        <f>G19*1.08</f>
        <v>0</v>
      </c>
      <c r="H20" s="56">
        <v>26.957836800000003</v>
        <f>H19*1.08</f>
        <v>0</v>
      </c>
      <c r="I20" s="57" t="inlineStr">
        <is>
          <t>8.0%</t>
        </is>
      </c>
    </row>
    <row r="21" ht="24" customHeight="1">
      <c r="C21" s="58" t="inlineStr">
        <is>
          <t>Σ 2026–2028</t>
        </is>
      </c>
      <c r="D21" s="50">
        <v>43</v>
      </c>
      <c r="E21" s="51">
        <v>6420000</v>
      </c>
      <c r="F21" s="51">
        <v>8346000</v>
      </c>
      <c r="G21" s="59">
        <v>325.13345280000004</v>
        <f>SUM(G18:G20)</f>
        <v>0</v>
      </c>
      <c r="H21" s="59">
        <v>75.03079679999999</v>
        <f>SUM(H18:H20)</f>
        <v>0</v>
      </c>
      <c r="I21" s="58" t="inlineStr">
        <is>
          <t>—</t>
        </is>
      </c>
    </row>
    <row r="23" ht="32" customHeight="1">
      <c r="B23" s="18" t="inlineStr">
        <is>
          <t>⚫ Модель A₂ «Market-Based»: 43 чел, оклады по P50 рынка МСК 2025-2026. Индексация 8%/год. Σ ФОТ 2026-2028 ≈ 325 млн ₽. Источники: hh.ru, ГородРабот, DreamJob.</t>
        </is>
      </c>
    </row>
  </sheetData>
  <mergeCells count="4">
    <mergeCell ref="B23:I23"/>
    <mergeCell ref="B3:O3"/>
    <mergeCell ref="B16:I16"/>
    <mergeCell ref="B2:O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I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</cols>
  <sheetData>
    <row r="2" ht="30" customHeight="1">
      <c r="B2" s="19" t="inlineStr">
        <is>
          <t>FOT (фонд оплаты труда) / Штат — Модель A₂ Dynamic (Динамический) (Market + 8% индексация)</t>
        </is>
      </c>
    </row>
    <row r="3">
      <c r="B3" s="20" t="inlineStr">
        <is>
          <t>Рост штата 43 (фиксированный core) + индексация 8%/год</t>
        </is>
      </c>
    </row>
    <row r="5" ht="20" customHeight="1">
      <c r="B5" s="14" t="inlineStr">
        <is>
          <t>ПАРАМЕТРЫ ДИНАМИКИ (ввод)</t>
        </is>
      </c>
    </row>
    <row r="6" ht="22" customHeight="1">
      <c r="B6" s="42" t="inlineStr">
        <is>
          <t>Параметр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2031</t>
        </is>
      </c>
      <c r="I6" s="42" t="inlineStr">
        <is>
          <t>2032</t>
        </is>
      </c>
    </row>
    <row r="7" ht="20" customHeight="1">
      <c r="B7" s="60" t="inlineStr">
        <is>
          <t>Штат (чел.)</t>
        </is>
      </c>
      <c r="C7" s="44">
        <v>43</v>
      </c>
      <c r="D7" s="44">
        <v>43</v>
      </c>
      <c r="E7" s="44">
        <v>43</v>
      </c>
      <c r="F7" s="44">
        <v>43</v>
      </c>
      <c r="G7" s="44">
        <v>43</v>
      </c>
      <c r="H7" s="44">
        <v>43</v>
      </c>
      <c r="I7" s="44">
        <v>43</v>
      </c>
    </row>
    <row r="8" ht="18" customHeight="1">
      <c r="B8" s="23" t="inlineStr">
        <is>
          <t>Индекс оклада (база 2026=1.00)</t>
        </is>
      </c>
      <c r="C8" s="61" t="n">
        <v>1</v>
      </c>
      <c r="D8" s="61">
        <v>1.08</v>
      </c>
      <c r="E8" s="61">
        <v>1.17</v>
      </c>
      <c r="F8" s="61">
        <v>1.26</v>
      </c>
      <c r="G8" s="61">
        <v>1.36</v>
      </c>
      <c r="H8" s="61">
        <v>1.47</v>
      </c>
      <c r="I8" s="61">
        <v>1.59</v>
      </c>
    </row>
    <row r="9" ht="18" customHeight="1">
      <c r="B9" s="23" t="inlineStr">
        <is>
          <t>Ср. оклад gross (₽/мес, база 2026)</t>
        </is>
      </c>
      <c r="C9" s="46">
        <v>149302.32558139536</v>
      </c>
      <c r="D9" s="46">
        <v>161246.511627907</v>
      </c>
      <c r="E9" s="46">
        <v>174683.72093023255</v>
      </c>
      <c r="F9" s="46">
        <v>188120.93023255817</v>
      </c>
      <c r="G9" s="46">
        <v>203051.1627906977</v>
      </c>
      <c r="H9" s="46">
        <v>219474.41860465117</v>
      </c>
      <c r="I9" s="46">
        <v>237390.69767441862</v>
      </c>
    </row>
    <row r="10" ht="18" customHeight="1">
      <c r="B10" s="23" t="inlineStr">
        <is>
          <t>ФОТ gross / мес</t>
        </is>
      </c>
      <c r="C10" s="46">
        <f>C7*C9</f>
        <v>6420000.0</v>
      </c>
      <c r="D10" s="46">
        <f>D7*D9</f>
        <v>6933600.000000001</v>
      </c>
      <c r="E10" s="46">
        <f>E7*E9</f>
        <v>7511400.0</v>
      </c>
      <c r="F10" s="46">
        <f>F7*F9</f>
        <v>8089200.000000001</v>
      </c>
      <c r="G10" s="46">
        <f>G7*G9</f>
        <v>8731200.000000002</v>
      </c>
      <c r="H10" s="46">
        <f>H7*H9</f>
        <v>9437400.0</v>
      </c>
      <c r="I10" s="46">
        <f>I7*I9</f>
        <v>10207800.0</v>
      </c>
    </row>
    <row r="11" ht="20" customHeight="1">
      <c r="B11" s="60" t="inlineStr">
        <is>
          <t>ФОТ с налогами / мес (×1.30)</t>
        </is>
      </c>
      <c r="C11" s="47">
        <f>C10*1.3</f>
        <v>8346000.0</v>
      </c>
      <c r="D11" s="47">
        <f>D10*1.3</f>
        <v>9013680.000000002</v>
      </c>
      <c r="E11" s="47">
        <f>E10*1.3</f>
        <v>9764820.0</v>
      </c>
      <c r="F11" s="47">
        <f>F10*1.3</f>
        <v>10515960.000000002</v>
      </c>
      <c r="G11" s="47">
        <f>G10*1.3</f>
        <v>11350560.000000004</v>
      </c>
      <c r="H11" s="47">
        <f>H10*1.3</f>
        <v>12268620.0</v>
      </c>
      <c r="I11" s="47">
        <f>I10*1.3</f>
        <v>13270140.0</v>
      </c>
    </row>
    <row r="12" ht="24" customHeight="1">
      <c r="B12" s="49" t="inlineStr">
        <is>
          <t>ФОТ годовой (млн ₽)</t>
        </is>
      </c>
      <c r="C12" s="59">
        <f>C11*12/1000000</f>
        <v>100.152</v>
      </c>
      <c r="D12" s="59">
        <f>D11*12/1000000</f>
        <v>108.16416000000002</v>
      </c>
      <c r="E12" s="59">
        <f>E11*12/1000000</f>
        <v>117.17784</v>
      </c>
      <c r="F12" s="59">
        <f>F11*12/1000000</f>
        <v>126.19152000000003</v>
      </c>
      <c r="G12" s="59">
        <f>G11*12/1000000</f>
        <v>136.20672000000005</v>
      </c>
      <c r="H12" s="59">
        <f>H11*12/1000000</f>
        <v>147.22344</v>
      </c>
      <c r="I12" s="59">
        <f>I11*12/1000000</f>
        <v>159.24168</v>
      </c>
    </row>
    <row r="14" ht="20" customHeight="1">
      <c r="B14" s="14" t="inlineStr">
        <is>
          <t>ПОКВАРТАЛЬНАЯ РАЗБИВКА 2026–2028 (млн ₽)</t>
        </is>
      </c>
    </row>
    <row r="15" ht="22" customHeight="1">
      <c r="B15" s="42" t="inlineStr">
        <is>
          <t>Квартал</t>
        </is>
      </c>
      <c r="C15" s="42" t="inlineStr">
        <is>
          <t>Q1</t>
        </is>
      </c>
      <c r="D15" s="42" t="inlineStr">
        <is>
          <t>Q2</t>
        </is>
      </c>
      <c r="E15" s="42" t="inlineStr">
        <is>
          <t>Q3</t>
        </is>
      </c>
      <c r="F15" s="42" t="inlineStr">
        <is>
          <t>Q4</t>
        </is>
      </c>
      <c r="G15" s="42" t="inlineStr">
        <is>
          <t>Год Σ</t>
        </is>
      </c>
    </row>
    <row r="16" ht="20" customHeight="1">
      <c r="B16" s="62" t="inlineStr">
        <is>
          <t>2026</t>
        </is>
      </c>
      <c r="C16" s="63">
        <f>C12/4</f>
        <v>25.038</v>
      </c>
      <c r="D16" s="63">
        <f>C12/4</f>
        <v>25.038</v>
      </c>
      <c r="E16" s="63">
        <f>C12/4</f>
        <v>25.038</v>
      </c>
      <c r="F16" s="63">
        <f>C12/4</f>
        <v>25.038</v>
      </c>
      <c r="G16" s="64">
        <f>C12</f>
        <v>100.152</v>
      </c>
    </row>
    <row r="17" ht="20" customHeight="1">
      <c r="B17" s="62" t="inlineStr">
        <is>
          <t>2027</t>
        </is>
      </c>
      <c r="C17" s="63">
        <f>D12/4</f>
        <v>27.041040000000006</v>
      </c>
      <c r="D17" s="63">
        <f>D12/4</f>
        <v>27.041040000000006</v>
      </c>
      <c r="E17" s="63">
        <f>D12/4</f>
        <v>27.041040000000006</v>
      </c>
      <c r="F17" s="63">
        <f>D12/4</f>
        <v>27.041040000000006</v>
      </c>
      <c r="G17" s="64">
        <f>D12</f>
        <v>108.16416000000002</v>
      </c>
    </row>
    <row r="18" ht="20" customHeight="1">
      <c r="B18" s="62" t="inlineStr">
        <is>
          <t>2028</t>
        </is>
      </c>
      <c r="C18" s="63">
        <f>E12/4</f>
        <v>29.29446</v>
      </c>
      <c r="D18" s="63">
        <f>E12/4</f>
        <v>29.29446</v>
      </c>
      <c r="E18" s="63">
        <f>E12/4</f>
        <v>29.29446</v>
      </c>
      <c r="F18" s="63">
        <f>E12/4</f>
        <v>29.29446</v>
      </c>
      <c r="G18" s="64">
        <f>E12</f>
        <v>117.17784</v>
      </c>
    </row>
    <row r="19" ht="24" customHeight="1">
      <c r="B19" s="58" t="inlineStr">
        <is>
          <t>Σ 2026–2028</t>
        </is>
      </c>
      <c r="C19" s="65">
        <f>SUM(C16:C18)</f>
        <v>81.3735</v>
      </c>
      <c r="D19" s="65">
        <f>SUM(D16:D18)</f>
        <v>81.3735</v>
      </c>
      <c r="E19" s="65">
        <f>SUM(E16:E18)</f>
        <v>81.3735</v>
      </c>
      <c r="F19" s="65">
        <f>SUM(F16:F18)</f>
        <v>81.3735</v>
      </c>
      <c r="G19" s="59">
        <f>SUM(G16:G18)</f>
        <v>325.494</v>
      </c>
    </row>
    <row r="21" ht="20" customHeight="1">
      <c r="B21" s="14" t="inlineStr">
        <is>
          <t>СРАВНЕНИЕ A₁ Fixed (Фиксированный) vs A₂ Dynamic (Динамический)</t>
        </is>
      </c>
    </row>
    <row r="22" ht="22" customHeight="1">
      <c r="B22" s="42" t="inlineStr">
        <is>
          <t>Период</t>
        </is>
      </c>
      <c r="C22" s="42" t="inlineStr">
        <is>
          <t>A₁ Fixed (Фиксированный)</t>
        </is>
      </c>
      <c r="D22" s="42" t="inlineStr">
        <is>
          <t>A₂ Dynamic (Динамический)</t>
        </is>
      </c>
      <c r="E22" s="42" t="inlineStr">
        <is>
          <t>Δ (A₂−A₁)</t>
        </is>
      </c>
      <c r="F22" s="42" t="inlineStr">
        <is>
          <t>Δ, %</t>
        </is>
      </c>
    </row>
    <row r="23" ht="20" customHeight="1">
      <c r="B23" s="32" t="n">
        <v>2026</v>
      </c>
      <c r="C23" s="66" t="n">
        <v>73.944</v>
      </c>
      <c r="D23" s="63">
        <f>C12</f>
        <v>100.152</v>
      </c>
      <c r="E23" s="67">
        <f>D23-C23</f>
        <v>26.208</v>
      </c>
      <c r="F23" s="68">
        <f>(D23-C23)/C23</f>
        <v>0.3544303797468354</v>
      </c>
    </row>
    <row r="24" ht="20" customHeight="1">
      <c r="B24" s="32" t="n">
        <v>2027</v>
      </c>
      <c r="C24" s="66" t="n">
        <v>73.944</v>
      </c>
      <c r="D24" s="63">
        <f>D12</f>
        <v>108.16416000000002</v>
      </c>
      <c r="E24" s="67">
        <f>D24-C24</f>
        <v>34.22016000000002</v>
      </c>
      <c r="F24" s="68">
        <f>(D24-C24)/C24</f>
        <v>0.46278481012658257</v>
      </c>
    </row>
    <row r="25" ht="20" customHeight="1">
      <c r="B25" s="32" t="n">
        <v>2028</v>
      </c>
      <c r="C25" s="66" t="n">
        <v>73.944</v>
      </c>
      <c r="D25" s="63">
        <f>E12</f>
        <v>117.17784</v>
      </c>
      <c r="E25" s="67">
        <f>D25-C25</f>
        <v>43.23384</v>
      </c>
      <c r="F25" s="68">
        <f>(D25-C25)/C25</f>
        <v>0.5846835443037974</v>
      </c>
    </row>
    <row r="26" ht="24" customHeight="1">
      <c r="B26" s="58" t="inlineStr">
        <is>
          <t>Σ 3 года</t>
        </is>
      </c>
      <c r="C26" s="59">
        <f>SUM(C23:C25)</f>
        <v>221.832</v>
      </c>
      <c r="D26" s="59">
        <f>SUM(D23:D25)</f>
        <v>325.494</v>
      </c>
      <c r="E26" s="69">
        <f>D26-C26</f>
        <v>103.66200000000003</v>
      </c>
      <c r="F26" s="70">
        <f>(D26-C26)/C26</f>
        <v>0.4672995780590719</v>
      </c>
    </row>
    <row r="28" ht="50" customHeight="1">
      <c r="B28" s="18" t="inlineStr">
        <is>
          <t>⚫ Модель A₂ «Full Dynamic (Динамический)»: штат растёт 50→60→70 (pre-IPO (первичное размещение) команда), оклады индексируются 7%/год (CPI 6.5% + премия). Для 2026–2028 разница с A₁ отражает реалистичный рост OPEX (Операционные расходы) и используется в pessimistic scenarios. Для верификации якоря EBITDA (прибыль до вычетов) = 3 000 млн ₽ используется A₁. В дальнейшем можно переключить P&amp;L через selector на A₂.</t>
        </is>
      </c>
    </row>
  </sheetData>
  <mergeCells count="6">
    <mergeCell ref="B5:J5"/>
    <mergeCell ref="B28:J28"/>
    <mergeCell ref="B14:J14"/>
    <mergeCell ref="B2:O2"/>
    <mergeCell ref="B3:O3"/>
    <mergeCell ref="B21:J2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H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" customWidth="1" min="9" max="9"/>
  </cols>
  <sheetData>
    <row r="2" ht="30" customHeight="1">
      <c r="B2" s="19" t="inlineStr">
        <is>
          <t>Структура OPEX (Операционные расходы) (Cost Structure (Структура затрат))</t>
        </is>
      </c>
    </row>
    <row r="3">
      <c r="B3" s="20" t="inlineStr">
        <is>
          <t>Сводка операционных расходов холдинга. Годовые показатели 2026–2032 на основе A₂ Market и Assumptions.</t>
        </is>
      </c>
    </row>
    <row r="5" ht="20" customHeight="1">
      <c r="B5" s="14" t="inlineStr">
        <is>
          <t>OPEX (Операционные расходы) ПО ГОДАМ (Base (Базовый), модель A₂ Market), млн ₽</t>
        </is>
      </c>
    </row>
    <row r="6" ht="22" customHeight="1">
      <c r="B6" s="42" t="inlineStr">
        <is>
          <t>Статья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Σ 2026–2028</t>
        </is>
      </c>
    </row>
    <row r="7" ht="20" customHeight="1">
      <c r="B7" s="60" t="inlineStr">
        <is>
          <t>ФОТ с налогами (A₂ Market, 8%)</t>
        </is>
      </c>
      <c r="C7" s="71">
        <v>100.152</v>
      </c>
      <c r="D7" s="71">
        <v>108.164</v>
      </c>
      <c r="E7" s="71">
        <v>116.817</v>
      </c>
      <c r="F7" s="71">
        <v>126.161</v>
      </c>
      <c r="G7" s="71">
        <v>136.256</v>
      </c>
      <c r="H7" s="72">
        <v>325.133</v>
      </c>
    </row>
    <row r="8" ht="20" customHeight="1">
      <c r="B8" s="23" t="inlineStr">
        <is>
          <t>Аренда офиса (750 м²)</t>
        </is>
      </c>
      <c r="C8" s="63" t="n">
        <v>8.25</v>
      </c>
      <c r="D8" s="63" t="n">
        <v>8.786249999999999</v>
      </c>
      <c r="E8" s="63" t="n">
        <v>9.357356249999999</v>
      </c>
      <c r="F8" s="63" t="n">
        <v>9.965584406249999</v>
      </c>
      <c r="G8" s="63" t="n">
        <v>10.61334739265625</v>
      </c>
      <c r="H8" s="72">
        <f>SUM(C8:E8)</f>
        <v>0</v>
      </c>
    </row>
    <row r="9" ht="20" customHeight="1">
      <c r="B9" s="23" t="inlineStr">
        <is>
          <t>Коммунальные платежи</t>
        </is>
      </c>
      <c r="C9" s="63" t="n">
        <v>0.396</v>
      </c>
      <c r="D9" s="63" t="n">
        <v>0.42174</v>
      </c>
      <c r="E9" s="63" t="n">
        <v>0.4491531</v>
      </c>
      <c r="F9" s="63" t="n">
        <v>0.4783480515</v>
      </c>
      <c r="G9" s="63" t="n">
        <v>0.5094406748475</v>
      </c>
      <c r="H9" s="72">
        <f>SUM(C9:E9)</f>
        <v>0</v>
      </c>
    </row>
    <row r="10" ht="20" customHeight="1">
      <c r="B10" s="23" t="inlineStr">
        <is>
          <t>Связь, интернет</t>
        </is>
      </c>
      <c r="C10" s="63" t="n">
        <v>0.36</v>
      </c>
      <c r="D10" s="63" t="n">
        <v>0.3834</v>
      </c>
      <c r="E10" s="63" t="n">
        <v>0.4083209999999999</v>
      </c>
      <c r="F10" s="63" t="n">
        <v>0.434861865</v>
      </c>
      <c r="G10" s="63" t="n">
        <v>0.4631278862249999</v>
      </c>
      <c r="H10" s="72">
        <f>SUM(C10:E10)</f>
        <v>0</v>
      </c>
    </row>
    <row r="11" ht="20" customHeight="1">
      <c r="B11" s="23" t="inlineStr">
        <is>
          <t>ПО и лицензии</t>
        </is>
      </c>
      <c r="C11" s="63" t="n">
        <v>0.72</v>
      </c>
      <c r="D11" s="63" t="n">
        <v>0.7667999999999999</v>
      </c>
      <c r="E11" s="63" t="n">
        <v>0.8166419999999999</v>
      </c>
      <c r="F11" s="63" t="n">
        <v>0.8697237299999999</v>
      </c>
      <c r="G11" s="63" t="n">
        <v>0.9262557724499998</v>
      </c>
      <c r="H11" s="72">
        <f>SUM(C11:E11)</f>
        <v>0</v>
      </c>
    </row>
    <row r="12" ht="20" customHeight="1">
      <c r="B12" s="23" t="inlineStr">
        <is>
          <t>Командировки</t>
        </is>
      </c>
      <c r="C12" s="63" t="n">
        <v>1.2</v>
      </c>
      <c r="D12" s="63" t="n">
        <v>1.278</v>
      </c>
      <c r="E12" s="63" t="n">
        <v>1.36107</v>
      </c>
      <c r="F12" s="63" t="n">
        <v>1.44953955</v>
      </c>
      <c r="G12" s="63" t="n">
        <v>1.54375962075</v>
      </c>
      <c r="H12" s="72">
        <f>SUM(C12:E12)</f>
        <v>0</v>
      </c>
    </row>
    <row r="13" ht="20" customHeight="1">
      <c r="B13" s="23" t="inlineStr">
        <is>
          <t>Представительские</t>
        </is>
      </c>
      <c r="C13" s="63" t="n">
        <v>0.6</v>
      </c>
      <c r="D13" s="63" t="n">
        <v>0.6389999999999999</v>
      </c>
      <c r="E13" s="63" t="n">
        <v>0.6805349999999999</v>
      </c>
      <c r="F13" s="63" t="n">
        <v>0.7247697749999999</v>
      </c>
      <c r="G13" s="63" t="n">
        <v>0.7718798103749999</v>
      </c>
      <c r="H13" s="72">
        <f>SUM(C13:E13)</f>
        <v>0</v>
      </c>
    </row>
    <row r="14" ht="20" customHeight="1">
      <c r="B14" s="23" t="inlineStr">
        <is>
          <t>Консультанты (юр/аудит)</t>
        </is>
      </c>
      <c r="C14" s="63" t="n">
        <v>1.5</v>
      </c>
      <c r="D14" s="63" t="n">
        <v>1.5975</v>
      </c>
      <c r="E14" s="63" t="n">
        <v>1.7013375</v>
      </c>
      <c r="F14" s="63" t="n">
        <v>1.8119244375</v>
      </c>
      <c r="G14" s="63" t="n">
        <v>1.9296995259375</v>
      </c>
      <c r="H14" s="72">
        <f>SUM(C14:E14)</f>
        <v>0</v>
      </c>
    </row>
    <row r="15" ht="20" customHeight="1">
      <c r="B15" s="23" t="inlineStr">
        <is>
          <t>Канцелярия, расходники</t>
        </is>
      </c>
      <c r="C15" s="63" t="n">
        <v>0.216</v>
      </c>
      <c r="D15" s="63" t="n">
        <v>0.23004</v>
      </c>
      <c r="E15" s="63" t="n">
        <v>0.2449925999999999</v>
      </c>
      <c r="F15" s="63" t="n">
        <v>0.260917119</v>
      </c>
      <c r="G15" s="63" t="n">
        <v>0.2778767317349999</v>
      </c>
      <c r="H15" s="72">
        <f>SUM(C15:E15)</f>
        <v>0</v>
      </c>
    </row>
    <row r="16" ht="20" customHeight="1">
      <c r="B16" s="23" t="inlineStr">
        <is>
          <t>Банковские комиссии</t>
        </is>
      </c>
      <c r="C16" s="63" t="n">
        <v>0.42</v>
      </c>
      <c r="D16" s="63" t="n">
        <v>0.4473</v>
      </c>
      <c r="E16" s="63" t="n">
        <v>0.4763744999999999</v>
      </c>
      <c r="F16" s="63" t="n">
        <v>0.5073388424999999</v>
      </c>
      <c r="G16" s="63" t="n">
        <v>0.5403158672624999</v>
      </c>
      <c r="H16" s="72">
        <f>SUM(C16:E16)</f>
        <v>0</v>
      </c>
    </row>
    <row r="17" ht="20" customHeight="1">
      <c r="B17" s="23" t="inlineStr">
        <is>
          <t>Маркетинг корпоративный</t>
        </is>
      </c>
      <c r="C17" s="63" t="n">
        <v>0.9</v>
      </c>
      <c r="D17" s="63" t="n">
        <v>0.9585</v>
      </c>
      <c r="E17" s="63" t="n">
        <v>1.0208025</v>
      </c>
      <c r="F17" s="63" t="n">
        <v>1.0871546625</v>
      </c>
      <c r="G17" s="63" t="n">
        <v>1.1578197155625</v>
      </c>
      <c r="H17" s="72">
        <f>SUM(C17:E17)</f>
        <v>0</v>
      </c>
    </row>
    <row r="18" ht="26" customHeight="1">
      <c r="B18" s="73" t="inlineStr">
        <is>
          <t>ИТОГО OPEX (Операционные расходы)</t>
        </is>
      </c>
      <c r="C18" s="74">
        <v>114.714</v>
        <f>SUM(C7:C17)</f>
        <v>0</v>
      </c>
      <c r="D18" s="74">
        <v>123.673</v>
      </c>
      <c r="E18" s="74">
        <v>133.333</v>
      </c>
      <c r="F18" s="74">
        <v>143.752</v>
      </c>
      <c r="G18" s="74">
        <v>154.989</v>
      </c>
      <c r="H18" s="74">
        <v>371.72</v>
      </c>
    </row>
    <row r="20" ht="20" customHeight="1">
      <c r="B20" s="14" t="inlineStr">
        <is>
          <t>СТРУКТУРА OPEX (Операционные расходы) 2026 (доли, %)</t>
        </is>
      </c>
    </row>
    <row r="21" ht="22" customHeight="1">
      <c r="B21" s="42" t="inlineStr">
        <is>
          <t>Категория</t>
        </is>
      </c>
      <c r="C21" s="42" t="inlineStr">
        <is>
          <t>Сумма 2026</t>
        </is>
      </c>
      <c r="D21" s="42" t="inlineStr">
        <is>
          <t>Доля, %</t>
        </is>
      </c>
      <c r="E21" s="42" t="inlineStr">
        <is>
          <t>Комментарий</t>
        </is>
      </c>
      <c r="F21" s="75"/>
      <c r="G21" s="75"/>
      <c r="H21" s="76"/>
    </row>
    <row r="22" ht="20" customHeight="1">
      <c r="B22" s="23" t="inlineStr">
        <is>
          <t>ФОТ с налогами</t>
        </is>
      </c>
      <c r="C22" s="77">
        <v>100.152</v>
        <f>C7</f>
        <v>0</v>
      </c>
      <c r="D22" s="78">
        <v>0.8730582143417543</v>
        <f>C22/C18</f>
        <v>0</v>
      </c>
      <c r="E22" s="79" t="inlineStr">
        <is>
          <t>ключевая статья (~87%)</t>
        </is>
      </c>
      <c r="F22" s="40"/>
      <c r="G22" s="40"/>
      <c r="H22" s="41"/>
    </row>
    <row r="23" ht="20" customHeight="1">
      <c r="B23" s="23" t="inlineStr">
        <is>
          <t>Офисные расходы (аренда + коммуналки)</t>
        </is>
      </c>
      <c r="C23" s="77">
        <v>8.646</v>
        <f>C8+C9</f>
        <v>0</v>
      </c>
      <c r="D23" s="78">
        <v>0.07537005073487107</v>
        <f>C23/C18</f>
        <v>0</v>
      </c>
      <c r="E23" s="79" t="inlineStr">
        <is>
          <t>фиксированная аренда 750 м²</t>
        </is>
      </c>
      <c r="F23" s="40"/>
      <c r="G23" s="40"/>
      <c r="H23" s="41"/>
    </row>
    <row r="24" ht="20" customHeight="1">
      <c r="B24" s="23" t="inlineStr">
        <is>
          <t>Операционные нужды (связь, ПО, канцтовары)</t>
        </is>
      </c>
      <c r="C24" s="77">
        <v>1.296</v>
        <f>C10+C11+C15</f>
        <v>0</v>
      </c>
      <c r="D24" s="78">
        <v>0.011297662011611486</v>
        <f>C24/C18</f>
        <v>0</v>
      </c>
      <c r="E24" s="79" t="inlineStr">
        <is>
          <t>рабочая инфраструктура</t>
        </is>
      </c>
      <c r="F24" s="40"/>
      <c r="G24" s="40"/>
      <c r="H24" s="41"/>
    </row>
    <row r="25" ht="20" customHeight="1">
      <c r="B25" s="23" t="inlineStr">
        <is>
          <t>Командировки и представительские</t>
        </is>
      </c>
      <c r="C25" s="77">
        <v>1.7999999999999998</v>
        <f>C12+C13</f>
        <v>0</v>
      </c>
      <c r="D25" s="78">
        <v>0.015691197238349285</v>
        <f>C25/C18</f>
        <v>0</v>
      </c>
      <c r="E25" s="79" t="inlineStr">
        <is>
          <t>продюсерская деятельность</t>
        </is>
      </c>
      <c r="F25" s="40"/>
      <c r="G25" s="40"/>
      <c r="H25" s="41"/>
    </row>
    <row r="26" ht="20" customHeight="1">
      <c r="B26" s="23" t="inlineStr">
        <is>
          <t>Консультанты (юр/аудит)</t>
        </is>
      </c>
      <c r="C26" s="77">
        <v>1.5</v>
      </c>
      <c r="D26" s="78">
        <v>0.013075997698624406</v>
        <f>C26/C18</f>
        <v>0</v>
      </c>
      <c r="E26" s="79" t="inlineStr">
        <is>
          <t>внешние услуги</t>
        </is>
      </c>
      <c r="F26" s="40"/>
      <c r="G26" s="40"/>
      <c r="H26" s="41"/>
    </row>
    <row r="27" ht="20" customHeight="1">
      <c r="B27" s="23" t="inlineStr">
        <is>
          <t>Банковские комиссии + маркетинг</t>
        </is>
      </c>
      <c r="C27" s="77">
        <v>1.32</v>
        <f>C16+C17</f>
        <v>0</v>
      </c>
      <c r="D27" s="78">
        <v>0.011506877974789477</v>
        <f>C27/C18</f>
        <v>0</v>
      </c>
      <c r="E27" s="79" t="inlineStr">
        <is>
          <t>финансовые и PR</t>
        </is>
      </c>
      <c r="F27" s="40"/>
      <c r="G27" s="40"/>
      <c r="H27" s="41"/>
    </row>
    <row r="28" ht="22" customHeight="1">
      <c r="B28" s="80" t="inlineStr">
        <is>
          <t>ПРОВЕРКА: Σ категорий = OPEX (Операционные расходы) total</t>
        </is>
      </c>
      <c r="C28" s="81">
        <v>114.714</v>
        <f>SUM(C22:C27)</f>
        <v>0</v>
      </c>
      <c r="D28" s="82">
        <v>1.0</v>
        <f>SUM(D22:D27)</f>
        <v>0</v>
      </c>
      <c r="E28" s="83" t="inlineStr">
        <is>
          <t>✓ Совпадает с ИТОГО OPEX (Операционные расходы) 2026 (114.7 млн) = 100%</t>
        </is>
      </c>
      <c r="F28" s="40"/>
      <c r="G28" s="40"/>
      <c r="H28" s="41"/>
    </row>
    <row r="30" ht="20" customHeight="1">
      <c r="B30" s="14" t="inlineStr">
        <is>
          <t>COGS (себестоимость) / ПРОИЗВОДСТВО КОНТЕНТА (обзор)</t>
        </is>
      </c>
    </row>
    <row r="31" ht="22" customHeight="1">
      <c r="B31" s="42" t="inlineStr">
        <is>
          <t>Параметр</t>
        </is>
      </c>
      <c r="C31" s="42" t="inlineStr">
        <is>
          <t>Значение</t>
        </is>
      </c>
      <c r="D31" s="42" t="inlineStr">
        <is>
          <t>Ед.изм.</t>
        </is>
      </c>
      <c r="E31" s="42" t="inlineStr">
        <is>
          <t>Комментарий</t>
        </is>
      </c>
      <c r="F31" s="75"/>
      <c r="G31" s="75"/>
      <c r="H31" s="76"/>
    </row>
    <row r="32" ht="20" customHeight="1">
      <c r="B32" s="23" t="inlineStr">
        <is>
          <t>Total (Итого) content budget (бюджет)</t>
        </is>
      </c>
      <c r="C32" s="84">
        <v>1746.8</v>
      </c>
      <c r="D32" s="22" t="inlineStr">
        <is>
          <t>млн ₽</t>
        </is>
      </c>
      <c r="E32" s="79" t="inlineStr">
        <is>
          <t>7 проектов × 154.2</t>
        </is>
      </c>
      <c r="F32" s="40"/>
      <c r="G32" s="40"/>
      <c r="H32" s="41"/>
    </row>
    <row r="33" ht="20" customHeight="1">
      <c r="B33" s="23" t="inlineStr">
        <is>
          <t>Средний бюджет 1 фильма</t>
        </is>
      </c>
      <c r="C33" s="84">
        <v>145.6</v>
      </c>
      <c r="D33" s="22" t="inlineStr">
        <is>
          <t>млн ₽</t>
        </is>
      </c>
      <c r="E33" s="79" t="inlineStr">
        <is>
          <t>производство + постпрод</t>
        </is>
      </c>
      <c r="F33" s="40"/>
      <c r="G33" s="40"/>
      <c r="H33" s="41"/>
    </row>
    <row r="34" ht="20" customHeight="1">
      <c r="B34" s="23" t="inlineStr">
        <is>
          <t>Producer equity (капитал продюсера)</t>
        </is>
      </c>
      <c r="C34" s="84">
        <v>600</v>
      </c>
      <c r="D34" s="22" t="inlineStr">
        <is>
          <t>млн ₽</t>
        </is>
      </c>
      <c r="E34" s="79" t="inlineStr">
        <is>
          <t>600 / 1747 = 34.3%</t>
        </is>
      </c>
      <c r="F34" s="40"/>
      <c r="G34" s="40"/>
      <c r="H34" s="41"/>
    </row>
    <row r="35" ht="20" customHeight="1">
      <c r="B35" s="23" t="inlineStr">
        <is>
          <t>Investor (Инвестор) funding</t>
        </is>
      </c>
      <c r="C35" s="84">
        <v>1250</v>
      </c>
      <c r="D35" s="22" t="inlineStr">
        <is>
          <t>млн ₽</t>
        </is>
      </c>
      <c r="E35" s="79" t="inlineStr">
        <is>
          <t>1250 / 1747 = 71.6%</t>
        </is>
      </c>
      <c r="F35" s="40"/>
      <c r="G35" s="40"/>
      <c r="H35" s="41"/>
    </row>
    <row r="36" ht="20" customHeight="1">
      <c r="B36" s="23" t="inlineStr">
        <is>
          <t>Amortization (Амортизация)</t>
        </is>
      </c>
      <c r="C36" s="84" t="n">
        <v>12</v>
      </c>
      <c r="D36" s="22" t="inlineStr">
        <is>
          <t>млн ₽</t>
        </is>
      </c>
      <c r="E36" s="79" t="inlineStr">
        <is>
          <t>линейная</t>
        </is>
      </c>
      <c r="F36" s="40"/>
      <c r="G36" s="40"/>
      <c r="H36" s="41"/>
    </row>
    <row r="37" ht="20" customHeight="1">
      <c r="B37" s="23" t="inlineStr">
        <is>
          <t>P&amp;A (тиражирование и реклама) (Print &amp; Advertising (Тиражирование и реклама))</t>
        </is>
      </c>
      <c r="C37" s="24" t="n">
        <v>0.15</v>
      </c>
      <c r="D37" s="22" t="inlineStr">
        <is>
          <t>%</t>
        </is>
      </c>
      <c r="E37" s="79" t="inlineStr">
        <is>
          <t>15% от бюджета фильма</t>
        </is>
      </c>
      <c r="F37" s="40"/>
      <c r="G37" s="40"/>
      <c r="H37" s="41"/>
    </row>
    <row r="39" ht="45" customHeight="1">
      <c r="B39" s="18" t="inlineStr">
        <is>
          <t>ССЫЛКА НА ИСТОЧНИК: Структура OPEX (Операционные расходы)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</row>
  </sheetData>
  <mergeCells count="21">
    <mergeCell ref="E26:H26"/>
    <mergeCell ref="B30:H30"/>
    <mergeCell ref="B3:O3"/>
    <mergeCell ref="E25:H25"/>
    <mergeCell ref="E32:H32"/>
    <mergeCell ref="B5:H5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2" ht="30" customHeight="1">
      <c r="B2" s="19" t="inlineStr">
        <is>
          <t>Структура выручки (Revenue Breakdown (Структура выручки))</t>
        </is>
      </c>
    </row>
    <row r="3">
      <c r="B3" s="20" t="inlineStr">
        <is>
          <t>8 источников выручки × 2026–2028. Якорь Σ = 4 545 млн ₽ (5 фильмов + 2 сериала). Доли согласованы с Assumptions блок F.</t>
        </is>
      </c>
    </row>
    <row r="5" ht="20" customHeight="1">
      <c r="B5" s="14" t="inlineStr">
        <is>
          <t>ВЫРУЧКА ПО ИСТОЧНИКАМ (млн ₽)</t>
        </is>
      </c>
    </row>
    <row r="6" ht="26" customHeight="1">
      <c r="B6" s="42" t="inlineStr">
        <is>
          <t>Источник</t>
        </is>
      </c>
      <c r="C6" s="42" t="inlineStr">
        <is>
          <t>Доля, %</t>
        </is>
      </c>
      <c r="D6" s="42" t="inlineStr">
        <is>
          <t>2026</t>
        </is>
      </c>
      <c r="E6" s="42" t="inlineStr">
        <is>
          <t>2027</t>
        </is>
      </c>
      <c r="F6" s="42" t="inlineStr">
        <is>
          <t>2028</t>
        </is>
      </c>
      <c r="G6" s="42" t="inlineStr">
        <is>
          <t>Σ 2026–2028</t>
        </is>
      </c>
      <c r="H6" s="42" t="inlineStr">
        <is>
          <t>CAGR (среднегодовой темп роста)</t>
        </is>
      </c>
    </row>
    <row r="7" ht="20" customHeight="1">
      <c r="B7" s="23" t="inlineStr">
        <is>
          <t>Box Office (Кассовые сборы)</t>
        </is>
      </c>
      <c r="C7" s="85">
        <v>0.38</v>
      </c>
      <c r="D7" s="86">
        <v>216.6</v>
      </c>
      <c r="E7" s="86">
        <v>940.5</v>
      </c>
      <c r="F7" s="86">
        <v>570.0</v>
      </c>
      <c r="G7" s="87">
        <f>SUM(D7:F7)</f>
        <v>1727.1</v>
      </c>
      <c r="H7" s="88">
        <f>(F7/D7)^(1/2)-1</f>
        <v>0.62221</v>
      </c>
    </row>
    <row r="8" ht="20" customHeight="1">
      <c r="B8" s="23" t="inlineStr">
        <is>
          <t>Online SVOD (подписной стриминг)</t>
        </is>
      </c>
      <c r="C8" s="85">
        <v>0.28</v>
      </c>
      <c r="D8" s="86">
        <v>159.6</v>
      </c>
      <c r="E8" s="86">
        <v>693.0</v>
      </c>
      <c r="F8" s="86">
        <v>420.0</v>
      </c>
      <c r="G8" s="87">
        <f>SUM(D8:F8)</f>
        <v>1272.6</v>
      </c>
      <c r="H8" s="88">
        <f>(F8/D8)^(1/2)-1</f>
        <v>0.62221</v>
      </c>
    </row>
    <row r="9" ht="20" customHeight="1">
      <c r="B9" s="23" t="inlineStr">
        <is>
          <t>TV (телевидение) rights</t>
        </is>
      </c>
      <c r="C9" s="85">
        <v>0.12</v>
      </c>
      <c r="D9" s="86">
        <v>68.4</v>
      </c>
      <c r="E9" s="86">
        <v>297.0</v>
      </c>
      <c r="F9" s="86">
        <v>180.0</v>
      </c>
      <c r="G9" s="87">
        <f>SUM(D9:F9)</f>
        <v>545.4</v>
      </c>
      <c r="H9" s="88">
        <f>(F9/D9)^(1/2)-1</f>
        <v>0.62221</v>
      </c>
    </row>
    <row r="10" ht="20" customHeight="1">
      <c r="B10" s="23" t="inlineStr">
        <is>
          <t>Международные продажи (Международные продажи)</t>
        </is>
      </c>
      <c r="C10" s="85">
        <v>0.1</v>
      </c>
      <c r="D10" s="86">
        <v>57.0</v>
      </c>
      <c r="E10" s="86">
        <v>247.5</v>
      </c>
      <c r="F10" s="86">
        <v>150.0</v>
      </c>
      <c r="G10" s="87">
        <f>SUM(D10:F10)</f>
        <v>454.5</v>
      </c>
      <c r="H10" s="88">
        <f>(F10/D10)^(1/2)-1</f>
        <v>0.62221</v>
      </c>
    </row>
    <row r="11" ht="20" customHeight="1">
      <c r="B11" s="23" t="inlineStr">
        <is>
          <t>VOD (транзакционный)</t>
        </is>
      </c>
      <c r="C11" s="85">
        <v>0.04</v>
      </c>
      <c r="D11" s="86">
        <v>22.8</v>
      </c>
      <c r="E11" s="86">
        <v>99.0</v>
      </c>
      <c r="F11" s="86">
        <v>60.0</v>
      </c>
      <c r="G11" s="87">
        <f>SUM(D11:F11)</f>
        <v>181.8</v>
      </c>
      <c r="H11" s="88">
        <f>(F11/D11)^(1/2)-1</f>
        <v>0.62221</v>
      </c>
    </row>
    <row r="12" ht="20" customHeight="1">
      <c r="B12" s="23" t="inlineStr">
        <is>
          <t>Спонсорство / продакт-плейсмент (Спонсорство / продакт-плейсмент)</t>
        </is>
      </c>
      <c r="C12" s="85">
        <v>0.04</v>
      </c>
      <c r="D12" s="86">
        <v>22.8</v>
      </c>
      <c r="E12" s="86">
        <v>99.0</v>
      </c>
      <c r="F12" s="86">
        <v>60.0</v>
      </c>
      <c r="G12" s="87">
        <f>SUM(D12:F12)</f>
        <v>181.8</v>
      </c>
      <c r="H12" s="88">
        <f>(F12/D12)^(1/2)-1</f>
        <v>0.62221</v>
      </c>
    </row>
    <row r="13" ht="20" customHeight="1">
      <c r="B13" s="23" t="inlineStr">
        <is>
          <t>Мерчандайзинг (Мерчандайзинг)</t>
        </is>
      </c>
      <c r="C13" s="85">
        <v>0.01</v>
      </c>
      <c r="D13" s="86">
        <v>5.7</v>
      </c>
      <c r="E13" s="86">
        <v>24.75</v>
      </c>
      <c r="F13" s="86">
        <v>15.0</v>
      </c>
      <c r="G13" s="87">
        <f>SUM(D13:F13)</f>
        <v>45.45</v>
      </c>
      <c r="H13" s="88">
        <f>(F13/D13)^(1/2)-1</f>
        <v>0.62221</v>
      </c>
    </row>
    <row r="14" ht="20" customHeight="1">
      <c r="B14" s="23" t="inlineStr">
        <is>
          <t>Господдержка (безвозвратная)</t>
        </is>
      </c>
      <c r="C14" s="85">
        <v>0.03</v>
      </c>
      <c r="D14" s="86">
        <v>17.1</v>
      </c>
      <c r="E14" s="86">
        <v>74.25</v>
      </c>
      <c r="F14" s="86">
        <v>45.0</v>
      </c>
      <c r="G14" s="87">
        <f>SUM(D14:F14)</f>
        <v>136.35</v>
      </c>
      <c r="H14" s="88">
        <f>(F14/D14)^(1/2)-1</f>
        <v>0.62221</v>
      </c>
    </row>
    <row r="15" ht="28" customHeight="1">
      <c r="B15" s="73" t="inlineStr">
        <is>
          <t>ИТОГО ВЫРУЧКА</t>
        </is>
      </c>
      <c r="C15" s="89">
        <f>SUM(C7:C14)</f>
        <v>1.0</v>
      </c>
      <c r="D15" s="90">
        <f>SUM(D7:D14)</f>
        <v>570.0</v>
      </c>
      <c r="E15" s="90">
        <f>SUM(E7:E14)</f>
        <v>2475.0</v>
      </c>
      <c r="F15" s="90">
        <f>SUM(F7:F14)</f>
        <v>1500.0</v>
      </c>
      <c r="G15" s="91">
        <f>SUM(G7:G14)</f>
        <v>4545.0</v>
      </c>
      <c r="H15" s="92">
        <f>(F15/D15)^(1/2)-1</f>
        <v>0.62221</v>
      </c>
    </row>
    <row r="17" ht="20" customHeight="1">
      <c r="B17" s="93" t="inlineStr">
        <is>
          <t>ПРОВЕРКА ЯКОРЯ</t>
        </is>
      </c>
    </row>
    <row r="18" ht="22" customHeight="1">
      <c r="B18" s="94" t="inlineStr">
        <is>
          <t>Target Σ Revenue (Выручка) 2026–2028 (якорь)</t>
        </is>
      </c>
      <c r="C18" s="40"/>
      <c r="D18" s="41"/>
      <c r="E18" s="95" t="n">
        <v>4545</v>
      </c>
      <c r="F18" s="41"/>
      <c r="G18" s="79" t="inlineStr">
        <is>
          <t>7 проектов × 649.29 млн ср.</t>
        </is>
      </c>
      <c r="H18" s="41"/>
    </row>
    <row r="19" ht="22" customHeight="1">
      <c r="B19" s="94" t="inlineStr">
        <is>
          <t>Actual Σ Revenue (Выручка)</t>
        </is>
      </c>
      <c r="C19" s="40"/>
      <c r="D19" s="41"/>
      <c r="E19" s="96">
        <f>G15</f>
        <v>4545.0</v>
      </c>
      <c r="F19" s="41"/>
      <c r="G19" s="79" t="inlineStr">
        <is>
          <t>Sum-check (Контрольная сумма)</t>
        </is>
      </c>
      <c r="H19" s="41"/>
    </row>
    <row r="20" ht="22" customHeight="1">
      <c r="B20" s="97" t="inlineStr">
        <is>
          <t>Δ = Факт − План</t>
        </is>
      </c>
      <c r="C20" s="40"/>
      <c r="D20" s="41"/>
      <c r="E20" s="98">
        <f>G15-4545</f>
        <v>0.0</v>
      </c>
      <c r="F20" s="41"/>
      <c r="G20" s="83" t="inlineStr">
        <is>
          <t>✓ должен быть 0.00 (±0.01 tolerance)</t>
        </is>
      </c>
      <c r="H20" s="41"/>
    </row>
    <row r="22" ht="20" customHeight="1">
      <c r="B22" s="14" t="inlineStr">
        <is>
          <t>СЦЕНАРНЫЙ РАЗБРОС (Bear (Пессимистичный) / Base (Базовый) / Bull (Оптимистичный)), Σ 2026–2028</t>
        </is>
      </c>
    </row>
    <row r="23" ht="26" customHeight="1">
      <c r="B23" s="42" t="inlineStr">
        <is>
          <t>Сценарий</t>
        </is>
      </c>
      <c r="C23" s="42" t="inlineStr">
        <is>
          <t>Множитель</t>
        </is>
      </c>
      <c r="D23" s="42" t="inlineStr">
        <is>
          <t>Revenue (Выручка)</t>
        </is>
      </c>
      <c r="E23" s="42" t="inlineStr">
        <is>
          <t>EBITDA (прибыль до вычетов)</t>
        </is>
      </c>
      <c r="F23" s="42" t="inlineStr">
        <is>
          <t>Net Profit (Чистая прибыль)</t>
        </is>
      </c>
      <c r="G23" s="42" t="inlineStr">
        <is>
          <t>IRR (внутренняя норма доходности)</t>
        </is>
      </c>
      <c r="H23" s="42" t="inlineStr">
        <is>
          <t>Комментарий</t>
        </is>
      </c>
    </row>
    <row r="24" ht="24" customHeight="1">
      <c r="B24" s="99" t="inlineStr">
        <is>
          <t>Bear (Пессимистичный)</t>
        </is>
      </c>
      <c r="C24" s="100" t="n">
        <v>0.7</v>
      </c>
      <c r="D24" s="101" t="n">
        <v>3181.5</v>
      </c>
      <c r="E24" s="102" t="n">
        <v>2100</v>
      </c>
      <c r="F24" s="102" t="n">
        <v>1596</v>
      </c>
      <c r="G24" s="103" t="n">
        <v>0.15</v>
      </c>
      <c r="H24" s="104" t="inlineStr">
        <is>
          <t>Провал 1-2 тентполов, CPI 8%, господдержка 0%</t>
        </is>
      </c>
    </row>
    <row r="25" ht="24" customHeight="1">
      <c r="B25" s="105" t="inlineStr">
        <is>
          <t>Base (Базовый)</t>
        </is>
      </c>
      <c r="C25" s="106" t="n">
        <v>1</v>
      </c>
      <c r="D25" s="107" t="n">
        <v>4545</v>
      </c>
      <c r="E25" s="108" t="n">
        <v>3000</v>
      </c>
      <c r="F25" s="108" t="n">
        <v>2280</v>
      </c>
      <c r="G25" s="109" t="n">
        <v>0.3</v>
      </c>
      <c r="H25" s="110" t="inlineStr">
        <is>
          <t>Якорь модели, согласован с Холдинг Кино.xlsx</t>
        </is>
      </c>
    </row>
    <row r="26" ht="24" customHeight="1">
      <c r="B26" s="99" t="inlineStr">
        <is>
          <t>Bull (Оптимистичный)</t>
        </is>
      </c>
      <c r="C26" s="100" t="n">
        <v>1.25</v>
      </c>
      <c r="D26" s="101" t="n">
        <v>5681.25</v>
      </c>
      <c r="E26" s="102" t="n">
        <v>3750</v>
      </c>
      <c r="F26" s="102" t="n">
        <v>2850</v>
      </c>
      <c r="G26" s="103" t="n">
        <v>0.42</v>
      </c>
      <c r="H26" s="104" t="inlineStr">
        <is>
          <t>Все релизы ≥ плана, int'l продажи, господдержка 35%</t>
        </is>
      </c>
    </row>
    <row r="28" ht="70" customHeight="1">
      <c r="B28" s="18" t="inlineStr">
        <is>
          <t>⚫ Структура выручки v3 учитывает включение 2 сериалов в пайплайн: повышенная доля SVOD (28%) и TV (12%) отражает серийный контент. Box Office снижен до 38%. Распределение по годам (570/2475/1500) отражает производственный цикл: 2026 — 1 релиз Q4, 2027 — 3 проекта, 2028 — 3 проекта.</t>
        </is>
      </c>
    </row>
    <row r="29" ht="15" customHeight="1"/>
  </sheetData>
  <mergeCells count="15">
    <mergeCell ref="B22:H22"/>
    <mergeCell ref="G20:H20"/>
    <mergeCell ref="B19:D19"/>
    <mergeCell ref="E20:F20"/>
    <mergeCell ref="B17:H17"/>
    <mergeCell ref="B28:H28"/>
    <mergeCell ref="E18:F18"/>
    <mergeCell ref="E19:F19"/>
    <mergeCell ref="G19:H19"/>
    <mergeCell ref="B18:D18"/>
    <mergeCell ref="B2:H2"/>
    <mergeCell ref="G18:H18"/>
    <mergeCell ref="B5:H5"/>
    <mergeCell ref="B20:D20"/>
    <mergeCell ref="B3:H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M5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2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2" customWidth="1" min="13" max="13"/>
  </cols>
  <sheetData>
    <row r="2" ht="30" customHeight="1">
      <c r="B2" s="19" t="inlineStr">
        <is>
          <t>Портфель контента — 7 проектов (Content Pipeline (Портфель контента))</t>
        </is>
      </c>
    </row>
    <row r="3">
      <c r="B3" s="20" t="inlineStr">
        <is>
          <t>Жанровое распределение, бюджеты, прогнозная выручка и ROI для 5 фильмов и 2 сериалов</t>
        </is>
      </c>
    </row>
    <row r="5" ht="20" customHeight="1">
      <c r="B5" s="14" t="inlineStr">
        <is>
          <t>ПОРТФЕЛЬ 5 ФИЛЬМОВ + 2 СЕРИАЛА (млн ₽)</t>
        </is>
      </c>
    </row>
    <row r="6" ht="32" customHeight="1">
      <c r="B6" s="42" t="inlineStr">
        <is>
          <t>#</t>
        </is>
      </c>
      <c r="C6" s="42" t="inlineStr">
        <is>
          <t>Рабочее название</t>
        </is>
      </c>
      <c r="D6" s="42" t="inlineStr">
        <is>
          <t>Жанр</t>
        </is>
      </c>
      <c r="E6" s="42" t="inlineStr">
        <is>
          <t>Релиз</t>
        </is>
      </c>
      <c r="F6" s="42" t="inlineStr">
        <is>
          <t>Бюджет</t>
        </is>
      </c>
      <c r="G6" s="42" t="inlineStr">
        <is>
          <t>P&amp;A (тиражирование и реклама) (15%)</t>
        </is>
      </c>
      <c r="H6" s="42" t="inlineStr">
        <is>
          <t>Σ затраты</t>
        </is>
      </c>
      <c r="I6" s="42" t="inlineStr">
        <is>
          <t>Revenue (Выручка)</t>
        </is>
      </c>
      <c r="J6" s="42" t="inlineStr">
        <is>
          <t>ROI (возврат на инвестиции), %</t>
        </is>
      </c>
      <c r="K6" s="42" t="inlineStr">
        <is>
          <t>Margin (Маржа)</t>
        </is>
      </c>
      <c r="L6" s="42" t="inlineStr">
        <is>
          <t>Payback (Окупаемость)</t>
        </is>
      </c>
      <c r="M6" s="42" t="inlineStr">
        <is>
          <t>Tier (Уровень)</t>
        </is>
      </c>
    </row>
    <row r="7" ht="22" customHeight="1">
      <c r="B7" s="111">
        <v>1</v>
      </c>
      <c r="C7" s="60" t="inlineStr">
        <is>
          <t>Ночной патруль</t>
        </is>
      </c>
      <c r="D7" s="79" t="inlineStr">
        <is>
          <t>Боевик</t>
        </is>
      </c>
      <c r="E7" s="112" t="inlineStr">
        <is>
          <t>Q4 2026</t>
        </is>
      </c>
      <c r="F7" s="27">
        <v>250</v>
      </c>
      <c r="G7" s="113">
        <f>F7*0.15</f>
        <v>37.5</v>
      </c>
      <c r="H7" s="114">
        <f>F7+G7</f>
        <v>287.5</v>
      </c>
      <c r="I7" s="115">
        <v>570</v>
      </c>
      <c r="J7" s="116">
        <f>(I7-H7)/H7</f>
        <v>0.9826086956521739</v>
      </c>
      <c r="K7" s="117">
        <f>(I7-H7)/I7</f>
        <v>0.4956140350877193</v>
      </c>
      <c r="L7" s="118">
        <v>12</v>
      </c>
      <c r="M7" s="119" t="inlineStr">
        <is>
          <t>A+</t>
        </is>
      </c>
    </row>
    <row r="8" ht="22" customHeight="1">
      <c r="B8" s="111">
        <v>2</v>
      </c>
      <c r="C8" s="60" t="inlineStr">
        <is>
          <t>Тёмная сторона</t>
        </is>
      </c>
      <c r="D8" s="79" t="inlineStr">
        <is>
          <t>Сериал 8 эп. · Криминальный триллер</t>
        </is>
      </c>
      <c r="E8" s="112" t="inlineStr">
        <is>
          <t>Q2 2027</t>
        </is>
      </c>
      <c r="F8" s="27">
        <v>400</v>
      </c>
      <c r="G8" s="113">
        <f>F8*0.15</f>
        <v>60.0</v>
      </c>
      <c r="H8" s="114">
        <f>F8+G8</f>
        <v>460.0</v>
      </c>
      <c r="I8" s="115">
        <v>980</v>
      </c>
      <c r="J8" s="116">
        <f>(I8-H8)/H8</f>
        <v>1.1304347826086956</v>
      </c>
      <c r="K8" s="117">
        <f>(I8-H8)/I8</f>
        <v>0.5306122448979592</v>
      </c>
      <c r="L8" s="118">
        <v>18</v>
      </c>
      <c r="M8" s="120" t="inlineStr">
        <is>
          <t>A+</t>
        </is>
      </c>
    </row>
    <row r="9" ht="22" customHeight="1">
      <c r="B9" s="111">
        <v>3</v>
      </c>
      <c r="C9" s="60" t="inlineStr">
        <is>
          <t>Время героев</t>
        </is>
      </c>
      <c r="D9" s="79" t="inlineStr">
        <is>
          <t>Исторический эпос</t>
        </is>
      </c>
      <c r="E9" s="112" t="inlineStr">
        <is>
          <t>Q3 2027</t>
        </is>
      </c>
      <c r="F9" s="27">
        <v>280</v>
      </c>
      <c r="G9" s="113">
        <f>F9*0.15</f>
        <v>42.0</v>
      </c>
      <c r="H9" s="114">
        <f>F9+G9</f>
        <v>322.0</v>
      </c>
      <c r="I9" s="115">
        <v>700</v>
      </c>
      <c r="J9" s="116">
        <f>(I9-H9)/H9</f>
        <v>1.173913043478261</v>
      </c>
      <c r="K9" s="117">
        <f>(I9-H9)/I9</f>
        <v>0.54</v>
      </c>
      <c r="L9" s="118">
        <v>14</v>
      </c>
      <c r="M9" s="35" t="inlineStr">
        <is>
          <t>A+</t>
        </is>
      </c>
    </row>
    <row r="10" ht="22" customHeight="1">
      <c r="B10" s="111">
        <v>4</v>
      </c>
      <c r="C10" s="60" t="inlineStr">
        <is>
          <t>Наследие</t>
        </is>
      </c>
      <c r="D10" s="79" t="inlineStr">
        <is>
          <t>Сериал 10 эп. · Семейная сага</t>
        </is>
      </c>
      <c r="E10" s="112" t="inlineStr">
        <is>
          <t>Q4 2027</t>
        </is>
      </c>
      <c r="F10" s="27">
        <v>340</v>
      </c>
      <c r="G10" s="113">
        <f>F10*0.15</f>
        <v>51.0</v>
      </c>
      <c r="H10" s="114">
        <f>F10+G10</f>
        <v>391.0</v>
      </c>
      <c r="I10" s="115">
        <v>795</v>
      </c>
      <c r="J10" s="116">
        <f>(I10-H10)/H10</f>
        <v>1.0332480818414322</v>
      </c>
      <c r="K10" s="117">
        <f>(I10-H10)/I10</f>
        <v>0.5081761006289308</v>
      </c>
      <c r="L10" s="118">
        <v>20</v>
      </c>
      <c r="M10" s="120" t="inlineStr">
        <is>
          <t>A</t>
        </is>
      </c>
    </row>
    <row r="11" ht="22" customHeight="1">
      <c r="B11" s="111">
        <v>5</v>
      </c>
      <c r="C11" s="60" t="inlineStr">
        <is>
          <t>Сказка наяву</t>
        </is>
      </c>
      <c r="D11" s="79" t="inlineStr">
        <is>
          <t>Семейный фэнтези</t>
        </is>
      </c>
      <c r="E11" s="112" t="inlineStr">
        <is>
          <t>Q1 2028</t>
        </is>
      </c>
      <c r="F11" s="27">
        <v>200</v>
      </c>
      <c r="G11" s="113">
        <f>F11*0.15</f>
        <v>30.0</v>
      </c>
      <c r="H11" s="114">
        <f>F11+G11</f>
        <v>230.0</v>
      </c>
      <c r="I11" s="115">
        <v>520</v>
      </c>
      <c r="J11" s="116">
        <f>(I11-H11)/H11</f>
        <v>1.2608695652173914</v>
      </c>
      <c r="K11" s="117">
        <f>(I11-H11)/I11</f>
        <v>0.5576923076923077</v>
      </c>
      <c r="L11" s="118">
        <v>13</v>
      </c>
      <c r="M11" s="35" t="inlineStr">
        <is>
          <t>A</t>
        </is>
      </c>
    </row>
    <row r="12" ht="22" customHeight="1">
      <c r="B12" s="111">
        <v>6</v>
      </c>
      <c r="C12" s="60" t="inlineStr">
        <is>
          <t>Северный ветер</t>
        </is>
      </c>
      <c r="D12" s="79" t="inlineStr">
        <is>
          <t>Приключенческий</t>
        </is>
      </c>
      <c r="E12" s="112" t="inlineStr">
        <is>
          <t>Q3 2028</t>
        </is>
      </c>
      <c r="F12" s="27">
        <v>200</v>
      </c>
      <c r="G12" s="113">
        <f>F12*0.15</f>
        <v>30.0</v>
      </c>
      <c r="H12" s="114">
        <f>F12+G12</f>
        <v>230.0</v>
      </c>
      <c r="I12" s="115">
        <v>530</v>
      </c>
      <c r="J12" s="116">
        <f>(I12-H12)/H12</f>
        <v>1.3043478260869565</v>
      </c>
      <c r="K12" s="117">
        <f>(I12-H12)/I12</f>
        <v>0.5660377358490566</v>
      </c>
      <c r="L12" s="118">
        <v>13</v>
      </c>
      <c r="M12" s="119" t="inlineStr">
        <is>
          <t>A</t>
        </is>
      </c>
    </row>
    <row r="13" ht="22" customHeight="1">
      <c r="B13" s="111">
        <v>7</v>
      </c>
      <c r="C13" s="60" t="inlineStr">
        <is>
          <t>Горизонт событий</t>
        </is>
      </c>
      <c r="D13" s="79" t="inlineStr">
        <is>
          <t>Фантастика</t>
        </is>
      </c>
      <c r="E13" s="112" t="inlineStr">
        <is>
          <t>Q4 2028</t>
        </is>
      </c>
      <c r="F13" s="27">
        <v>180</v>
      </c>
      <c r="G13" s="113">
        <f>F13*0.15</f>
        <v>27.0</v>
      </c>
      <c r="H13" s="114">
        <f>F13+G13</f>
        <v>207.0</v>
      </c>
      <c r="I13" s="115">
        <v>450</v>
      </c>
      <c r="J13" s="116">
        <f>(I13-H13)/H13</f>
        <v>1.173913043478261</v>
      </c>
      <c r="K13" s="117">
        <f>(I13-H13)/I13</f>
        <v>0.54</v>
      </c>
      <c r="L13" s="118">
        <v>14</v>
      </c>
      <c r="M13" s="119" t="inlineStr">
        <is>
          <t>A</t>
        </is>
      </c>
    </row>
    <row r="14" ht="22" customHeight="1">
      <c r="C14" s="60"/>
      <c r="D14" s="79"/>
      <c r="E14" s="112"/>
      <c r="F14" s="27"/>
      <c r="M14" s="121"/>
    </row>
    <row r="15" ht="22" customHeight="1">
      <c r="C15" s="60"/>
      <c r="D15" s="79"/>
      <c r="E15" s="112"/>
      <c r="F15" s="27"/>
      <c r="M15" s="120"/>
    </row>
    <row r="16" ht="22" customHeight="1">
      <c r="C16" s="60"/>
      <c r="D16" s="79"/>
      <c r="E16" s="112"/>
      <c r="F16" s="27"/>
      <c r="M16" s="119"/>
    </row>
    <row r="17" ht="22" customHeight="1">
      <c r="C17" s="60"/>
      <c r="D17" s="79"/>
      <c r="E17" s="112"/>
      <c r="F17" s="27"/>
      <c r="M17" s="121"/>
    </row>
    <row r="18" ht="22" customHeight="1">
      <c r="C18" s="60"/>
      <c r="D18" s="79"/>
      <c r="E18" s="112"/>
      <c r="F18" s="27"/>
      <c r="M18" s="119"/>
    </row>
    <row r="19" ht="28" customHeight="1">
      <c r="B19" s="73" t="inlineStr">
        <is>
          <t>ИТОГО ПОРТФЕЛЬ 5+2</t>
        </is>
      </c>
      <c r="C19" s="40"/>
      <c r="D19" s="40"/>
      <c r="E19" s="41"/>
      <c r="F19" s="122">
        <f>SUM(F7:F13)</f>
        <v>1850</v>
      </c>
      <c r="G19" s="123">
        <f>SUM(G7:G13)</f>
        <v>277.5</v>
      </c>
      <c r="H19" s="123">
        <f>SUM(H7:H13)</f>
        <v>2127.5</v>
      </c>
      <c r="I19" s="124">
        <f>SUM(I7:I13)</f>
        <v>4545</v>
      </c>
      <c r="J19" s="125">
        <f>(I19-H19)/H19</f>
        <v>1.136310223266745</v>
      </c>
      <c r="K19" s="89">
        <f>(I19-H19)/I19</f>
        <v>0.5319031903190319</v>
      </c>
      <c r="L19" s="126">
        <f>AVERAGE(L7:L13)</f>
        <v>14.857142857142858</v>
      </c>
      <c r="M19" s="127" t="inlineStr">
        <is>
          <t>—</t>
        </is>
      </c>
    </row>
    <row r="21" ht="20" customHeight="1">
      <c r="B21" s="93" t="inlineStr">
        <is>
          <t>ПРОВЕРКА ЯКОРЕЙ</t>
        </is>
      </c>
    </row>
    <row r="22" ht="20" customHeight="1">
      <c r="B22" s="23" t="inlineStr">
        <is>
          <t>Target Бюджет 1850 млн</t>
        </is>
      </c>
      <c r="C22" s="40"/>
      <c r="D22" s="40"/>
      <c r="E22" s="41"/>
      <c r="F22" s="128" t="inlineStr">
        <is>
          <t>План:</t>
        </is>
      </c>
      <c r="G22" s="129" t="n">
        <v>1850</v>
      </c>
      <c r="H22" s="128" t="inlineStr">
        <is>
          <t>Факт:</t>
        </is>
      </c>
      <c r="I22" s="130">
        <f>F19</f>
        <v>1850</v>
      </c>
      <c r="J22" s="131" t="inlineStr">
        <is>
          <t>✓</t>
        </is>
      </c>
      <c r="K22" s="40"/>
      <c r="L22" s="40"/>
      <c r="M22" s="41"/>
    </row>
    <row r="23" ht="20" customHeight="1">
      <c r="B23" s="23" t="inlineStr">
        <is>
          <t>Target Revenue (Выручка) 4545 млн</t>
        </is>
      </c>
      <c r="C23" s="40"/>
      <c r="D23" s="40"/>
      <c r="E23" s="41"/>
      <c r="F23" s="128" t="inlineStr">
        <is>
          <t>План:</t>
        </is>
      </c>
      <c r="G23" s="129" t="n">
        <v>4545</v>
      </c>
      <c r="H23" s="128" t="inlineStr">
        <is>
          <t>Факт:</t>
        </is>
      </c>
      <c r="I23" s="130">
        <f>I19</f>
        <v>4545</v>
      </c>
      <c r="J23" s="131" t="inlineStr">
        <is>
          <t>✓</t>
        </is>
      </c>
      <c r="K23" s="40"/>
      <c r="L23" s="40"/>
      <c r="M23" s="41"/>
    </row>
    <row r="24" ht="20" customHeight="1">
      <c r="B24" s="23" t="inlineStr">
        <is>
          <t>Средний бюджет / проект</t>
        </is>
      </c>
      <c r="C24" s="40"/>
      <c r="D24" s="40"/>
      <c r="E24" s="41"/>
      <c r="F24" s="128" t="inlineStr">
        <is>
          <t>План:</t>
        </is>
      </c>
      <c r="G24" s="129">
        <v>264.2857142857143</v>
      </c>
      <c r="H24" s="128" t="inlineStr">
        <is>
          <t>Факт:</t>
        </is>
      </c>
      <c r="I24" s="130">
        <f>F19/7</f>
        <v>264.2857142857143</v>
      </c>
      <c r="J24" s="131" t="inlineStr">
        <is>
          <t>✓</t>
        </is>
      </c>
      <c r="K24" s="40"/>
      <c r="L24" s="40"/>
      <c r="M24" s="41"/>
    </row>
    <row r="25" ht="20" customHeight="1">
      <c r="B25" s="23" t="inlineStr">
        <is>
          <t>Средняя выручка / проект</t>
        </is>
      </c>
      <c r="C25" s="40"/>
      <c r="D25" s="40"/>
      <c r="E25" s="41"/>
      <c r="F25" s="128" t="inlineStr">
        <is>
          <t>План:</t>
        </is>
      </c>
      <c r="G25" s="129">
        <v>649.2857142857143</v>
      </c>
      <c r="H25" s="128" t="inlineStr">
        <is>
          <t>Факт:</t>
        </is>
      </c>
      <c r="I25" s="130">
        <f>I19/7</f>
        <v>649.2857142857143</v>
      </c>
      <c r="J25" s="131" t="inlineStr">
        <is>
          <t>✓</t>
        </is>
      </c>
      <c r="K25" s="40"/>
      <c r="L25" s="40"/>
      <c r="M25" s="41"/>
    </row>
    <row r="26" ht="20" customHeight="1">
      <c r="B26" s="23" t="inlineStr">
        <is>
          <t>Средний Revenue (Выручка) множитель</t>
        </is>
      </c>
      <c r="C26" s="40"/>
      <c r="D26" s="40"/>
      <c r="E26" s="41"/>
      <c r="F26" s="128" t="inlineStr">
        <is>
          <t>План:</t>
        </is>
      </c>
      <c r="G26" s="129" t="n">
        <v>2.457</v>
      </c>
      <c r="H26" s="128" t="inlineStr">
        <is>
          <t>Факт:</t>
        </is>
      </c>
      <c r="I26" s="130">
        <f>I19/F19</f>
        <v>2.4567567567567568</v>
      </c>
      <c r="J26" s="131" t="inlineStr">
        <is>
          <t>✓</t>
        </is>
      </c>
      <c r="K26" s="40"/>
      <c r="L26" s="40"/>
      <c r="M26" s="41"/>
    </row>
    <row r="28" ht="20" customHeight="1">
      <c r="B28" s="14" t="inlineStr">
        <is>
          <t>РАСПИСАНИЕ РЕЛИЗОВ ПО КВАРТАЛАМ</t>
        </is>
      </c>
    </row>
    <row r="29" ht="24" customHeight="1">
      <c r="B29" s="42" t="inlineStr">
        <is>
          <t>Квартал</t>
        </is>
      </c>
      <c r="C29" s="42" t="inlineStr">
        <is>
          <t>Релизов</t>
        </is>
      </c>
      <c r="D29" s="42" t="inlineStr">
        <is>
          <t>Фильмы</t>
        </is>
      </c>
      <c r="E29" s="75"/>
      <c r="F29" s="75"/>
      <c r="G29" s="75"/>
      <c r="H29" s="76"/>
      <c r="I29" s="42" t="inlineStr">
        <is>
          <t>Σ Бюджет</t>
        </is>
      </c>
      <c r="J29" s="42" t="inlineStr">
        <is>
          <t>Σ Revenue (Выручка)</t>
        </is>
      </c>
      <c r="K29" s="42" t="inlineStr">
        <is>
          <t>Средний ROI (возврат на инвестиции)</t>
        </is>
      </c>
      <c r="L29" s="75"/>
      <c r="M29" s="76"/>
    </row>
    <row r="30" ht="28" customHeight="1">
      <c r="B30" s="62" t="inlineStr">
        <is>
          <t>Q4 2026</t>
        </is>
      </c>
      <c r="C30" s="132">
        <v>1</v>
      </c>
      <c r="D30" s="133" t="inlineStr">
        <is>
          <t>Ночной патруль</t>
        </is>
      </c>
      <c r="E30" s="40"/>
      <c r="F30" s="40"/>
      <c r="G30" s="40"/>
      <c r="H30" s="41"/>
      <c r="I30" s="134">
        <v>250</v>
      </c>
      <c r="J30" s="108">
        <v>570</v>
      </c>
      <c r="K30" s="116">
        <v>0.9826086956521739</v>
      </c>
      <c r="L30" s="40"/>
      <c r="M30" s="41"/>
    </row>
    <row r="31" ht="28" customHeight="1">
      <c r="B31" s="62" t="inlineStr">
        <is>
          <t>Q2 2027</t>
        </is>
      </c>
      <c r="C31" s="132">
        <v>1</v>
      </c>
      <c r="D31" s="133" t="inlineStr">
        <is>
          <t>Тёмная сторона</t>
        </is>
      </c>
      <c r="E31" s="40"/>
      <c r="F31" s="40"/>
      <c r="G31" s="40"/>
      <c r="H31" s="41"/>
      <c r="I31" s="134">
        <v>400</v>
      </c>
      <c r="J31" s="108">
        <v>980</v>
      </c>
      <c r="K31" s="116">
        <v>1.1304347826086956</v>
      </c>
      <c r="L31" s="40"/>
      <c r="M31" s="41"/>
    </row>
    <row r="32" ht="28" customHeight="1">
      <c r="B32" s="62" t="inlineStr">
        <is>
          <t>Q3 2027</t>
        </is>
      </c>
      <c r="C32" s="132">
        <v>1</v>
      </c>
      <c r="D32" s="133" t="inlineStr">
        <is>
          <t>Время героев</t>
        </is>
      </c>
      <c r="E32" s="40"/>
      <c r="F32" s="40"/>
      <c r="G32" s="40"/>
      <c r="H32" s="41"/>
      <c r="I32" s="134">
        <v>280</v>
      </c>
      <c r="J32" s="108">
        <v>700</v>
      </c>
      <c r="K32" s="116">
        <v>1.173913043478261</v>
      </c>
      <c r="L32" s="40"/>
      <c r="M32" s="41"/>
    </row>
    <row r="33" ht="28" customHeight="1">
      <c r="B33" s="62" t="inlineStr">
        <is>
          <t>Q4 2027</t>
        </is>
      </c>
      <c r="C33" s="132">
        <v>1</v>
      </c>
      <c r="D33" s="133" t="inlineStr">
        <is>
          <t>Наследие</t>
        </is>
      </c>
      <c r="E33" s="40"/>
      <c r="F33" s="40"/>
      <c r="G33" s="40"/>
      <c r="H33" s="41"/>
      <c r="I33" s="134">
        <v>340</v>
      </c>
      <c r="J33" s="108">
        <v>795</v>
      </c>
      <c r="K33" s="116">
        <v>1.0332480818414322</v>
      </c>
      <c r="L33" s="40"/>
      <c r="M33" s="41"/>
    </row>
    <row r="34" ht="28" customHeight="1">
      <c r="B34" s="62" t="inlineStr">
        <is>
          <t>Q1 2028</t>
        </is>
      </c>
      <c r="C34" s="132">
        <v>1</v>
      </c>
      <c r="D34" s="133" t="inlineStr">
        <is>
          <t>Сказка наяву</t>
        </is>
      </c>
      <c r="E34" s="40"/>
      <c r="F34" s="40"/>
      <c r="G34" s="40"/>
      <c r="H34" s="41"/>
      <c r="I34" s="134">
        <v>200</v>
      </c>
      <c r="J34" s="108">
        <v>520</v>
      </c>
      <c r="K34" s="116">
        <v>1.2608695652173914</v>
      </c>
      <c r="L34" s="40"/>
      <c r="M34" s="41"/>
    </row>
    <row r="35" ht="28" customHeight="1">
      <c r="B35" s="62" t="inlineStr">
        <is>
          <t>Q3 2028</t>
        </is>
      </c>
      <c r="C35" s="132">
        <v>1</v>
      </c>
      <c r="D35" s="133" t="inlineStr">
        <is>
          <t>Северный ветер</t>
        </is>
      </c>
      <c r="E35" s="40"/>
      <c r="F35" s="40"/>
      <c r="G35" s="40"/>
      <c r="H35" s="41"/>
      <c r="I35" s="134">
        <v>200</v>
      </c>
      <c r="J35" s="108">
        <v>530</v>
      </c>
      <c r="K35" s="116">
        <v>1.3043478260869565</v>
      </c>
      <c r="L35" s="40"/>
      <c r="M35" s="41"/>
    </row>
    <row r="36" ht="28" customHeight="1">
      <c r="B36" s="62" t="inlineStr">
        <is>
          <t>Q4 2028</t>
        </is>
      </c>
      <c r="C36" s="132">
        <v>1</v>
      </c>
      <c r="D36" s="133" t="inlineStr">
        <is>
          <t>Горизонт событий</t>
        </is>
      </c>
      <c r="E36" s="40"/>
      <c r="F36" s="40"/>
      <c r="G36" s="40"/>
      <c r="H36" s="41"/>
      <c r="I36" s="134">
        <v>180</v>
      </c>
      <c r="J36" s="108">
        <v>450</v>
      </c>
      <c r="K36" s="116">
        <v>1.173913043478261</v>
      </c>
      <c r="L36" s="40"/>
      <c r="M36" s="41"/>
    </row>
    <row r="37" ht="28" customHeight="1">
      <c r="B37" s="62"/>
      <c r="D37" s="133"/>
      <c r="E37" s="40"/>
      <c r="F37" s="40"/>
      <c r="G37" s="40"/>
      <c r="H37" s="41"/>
      <c r="K37" s="116"/>
      <c r="L37" s="40"/>
      <c r="M37" s="41"/>
    </row>
    <row r="38" ht="28" customHeight="1">
      <c r="B38" s="62"/>
      <c r="D38" s="133"/>
      <c r="E38" s="40"/>
      <c r="F38" s="40"/>
      <c r="G38" s="40"/>
      <c r="H38" s="41"/>
      <c r="K38" s="116"/>
      <c r="L38" s="40"/>
      <c r="M38" s="41"/>
    </row>
    <row r="40" ht="60" customHeight="1">
      <c r="B40" s="18" t="inlineStr">
        <is>
          <t>⚫ 5 фильмов для кинотеатрального проката + 2 оригинальных сериала для SVOD/ТВ-платформ</t>
        </is>
      </c>
    </row>
    <row r="42">
      <c r="B42" s="569" t="inlineStr">
        <is>
          <t>NDP (чистые распределяемые поступления) DISTRIBUTION TIMING (fast A+C pattern (паттерн) под W₅)</t>
        </is>
      </c>
    </row>
    <row r="43" ht="32" customHeight="1">
      <c r="B43" s="570" t="inlineStr">
        <is>
          <t>Revenue (Выручка) 4545 (2026–2028) → NDP (чистые распределяемые поступления) pool 3000 (EBITDA (прибыль до вычетов) 2152 + producer equity (доля в капитале) 600 + WC/credit timing 248) → распределение к LP (ограниченный партнёр)/Producer (Продюсер) по fast A+C pattern (паттерн) в 2029–2032. Подробности в 02_Assumptions блок O и 19_Waterfall блок W₅.</t>
        </is>
      </c>
    </row>
    <row r="45">
      <c r="E45" s="571" t="inlineStr">
        <is>
          <t>Декомпозиция</t>
        </is>
      </c>
    </row>
    <row r="46">
      <c r="C46" s="572" t="n">
        <v>990</v>
      </c>
      <c r="D46" s="572" t="n">
        <v>0.33</v>
      </c>
      <c r="E46" s="574" t="inlineStr">
        <is>
          <t>Domestic (Внутренний рынок) 540 + SVoD advance (аванс) 270 + Intl (Междунар.) 180</t>
        </is>
      </c>
    </row>
    <row r="47">
      <c r="C47" s="572" t="n">
        <v>1350</v>
      </c>
      <c r="D47" s="572" t="n">
        <v>0.45</v>
      </c>
      <c r="E47" s="574" t="inlineStr">
        <is>
          <t>Domestic (Внутренний рынок) 2700 × 50% — пик монетизации</t>
        </is>
      </c>
    </row>
    <row r="48">
      <c r="C48" s="572" t="n">
        <v>270</v>
      </c>
      <c r="D48" s="572" t="n">
        <v>0.09</v>
      </c>
      <c r="E48" s="574" t="inlineStr">
        <is>
          <t>Domestic (Внутренний рынок) 405 − 135 (SVoD аванс перенесён)</t>
        </is>
      </c>
    </row>
    <row r="49">
      <c r="C49" s="572" t="n">
        <v>390</v>
      </c>
      <c r="D49" s="572" t="n">
        <v>0.13</v>
      </c>
      <c r="E49" s="574" t="inlineStr">
        <is>
          <t>Domestic 270 + Intl tail (хвостовой период) 120 (exit year)</t>
        </is>
      </c>
    </row>
    <row r="50">
      <c r="C50" s="571" t="n">
        <v>3000</v>
      </c>
      <c r="D50" s="571" t="n">
        <v>1</v>
      </c>
      <c r="E50" s="574" t="inlineStr">
        <is>
          <t>Якорь NDP (чистые распределяемые поступления) 2029–2032 v1.4.4 сохранён</t>
        </is>
      </c>
    </row>
  </sheetData>
  <mergeCells count="45">
    <mergeCell ref="D35:H35"/>
    <mergeCell ref="J22:M22"/>
    <mergeCell ref="K32:M32"/>
    <mergeCell ref="B42:M42"/>
    <mergeCell ref="D34:H34"/>
    <mergeCell ref="B3:L3"/>
    <mergeCell ref="K31:M31"/>
    <mergeCell ref="B24:E24"/>
    <mergeCell ref="D31:H31"/>
    <mergeCell ref="D36:H36"/>
    <mergeCell ref="J23:M23"/>
    <mergeCell ref="B26:E26"/>
    <mergeCell ref="E46:M46"/>
    <mergeCell ref="B21:L21"/>
    <mergeCell ref="E49:M49"/>
    <mergeCell ref="E45:M45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E47:M47"/>
    <mergeCell ref="E50:M50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E48:M48"/>
    <mergeCell ref="K35:M35"/>
    <mergeCell ref="D38:H38"/>
    <mergeCell ref="B19:E19"/>
    <mergeCell ref="J25:M25"/>
    <mergeCell ref="K29:M29"/>
    <mergeCell ref="B43:M4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V5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30" customWidth="1" min="22" max="22"/>
  </cols>
  <sheetData>
    <row r="2" ht="30" customHeight="1">
      <c r="B2" s="162" t="inlineStr">
        <is>
          <t>09  ·  P&amp;L STATEMENT  ·  Квартально 2026–2028 + годовые 2029–2032</t>
        </is>
      </c>
    </row>
    <row r="3" ht="18" customHeight="1">
      <c r="B3" s="163" t="inlineStr">
        <is>
          <t>Вариант C · Dual metric: GAAP (стандарты бухучёта) EBITDA (прибыль до вычетов) + NDP (чистые распределяемые поступления) (legacy (базовый вариант)). Все суммы — млн ₽.</t>
        </is>
      </c>
    </row>
    <row r="5" ht="22" customHeight="1">
      <c r="B5" s="164" t="inlineStr">
        <is>
          <t>#</t>
        </is>
      </c>
      <c r="C5" s="165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ВЫРУЧКА (ВЫРУЧКА)  (Net of refunds &amp; commissions (За вычетом возвратов и комиссий))</t>
        </is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7"/>
    </row>
    <row r="7">
      <c r="B7" s="148" t="inlineStr">
        <is>
          <t>1.1</t>
        </is>
      </c>
      <c r="C7" s="147" t="inlineStr">
        <is>
          <t>Box Office (Кассовые сборы) (38% mix)</t>
        </is>
      </c>
      <c r="D7" s="169">
        <v>0.0</v>
      </c>
      <c r="E7" s="169">
        <v>0.0</v>
      </c>
      <c r="F7" s="169">
        <v>0.0</v>
      </c>
      <c r="G7" s="169">
        <v>216.6</v>
      </c>
      <c r="H7" s="169">
        <v>0.0</v>
      </c>
      <c r="I7" s="169">
        <v>372.4</v>
      </c>
      <c r="J7" s="169">
        <v>266.0</v>
      </c>
      <c r="K7" s="169">
        <v>302.1</v>
      </c>
      <c r="L7" s="169">
        <v>197.6</v>
      </c>
      <c r="M7" s="169">
        <v>0.0</v>
      </c>
      <c r="N7" s="169">
        <v>201.4</v>
      </c>
      <c r="O7" s="169">
        <v>171.0</v>
      </c>
      <c r="P7" s="169">
        <v>144.4</v>
      </c>
      <c r="Q7" s="169">
        <v>114.0</v>
      </c>
      <c r="R7" s="169">
        <v>83.6</v>
      </c>
      <c r="S7" s="169">
        <v>57.0</v>
      </c>
      <c r="T7" s="170">
        <v>1727.1</v>
      </c>
      <c r="U7" s="170">
        <v>2126.1</v>
      </c>
    </row>
    <row r="8">
      <c r="B8" s="148" t="inlineStr">
        <is>
          <t>1.2</t>
        </is>
      </c>
      <c r="C8" s="147" t="inlineStr">
        <is>
          <t>SVOD (подписной стриминг) / Streaming (28%)</t>
        </is>
      </c>
      <c r="D8" s="169">
        <v>0.0</v>
      </c>
      <c r="E8" s="169">
        <v>0.0</v>
      </c>
      <c r="F8" s="169">
        <v>0.0</v>
      </c>
      <c r="G8" s="169">
        <v>159.6</v>
      </c>
      <c r="H8" s="169">
        <v>0.0</v>
      </c>
      <c r="I8" s="169">
        <v>274.4</v>
      </c>
      <c r="J8" s="169">
        <v>196.0</v>
      </c>
      <c r="K8" s="169">
        <v>222.6</v>
      </c>
      <c r="L8" s="169">
        <v>145.6</v>
      </c>
      <c r="M8" s="169">
        <v>0.0</v>
      </c>
      <c r="N8" s="169">
        <v>148.4</v>
      </c>
      <c r="O8" s="169">
        <v>126.0</v>
      </c>
      <c r="P8" s="169">
        <v>106.4</v>
      </c>
      <c r="Q8" s="169">
        <v>84.0</v>
      </c>
      <c r="R8" s="169">
        <v>61.6</v>
      </c>
      <c r="S8" s="169">
        <v>42.0</v>
      </c>
      <c r="T8" s="170">
        <v>1272.6</v>
      </c>
      <c r="U8" s="170">
        <v>1566.6</v>
      </c>
    </row>
    <row r="9">
      <c r="B9" s="148" t="inlineStr">
        <is>
          <t>1.3</t>
        </is>
      </c>
      <c r="C9" s="147" t="inlineStr">
        <is>
          <t>TV Broadcast (Вещание) (12%)</t>
        </is>
      </c>
      <c r="D9" s="169">
        <v>0.0</v>
      </c>
      <c r="E9" s="169">
        <v>0.0</v>
      </c>
      <c r="F9" s="169">
        <v>0.0</v>
      </c>
      <c r="G9" s="169">
        <v>68.4</v>
      </c>
      <c r="H9" s="169">
        <v>0.0</v>
      </c>
      <c r="I9" s="169">
        <v>117.6</v>
      </c>
      <c r="J9" s="169">
        <v>84.0</v>
      </c>
      <c r="K9" s="169">
        <v>95.4</v>
      </c>
      <c r="L9" s="169">
        <v>62.4</v>
      </c>
      <c r="M9" s="169">
        <v>0.0</v>
      </c>
      <c r="N9" s="169">
        <v>63.6</v>
      </c>
      <c r="O9" s="169">
        <v>54.0</v>
      </c>
      <c r="P9" s="169">
        <v>45.6</v>
      </c>
      <c r="Q9" s="169">
        <v>36.0</v>
      </c>
      <c r="R9" s="169">
        <v>26.4</v>
      </c>
      <c r="S9" s="169">
        <v>18.0</v>
      </c>
      <c r="T9" s="170">
        <v>545.4</v>
      </c>
      <c r="U9" s="170">
        <v>671.4</v>
      </c>
    </row>
    <row r="10">
      <c r="B10" s="148" t="inlineStr">
        <is>
          <t>1.4</t>
        </is>
      </c>
      <c r="C10" s="147" t="inlineStr">
        <is>
          <t>Международные продажи (Международные продажи) (10%)</t>
        </is>
      </c>
      <c r="D10" s="169">
        <v>0.0</v>
      </c>
      <c r="E10" s="169">
        <v>0.0</v>
      </c>
      <c r="F10" s="169">
        <v>0.0</v>
      </c>
      <c r="G10" s="169">
        <v>57.0</v>
      </c>
      <c r="H10" s="169">
        <v>0.0</v>
      </c>
      <c r="I10" s="169">
        <v>98.0</v>
      </c>
      <c r="J10" s="169">
        <v>70.0</v>
      </c>
      <c r="K10" s="169">
        <v>79.5</v>
      </c>
      <c r="L10" s="169">
        <v>52.0</v>
      </c>
      <c r="M10" s="169">
        <v>0.0</v>
      </c>
      <c r="N10" s="169">
        <v>53.0</v>
      </c>
      <c r="O10" s="169">
        <v>45.0</v>
      </c>
      <c r="P10" s="169">
        <v>38.0</v>
      </c>
      <c r="Q10" s="169">
        <v>30.0</v>
      </c>
      <c r="R10" s="169">
        <v>22.0</v>
      </c>
      <c r="S10" s="169">
        <v>15.0</v>
      </c>
      <c r="T10" s="170">
        <v>454.5</v>
      </c>
      <c r="U10" s="170">
        <v>559.5</v>
      </c>
    </row>
    <row r="11">
      <c r="B11" s="148" t="inlineStr">
        <is>
          <t>1.5</t>
        </is>
      </c>
      <c r="C11" s="147" t="inlineStr">
        <is>
          <t>Digital (Цифровой) / VOD (4%)</t>
        </is>
      </c>
      <c r="D11" s="169">
        <v>0.0</v>
      </c>
      <c r="E11" s="169">
        <v>0.0</v>
      </c>
      <c r="F11" s="169">
        <v>0.0</v>
      </c>
      <c r="G11" s="169">
        <v>22.8</v>
      </c>
      <c r="H11" s="169">
        <v>0.0</v>
      </c>
      <c r="I11" s="169">
        <v>39.2</v>
      </c>
      <c r="J11" s="169">
        <v>28.0</v>
      </c>
      <c r="K11" s="169">
        <v>31.8</v>
      </c>
      <c r="L11" s="169">
        <v>20.8</v>
      </c>
      <c r="M11" s="169">
        <v>0.0</v>
      </c>
      <c r="N11" s="169">
        <v>21.2</v>
      </c>
      <c r="O11" s="169">
        <v>18.0</v>
      </c>
      <c r="P11" s="169">
        <v>15.2</v>
      </c>
      <c r="Q11" s="169">
        <v>12.0</v>
      </c>
      <c r="R11" s="169">
        <v>8.8</v>
      </c>
      <c r="S11" s="169">
        <v>6.0</v>
      </c>
      <c r="T11" s="170">
        <v>181.8</v>
      </c>
      <c r="U11" s="170">
        <v>223.8</v>
      </c>
    </row>
    <row r="12">
      <c r="B12" s="148" t="inlineStr">
        <is>
          <t>1.6</t>
        </is>
      </c>
      <c r="C12" s="147" t="inlineStr">
        <is>
          <t>Sponsorship &amp; Brand Integration (Спонсорство и бренд интеграция) (4%)</t>
        </is>
      </c>
      <c r="D12" s="169">
        <v>0.0</v>
      </c>
      <c r="E12" s="169">
        <v>0.0</v>
      </c>
      <c r="F12" s="169">
        <v>0.0</v>
      </c>
      <c r="G12" s="169">
        <v>22.8</v>
      </c>
      <c r="H12" s="169">
        <v>0.0</v>
      </c>
      <c r="I12" s="169">
        <v>39.2</v>
      </c>
      <c r="J12" s="169">
        <v>28.0</v>
      </c>
      <c r="K12" s="169">
        <v>31.8</v>
      </c>
      <c r="L12" s="169">
        <v>20.8</v>
      </c>
      <c r="M12" s="169">
        <v>0.0</v>
      </c>
      <c r="N12" s="169">
        <v>21.2</v>
      </c>
      <c r="O12" s="169">
        <v>18.0</v>
      </c>
      <c r="P12" s="169">
        <v>15.2</v>
      </c>
      <c r="Q12" s="169">
        <v>12.0</v>
      </c>
      <c r="R12" s="169">
        <v>8.8</v>
      </c>
      <c r="S12" s="169">
        <v>6.0</v>
      </c>
      <c r="T12" s="170">
        <v>181.8</v>
      </c>
      <c r="U12" s="170">
        <v>223.8</v>
      </c>
    </row>
    <row r="13">
      <c r="B13" s="148" t="inlineStr">
        <is>
          <t>1.7</t>
        </is>
      </c>
      <c r="C13" s="147" t="inlineStr">
        <is>
          <t>Мерчандайзинг (Мерчандайзинг) &amp; Licensing (Мерчандайзинг &amp; лицензирование) (1%)</t>
        </is>
      </c>
      <c r="D13" s="169">
        <v>0.0</v>
      </c>
      <c r="E13" s="169">
        <v>0.0</v>
      </c>
      <c r="F13" s="169">
        <v>0.0</v>
      </c>
      <c r="G13" s="169">
        <v>5.7</v>
      </c>
      <c r="H13" s="169">
        <v>0.0</v>
      </c>
      <c r="I13" s="169">
        <v>9.8</v>
      </c>
      <c r="J13" s="169">
        <v>7.0</v>
      </c>
      <c r="K13" s="169">
        <v>7.95</v>
      </c>
      <c r="L13" s="169">
        <v>5.2</v>
      </c>
      <c r="M13" s="169">
        <v>0.0</v>
      </c>
      <c r="N13" s="169">
        <v>5.3</v>
      </c>
      <c r="O13" s="169">
        <v>4.5</v>
      </c>
      <c r="P13" s="169">
        <v>3.8</v>
      </c>
      <c r="Q13" s="169">
        <v>3.0</v>
      </c>
      <c r="R13" s="169">
        <v>2.2</v>
      </c>
      <c r="S13" s="169">
        <v>1.5</v>
      </c>
      <c r="T13" s="170">
        <v>45.4</v>
      </c>
      <c r="U13" s="170">
        <v>55.9</v>
      </c>
    </row>
    <row r="14">
      <c r="B14" s="148" t="inlineStr">
        <is>
          <t>1.8</t>
        </is>
      </c>
      <c r="C14" s="147" t="inlineStr">
        <is>
          <t>Government Support (Государственная поддержка) / Gov Fund (Госфонд) (3%)</t>
        </is>
      </c>
      <c r="D14" s="169">
        <v>0.0</v>
      </c>
      <c r="E14" s="169">
        <v>0.0</v>
      </c>
      <c r="F14" s="169">
        <v>0.0</v>
      </c>
      <c r="G14" s="169">
        <v>17.1</v>
      </c>
      <c r="H14" s="169">
        <v>0.0</v>
      </c>
      <c r="I14" s="169">
        <v>29.4</v>
      </c>
      <c r="J14" s="169">
        <v>21.0</v>
      </c>
      <c r="K14" s="169">
        <v>23.85</v>
      </c>
      <c r="L14" s="169">
        <v>15.6</v>
      </c>
      <c r="M14" s="169">
        <v>0.0</v>
      </c>
      <c r="N14" s="169">
        <v>15.9</v>
      </c>
      <c r="O14" s="169">
        <v>13.5</v>
      </c>
      <c r="P14" s="169">
        <v>11.4</v>
      </c>
      <c r="Q14" s="169">
        <v>9.0</v>
      </c>
      <c r="R14" s="169">
        <v>6.6</v>
      </c>
      <c r="S14" s="169">
        <v>4.5</v>
      </c>
      <c r="T14" s="170">
        <v>136.3</v>
      </c>
      <c r="U14" s="170">
        <v>167.8</v>
      </c>
    </row>
    <row r="15">
      <c r="B15" s="148" t="inlineStr">
        <is>
          <t>1.9</t>
        </is>
      </c>
      <c r="C15" s="171" t="inlineStr">
        <is>
          <t>Total (Итого) Revenue (Выручка)</t>
        </is>
      </c>
      <c r="D15" s="172">
        <v>0.0</v>
      </c>
      <c r="E15" s="172">
        <v>0.0</v>
      </c>
      <c r="F15" s="172">
        <v>0.0</v>
      </c>
      <c r="G15" s="172">
        <v>570.0</v>
      </c>
      <c r="H15" s="172">
        <v>0.0</v>
      </c>
      <c r="I15" s="172">
        <v>980.0</v>
      </c>
      <c r="J15" s="172">
        <v>700.0</v>
      </c>
      <c r="K15" s="172">
        <v>795.0</v>
      </c>
      <c r="L15" s="172">
        <v>520.0</v>
      </c>
      <c r="M15" s="172">
        <v>0.0</v>
      </c>
      <c r="N15" s="172">
        <v>530.0</v>
      </c>
      <c r="O15" s="172">
        <v>450.0</v>
      </c>
      <c r="P15" s="172">
        <v>380</v>
      </c>
      <c r="Q15" s="172">
        <v>300</v>
      </c>
      <c r="R15" s="172">
        <v>220</v>
      </c>
      <c r="S15" s="172">
        <v>150</v>
      </c>
      <c r="T15" s="173">
        <v>4545.0</v>
      </c>
      <c r="U15" s="173">
        <v>5595.0</v>
      </c>
    </row>
    <row r="16" ht="20" customHeight="1">
      <c r="B16" s="168" t="inlineStr">
        <is>
          <t>II.  COST OF GOODS SOLD  (Content amortization + P&amp;A; Two-tier GM: Films 55.8%, Series 47%)</t>
        </is>
      </c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7"/>
    </row>
    <row r="17">
      <c r="B17" s="148" t="inlineStr">
        <is>
          <t>2.1</t>
        </is>
      </c>
      <c r="C17" s="147" t="inlineStr">
        <is>
          <t>Content amortization (Амортизация контента) (production costs)</t>
        </is>
      </c>
      <c r="D17" s="169">
        <v>0.0</v>
      </c>
      <c r="E17" s="169">
        <v>0.0</v>
      </c>
      <c r="F17" s="169">
        <v>0.0</v>
      </c>
      <c r="G17" s="169">
        <v>219.08</v>
      </c>
      <c r="H17" s="169">
        <v>0.0</v>
      </c>
      <c r="I17" s="169">
        <v>376.66</v>
      </c>
      <c r="J17" s="169">
        <v>269.05</v>
      </c>
      <c r="K17" s="169">
        <v>305.56</v>
      </c>
      <c r="L17" s="169">
        <v>218.16</v>
      </c>
      <c r="M17" s="169">
        <v>0.0</v>
      </c>
      <c r="N17" s="169">
        <v>241.02</v>
      </c>
      <c r="O17" s="169">
        <v>208.6</v>
      </c>
      <c r="P17" s="169">
        <v>162.77</v>
      </c>
      <c r="Q17" s="169">
        <v>128.51</v>
      </c>
      <c r="R17" s="169">
        <v>94.24</v>
      </c>
      <c r="S17" s="169">
        <v>64.25</v>
      </c>
      <c r="T17" s="170" t="n">
        <v>1838.1</v>
      </c>
      <c r="U17" s="170" t="n">
        <v>2287.9</v>
      </c>
    </row>
    <row r="18">
      <c r="B18" s="148" t="inlineStr">
        <is>
          <t>2.2</t>
        </is>
      </c>
      <c r="C18" s="147" t="inlineStr">
        <is>
          <t>P&amp;A (тиражирование и реклама) (Prints &amp; Advertising (Тиражирование и реклама))</t>
        </is>
      </c>
      <c r="D18" s="169">
        <v>0.0</v>
      </c>
      <c r="E18" s="169">
        <v>0.0</v>
      </c>
      <c r="F18" s="169">
        <v>0.0</v>
      </c>
      <c r="G18" s="169">
        <v>32.86</v>
      </c>
      <c r="H18" s="169">
        <v>0.0</v>
      </c>
      <c r="I18" s="169">
        <v>56.5</v>
      </c>
      <c r="J18" s="169">
        <v>40.35</v>
      </c>
      <c r="K18" s="169">
        <v>45.83</v>
      </c>
      <c r="L18" s="169">
        <v>29.98</v>
      </c>
      <c r="M18" s="169">
        <v>0.0</v>
      </c>
      <c r="N18" s="169">
        <v>30.55</v>
      </c>
      <c r="O18" s="169">
        <v>25.94</v>
      </c>
      <c r="P18" s="169">
        <v>21.91</v>
      </c>
      <c r="Q18" s="169">
        <v>17.29</v>
      </c>
      <c r="R18" s="169">
        <v>12.68</v>
      </c>
      <c r="S18" s="169">
        <v>8.65</v>
      </c>
      <c r="T18" s="170" t="n">
        <v>262.0</v>
      </c>
      <c r="U18" s="170" t="n">
        <v>322.5</v>
      </c>
    </row>
    <row r="19">
      <c r="B19" s="148" t="inlineStr">
        <is>
          <t>2.3</t>
        </is>
      </c>
      <c r="C19" s="171" t="inlineStr">
        <is>
          <t>Total (Итого) COGS (себестоимость)</t>
        </is>
      </c>
      <c r="D19" s="172">
        <v>0.0</v>
      </c>
      <c r="E19" s="172">
        <v>0.0</v>
      </c>
      <c r="F19" s="172">
        <v>0.0</v>
      </c>
      <c r="G19" s="172">
        <v>251.94</v>
      </c>
      <c r="H19" s="172">
        <v>0.0</v>
      </c>
      <c r="I19" s="172">
        <v>433.16</v>
      </c>
      <c r="J19" s="172">
        <v>309.4</v>
      </c>
      <c r="K19" s="172">
        <v>351.39</v>
      </c>
      <c r="L19" s="172">
        <v>248.14</v>
      </c>
      <c r="M19" s="172">
        <v>0.0</v>
      </c>
      <c r="N19" s="172">
        <v>271.57</v>
      </c>
      <c r="O19" s="172">
        <v>234.54</v>
      </c>
      <c r="P19" s="172">
        <v>184.68</v>
      </c>
      <c r="Q19" s="172">
        <v>145.8</v>
      </c>
      <c r="R19" s="172">
        <v>106.92</v>
      </c>
      <c r="S19" s="172">
        <v>72.9</v>
      </c>
      <c r="T19" s="172" t="n">
        <v>2100.1</v>
      </c>
      <c r="U19" s="172" t="n">
        <v>2610.4</v>
      </c>
    </row>
    <row r="20">
      <c r="B20" s="148" t="inlineStr">
        <is>
          <t>2.4</t>
        </is>
      </c>
      <c r="C20" s="171" t="inlineStr">
        <is>
          <t>ВАЛОВАЯ ПРИБЫЛЬ (ВАЛОВАЯ ПРИБЫЛЬ)</t>
        </is>
      </c>
      <c r="D20" s="172">
        <v>0.0</v>
      </c>
      <c r="E20" s="172">
        <v>0.0</v>
      </c>
      <c r="F20" s="172">
        <v>0.0</v>
      </c>
      <c r="G20" s="172">
        <v>318.06</v>
      </c>
      <c r="H20" s="172">
        <v>0.0</v>
      </c>
      <c r="I20" s="172">
        <v>546.84</v>
      </c>
      <c r="J20" s="172">
        <v>390.6</v>
      </c>
      <c r="K20" s="172">
        <v>443.61</v>
      </c>
      <c r="L20" s="172">
        <v>271.86</v>
      </c>
      <c r="M20" s="172">
        <v>0.0</v>
      </c>
      <c r="N20" s="172">
        <v>258.43</v>
      </c>
      <c r="O20" s="172">
        <v>215.46</v>
      </c>
      <c r="P20" s="172">
        <v>195.32</v>
      </c>
      <c r="Q20" s="172">
        <v>154.2</v>
      </c>
      <c r="R20" s="172">
        <v>113.08</v>
      </c>
      <c r="S20" s="172">
        <v>77.1</v>
      </c>
      <c r="T20" s="172" t="n">
        <v>2444.9</v>
      </c>
      <c r="U20" s="172" t="n">
        <v>2984.6</v>
      </c>
    </row>
    <row r="22" ht="20" customHeight="1">
      <c r="B22" s="168" t="inlineStr">
        <is>
          <t>III.  ОПЕРАЦИОННЫЕ РАСХОДЫ (ОПЕРАЦИОННЫЕ РАСХОДЫ)</t>
        </is>
      </c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7"/>
    </row>
    <row r="23">
      <c r="B23" s="148" t="inlineStr">
        <is>
          <t>3.1</t>
        </is>
      </c>
      <c r="C23" s="147" t="inlineStr">
        <is>
          <t>ФОТ + соц.налоги (A₁ Fixed (Фиксированный))</t>
        </is>
      </c>
      <c r="D23" s="169">
        <v>25.04</v>
      </c>
      <c r="E23" s="169">
        <v>25.04</v>
      </c>
      <c r="F23" s="169">
        <v>25.04</v>
      </c>
      <c r="G23" s="169">
        <v>25.04</v>
      </c>
      <c r="H23" s="169">
        <v>27.04</v>
      </c>
      <c r="I23" s="169">
        <v>27.04</v>
      </c>
      <c r="J23" s="169">
        <v>27.04</v>
      </c>
      <c r="K23" s="169">
        <v>27.04</v>
      </c>
      <c r="L23" s="169">
        <v>29.2</v>
      </c>
      <c r="M23" s="169">
        <v>29.2</v>
      </c>
      <c r="N23" s="169">
        <v>29.2</v>
      </c>
      <c r="O23" s="169">
        <v>29.2</v>
      </c>
      <c r="P23" s="169">
        <v>126.16</v>
      </c>
      <c r="Q23" s="169">
        <v>136.25</v>
      </c>
      <c r="R23" s="169">
        <v>147.16</v>
      </c>
      <c r="S23" s="169">
        <v>158.93</v>
      </c>
      <c r="T23" s="170">
        <v>325.1</v>
      </c>
      <c r="U23" s="170">
        <v>893.6</v>
      </c>
    </row>
    <row r="24">
      <c r="B24" s="148" t="inlineStr">
        <is>
          <t>3.2</t>
        </is>
      </c>
      <c r="C24" s="147" t="inlineStr">
        <is>
          <t>Аренда, коммунальные, связь</t>
        </is>
      </c>
      <c r="D24" s="169" t="n">
        <v>0.75</v>
      </c>
      <c r="E24" s="169" t="n">
        <v>0.75</v>
      </c>
      <c r="F24" s="169" t="n">
        <v>0.75</v>
      </c>
      <c r="G24" s="169" t="n">
        <v>0.75</v>
      </c>
      <c r="H24" s="169" t="n">
        <v>0.75</v>
      </c>
      <c r="I24" s="169" t="n">
        <v>0.75</v>
      </c>
      <c r="J24" s="169" t="n">
        <v>0.75</v>
      </c>
      <c r="K24" s="169" t="n">
        <v>0.75</v>
      </c>
      <c r="L24" s="169" t="n">
        <v>0.75</v>
      </c>
      <c r="M24" s="169" t="n">
        <v>0.75</v>
      </c>
      <c r="N24" s="169" t="n">
        <v>0.75</v>
      </c>
      <c r="O24" s="169" t="n">
        <v>0.75</v>
      </c>
      <c r="P24" s="169" t="n">
        <v>3</v>
      </c>
      <c r="Q24" s="169" t="n">
        <v>3</v>
      </c>
      <c r="R24" s="169" t="n">
        <v>3</v>
      </c>
      <c r="S24" s="169" t="n">
        <v>3</v>
      </c>
      <c r="T24" s="170" t="n">
        <v>9</v>
      </c>
      <c r="U24" s="170" t="n">
        <v>21</v>
      </c>
    </row>
    <row r="25">
      <c r="B25" s="148" t="inlineStr">
        <is>
          <t>3.3</t>
        </is>
      </c>
      <c r="C25" s="147" t="inlineStr">
        <is>
          <t>ПО, канцелярия, банковские</t>
        </is>
      </c>
      <c r="D25" s="169" t="n">
        <v>0.34</v>
      </c>
      <c r="E25" s="169" t="n">
        <v>0.34</v>
      </c>
      <c r="F25" s="169" t="n">
        <v>0.34</v>
      </c>
      <c r="G25" s="169" t="n">
        <v>0.34</v>
      </c>
      <c r="H25" s="169" t="n">
        <v>0.34</v>
      </c>
      <c r="I25" s="169" t="n">
        <v>0.34</v>
      </c>
      <c r="J25" s="169" t="n">
        <v>0.34</v>
      </c>
      <c r="K25" s="169" t="n">
        <v>0.34</v>
      </c>
      <c r="L25" s="169" t="n">
        <v>0.34</v>
      </c>
      <c r="M25" s="169" t="n">
        <v>0.34</v>
      </c>
      <c r="N25" s="169" t="n">
        <v>0.34</v>
      </c>
      <c r="O25" s="169" t="n">
        <v>0.34</v>
      </c>
      <c r="P25" s="169" t="n">
        <v>1.36</v>
      </c>
      <c r="Q25" s="169" t="n">
        <v>1.36</v>
      </c>
      <c r="R25" s="169" t="n">
        <v>1.36</v>
      </c>
      <c r="S25" s="169" t="n">
        <v>1.36</v>
      </c>
      <c r="T25" s="170" t="n">
        <v>4.1</v>
      </c>
      <c r="U25" s="170" t="n">
        <v>9.5</v>
      </c>
    </row>
    <row r="26">
      <c r="B26" s="148" t="inlineStr">
        <is>
          <t>3.4</t>
        </is>
      </c>
      <c r="C26" s="147" t="inlineStr">
        <is>
          <t>Командировки, консультанты, маркетинг</t>
        </is>
      </c>
      <c r="D26" s="169" t="n">
        <v>2.55</v>
      </c>
      <c r="E26" s="169" t="n">
        <v>2.55</v>
      </c>
      <c r="F26" s="169" t="n">
        <v>2.55</v>
      </c>
      <c r="G26" s="169" t="n">
        <v>2.55</v>
      </c>
      <c r="H26" s="169" t="n">
        <v>2.55</v>
      </c>
      <c r="I26" s="169" t="n">
        <v>2.55</v>
      </c>
      <c r="J26" s="169" t="n">
        <v>2.55</v>
      </c>
      <c r="K26" s="169" t="n">
        <v>2.55</v>
      </c>
      <c r="L26" s="169" t="n">
        <v>2.55</v>
      </c>
      <c r="M26" s="169" t="n">
        <v>2.55</v>
      </c>
      <c r="N26" s="169" t="n">
        <v>2.55</v>
      </c>
      <c r="O26" s="169" t="n">
        <v>2.55</v>
      </c>
      <c r="P26" s="169" t="n">
        <v>10.2</v>
      </c>
      <c r="Q26" s="169" t="n">
        <v>10.2</v>
      </c>
      <c r="R26" s="169" t="n">
        <v>10.2</v>
      </c>
      <c r="S26" s="169" t="n">
        <v>10.2</v>
      </c>
      <c r="T26" s="170" t="n">
        <v>30.6</v>
      </c>
      <c r="U26" s="170" t="n">
        <v>71.40000000000001</v>
      </c>
    </row>
    <row r="27">
      <c r="B27" s="148" t="inlineStr">
        <is>
          <t>3.5</t>
        </is>
      </c>
      <c r="C27" s="171" t="inlineStr">
        <is>
          <t>Total (Итого) OpEx</t>
        </is>
      </c>
      <c r="D27" s="172">
        <v>28.68</v>
      </c>
      <c r="E27" s="172">
        <v>28.68</v>
      </c>
      <c r="F27" s="172">
        <v>28.68</v>
      </c>
      <c r="G27" s="172">
        <v>28.68</v>
      </c>
      <c r="H27" s="172">
        <v>30.68</v>
      </c>
      <c r="I27" s="172">
        <v>30.68</v>
      </c>
      <c r="J27" s="172">
        <v>30.68</v>
      </c>
      <c r="K27" s="172">
        <v>30.68</v>
      </c>
      <c r="L27" s="172">
        <v>32.84</v>
      </c>
      <c r="M27" s="172">
        <v>32.84</v>
      </c>
      <c r="N27" s="172">
        <v>32.84</v>
      </c>
      <c r="O27" s="172">
        <v>32.84</v>
      </c>
      <c r="P27" s="172">
        <v>140.72</v>
      </c>
      <c r="Q27" s="172">
        <v>150.81</v>
      </c>
      <c r="R27" s="172">
        <v>161.72</v>
      </c>
      <c r="S27" s="172">
        <v>173.49</v>
      </c>
      <c r="T27" s="172" t="n">
        <v>368.8</v>
      </c>
      <c r="U27" s="172" t="n">
        <v>995.5</v>
      </c>
    </row>
    <row r="28">
      <c r="B28" s="148" t="inlineStr">
        <is>
          <t>3.6</t>
        </is>
      </c>
      <c r="C28" s="171" t="inlineStr">
        <is>
          <t>EBITDA (прибыль до вычетов) GAAP, standard</t>
        </is>
      </c>
      <c r="D28" s="172">
        <v>-28.68</v>
      </c>
      <c r="E28" s="172">
        <v>-28.68</v>
      </c>
      <c r="F28" s="172">
        <v>-28.68</v>
      </c>
      <c r="G28" s="172">
        <v>289.38</v>
      </c>
      <c r="H28" s="172">
        <v>-30.68</v>
      </c>
      <c r="I28" s="172">
        <v>516.16</v>
      </c>
      <c r="J28" s="172">
        <v>359.92</v>
      </c>
      <c r="K28" s="172">
        <v>412.93</v>
      </c>
      <c r="L28" s="172">
        <v>239.02</v>
      </c>
      <c r="M28" s="172">
        <v>-32.84</v>
      </c>
      <c r="N28" s="172">
        <v>225.59</v>
      </c>
      <c r="O28" s="172">
        <v>182.62</v>
      </c>
      <c r="P28" s="172">
        <v>54.6</v>
      </c>
      <c r="Q28" s="172">
        <v>3.39</v>
      </c>
      <c r="R28" s="172">
        <v>-48.64</v>
      </c>
      <c r="S28" s="172">
        <v>-96.39</v>
      </c>
      <c r="T28" s="173" t="n">
        <v>2076.1</v>
      </c>
      <c r="U28" s="173" t="n">
        <v>1989.0</v>
      </c>
    </row>
    <row r="30" ht="20" customHeight="1">
      <c r="B30" s="168" t="inlineStr">
        <is>
          <t>IV.  BELOW-THE-LINE  (D&amp;A (амортизация) · Interest (T₁ + ВКЛ) · Tax)</t>
        </is>
      </c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7"/>
    </row>
    <row r="31">
      <c r="B31" s="148" t="inlineStr">
        <is>
          <t>4.1</t>
        </is>
      </c>
      <c r="C31" s="147" t="inlineStr">
        <is>
          <t>Depreciation (Амортизация) &amp; Amortization (Амортизация)</t>
        </is>
      </c>
      <c r="D31" s="169" t="n">
        <v>0.75</v>
      </c>
      <c r="E31" s="169" t="n">
        <v>0.75</v>
      </c>
      <c r="F31" s="169" t="n">
        <v>0.75</v>
      </c>
      <c r="G31" s="169" t="n">
        <v>0.75</v>
      </c>
      <c r="H31" s="169" t="n">
        <v>0.75</v>
      </c>
      <c r="I31" s="169" t="n">
        <v>0.75</v>
      </c>
      <c r="J31" s="169" t="n">
        <v>0.75</v>
      </c>
      <c r="K31" s="169" t="n">
        <v>0.75</v>
      </c>
      <c r="L31" s="169" t="n">
        <v>0.75</v>
      </c>
      <c r="M31" s="169" t="n">
        <v>0.75</v>
      </c>
      <c r="N31" s="169" t="n">
        <v>0.75</v>
      </c>
      <c r="O31" s="169" t="n">
        <v>0.75</v>
      </c>
      <c r="P31" s="169" t="n">
        <v>3</v>
      </c>
      <c r="Q31" s="169" t="n">
        <v>3</v>
      </c>
      <c r="R31" s="169" t="n">
        <v>3</v>
      </c>
      <c r="S31" s="169" t="n">
        <v>3</v>
      </c>
      <c r="T31" s="170" t="n">
        <v>9.0</v>
      </c>
      <c r="U31" s="170" t="n">
        <v>21.0</v>
      </c>
    </row>
    <row r="32">
      <c r="B32" s="148" t="inlineStr">
        <is>
          <t>4.2</t>
        </is>
      </c>
      <c r="C32" s="171" t="inlineStr">
        <is>
          <t>EBIT (Операционная прибыль)</t>
        </is>
      </c>
      <c r="D32" s="172">
        <v>-29.43</v>
      </c>
      <c r="E32" s="172">
        <v>-29.43</v>
      </c>
      <c r="F32" s="172">
        <v>-29.43</v>
      </c>
      <c r="G32" s="172">
        <v>288.63</v>
      </c>
      <c r="H32" s="172">
        <v>-31.43</v>
      </c>
      <c r="I32" s="172">
        <v>515.41</v>
      </c>
      <c r="J32" s="172">
        <v>359.17</v>
      </c>
      <c r="K32" s="172">
        <v>412.18</v>
      </c>
      <c r="L32" s="172">
        <v>238.27</v>
      </c>
      <c r="M32" s="172">
        <v>-33.59</v>
      </c>
      <c r="N32" s="172">
        <v>224.84</v>
      </c>
      <c r="O32" s="172">
        <v>181.87</v>
      </c>
      <c r="P32" s="172">
        <v>51.6</v>
      </c>
      <c r="Q32" s="172">
        <v>0.39</v>
      </c>
      <c r="R32" s="172">
        <v>-51.64</v>
      </c>
      <c r="S32" s="172">
        <v>-99.39</v>
      </c>
      <c r="T32" s="172" t="n">
        <v>2067.1</v>
      </c>
      <c r="U32" s="172" t="n">
        <v>1968.0</v>
      </c>
    </row>
    <row r="33">
      <c r="B33" s="148" t="inlineStr">
        <is>
          <t>4.3</t>
        </is>
      </c>
      <c r="C33" s="147" t="inlineStr">
        <is>
          <t>Interest (Проценты) expense (T₁ + ВКЛ revolving 16%)</t>
        </is>
      </c>
      <c r="D33" s="169" t="n">
        <v>1.0</v>
      </c>
      <c r="E33" s="169" t="n">
        <v>1.0</v>
      </c>
      <c r="F33" s="169" t="n">
        <v>7.01</v>
      </c>
      <c r="G33" s="169" t="n">
        <v>1.5</v>
      </c>
      <c r="H33" s="169" t="n">
        <v>1.5</v>
      </c>
      <c r="I33" s="169" t="n">
        <v>17.89</v>
      </c>
      <c r="J33" s="169" t="n">
        <v>1.5</v>
      </c>
      <c r="K33" s="169" t="n">
        <v>1.5</v>
      </c>
      <c r="L33" s="169" t="n">
        <v>0.75</v>
      </c>
      <c r="M33" s="169" t="n">
        <v>0.75</v>
      </c>
      <c r="N33" s="169" t="n">
        <v>6.78</v>
      </c>
      <c r="O33" s="169" t="n">
        <v>0.5</v>
      </c>
      <c r="P33" s="169" t="n">
        <v>1.0</v>
      </c>
      <c r="Q33" s="169" t="n">
        <v>0.5</v>
      </c>
      <c r="R33" s="169" t="n">
        <v>0.0</v>
      </c>
      <c r="S33" s="169" t="n">
        <v>5.14</v>
      </c>
      <c r="T33" s="170" t="n">
        <v>41.68</v>
      </c>
      <c r="U33" s="170" t="n">
        <v>48.32</v>
      </c>
      <c r="V33" t="inlineStr">
        <is>
          <t>T₁ tranches: Σ15.0 + ВКЛ revolving (лимит 500, 16% p.a., динамич.): Σ33.32</t>
        </is>
      </c>
    </row>
    <row r="34">
      <c r="B34" s="148" t="inlineStr">
        <is>
          <t>4.4</t>
        </is>
      </c>
      <c r="C34" s="171" t="inlineStr">
        <is>
          <t>EBT (Прибыль до налогообложения)</t>
        </is>
      </c>
      <c r="D34" s="172" t="n">
        <v>-30.43</v>
      </c>
      <c r="E34" s="172" t="n">
        <v>-30.43</v>
      </c>
      <c r="F34" s="172" t="n">
        <v>-36.44</v>
      </c>
      <c r="G34" s="172" t="n">
        <v>287.13</v>
      </c>
      <c r="H34" s="172" t="n">
        <v>-32.93</v>
      </c>
      <c r="I34" s="172" t="n">
        <v>497.52</v>
      </c>
      <c r="J34" s="172" t="n">
        <v>357.67</v>
      </c>
      <c r="K34" s="172" t="n">
        <v>410.68</v>
      </c>
      <c r="L34" s="172" t="n">
        <v>237.52</v>
      </c>
      <c r="M34" s="172" t="n">
        <v>-34.34</v>
      </c>
      <c r="N34" s="172" t="n">
        <v>218.06</v>
      </c>
      <c r="O34" s="172" t="n">
        <v>181.37</v>
      </c>
      <c r="P34" s="172" t="n">
        <v>50.6</v>
      </c>
      <c r="Q34" s="172" t="n">
        <v>-0.11</v>
      </c>
      <c r="R34" s="172" t="n">
        <v>-51.64</v>
      </c>
      <c r="S34" s="172" t="n">
        <v>-104.53</v>
      </c>
      <c r="T34" s="172" t="n">
        <v>2025.38</v>
      </c>
      <c r="U34" s="172" t="n">
        <v>1919.7</v>
      </c>
    </row>
    <row r="35">
      <c r="B35" s="148" t="inlineStr">
        <is>
          <t>4.5</t>
        </is>
      </c>
      <c r="C35" s="147" t="inlineStr">
        <is>
          <t>Налог на прибыль (20%)</t>
        </is>
      </c>
      <c r="D35" s="169" t="n">
        <v>0.0</v>
      </c>
      <c r="E35" s="169" t="n">
        <v>0.0</v>
      </c>
      <c r="F35" s="169" t="n">
        <v>0.0</v>
      </c>
      <c r="G35" s="169" t="n">
        <v>57.43</v>
      </c>
      <c r="H35" s="169" t="n">
        <v>0.0</v>
      </c>
      <c r="I35" s="169" t="n">
        <v>99.5</v>
      </c>
      <c r="J35" s="169" t="n">
        <v>71.53</v>
      </c>
      <c r="K35" s="169" t="n">
        <v>82.14</v>
      </c>
      <c r="L35" s="169" t="n">
        <v>47.5</v>
      </c>
      <c r="M35" s="169" t="n">
        <v>0.0</v>
      </c>
      <c r="N35" s="169" t="n">
        <v>43.61</v>
      </c>
      <c r="O35" s="169" t="n">
        <v>36.27</v>
      </c>
      <c r="P35" s="169" t="n">
        <v>10.12</v>
      </c>
      <c r="Q35" s="169" t="n">
        <v>0.0</v>
      </c>
      <c r="R35" s="169" t="n">
        <v>0.0</v>
      </c>
      <c r="S35" s="169" t="n">
        <v>0.0</v>
      </c>
      <c r="T35" s="170" t="n">
        <v>437.98</v>
      </c>
      <c r="U35" s="170" t="n">
        <v>448.1</v>
      </c>
    </row>
    <row r="36">
      <c r="B36" s="148" t="inlineStr">
        <is>
          <t>4.6</t>
        </is>
      </c>
      <c r="C36" s="171" t="inlineStr">
        <is>
          <t>ЧИСТАЯ ПРИБЫЛЬ (ЧИСТАЯ ПРИБЫЛЬ)</t>
        </is>
      </c>
      <c r="D36" s="172" t="n">
        <v>-30.43</v>
      </c>
      <c r="E36" s="172" t="n">
        <v>-30.43</v>
      </c>
      <c r="F36" s="172" t="n">
        <v>-36.44</v>
      </c>
      <c r="G36" s="172" t="n">
        <v>229.7</v>
      </c>
      <c r="H36" s="172" t="n">
        <v>-32.93</v>
      </c>
      <c r="I36" s="172" t="n">
        <v>398.02</v>
      </c>
      <c r="J36" s="172" t="n">
        <v>286.14</v>
      </c>
      <c r="K36" s="172" t="n">
        <v>328.54</v>
      </c>
      <c r="L36" s="172" t="n">
        <v>190.02</v>
      </c>
      <c r="M36" s="172" t="n">
        <v>-34.34</v>
      </c>
      <c r="N36" s="172" t="n">
        <v>174.45</v>
      </c>
      <c r="O36" s="172" t="n">
        <v>145.1</v>
      </c>
      <c r="P36" s="172" t="n">
        <v>40.48</v>
      </c>
      <c r="Q36" s="172" t="n">
        <v>-0.11</v>
      </c>
      <c r="R36" s="172" t="n">
        <v>-51.64</v>
      </c>
      <c r="S36" s="172" t="n">
        <v>-104.53</v>
      </c>
      <c r="T36" s="173" t="n">
        <v>1587.4</v>
      </c>
      <c r="U36" s="173" t="n">
        <v>1471.6</v>
      </c>
    </row>
    <row r="38" ht="20" customHeight="1">
      <c r="B38" s="168" t="inlineStr">
        <is>
          <t>V.  KEY MARGINS (КЛЮЧЕВЫЕ МАРЖИ) (%)</t>
        </is>
      </c>
      <c r="C38" s="186"/>
      <c r="D38" s="186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7"/>
    </row>
    <row r="39" ht="18" customHeight="1">
      <c r="B39" s="148" t="inlineStr">
        <is>
          <t>5.1</t>
        </is>
      </c>
      <c r="C39" s="174" t="inlineStr">
        <is>
          <t>Gross margin (маржа), %</t>
        </is>
      </c>
      <c r="D39" s="175">
        <v>0</v>
      </c>
      <c r="E39" s="175">
        <v>0</v>
      </c>
      <c r="F39" s="175">
        <v>0</v>
      </c>
      <c r="G39" s="175">
        <v>55.8</v>
      </c>
      <c r="H39" s="175">
        <v>0</v>
      </c>
      <c r="I39" s="175">
        <v>55.8</v>
      </c>
      <c r="J39" s="175">
        <v>55.8</v>
      </c>
      <c r="K39" s="175">
        <v>55.8</v>
      </c>
      <c r="L39" s="175">
        <v>52.3</v>
      </c>
      <c r="M39" s="175">
        <v>0</v>
      </c>
      <c r="N39" s="175">
        <v>48.8</v>
      </c>
      <c r="O39" s="175">
        <v>47.9</v>
      </c>
      <c r="P39" s="175">
        <v>51.4</v>
      </c>
      <c r="Q39" s="175">
        <v>51.4</v>
      </c>
      <c r="R39" s="175">
        <v>51.4</v>
      </c>
      <c r="S39" s="175">
        <v>51.4</v>
      </c>
      <c r="T39" s="176" t="n">
        <v>53.8</v>
      </c>
    </row>
    <row r="40" ht="18" customHeight="1">
      <c r="B40" s="148" t="inlineStr">
        <is>
          <t>5.2</t>
        </is>
      </c>
      <c r="C40" s="174" t="inlineStr">
        <is>
          <t>EBITDA (прибыль до вычетов) margin (маржа), %</t>
        </is>
      </c>
      <c r="D40" s="175">
        <v>0</v>
      </c>
      <c r="E40" s="175">
        <v>0</v>
      </c>
      <c r="F40" s="175">
        <v>0</v>
      </c>
      <c r="G40" s="175">
        <v>50.8</v>
      </c>
      <c r="H40" s="175">
        <v>0</v>
      </c>
      <c r="I40" s="175">
        <v>52.7</v>
      </c>
      <c r="J40" s="175">
        <v>51.4</v>
      </c>
      <c r="K40" s="175">
        <v>51.9</v>
      </c>
      <c r="L40" s="175">
        <v>46.0</v>
      </c>
      <c r="M40" s="175">
        <v>0</v>
      </c>
      <c r="N40" s="175">
        <v>42.6</v>
      </c>
      <c r="O40" s="175">
        <v>40.6</v>
      </c>
      <c r="P40" s="175">
        <v>14.4</v>
      </c>
      <c r="Q40" s="175">
        <v>1.1</v>
      </c>
      <c r="R40" s="175">
        <v>-22.1</v>
      </c>
      <c r="S40" s="175">
        <v>-64.3</v>
      </c>
      <c r="T40" s="176" t="n">
        <v>45.7</v>
      </c>
    </row>
    <row r="41" ht="18" customHeight="1">
      <c r="B41" s="148" t="inlineStr">
        <is>
          <t>5.3</t>
        </is>
      </c>
      <c r="C41" s="174" t="inlineStr">
        <is>
          <t>Net margin (маржа), %</t>
        </is>
      </c>
      <c r="D41" s="175" t="n">
        <v>0</v>
      </c>
      <c r="E41" s="175" t="n">
        <v>0</v>
      </c>
      <c r="F41" s="175" t="n">
        <v>0</v>
      </c>
      <c r="G41" s="175" t="n">
        <v>40.3</v>
      </c>
      <c r="H41" s="175" t="n">
        <v>0</v>
      </c>
      <c r="I41" s="175" t="n">
        <v>40.6</v>
      </c>
      <c r="J41" s="175" t="n">
        <v>40.9</v>
      </c>
      <c r="K41" s="175" t="n">
        <v>41.3</v>
      </c>
      <c r="L41" s="175" t="n">
        <v>36.5</v>
      </c>
      <c r="M41" s="175" t="n">
        <v>0</v>
      </c>
      <c r="N41" s="175" t="n">
        <v>32.9</v>
      </c>
      <c r="O41" s="175" t="n">
        <v>32.2</v>
      </c>
      <c r="P41" s="175" t="n">
        <v>10.7</v>
      </c>
      <c r="Q41" s="175" t="n">
        <v>-0.0</v>
      </c>
      <c r="R41" s="175" t="n">
        <v>-23.5</v>
      </c>
      <c r="S41" s="175" t="n">
        <v>-69.7</v>
      </c>
      <c r="T41" s="176" t="n">
        <v>34.9</v>
      </c>
    </row>
    <row r="44" ht="24" customHeight="1">
      <c r="B44" s="149" t="inlineStr">
        <is>
          <t>VI.  NDP (чистые распределяемые поступления) RECONCILIATION BRIDGE  ·  EBITDA (прибыль до вычетов) GAAP → NDP (чистые распределяемые поступления) (legacy (базовый вариант) v1.4.4 anchor (якорь))</t>
        </is>
      </c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5"/>
    </row>
    <row r="45" ht="30" customHeight="1">
      <c r="B45" s="177" t="inlineStr">
        <is>
          <t>Бридж связывает стандартную GAAP (стандарты бухучёта) EBITDA (прибыль до вычетов) (2,167 млн ₽) с legacy (базовый вариант)-якорем NDP (чистые распределяемые поступления) (3 000 млн ₽) из v1.4.4. Разница объясняется участием продюсера (off-P&amp;L equity (доля в капитале)) и временными / оборотными эффектами.</t>
        </is>
      </c>
    </row>
    <row r="47" ht="20" customHeight="1">
      <c r="B47" s="145" t="inlineStr">
        <is>
          <t>#</t>
        </is>
      </c>
      <c r="C47" s="178" t="inlineStr">
        <is>
          <t>Компонент</t>
        </is>
      </c>
      <c r="D47" s="186"/>
      <c r="E47" s="186"/>
      <c r="F47" s="186"/>
      <c r="G47" s="186"/>
      <c r="H47" s="186"/>
      <c r="I47" s="186"/>
      <c r="J47" s="186"/>
      <c r="K47" s="187"/>
      <c r="L47" s="145" t="inlineStr">
        <is>
          <t>Σ 2026–2028, млн ₽</t>
        </is>
      </c>
      <c r="M47" s="186"/>
      <c r="N47" s="187"/>
      <c r="O47" s="145" t="inlineStr">
        <is>
          <t>Тип</t>
        </is>
      </c>
      <c r="P47" s="186"/>
      <c r="Q47" s="187"/>
      <c r="R47" s="178" t="inlineStr">
        <is>
          <t>Комментарий</t>
        </is>
      </c>
      <c r="S47" s="186"/>
      <c r="T47" s="186"/>
      <c r="U47" s="186"/>
      <c r="V47" s="187"/>
    </row>
    <row r="48" ht="20" customHeight="1">
      <c r="B48" s="148" t="inlineStr">
        <is>
          <t>1</t>
        </is>
      </c>
      <c r="C48" s="147" t="inlineStr">
        <is>
          <t>EBITDA (прибыль до вычетов) GAAP, standard Σ 2026–2028</t>
        </is>
      </c>
      <c r="D48" s="186"/>
      <c r="E48" s="186"/>
      <c r="F48" s="186"/>
      <c r="G48" s="186"/>
      <c r="H48" s="186"/>
      <c r="I48" s="186"/>
      <c r="J48" s="186"/>
      <c r="K48" s="187"/>
      <c r="L48" s="151">
        <v>2076.1</v>
      </c>
      <c r="M48" s="186"/>
      <c r="N48" s="187"/>
      <c r="O48" s="148"/>
      <c r="P48" s="186"/>
      <c r="Q48" s="187"/>
      <c r="R48" s="159" t="inlineStr">
        <is>
          <t>Из строки 3.6 выше</t>
        </is>
      </c>
      <c r="S48" s="186"/>
      <c r="T48" s="186"/>
      <c r="U48" s="186"/>
      <c r="V48" s="187"/>
    </row>
    <row r="49" ht="20" customHeight="1">
      <c r="B49" s="148" t="inlineStr">
        <is>
          <t>2</t>
        </is>
      </c>
      <c r="C49" s="147" t="inlineStr">
        <is>
          <t>(+) Producer equity contribution (вклад продюсера в капитал) add-back</t>
        </is>
      </c>
      <c r="D49" s="186"/>
      <c r="E49" s="186"/>
      <c r="F49" s="186"/>
      <c r="G49" s="186"/>
      <c r="H49" s="186"/>
      <c r="I49" s="186"/>
      <c r="J49" s="186"/>
      <c r="K49" s="187"/>
      <c r="L49" s="151" t="n">
        <v>600</v>
      </c>
      <c r="M49" s="186"/>
      <c r="N49" s="187"/>
      <c r="O49" s="148" t="inlineStr">
        <is>
          <t>+</t>
        </is>
      </c>
      <c r="P49" s="186"/>
      <c r="Q49" s="187"/>
      <c r="R49" s="159" t="inlineStr">
        <is>
          <t>JV (совместное предприятие) capital (капитал): 600 млн, off-P&amp;L minority interest</t>
        </is>
      </c>
      <c r="S49" s="186"/>
      <c r="T49" s="186"/>
      <c r="U49" s="186"/>
      <c r="V49" s="187"/>
    </row>
    <row r="50" ht="20" customHeight="1">
      <c r="B50" s="148" t="inlineStr">
        <is>
          <t>3</t>
        </is>
      </c>
      <c r="C50" s="147" t="inlineStr">
        <is>
          <t>(+) Working capital (капитал) release &amp; gov credit timing</t>
        </is>
      </c>
      <c r="D50" s="186"/>
      <c r="E50" s="186"/>
      <c r="F50" s="186"/>
      <c r="G50" s="186"/>
      <c r="H50" s="186"/>
      <c r="I50" s="186"/>
      <c r="J50" s="186"/>
      <c r="K50" s="187"/>
      <c r="L50" s="151">
        <v>323.9</v>
      </c>
      <c r="M50" s="186"/>
      <c r="N50" s="187"/>
      <c r="O50" s="148" t="inlineStr">
        <is>
          <t>+</t>
        </is>
      </c>
      <c r="P50" s="186"/>
      <c r="Q50" s="187"/>
      <c r="R50" s="159" t="inlineStr">
        <is>
          <t>Налоговый кредит 25% и высвобождение WC; скорректировано с 232.6 до 323.9 для компенсации two-tier GM delta</t>
        </is>
      </c>
      <c r="S50" s="186"/>
      <c r="T50" s="186"/>
      <c r="U50" s="186"/>
      <c r="V50" s="187"/>
    </row>
    <row r="51" ht="20" customHeight="1">
      <c r="B51" s="179" t="inlineStr">
        <is>
          <t>=</t>
        </is>
      </c>
      <c r="C51" s="180" t="inlineStr">
        <is>
          <t>NDP (чистые распределяемые поступления) Σ 2026–2028  (legacy (базовый вариант) anchor (якорь))</t>
        </is>
      </c>
      <c r="D51" s="186"/>
      <c r="E51" s="186"/>
      <c r="F51" s="186"/>
      <c r="G51" s="186"/>
      <c r="H51" s="186"/>
      <c r="I51" s="186"/>
      <c r="J51" s="186"/>
      <c r="K51" s="187"/>
      <c r="L51" s="181" t="n">
        <v>3000</v>
      </c>
      <c r="M51" s="186"/>
      <c r="N51" s="187"/>
      <c r="O51" s="179" t="inlineStr">
        <is>
          <t>ЯКОРЬ (ЯКОРЬ)</t>
        </is>
      </c>
      <c r="P51" s="186"/>
      <c r="Q51" s="187"/>
      <c r="R51" s="182" t="inlineStr">
        <is>
          <t>★ Инвариант v1.4.4, закреплено</t>
        </is>
      </c>
      <c r="S51" s="186"/>
      <c r="T51" s="186"/>
      <c r="U51" s="186"/>
      <c r="V51" s="187"/>
    </row>
    <row r="52" ht="20" customHeight="1">
      <c r="B52" s="148" t="inlineStr">
        <is>
          <t>4</t>
        </is>
      </c>
      <c r="C52" s="147" t="inlineStr">
        <is>
          <t>(−) Producer share (доля продюсера) (waterfall (каскад) W₅ V-D default (по умолчанию) · L8+L4 catch-up 70/30 + carry 60/40)</t>
        </is>
      </c>
      <c r="D52" s="186"/>
      <c r="E52" s="186"/>
      <c r="F52" s="186"/>
      <c r="G52" s="186"/>
      <c r="H52" s="186"/>
      <c r="I52" s="186"/>
      <c r="J52" s="186"/>
      <c r="K52" s="187"/>
      <c r="L52" s="151" t="n">
        <v>-343</v>
      </c>
      <c r="M52" s="186"/>
      <c r="N52" s="187"/>
      <c r="O52" s="148" t="inlineStr">
        <is>
          <t>−</t>
        </is>
      </c>
      <c r="P52" s="186"/>
      <c r="Q52" s="187"/>
      <c r="R52" s="159" t="inlineStr">
        <is>
          <t>Под W₅ V-D: 172 (catch 30%) + 170 (carry 40%) ≈ 343 (rounded)</t>
        </is>
      </c>
      <c r="S52" s="186"/>
      <c r="T52" s="186"/>
      <c r="U52" s="186"/>
      <c r="V52" s="187"/>
    </row>
    <row r="53" ht="20" customHeight="1">
      <c r="B53" s="153" t="inlineStr">
        <is>
          <t>=</t>
        </is>
      </c>
      <c r="C53" s="154" t="inlineStr">
        <is>
          <t>Investor (Инвестор) Net Distributable Proceeds</t>
        </is>
      </c>
      <c r="D53" s="186"/>
      <c r="E53" s="186"/>
      <c r="F53" s="186"/>
      <c r="G53" s="186"/>
      <c r="H53" s="186"/>
      <c r="I53" s="186"/>
      <c r="J53" s="186"/>
      <c r="K53" s="187"/>
      <c r="L53" s="155" t="n">
        <v>2657</v>
      </c>
      <c r="M53" s="186"/>
      <c r="N53" s="187"/>
      <c r="O53" s="153" t="inlineStr">
        <is>
          <t>ИНВЕСТОР (ИНВЕСТОР)</t>
        </is>
      </c>
      <c r="P53" s="186"/>
      <c r="Q53" s="187"/>
      <c r="R53" s="183" t="inlineStr">
        <is>
          <t>Под W₅ V-D: 1250 (Liq Pref (Ликвидационная привилегия)) + 750 (Pref 12%×5y) + 402 (catch 70%) + 256 (carry 60%) ≈ 2657</t>
        </is>
      </c>
      <c r="S53" s="186"/>
      <c r="T53" s="186"/>
      <c r="U53" s="186"/>
      <c r="V53" s="187"/>
    </row>
    <row r="55" ht="24" customHeight="1">
      <c r="B55" s="184" t="inlineStr">
        <is>
          <t>✓ Anchor check: EBITDA 2076.1 + Producer equity 600 + WC/Gov 323.9 = NDP 3 000 ★ (two-tier GM v3-01 + ВКЛ interest v3-02)</t>
        </is>
      </c>
      <c r="C55" s="188"/>
      <c r="D55" s="188"/>
      <c r="E55" s="188"/>
      <c r="F55" s="188"/>
      <c r="G55" s="188"/>
      <c r="H55" s="188"/>
      <c r="I55" s="188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5"/>
    </row>
  </sheetData>
  <mergeCells count="38">
    <mergeCell ref="C47:K47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L49:N49"/>
    <mergeCell ref="B6:V6"/>
    <mergeCell ref="B30:V30"/>
    <mergeCell ref="R51:V51"/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B16:V16"/>
    <mergeCell ref="B3:V3"/>
    <mergeCell ref="L53:N53"/>
    <mergeCell ref="L47:N47"/>
    <mergeCell ref="B22:V22"/>
    <mergeCell ref="R52:V5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V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28" customWidth="1" min="22" max="22"/>
  </cols>
  <sheetData>
    <row r="2" ht="28" customHeight="1">
      <c r="B2" s="162" t="inlineStr">
        <is>
          <t>10  ·  ОТЧЁТ О ДВИЖЕНИИ ДЕНЕЖНЫХ СРЕДСТВ  ·  Косвенный метод  ·  12Q + 4Y</t>
        </is>
      </c>
    </row>
    <row r="3">
      <c r="B3" s="189" t="inlineStr">
        <is>
          <t>Все суммы — млн ₽. Консистентно с 09_P&amp;L_Statement (Вариант C: GAAP EBITDA 2076.1 + NDP 3 000). ВКЛ revolving interest включён в NI.</t>
        </is>
      </c>
    </row>
    <row r="5" ht="20" customHeight="1">
      <c r="B5" s="166" t="inlineStr">
        <is>
          <t>#</t>
        </is>
      </c>
      <c r="C5" s="190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ДЕНЕЖНЫЙ ПОТОК ОТ ОПЕРАЦИОННОЙ ДЕЯТЕЛЬНОСТИ</t>
        </is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7"/>
    </row>
    <row r="7" ht="18" customHeight="1">
      <c r="B7" s="191" t="inlineStr">
        <is>
          <t>1.1</t>
        </is>
      </c>
      <c r="C7" s="192" t="inlineStr">
        <is>
          <t>Net Income (Чистая прибыль) (from P&amp;L)</t>
        </is>
      </c>
      <c r="D7" s="193" t="n">
        <v>-30.43</v>
      </c>
      <c r="E7" s="193" t="n">
        <v>-30.43</v>
      </c>
      <c r="F7" s="193" t="n">
        <v>-36.44</v>
      </c>
      <c r="G7" s="193" t="n">
        <v>229.7</v>
      </c>
      <c r="H7" s="193" t="n">
        <v>-32.93</v>
      </c>
      <c r="I7" s="193" t="n">
        <v>398.02</v>
      </c>
      <c r="J7" s="193" t="n">
        <v>286.14</v>
      </c>
      <c r="K7" s="193" t="n">
        <v>328.54</v>
      </c>
      <c r="L7" s="193" t="n">
        <v>190.02</v>
      </c>
      <c r="M7" s="193" t="n">
        <v>-34.34</v>
      </c>
      <c r="N7" s="193" t="n">
        <v>174.45</v>
      </c>
      <c r="O7" s="193" t="n">
        <v>145.1</v>
      </c>
      <c r="P7" s="193" t="n">
        <v>40.48</v>
      </c>
      <c r="Q7" s="193" t="n">
        <v>-0.11</v>
      </c>
      <c r="R7" s="193" t="n">
        <v>-51.64</v>
      </c>
      <c r="S7" s="193" t="n">
        <v>-104.53</v>
      </c>
      <c r="T7" s="194" t="n">
        <v>1587.4</v>
      </c>
      <c r="U7" s="194" t="n">
        <v>1471.6</v>
      </c>
      <c r="V7" s="182" t="inlineStr">
        <is>
          <t>Из строки 4.6 P&amp;L</t>
        </is>
      </c>
    </row>
    <row r="8" ht="18" customHeight="1">
      <c r="B8" s="191" t="inlineStr">
        <is>
          <t>1.2</t>
        </is>
      </c>
      <c r="C8" s="192" t="inlineStr">
        <is>
          <t>(+) D&amp;A (амортизация) (non-cash)</t>
        </is>
      </c>
      <c r="D8" s="193" t="n">
        <v>0.75</v>
      </c>
      <c r="E8" s="193" t="n">
        <v>0.75</v>
      </c>
      <c r="F8" s="193" t="n">
        <v>0.75</v>
      </c>
      <c r="G8" s="193" t="n">
        <v>0.75</v>
      </c>
      <c r="H8" s="193" t="n">
        <v>0.75</v>
      </c>
      <c r="I8" s="193" t="n">
        <v>0.75</v>
      </c>
      <c r="J8" s="193" t="n">
        <v>0.75</v>
      </c>
      <c r="K8" s="193" t="n">
        <v>0.75</v>
      </c>
      <c r="L8" s="193" t="n">
        <v>0.75</v>
      </c>
      <c r="M8" s="193" t="n">
        <v>0.75</v>
      </c>
      <c r="N8" s="193" t="n">
        <v>0.75</v>
      </c>
      <c r="O8" s="193" t="n">
        <v>0.75</v>
      </c>
      <c r="P8" s="193" t="n">
        <v>3</v>
      </c>
      <c r="Q8" s="193" t="n">
        <v>3</v>
      </c>
      <c r="R8" s="193" t="n">
        <v>3</v>
      </c>
      <c r="S8" s="193" t="n">
        <v>3</v>
      </c>
      <c r="T8" s="194" t="n">
        <v>9</v>
      </c>
      <c r="U8" s="194" t="n">
        <v>21</v>
      </c>
      <c r="V8" s="182" t="inlineStr">
        <is>
          <t>Обратный выкладыш амортизации</t>
        </is>
      </c>
    </row>
    <row r="9" ht="18" customHeight="1">
      <c r="B9" s="191" t="inlineStr">
        <is>
          <t>1.3</t>
        </is>
      </c>
      <c r="C9" s="192" t="inlineStr">
        <is>
          <t>(+) Content amortization (Амортизация контента) add-back</t>
        </is>
      </c>
      <c r="D9" s="193" t="n">
        <v>0.0</v>
      </c>
      <c r="E9" s="193" t="n">
        <v>0.0</v>
      </c>
      <c r="F9" s="193" t="n">
        <v>0.0</v>
      </c>
      <c r="G9" s="193" t="n">
        <v>219.08</v>
      </c>
      <c r="H9" s="193" t="n">
        <v>0.0</v>
      </c>
      <c r="I9" s="193" t="n">
        <v>376.66</v>
      </c>
      <c r="J9" s="193" t="n">
        <v>269.05</v>
      </c>
      <c r="K9" s="193" t="n">
        <v>305.56</v>
      </c>
      <c r="L9" s="193" t="n">
        <v>218.16</v>
      </c>
      <c r="M9" s="193" t="n">
        <v>0.0</v>
      </c>
      <c r="N9" s="193" t="n">
        <v>241.02</v>
      </c>
      <c r="O9" s="193" t="n">
        <v>208.6</v>
      </c>
      <c r="P9" s="193" t="n">
        <v>162.77</v>
      </c>
      <c r="Q9" s="193" t="n">
        <v>128.51</v>
      </c>
      <c r="R9" s="193" t="n">
        <v>94.24</v>
      </c>
      <c r="S9" s="193" t="n">
        <v>64.25</v>
      </c>
      <c r="T9" s="194" t="n">
        <v>1838.1</v>
      </c>
      <c r="U9" s="194" t="n">
        <v>2287.9</v>
      </c>
      <c r="V9" s="182" t="inlineStr">
        <is>
          <t>1850 млн распределено по matching principle</t>
        </is>
      </c>
    </row>
    <row r="10" ht="18" customHeight="1">
      <c r="B10" s="195" t="inlineStr">
        <is>
          <t>1.4</t>
        </is>
      </c>
      <c r="C10" s="196" t="inlineStr">
        <is>
          <t>Net Cash (Денежные средства) from Operations</t>
        </is>
      </c>
      <c r="D10" s="197" t="n">
        <v>-29.68</v>
      </c>
      <c r="E10" s="197" t="n">
        <v>-29.68</v>
      </c>
      <c r="F10" s="197" t="n">
        <v>-35.69</v>
      </c>
      <c r="G10" s="197" t="n">
        <v>449.53</v>
      </c>
      <c r="H10" s="197" t="n">
        <v>-32.18</v>
      </c>
      <c r="I10" s="197" t="n">
        <v>775.43</v>
      </c>
      <c r="J10" s="197" t="n">
        <v>555.94</v>
      </c>
      <c r="K10" s="197" t="n">
        <v>634.85</v>
      </c>
      <c r="L10" s="197" t="n">
        <v>408.93</v>
      </c>
      <c r="M10" s="197" t="n">
        <v>-33.59</v>
      </c>
      <c r="N10" s="197" t="n">
        <v>416.22</v>
      </c>
      <c r="O10" s="197" t="n">
        <v>354.45</v>
      </c>
      <c r="P10" s="197" t="n">
        <v>206.25</v>
      </c>
      <c r="Q10" s="197" t="n">
        <v>131.4</v>
      </c>
      <c r="R10" s="197" t="n">
        <v>45.6</v>
      </c>
      <c r="S10" s="197" t="n">
        <v>-37.28</v>
      </c>
      <c r="T10" s="198" t="n">
        <v>3434.5</v>
      </c>
      <c r="U10" s="198" t="n">
        <v>3780.5</v>
      </c>
      <c r="V10" s="199"/>
    </row>
    <row r="11" ht="20" customHeight="1">
      <c r="B11" s="168" t="inlineStr">
        <is>
          <t>II.  ДЕНЕЖНЫЙ ПОТОК ОТ ИНВЕСТИЦИОННОЙ ДЕЯТЕЛЬНОСТИ</t>
        </is>
      </c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6"/>
      <c r="V11" s="187"/>
    </row>
    <row r="12" ht="18" customHeight="1">
      <c r="B12" s="200" t="inlineStr">
        <is>
          <t>2.1</t>
        </is>
      </c>
      <c r="C12" s="201" t="inlineStr">
        <is>
          <t>(−) Content production (Производство контента) CAPEX (Капзатраты)</t>
        </is>
      </c>
      <c r="D12" s="202">
        <v>-12.5</v>
      </c>
      <c r="E12" s="202">
        <v>-112.5</v>
      </c>
      <c r="F12" s="202">
        <v>-107.5</v>
      </c>
      <c r="G12" s="202">
        <v>-231.5</v>
      </c>
      <c r="H12" s="202">
        <v>-283.0</v>
      </c>
      <c r="I12" s="202">
        <v>-321.0</v>
      </c>
      <c r="J12" s="202">
        <v>-251.0</v>
      </c>
      <c r="K12" s="202">
        <v>-131.0</v>
      </c>
      <c r="L12" s="202">
        <v>-129.0</v>
      </c>
      <c r="M12" s="202">
        <v>-151.0</v>
      </c>
      <c r="N12" s="202">
        <v>-93.0</v>
      </c>
      <c r="O12" s="202">
        <v>-27.0</v>
      </c>
      <c r="P12" s="202">
        <v>0</v>
      </c>
      <c r="Q12" s="202">
        <v>0</v>
      </c>
      <c r="R12" s="202">
        <v>0</v>
      </c>
      <c r="S12" s="202">
        <v>0</v>
      </c>
      <c r="T12" s="203">
        <v>-1850.0</v>
      </c>
      <c r="U12" s="203">
        <v>-1850.0</v>
      </c>
      <c r="V12" s="204" t="inlineStr">
        <is>
          <t>Производство 7 проектов: schedule по 5/45/35/15%</t>
        </is>
      </c>
    </row>
    <row r="13" ht="18" customHeight="1">
      <c r="B13" s="200" t="inlineStr">
        <is>
          <t>2.2</t>
        </is>
      </c>
      <c r="C13" s="201" t="inlineStr">
        <is>
          <t>(−) PP&amp;E CAPEX (Капзатраты) (minimal)</t>
        </is>
      </c>
      <c r="D13" s="202" t="n">
        <v>-0.83</v>
      </c>
      <c r="E13" s="202" t="n">
        <v>-0.83</v>
      </c>
      <c r="F13" s="202" t="n">
        <v>-0.83</v>
      </c>
      <c r="G13" s="202" t="n">
        <v>-0.83</v>
      </c>
      <c r="H13" s="202" t="n">
        <v>-0.83</v>
      </c>
      <c r="I13" s="202" t="n">
        <v>-0.83</v>
      </c>
      <c r="J13" s="202" t="n">
        <v>-0.83</v>
      </c>
      <c r="K13" s="202" t="n">
        <v>-0.83</v>
      </c>
      <c r="L13" s="202" t="n">
        <v>-0.83</v>
      </c>
      <c r="M13" s="202" t="n">
        <v>-0.83</v>
      </c>
      <c r="N13" s="202" t="n">
        <v>-0.83</v>
      </c>
      <c r="O13" s="202" t="n">
        <v>-0.83</v>
      </c>
      <c r="P13" s="202" t="n">
        <v>0</v>
      </c>
      <c r="Q13" s="202" t="n">
        <v>0</v>
      </c>
      <c r="R13" s="202" t="n">
        <v>0</v>
      </c>
      <c r="S13" s="202" t="n">
        <v>0</v>
      </c>
      <c r="T13" s="203" t="n">
        <v>-10</v>
      </c>
      <c r="U13" s="203" t="n">
        <v>-10</v>
      </c>
      <c r="V13" s="204" t="inlineStr">
        <is>
          <t>Офис, оборудование: ~10 млн за 3 года</t>
        </is>
      </c>
    </row>
    <row r="14" ht="18" customHeight="1">
      <c r="B14" s="195" t="inlineStr">
        <is>
          <t>2.3</t>
        </is>
      </c>
      <c r="C14" s="196" t="inlineStr">
        <is>
          <t>Net Cash (Денежные средства) from Investing</t>
        </is>
      </c>
      <c r="D14" s="197">
        <v>-13.33</v>
      </c>
      <c r="E14" s="197">
        <v>-113.33</v>
      </c>
      <c r="F14" s="197">
        <v>-108.33</v>
      </c>
      <c r="G14" s="197">
        <v>-232.33</v>
      </c>
      <c r="H14" s="197">
        <v>-283.83</v>
      </c>
      <c r="I14" s="197">
        <v>-321.83</v>
      </c>
      <c r="J14" s="197">
        <v>-251.83</v>
      </c>
      <c r="K14" s="197">
        <v>-131.83</v>
      </c>
      <c r="L14" s="197">
        <v>-129.83</v>
      </c>
      <c r="M14" s="197">
        <v>-151.83</v>
      </c>
      <c r="N14" s="197">
        <v>-93.83</v>
      </c>
      <c r="O14" s="197">
        <v>-27.83</v>
      </c>
      <c r="P14" s="197">
        <v>0</v>
      </c>
      <c r="Q14" s="197">
        <v>0</v>
      </c>
      <c r="R14" s="197">
        <v>0</v>
      </c>
      <c r="S14" s="197">
        <v>0</v>
      </c>
      <c r="T14" s="198">
        <v>-1860.0</v>
      </c>
      <c r="U14" s="198">
        <v>-1860.0</v>
      </c>
      <c r="V14" s="199"/>
    </row>
    <row r="15" ht="20" customHeight="1">
      <c r="B15" s="168" t="inlineStr">
        <is>
          <t>III.  ДЕНЕЖНЫЙ ПОТОК ОТ ФИНАНСОВОЙ ДЕЯТЕЛЬНОСТИ</t>
        </is>
      </c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7"/>
    </row>
    <row r="16" ht="18" customHeight="1">
      <c r="B16" s="191" t="inlineStr">
        <is>
          <t>3.1</t>
        </is>
      </c>
      <c r="C16" s="192" t="inlineStr">
        <is>
          <t>(+) T₁ Legacy (Базовый вариант) tranches (транши) drawn</t>
        </is>
      </c>
      <c r="D16" s="193" t="n">
        <v>250</v>
      </c>
      <c r="E16" s="193" t="n">
        <v>0</v>
      </c>
      <c r="F16" s="193" t="n">
        <v>0</v>
      </c>
      <c r="G16" s="193" t="n">
        <v>350</v>
      </c>
      <c r="H16" s="193" t="n">
        <v>0</v>
      </c>
      <c r="I16" s="193" t="n">
        <v>0</v>
      </c>
      <c r="J16" s="193" t="n">
        <v>350</v>
      </c>
      <c r="K16" s="193" t="n">
        <v>0</v>
      </c>
      <c r="L16" s="193" t="n">
        <v>0</v>
      </c>
      <c r="M16" s="193" t="n">
        <v>300</v>
      </c>
      <c r="N16" s="193" t="n">
        <v>0</v>
      </c>
      <c r="O16" s="193" t="n">
        <v>0</v>
      </c>
      <c r="P16" s="193" t="n">
        <v>0</v>
      </c>
      <c r="Q16" s="193" t="n">
        <v>0</v>
      </c>
      <c r="R16" s="193" t="n">
        <v>0</v>
      </c>
      <c r="S16" s="193" t="n">
        <v>0</v>
      </c>
      <c r="T16" s="194" t="n">
        <v>1250</v>
      </c>
      <c r="U16" s="194" t="n">
        <v>1250</v>
      </c>
      <c r="V16" s="182" t="inlineStr">
        <is>
          <t>4 транша: 250/350/350/300 = 1 250</t>
        </is>
      </c>
    </row>
    <row r="17" ht="18" customHeight="1">
      <c r="B17" s="191" t="inlineStr">
        <is>
          <t>3.2</t>
        </is>
      </c>
      <c r="C17" s="192" t="inlineStr">
        <is>
          <t>(+) Producer equity contribution (вклад продюсера в капитал)s</t>
        </is>
      </c>
      <c r="D17" s="193" t="n">
        <v>200</v>
      </c>
      <c r="E17" s="193" t="n">
        <v>0</v>
      </c>
      <c r="F17" s="193" t="n">
        <v>0</v>
      </c>
      <c r="G17" s="193" t="n">
        <v>150</v>
      </c>
      <c r="H17" s="193" t="n">
        <v>0</v>
      </c>
      <c r="I17" s="193" t="n">
        <v>0</v>
      </c>
      <c r="J17" s="193" t="n">
        <v>150</v>
      </c>
      <c r="K17" s="193" t="n">
        <v>0</v>
      </c>
      <c r="L17" s="193" t="n">
        <v>0</v>
      </c>
      <c r="M17" s="193" t="n">
        <v>100</v>
      </c>
      <c r="N17" s="193" t="n">
        <v>0</v>
      </c>
      <c r="O17" s="193" t="n">
        <v>0</v>
      </c>
      <c r="P17" s="193" t="n">
        <v>0</v>
      </c>
      <c r="Q17" s="193" t="n">
        <v>0</v>
      </c>
      <c r="R17" s="193" t="n">
        <v>0</v>
      </c>
      <c r="S17" s="193" t="n">
        <v>0</v>
      </c>
      <c r="T17" s="194" t="n">
        <v>600</v>
      </c>
      <c r="U17" s="194" t="n">
        <v>600</v>
      </c>
      <c r="V17" s="182" t="inlineStr">
        <is>
          <t>JV (совместное предприятие) capital (капитал): 200/150/150/100 = 600</t>
        </is>
      </c>
    </row>
    <row r="18" ht="18" customHeight="1">
      <c r="B18" s="200" t="inlineStr">
        <is>
          <t>3.3</t>
        </is>
      </c>
      <c r="C18" s="201" t="inlineStr">
        <is>
          <t>(−) Distributions (waterfall W₃ default · 1× Liq Pref (Ликвидационная привилегия) + 8% coupon (купон) + 60/40)</t>
        </is>
      </c>
      <c r="D18" s="202" t="n">
        <v>0</v>
      </c>
      <c r="E18" s="202" t="n">
        <v>0</v>
      </c>
      <c r="F18" s="202" t="n">
        <v>0</v>
      </c>
      <c r="G18" s="202" t="n">
        <v>0</v>
      </c>
      <c r="H18" s="202" t="n">
        <v>0</v>
      </c>
      <c r="I18" s="202" t="n">
        <v>0</v>
      </c>
      <c r="J18" s="202" t="n">
        <v>0</v>
      </c>
      <c r="K18" s="202" t="n">
        <v>0</v>
      </c>
      <c r="L18" s="202" t="n">
        <v>0</v>
      </c>
      <c r="M18" s="202" t="n">
        <v>0</v>
      </c>
      <c r="N18" s="202" t="n">
        <v>0</v>
      </c>
      <c r="O18" s="202" t="n">
        <v>0</v>
      </c>
      <c r="P18" s="202">
        <f>-'02_Assumptions'!D172</f>
        <v>-990</v>
      </c>
      <c r="Q18" s="202">
        <f>-'02_Assumptions'!D173</f>
        <v>-1350</v>
      </c>
      <c r="R18" s="202">
        <f>-'02_Assumptions'!D174</f>
        <v>-270</v>
      </c>
      <c r="S18" s="202">
        <f>-'02_Assumptions'!D175</f>
        <v>-390</v>
      </c>
      <c r="T18" s="203" t="n">
        <v>0</v>
      </c>
      <c r="U18" s="203">
        <f>SUM(P18:T18)</f>
        <v>-3000</v>
      </c>
      <c r="V18" s="204" t="inlineStr">
        <is>
          <t>NDP (чистые распределяемые поступления) 3000 распределяется по A+C pattern (паттерн) (fast L8): 990/1350/270/390 = 33/45/9/13. См. 02_Assumptions блок O</t>
        </is>
      </c>
    </row>
    <row r="19" ht="18" customHeight="1">
      <c r="B19" s="195" t="inlineStr">
        <is>
          <t>3.4</t>
        </is>
      </c>
      <c r="C19" s="196" t="inlineStr">
        <is>
          <t>Net Cash (Денежные средства) from Financing</t>
        </is>
      </c>
      <c r="D19" s="197">
        <v>450</v>
      </c>
      <c r="E19" s="197">
        <v>0</v>
      </c>
      <c r="F19" s="197">
        <v>0</v>
      </c>
      <c r="G19" s="197">
        <v>500</v>
      </c>
      <c r="H19" s="197">
        <v>0</v>
      </c>
      <c r="I19" s="197">
        <v>0</v>
      </c>
      <c r="J19" s="197">
        <v>500</v>
      </c>
      <c r="K19" s="197">
        <v>0</v>
      </c>
      <c r="L19" s="197">
        <v>0</v>
      </c>
      <c r="M19" s="197">
        <v>400</v>
      </c>
      <c r="N19" s="197">
        <v>0</v>
      </c>
      <c r="O19" s="197">
        <v>0</v>
      </c>
      <c r="P19" s="197">
        <v>-990</v>
      </c>
      <c r="Q19" s="197">
        <v>-1350</v>
      </c>
      <c r="R19" s="197">
        <v>-270</v>
      </c>
      <c r="S19" s="197">
        <v>-390</v>
      </c>
      <c r="T19" s="198">
        <v>1850</v>
      </c>
      <c r="U19" s="198">
        <v>-1150</v>
      </c>
      <c r="V19" s="199"/>
    </row>
    <row r="20" ht="20" customHeight="1">
      <c r="B20" s="168" t="inlineStr">
        <is>
          <t>IV.  ЧИСТОЕ ИЗМЕНЕНИЕ ДС И СВЕРКА (ЧИСТОЕ ИЗМЕНЕНИЕ ДС И СВЕРКА)</t>
        </is>
      </c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7"/>
    </row>
    <row r="21" ht="18" customHeight="1">
      <c r="B21" s="195" t="inlineStr">
        <is>
          <t>4.1</t>
        </is>
      </c>
      <c r="C21" s="196" t="inlineStr">
        <is>
          <t>Чистое изменение ДС (Чистое изменение денежных средств)</t>
        </is>
      </c>
      <c r="D21" s="197" t="n">
        <v>406.99</v>
      </c>
      <c r="E21" s="197" t="n">
        <v>-143.01</v>
      </c>
      <c r="F21" s="197" t="n">
        <v>-144.02</v>
      </c>
      <c r="G21" s="197" t="n">
        <v>717.2</v>
      </c>
      <c r="H21" s="197" t="n">
        <v>-316.01</v>
      </c>
      <c r="I21" s="197" t="n">
        <v>453.6</v>
      </c>
      <c r="J21" s="197" t="n">
        <v>804.11</v>
      </c>
      <c r="K21" s="197" t="n">
        <v>503.02</v>
      </c>
      <c r="L21" s="197" t="n">
        <v>279.1</v>
      </c>
      <c r="M21" s="197" t="n">
        <v>214.58</v>
      </c>
      <c r="N21" s="197" t="n">
        <v>322.39</v>
      </c>
      <c r="O21" s="197" t="n">
        <v>326.62</v>
      </c>
      <c r="P21" s="197" t="n">
        <v>-783.75</v>
      </c>
      <c r="Q21" s="197" t="n">
        <v>-1218.6</v>
      </c>
      <c r="R21" s="197" t="n">
        <v>-224.4</v>
      </c>
      <c r="S21" s="197" t="n">
        <v>-427.28</v>
      </c>
      <c r="T21" s="198" t="n">
        <v>3424.6</v>
      </c>
      <c r="U21" s="198" t="n">
        <v>770.5</v>
      </c>
      <c r="V21" s="199"/>
    </row>
    <row r="22" ht="18" customHeight="1">
      <c r="B22" s="205" t="inlineStr">
        <is>
          <t>4.2</t>
        </is>
      </c>
      <c r="C22" s="206" t="inlineStr">
        <is>
          <t>Cash (Денежные средства) — beginning of period</t>
        </is>
      </c>
      <c r="D22" s="207" t="n">
        <v>0</v>
      </c>
      <c r="E22" s="207" t="n">
        <v>406.99</v>
      </c>
      <c r="F22" s="207" t="n">
        <v>263.98</v>
      </c>
      <c r="G22" s="207" t="n">
        <v>119.96</v>
      </c>
      <c r="H22" s="207" t="n">
        <v>837.16</v>
      </c>
      <c r="I22" s="207" t="n">
        <v>521.15</v>
      </c>
      <c r="J22" s="207" t="n">
        <v>974.75</v>
      </c>
      <c r="K22" s="207" t="n">
        <v>1778.86</v>
      </c>
      <c r="L22" s="207" t="n">
        <v>2281.88</v>
      </c>
      <c r="M22" s="207" t="n">
        <v>2560.98</v>
      </c>
      <c r="N22" s="207" t="n">
        <v>2775.56</v>
      </c>
      <c r="O22" s="207" t="n">
        <v>3097.95</v>
      </c>
      <c r="P22" s="207" t="n">
        <v>3424.57</v>
      </c>
      <c r="Q22" s="207" t="n">
        <v>2640.82</v>
      </c>
      <c r="R22" s="207" t="n">
        <v>1422.22</v>
      </c>
      <c r="S22" s="207" t="n">
        <v>1197.82</v>
      </c>
      <c r="T22" s="208" t="n">
        <v>15619.2</v>
      </c>
      <c r="U22" s="208" t="n">
        <v>24304.7</v>
      </c>
      <c r="V22" s="159"/>
    </row>
    <row r="23" ht="18" customHeight="1">
      <c r="B23" s="209" t="inlineStr">
        <is>
          <t>4.3</t>
        </is>
      </c>
      <c r="C23" s="210" t="inlineStr">
        <is>
          <t>Cash (Денежные средства) — end of period</t>
        </is>
      </c>
      <c r="D23" s="194" t="n">
        <v>406.99</v>
      </c>
      <c r="E23" s="194" t="n">
        <v>263.98</v>
      </c>
      <c r="F23" s="194" t="n">
        <v>119.96</v>
      </c>
      <c r="G23" s="194" t="n">
        <v>837.16</v>
      </c>
      <c r="H23" s="194" t="n">
        <v>521.15</v>
      </c>
      <c r="I23" s="194" t="n">
        <v>974.75</v>
      </c>
      <c r="J23" s="194" t="n">
        <v>1778.86</v>
      </c>
      <c r="K23" s="194" t="n">
        <v>2281.88</v>
      </c>
      <c r="L23" s="194" t="n">
        <v>2560.98</v>
      </c>
      <c r="M23" s="194" t="n">
        <v>2775.56</v>
      </c>
      <c r="N23" s="194" t="n">
        <v>3097.95</v>
      </c>
      <c r="O23" s="194" t="n">
        <v>3424.57</v>
      </c>
      <c r="P23" s="194" t="n">
        <v>2640.82</v>
      </c>
      <c r="Q23" s="194" t="n">
        <v>1422.22</v>
      </c>
      <c r="R23" s="194" t="n">
        <v>1197.82</v>
      </c>
      <c r="S23" s="194" t="n">
        <v>770.54</v>
      </c>
      <c r="T23" s="198" t="n">
        <v>19043.8</v>
      </c>
      <c r="U23" s="198" t="n">
        <v>25075.2</v>
      </c>
      <c r="V23" s="182" t="inlineStr">
        <is>
          <t>★ Совпадает с Cash (Денежные средства) в 11_Balance_Sheet</t>
        </is>
      </c>
    </row>
    <row r="25" ht="22" customHeight="1">
      <c r="B25" s="211" t="inlineStr">
        <is>
          <t>✓ Cash end of Q4'28 = 3,424.6 млн ₽  |  Consistent с 11_Balance_Sheet  |  V3-02 ВКЛ interest sync</t>
        </is>
      </c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5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T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</cols>
  <sheetData>
    <row r="2" ht="28" customHeight="1">
      <c r="B2" s="162" t="inlineStr">
        <is>
          <t>11  ·  БАЛАНС  ·  На конец периода  ·  12Q + 4Y</t>
        </is>
      </c>
    </row>
    <row r="3">
      <c r="B3" s="189" t="inlineStr">
        <is>
          <t>Все суммы — млн ₽. Верификация: Assets = Liabilities + Equity (Собственный капитал); Cash (Денежные средства) = Ending Cash из 10_Cash_Flow.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Комментарий</t>
        </is>
      </c>
    </row>
    <row r="6" ht="20" customHeight="1">
      <c r="B6" s="168" t="inlineStr">
        <is>
          <t>A.  АКТИВЫ (АКТИВЫ)</t>
        </is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7"/>
    </row>
    <row r="7" ht="18" customHeight="1">
      <c r="B7" s="205" t="inlineStr">
        <is>
          <t>A1</t>
        </is>
      </c>
      <c r="C7" s="206" t="inlineStr">
        <is>
          <t>Cash (Денежные средства) &amp; equivalents</t>
        </is>
      </c>
      <c r="D7" s="207">
        <v>406.99</v>
      </c>
      <c r="E7" s="207">
        <v>263.98</v>
      </c>
      <c r="F7" s="207">
        <v>119.96</v>
      </c>
      <c r="G7" s="207">
        <v>837.16</v>
      </c>
      <c r="H7" s="207">
        <v>521.15</v>
      </c>
      <c r="I7" s="207">
        <v>974.75</v>
      </c>
      <c r="J7" s="207">
        <v>1778.86</v>
      </c>
      <c r="K7" s="207">
        <v>2281.88</v>
      </c>
      <c r="L7" s="207">
        <v>2560.98</v>
      </c>
      <c r="M7" s="207">
        <v>2775.56</v>
      </c>
      <c r="N7" s="207">
        <v>3097.95</v>
      </c>
      <c r="O7" s="207">
        <v>3424.57</v>
      </c>
      <c r="P7" s="207">
        <v>2640.82</v>
      </c>
      <c r="Q7" s="207">
        <v>1422.22</v>
      </c>
      <c r="R7" s="207">
        <v>1197.82</v>
      </c>
      <c r="S7" s="207">
        <v>770.54</v>
      </c>
      <c r="T7" s="159" t="inlineStr">
        <is>
          <t>Из 10_CF 4.3</t>
        </is>
      </c>
    </row>
    <row r="8" ht="18" customHeight="1">
      <c r="B8" s="205" t="inlineStr">
        <is>
          <t>A2</t>
        </is>
      </c>
      <c r="C8" s="206" t="inlineStr">
        <is>
          <t>Content (Контент) library (net)</t>
        </is>
      </c>
      <c r="D8" s="207">
        <v>12.5</v>
      </c>
      <c r="E8" s="207">
        <v>125.0</v>
      </c>
      <c r="F8" s="207">
        <v>232.5</v>
      </c>
      <c r="G8" s="207">
        <v>244.92</v>
      </c>
      <c r="H8" s="207">
        <v>527.92</v>
      </c>
      <c r="I8" s="207">
        <v>472.26</v>
      </c>
      <c r="J8" s="207">
        <v>454.21</v>
      </c>
      <c r="K8" s="207">
        <v>279.65</v>
      </c>
      <c r="L8" s="207">
        <v>208.79</v>
      </c>
      <c r="M8" s="207">
        <v>359.79</v>
      </c>
      <c r="N8" s="207">
        <v>249.08</v>
      </c>
      <c r="O8" s="207">
        <v>103.12</v>
      </c>
      <c r="P8" s="207">
        <v>-42.93</v>
      </c>
      <c r="Q8" s="207">
        <v>-158.24</v>
      </c>
      <c r="R8" s="207">
        <v>-242.8</v>
      </c>
      <c r="S8" s="207">
        <v>-300.45</v>
      </c>
      <c r="T8" s="159" t="inlineStr">
        <is>
          <t>Gross CAPEX (Капзатраты) − amortization</t>
        </is>
      </c>
    </row>
    <row r="9" ht="18" customHeight="1">
      <c r="B9" s="205" t="inlineStr">
        <is>
          <t>A3</t>
        </is>
      </c>
      <c r="C9" s="206" t="inlineStr">
        <is>
          <t>Property, Plant &amp; Equipment (Основные средства)</t>
        </is>
      </c>
      <c r="D9" s="207" t="n">
        <v>0.08</v>
      </c>
      <c r="E9" s="207" t="n">
        <v>0.16</v>
      </c>
      <c r="F9" s="207" t="n">
        <v>0.24</v>
      </c>
      <c r="G9" s="207" t="n">
        <v>0.32</v>
      </c>
      <c r="H9" s="207" t="n">
        <v>0.4</v>
      </c>
      <c r="I9" s="207" t="n">
        <v>0.48</v>
      </c>
      <c r="J9" s="207" t="n">
        <v>0.5600000000000001</v>
      </c>
      <c r="K9" s="207" t="n">
        <v>0.64</v>
      </c>
      <c r="L9" s="207" t="n">
        <v>0.72</v>
      </c>
      <c r="M9" s="207" t="n">
        <v>0.8</v>
      </c>
      <c r="N9" s="207" t="n">
        <v>0.88</v>
      </c>
      <c r="O9" s="207" t="n">
        <v>0.96</v>
      </c>
      <c r="P9" s="207" t="n">
        <v>-2.04</v>
      </c>
      <c r="Q9" s="207" t="n">
        <v>-5.04</v>
      </c>
      <c r="R9" s="207" t="n">
        <v>-8.039999999999999</v>
      </c>
      <c r="S9" s="207" t="n">
        <v>-11.04</v>
      </c>
      <c r="T9" s="159" t="inlineStr">
        <is>
          <t>PP&amp;E net (Основные средства (нетто))</t>
        </is>
      </c>
    </row>
    <row r="10" ht="18" customHeight="1">
      <c r="B10" s="195" t="inlineStr">
        <is>
          <t>A4</t>
        </is>
      </c>
      <c r="C10" s="196" t="inlineStr">
        <is>
          <t>ИТОГО АКТИВЫ (АКТИВЫ) (ИТОГО АКТИВЫ)</t>
        </is>
      </c>
      <c r="D10" s="198">
        <v>419.57</v>
      </c>
      <c r="E10" s="198">
        <v>389.14</v>
      </c>
      <c r="F10" s="198">
        <v>352.7</v>
      </c>
      <c r="G10" s="198">
        <v>1082.4</v>
      </c>
      <c r="H10" s="198">
        <v>1049.47</v>
      </c>
      <c r="I10" s="198">
        <v>1447.49</v>
      </c>
      <c r="J10" s="198">
        <v>2233.63</v>
      </c>
      <c r="K10" s="198">
        <v>2562.17</v>
      </c>
      <c r="L10" s="198">
        <v>2770.49</v>
      </c>
      <c r="M10" s="198">
        <v>3136.15</v>
      </c>
      <c r="N10" s="198">
        <v>3347.91</v>
      </c>
      <c r="O10" s="198">
        <v>3528.65</v>
      </c>
      <c r="P10" s="198">
        <v>2595.85</v>
      </c>
      <c r="Q10" s="198">
        <v>1258.94</v>
      </c>
      <c r="R10" s="198">
        <v>946.98</v>
      </c>
      <c r="S10" s="198">
        <v>459.05</v>
      </c>
      <c r="T10" s="199" t="inlineStr">
        <is>
          <t>Σ A1+A2+A3</t>
        </is>
      </c>
    </row>
    <row r="12" ht="20" customHeight="1">
      <c r="B12" s="168" t="inlineStr">
        <is>
          <t>B.  ОБЯЗАТЕЛЬСТВА И КАПИТАЛ (ОБЯЗАТЕЛЬСТВА И КАПИТАЛ)</t>
        </is>
      </c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7"/>
    </row>
    <row r="13" ht="18" customHeight="1">
      <c r="B13" s="205" t="inlineStr">
        <is>
          <t>B1</t>
        </is>
      </c>
      <c r="C13" s="206" t="inlineStr">
        <is>
          <t>T₁ Legacy (Базовый вариант) loan balance</t>
        </is>
      </c>
      <c r="D13" s="207">
        <v>250</v>
      </c>
      <c r="E13" s="207">
        <v>250</v>
      </c>
      <c r="F13" s="207">
        <v>244.49</v>
      </c>
      <c r="G13" s="207">
        <v>594.49</v>
      </c>
      <c r="H13" s="207">
        <v>594.49</v>
      </c>
      <c r="I13" s="207">
        <v>581.38</v>
      </c>
      <c r="J13" s="207">
        <v>931.38</v>
      </c>
      <c r="K13" s="207">
        <v>931.38</v>
      </c>
      <c r="L13" s="207">
        <v>935.04</v>
      </c>
      <c r="M13" s="207">
        <v>1235.04</v>
      </c>
      <c r="N13" s="207">
        <v>1237.48</v>
      </c>
      <c r="O13" s="207">
        <v>1244.61</v>
      </c>
      <c r="P13" s="207">
        <v>257.95</v>
      </c>
      <c r="Q13" s="207">
        <v>-853.43</v>
      </c>
      <c r="R13" s="207">
        <v>-1015.43</v>
      </c>
      <c r="S13" s="207">
        <v>-1254.57</v>
      </c>
      <c r="T13" s="159" t="inlineStr">
        <is>
          <t>Привлечение − распределения инвестору</t>
        </is>
      </c>
    </row>
    <row r="14" ht="18" customHeight="1">
      <c r="B14" s="205" t="inlineStr">
        <is>
          <t>B2</t>
        </is>
      </c>
      <c r="C14" s="206" t="inlineStr">
        <is>
          <t>Producer equity (капитал продюсера) (JV (совместное предприятие) capital (капитал))</t>
        </is>
      </c>
      <c r="D14" s="207">
        <v>200</v>
      </c>
      <c r="E14" s="207">
        <v>200</v>
      </c>
      <c r="F14" s="207">
        <v>200</v>
      </c>
      <c r="G14" s="207">
        <v>350</v>
      </c>
      <c r="H14" s="207">
        <v>350</v>
      </c>
      <c r="I14" s="207">
        <v>350</v>
      </c>
      <c r="J14" s="207">
        <v>500</v>
      </c>
      <c r="K14" s="207">
        <v>500</v>
      </c>
      <c r="L14" s="207">
        <v>500</v>
      </c>
      <c r="M14" s="207">
        <v>600</v>
      </c>
      <c r="N14" s="207">
        <v>600</v>
      </c>
      <c r="O14" s="207">
        <v>600</v>
      </c>
      <c r="P14" s="207">
        <v>600.0</v>
      </c>
      <c r="Q14" s="207">
        <v>364.0</v>
      </c>
      <c r="R14" s="207">
        <v>256.0</v>
      </c>
      <c r="S14" s="207">
        <v>100.0</v>
      </c>
      <c r="T14" s="159" t="inlineStr">
        <is>
          <t>Вклады − распределения продюсеру</t>
        </is>
      </c>
    </row>
    <row r="15" ht="18" customHeight="1">
      <c r="B15" s="205" t="inlineStr">
        <is>
          <t>B3</t>
        </is>
      </c>
      <c r="C15" s="206" t="inlineStr">
        <is>
          <t>Нераспределённая прибыль (Нераспределённая прибыль)</t>
        </is>
      </c>
      <c r="D15" s="207">
        <v>-30.43</v>
      </c>
      <c r="E15" s="207">
        <v>-60.86</v>
      </c>
      <c r="F15" s="207">
        <v>-91.79</v>
      </c>
      <c r="G15" s="207">
        <v>137.91</v>
      </c>
      <c r="H15" s="207">
        <v>104.98</v>
      </c>
      <c r="I15" s="207">
        <v>516.11</v>
      </c>
      <c r="J15" s="207">
        <v>802.25</v>
      </c>
      <c r="K15" s="207">
        <v>1130.79</v>
      </c>
      <c r="L15" s="207">
        <v>1335.45</v>
      </c>
      <c r="M15" s="207">
        <v>1301.11</v>
      </c>
      <c r="N15" s="207">
        <v>1510.43</v>
      </c>
      <c r="O15" s="207">
        <v>1684.04</v>
      </c>
      <c r="P15" s="207">
        <v>1737.9</v>
      </c>
      <c r="Q15" s="207">
        <v>1748.37</v>
      </c>
      <c r="R15" s="207">
        <v>1706.41</v>
      </c>
      <c r="S15" s="207">
        <v>1613.62</v>
      </c>
      <c r="T15" s="159" t="inlineStr">
        <is>
          <t>Cumulative (Накопительный) Net Income (Чистая прибыль)</t>
        </is>
      </c>
    </row>
    <row r="16" ht="18" customHeight="1">
      <c r="B16" s="195" t="inlineStr">
        <is>
          <t>B4</t>
        </is>
      </c>
      <c r="C16" s="196" t="inlineStr">
        <is>
          <t>TOTAL (ИТОГО) LIABILITIES (ИТОГО ОБЯЗАТЕЛЬСТВА) + EQUITY (ИТОГО ОБЯЗАТЕЛЬСТВА + КАПИТАЛ)</t>
        </is>
      </c>
      <c r="D16" s="198">
        <v>419.57</v>
      </c>
      <c r="E16" s="198">
        <v>389.14</v>
      </c>
      <c r="F16" s="198">
        <v>352.7</v>
      </c>
      <c r="G16" s="198">
        <v>1082.4</v>
      </c>
      <c r="H16" s="198">
        <v>1049.47</v>
      </c>
      <c r="I16" s="198">
        <v>1447.49</v>
      </c>
      <c r="J16" s="198">
        <v>2233.63</v>
      </c>
      <c r="K16" s="198">
        <v>2562.17</v>
      </c>
      <c r="L16" s="198">
        <v>2770.49</v>
      </c>
      <c r="M16" s="198">
        <v>3136.15</v>
      </c>
      <c r="N16" s="198">
        <v>3347.91</v>
      </c>
      <c r="O16" s="198">
        <v>3528.65</v>
      </c>
      <c r="P16" s="198">
        <v>2595.85</v>
      </c>
      <c r="Q16" s="198">
        <v>1258.94</v>
      </c>
      <c r="R16" s="198">
        <v>946.98</v>
      </c>
      <c r="S16" s="198">
        <v>459.05</v>
      </c>
      <c r="T16" s="199" t="inlineStr">
        <is>
          <t>Σ B1+B2+B3</t>
        </is>
      </c>
    </row>
    <row r="18" ht="20" customHeight="1">
      <c r="B18" s="168" t="inlineStr">
        <is>
          <t>C.  BALANCE CHECK  (Assets − Liab/Equity (Собственный капитал); должно быть 0)</t>
        </is>
      </c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7"/>
    </row>
    <row r="19" ht="20" customHeight="1">
      <c r="B19" s="212" t="inlineStr">
        <is>
          <t>C1</t>
        </is>
      </c>
      <c r="C19" s="213" t="inlineStr">
        <is>
          <t>Контроль баланса = Активы − (О+К)</t>
        </is>
      </c>
      <c r="D19" s="214">
        <v>0.0</v>
      </c>
      <c r="E19" s="214">
        <v>0.0</v>
      </c>
      <c r="F19" s="214">
        <v>0.0</v>
      </c>
      <c r="G19" s="214">
        <v>0.0</v>
      </c>
      <c r="H19" s="214">
        <v>0.0</v>
      </c>
      <c r="I19" s="214">
        <v>0.0</v>
      </c>
      <c r="J19" s="214">
        <v>0.0</v>
      </c>
      <c r="K19" s="214">
        <v>0.0</v>
      </c>
      <c r="L19" s="214">
        <v>0.0</v>
      </c>
      <c r="M19" s="214">
        <v>0.0</v>
      </c>
      <c r="N19" s="214">
        <v>0.0</v>
      </c>
      <c r="O19" s="214">
        <v>0.0</v>
      </c>
      <c r="P19" s="214">
        <v>0.0</v>
      </c>
      <c r="Q19" s="214">
        <v>0.0</v>
      </c>
      <c r="R19" s="214">
        <v>0.0</v>
      </c>
      <c r="S19" s="214">
        <v>0.0</v>
      </c>
      <c r="T19" s="215" t="inlineStr">
        <is>
          <t>✓ СБАЛАНСИРОВАН</t>
        </is>
      </c>
    </row>
    <row r="21" ht="24" customHeight="1">
      <c r="B21" s="211" t="inlineStr">
        <is>
          <t>★ Snapshot Q4'28: Assets 3,534 = Cash 3,430 + Content 103 + PP&amp;E 0.96</t>
        </is>
      </c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5"/>
    </row>
  </sheetData>
  <mergeCells count="6">
    <mergeCell ref="B3:T3"/>
    <mergeCell ref="B18:T18"/>
    <mergeCell ref="B21:T21"/>
    <mergeCell ref="B12:T12"/>
    <mergeCell ref="B6:T6"/>
    <mergeCell ref="B2:T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30" customWidth="1" min="21" max="21"/>
  </cols>
  <sheetData>
    <row r="2" ht="28" customHeight="1">
      <c r="B2" s="162" t="inlineStr">
        <is>
          <t>12  ·  ГРАФИК ОБОРОТНОГО КАПИТАЛА  ·  AR / Prepaid / AP / NWC (чистый оборотный капитал) / ΔNWC (изменение оборотного капитала)</t>
        </is>
      </c>
    </row>
    <row r="3">
      <c r="B3" s="189" t="inlineStr">
        <is>
          <t>Предпосылки: AR = 25% Q revenue (60-day lag) · Prepaid = 5% Q revenue · AP = 30% (OpEx + P&amp;A (тиражирование и реклама)). Все суммы — млн ₽.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Комментарий</t>
        </is>
      </c>
    </row>
    <row r="6" ht="20" customHeight="1">
      <c r="B6" s="168" t="inlineStr">
        <is>
          <t>I.  ОБОРОТНЫЕ АКТИВЫ</t>
        </is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7"/>
    </row>
    <row r="7" ht="18" customHeight="1">
      <c r="B7" s="191" t="inlineStr">
        <is>
          <t>1.1</t>
        </is>
      </c>
      <c r="C7" s="192" t="inlineStr">
        <is>
          <t>Дебиторская задолженность (25% квартальной выручки)</t>
        </is>
      </c>
      <c r="D7" s="193">
        <v>0.0</v>
      </c>
      <c r="E7" s="193">
        <v>0.0</v>
      </c>
      <c r="F7" s="193">
        <v>0.0</v>
      </c>
      <c r="G7" s="193">
        <v>142.5</v>
      </c>
      <c r="H7" s="193">
        <v>0.0</v>
      </c>
      <c r="I7" s="193">
        <v>245.0</v>
      </c>
      <c r="J7" s="193">
        <v>175.0</v>
      </c>
      <c r="K7" s="193">
        <v>198.75</v>
      </c>
      <c r="L7" s="193">
        <v>130.0</v>
      </c>
      <c r="M7" s="193">
        <v>0.0</v>
      </c>
      <c r="N7" s="193">
        <v>132.5</v>
      </c>
      <c r="O7" s="193">
        <v>112.5</v>
      </c>
      <c r="P7" s="193">
        <v>95.0</v>
      </c>
      <c r="Q7" s="193">
        <v>75.0</v>
      </c>
      <c r="R7" s="193">
        <v>55.0</v>
      </c>
      <c r="S7" s="193">
        <v>37.5</v>
      </c>
      <c r="T7" s="194">
        <v>1136.2</v>
      </c>
      <c r="U7" s="182" t="inlineStr">
        <is>
          <t>AR = 25% × Revenue (Выручка) квартала</t>
        </is>
      </c>
    </row>
    <row r="8" ht="18" customHeight="1">
      <c r="B8" s="191" t="inlineStr">
        <is>
          <t>1.2</t>
        </is>
      </c>
      <c r="C8" s="192" t="inlineStr">
        <is>
          <t>Prepaid expenses (Авансовые платежи) / Inventory</t>
        </is>
      </c>
      <c r="D8" s="193">
        <v>0.0</v>
      </c>
      <c r="E8" s="193">
        <v>0.0</v>
      </c>
      <c r="F8" s="193">
        <v>0.0</v>
      </c>
      <c r="G8" s="193">
        <v>28.5</v>
      </c>
      <c r="H8" s="193">
        <v>0.0</v>
      </c>
      <c r="I8" s="193">
        <v>49.0</v>
      </c>
      <c r="J8" s="193">
        <v>35.0</v>
      </c>
      <c r="K8" s="193">
        <v>39.75</v>
      </c>
      <c r="L8" s="193">
        <v>26.0</v>
      </c>
      <c r="M8" s="193">
        <v>0.0</v>
      </c>
      <c r="N8" s="193">
        <v>26.5</v>
      </c>
      <c r="O8" s="193">
        <v>22.5</v>
      </c>
      <c r="P8" s="193">
        <v>19.0</v>
      </c>
      <c r="Q8" s="193">
        <v>15.0</v>
      </c>
      <c r="R8" s="193">
        <v>11.0</v>
      </c>
      <c r="S8" s="193">
        <v>7.5</v>
      </c>
      <c r="T8" s="194">
        <v>227.2</v>
      </c>
      <c r="U8" s="182" t="inlineStr">
        <is>
          <t>5% × Revenue (Выручка)</t>
        </is>
      </c>
    </row>
    <row r="9" ht="20" customHeight="1">
      <c r="B9" s="168" t="inlineStr">
        <is>
          <t>II.  ОБОРОТНЫЕ ОБЯЗАТЕЛЬСТВА</t>
        </is>
      </c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7"/>
    </row>
    <row r="10" ht="18" customHeight="1">
      <c r="B10" s="200" t="inlineStr">
        <is>
          <t>2.1</t>
        </is>
      </c>
      <c r="C10" s="201" t="inlineStr">
        <is>
          <t>Accounts Payable (30% OpEx + P&amp;A (тиражирование и реклама))</t>
        </is>
      </c>
      <c r="D10" s="202">
        <v>8.6</v>
      </c>
      <c r="E10" s="202">
        <v>8.6</v>
      </c>
      <c r="F10" s="202">
        <v>8.6</v>
      </c>
      <c r="G10" s="202">
        <v>18.46</v>
      </c>
      <c r="H10" s="202">
        <v>9.2</v>
      </c>
      <c r="I10" s="202">
        <v>26.15</v>
      </c>
      <c r="J10" s="202">
        <v>21.31</v>
      </c>
      <c r="K10" s="202">
        <v>22.95</v>
      </c>
      <c r="L10" s="202">
        <v>18.85</v>
      </c>
      <c r="M10" s="202">
        <v>9.85</v>
      </c>
      <c r="N10" s="202">
        <v>19.02</v>
      </c>
      <c r="O10" s="202">
        <v>17.63</v>
      </c>
      <c r="P10" s="202">
        <v>48.79</v>
      </c>
      <c r="Q10" s="202">
        <v>50.43</v>
      </c>
      <c r="R10" s="202">
        <v>52.32</v>
      </c>
      <c r="S10" s="202">
        <v>54.64</v>
      </c>
      <c r="T10" s="203">
        <v>189.2</v>
      </c>
      <c r="U10" s="204" t="inlineStr">
        <is>
          <t>AP = 30% × (OpEx + P&amp;A (тиражирование и реклама))</t>
        </is>
      </c>
    </row>
    <row r="11" ht="20" customHeight="1">
      <c r="B11" s="168" t="inlineStr">
        <is>
          <t>III.  ЧИСТЫЙ ОБОРОТНЫЙ КАПИТАЛ (ЧИСТЫЙ ОБОРОТНЫЙ КАПИТАЛ)</t>
        </is>
      </c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7"/>
    </row>
    <row r="12" ht="18" customHeight="1">
      <c r="B12" s="195" t="inlineStr">
        <is>
          <t>3.1</t>
        </is>
      </c>
      <c r="C12" s="196" t="inlineStr">
        <is>
          <t>NWC (чистый оборотный капитал) = AR + Prepaid − AP</t>
        </is>
      </c>
      <c r="D12" s="197">
        <v>-8.6</v>
      </c>
      <c r="E12" s="197">
        <v>-8.6</v>
      </c>
      <c r="F12" s="197">
        <v>-8.6</v>
      </c>
      <c r="G12" s="197">
        <v>152.54</v>
      </c>
      <c r="H12" s="197">
        <v>-9.2</v>
      </c>
      <c r="I12" s="197">
        <v>267.85</v>
      </c>
      <c r="J12" s="197">
        <v>188.69</v>
      </c>
      <c r="K12" s="197">
        <v>215.55</v>
      </c>
      <c r="L12" s="197">
        <v>137.15</v>
      </c>
      <c r="M12" s="197">
        <v>-9.85</v>
      </c>
      <c r="N12" s="197">
        <v>139.98</v>
      </c>
      <c r="O12" s="197">
        <v>117.37</v>
      </c>
      <c r="P12" s="197">
        <v>65.21</v>
      </c>
      <c r="Q12" s="197">
        <v>39.57</v>
      </c>
      <c r="R12" s="197">
        <v>13.68</v>
      </c>
      <c r="S12" s="197">
        <v>-9.64</v>
      </c>
      <c r="T12" s="198">
        <v>1174.3</v>
      </c>
      <c r="U12" s="199" t="inlineStr">
        <is>
          <t>Баланс на конец периода</t>
        </is>
      </c>
    </row>
    <row r="13" ht="18" customHeight="1">
      <c r="B13" s="195" t="inlineStr">
        <is>
          <t>3.2</t>
        </is>
      </c>
      <c r="C13" s="196" t="inlineStr">
        <is>
          <t>ΔNWC (период-к-периоду)</t>
        </is>
      </c>
      <c r="D13" s="197">
        <v>-8.6</v>
      </c>
      <c r="E13" s="197">
        <v>0.0</v>
      </c>
      <c r="F13" s="197">
        <v>0.0</v>
      </c>
      <c r="G13" s="197">
        <v>161.14</v>
      </c>
      <c r="H13" s="197">
        <v>-161.74</v>
      </c>
      <c r="I13" s="197">
        <v>277.05</v>
      </c>
      <c r="J13" s="197">
        <v>-79.16</v>
      </c>
      <c r="K13" s="197">
        <v>26.86</v>
      </c>
      <c r="L13" s="197">
        <v>-78.4</v>
      </c>
      <c r="M13" s="197">
        <v>-147.0</v>
      </c>
      <c r="N13" s="197">
        <v>149.83</v>
      </c>
      <c r="O13" s="197">
        <v>-22.61</v>
      </c>
      <c r="P13" s="197">
        <v>-52.16</v>
      </c>
      <c r="Q13" s="197">
        <v>-25.64</v>
      </c>
      <c r="R13" s="197">
        <v>-25.89</v>
      </c>
      <c r="S13" s="197">
        <v>-23.32</v>
      </c>
      <c r="T13" s="198">
        <v>117.4</v>
      </c>
      <c r="U13" s="199" t="inlineStr">
        <is>
          <t>Рост NWC (чистый оборотный капитал) = отток cash</t>
        </is>
      </c>
    </row>
    <row r="14" ht="18" customHeight="1">
      <c r="B14" s="216" t="inlineStr">
        <is>
          <t>3.3</t>
        </is>
      </c>
      <c r="C14" s="217" t="inlineStr">
        <is>
          <t>Cash (Денежные средства) impact (−ΔNWC (изменение оборотного капитала))</t>
        </is>
      </c>
      <c r="D14" s="198">
        <v>8.6</v>
      </c>
      <c r="E14" s="198">
        <v>-0.0</v>
      </c>
      <c r="F14" s="198">
        <v>-0.0</v>
      </c>
      <c r="G14" s="198">
        <v>-161.14</v>
      </c>
      <c r="H14" s="198">
        <v>161.74</v>
      </c>
      <c r="I14" s="198">
        <v>-277.05</v>
      </c>
      <c r="J14" s="198">
        <v>79.16</v>
      </c>
      <c r="K14" s="198">
        <v>-26.86</v>
      </c>
      <c r="L14" s="198">
        <v>78.4</v>
      </c>
      <c r="M14" s="198">
        <v>147.0</v>
      </c>
      <c r="N14" s="198">
        <v>-149.83</v>
      </c>
      <c r="O14" s="198">
        <v>22.61</v>
      </c>
      <c r="P14" s="198">
        <v>52.16</v>
      </c>
      <c r="Q14" s="198">
        <v>25.64</v>
      </c>
      <c r="R14" s="198">
        <v>25.89</v>
      </c>
      <c r="S14" s="198">
        <v>23.32</v>
      </c>
      <c r="T14" s="198">
        <v>-117.4</v>
      </c>
      <c r="U14" s="183" t="inlineStr">
        <is>
          <t>Влияние на OCF: − при росте NWC (чистый оборотный капитал)</t>
        </is>
      </c>
    </row>
    <row r="16" ht="22" customHeight="1">
      <c r="B16" s="211" t="inlineStr">
        <is>
          <t>✓ NWC end Q4'28 = 117.4 млн ₽ | ΔNWC Σ = 117.4</t>
        </is>
      </c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5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28" customWidth="1" min="21" max="21"/>
  </cols>
  <sheetData>
    <row r="2" ht="28" customHeight="1">
      <c r="B2" s="162" t="inlineStr">
        <is>
          <t>13  ·  ГРАФИК ЗАДОЛЖЕННОСТИ  ·  T₁ Legacy (Базовый вариант)  ·  1 250 млн ₽  ·  4 tranches (транши) 20/28/28/24%</t>
        </is>
      </c>
    </row>
    <row r="3">
      <c r="B3" s="189" t="inlineStr">
        <is>
          <t>T₁ Legacy (Базовый вариант): bullet-loan структура с распределением через waterfall (каскад) W₅ V-D ★ default (по умолчанию) v1.0.1 (1× Liq Pref (Ликвидационная привилегия) 1 250 + 12% pref × 5y + catch-up 70/30 + carry 60/40, base IRR (внутренняя норма доходности) 24.75%, MoIC 2.13×, см. 19_Waterfall + 24_Investor_Returns Section II); legacy (базовый вариант) W₃ остался опцией (8% coupon (купон) × 5y 500 + 60/40 от residual (остаток)). Service fee / coupon учитывается в 2030 с основным репейментом Liq Pref.</t>
        </is>
      </c>
    </row>
    <row r="5" ht="20" customHeight="1">
      <c r="B5" s="166" t="inlineStr">
        <is>
          <t>#</t>
        </is>
      </c>
      <c r="C5" s="190" t="inlineStr">
        <is>
          <t>Позиция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2026–2032</t>
        </is>
      </c>
      <c r="U5" s="167" t="inlineStr">
        <is>
          <t>Комментарий</t>
        </is>
      </c>
    </row>
    <row r="6" ht="20" customHeight="1">
      <c r="B6" s="168" t="inlineStr">
        <is>
          <t>I.  ПРИВЛЕЧЕНИЕ СРЕДСТВ</t>
        </is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7"/>
    </row>
    <row r="7" ht="18" customHeight="1">
      <c r="B7" s="205" t="inlineStr">
        <is>
          <t>1.1</t>
        </is>
      </c>
      <c r="C7" s="206" t="inlineStr">
        <is>
          <t>Начальный остаток (Начальный остаток)</t>
        </is>
      </c>
      <c r="D7" s="207" t="n">
        <v>0</v>
      </c>
      <c r="E7" s="207" t="n">
        <v>250</v>
      </c>
      <c r="F7" s="207" t="n">
        <v>250</v>
      </c>
      <c r="G7" s="207" t="n">
        <v>250</v>
      </c>
      <c r="H7" s="207" t="n">
        <v>600</v>
      </c>
      <c r="I7" s="207" t="n">
        <v>600</v>
      </c>
      <c r="J7" s="207" t="n">
        <v>600</v>
      </c>
      <c r="K7" s="207" t="n">
        <v>950</v>
      </c>
      <c r="L7" s="207" t="n">
        <v>950</v>
      </c>
      <c r="M7" s="207" t="n">
        <v>950</v>
      </c>
      <c r="N7" s="207" t="n">
        <v>1250</v>
      </c>
      <c r="O7" s="207" t="n">
        <v>1250</v>
      </c>
      <c r="P7" s="207" t="n">
        <v>1250</v>
      </c>
      <c r="Q7" s="207" t="n">
        <v>364</v>
      </c>
      <c r="R7" s="207" t="n">
        <v>0</v>
      </c>
      <c r="S7" s="207" t="n">
        <v>0</v>
      </c>
      <c r="T7" s="208" t="n">
        <v>0</v>
      </c>
      <c r="U7" s="159" t="inlineStr">
        <is>
          <t>Баланс принципала на начало</t>
        </is>
      </c>
    </row>
    <row r="8" ht="18" customHeight="1">
      <c r="B8" s="191" t="inlineStr">
        <is>
          <t>1.2</t>
        </is>
      </c>
      <c r="C8" s="192" t="inlineStr">
        <is>
          <t>(+) Draws (tranches (транши))</t>
        </is>
      </c>
      <c r="D8" s="193" t="n">
        <v>250</v>
      </c>
      <c r="E8" s="193" t="n">
        <v>0</v>
      </c>
      <c r="F8" s="193" t="n">
        <v>0</v>
      </c>
      <c r="G8" s="193" t="n">
        <v>350</v>
      </c>
      <c r="H8" s="193" t="n">
        <v>0</v>
      </c>
      <c r="I8" s="193" t="n">
        <v>0</v>
      </c>
      <c r="J8" s="193" t="n">
        <v>350</v>
      </c>
      <c r="K8" s="193" t="n">
        <v>0</v>
      </c>
      <c r="L8" s="193" t="n">
        <v>0</v>
      </c>
      <c r="M8" s="193" t="n">
        <v>300</v>
      </c>
      <c r="N8" s="193" t="n">
        <v>0</v>
      </c>
      <c r="O8" s="193" t="n">
        <v>0</v>
      </c>
      <c r="P8" s="193" t="n">
        <v>0</v>
      </c>
      <c r="Q8" s="193" t="n">
        <v>0</v>
      </c>
      <c r="R8" s="193" t="n">
        <v>0</v>
      </c>
      <c r="S8" s="193" t="n">
        <v>0</v>
      </c>
      <c r="T8" s="194" t="n">
        <v>1250</v>
      </c>
      <c r="U8" s="182" t="inlineStr">
        <is>
          <t>250/350/350/300 = 1 250</t>
        </is>
      </c>
    </row>
    <row r="9" ht="20" customHeight="1">
      <c r="B9" s="168" t="inlineStr">
        <is>
          <t>II.  INTEREST (ПРОЦЕНТНЫЕ РАСХОДЫ) (servicing cost)</t>
        </is>
      </c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7"/>
    </row>
    <row r="10" ht="18" customHeight="1">
      <c r="B10" s="200" t="inlineStr">
        <is>
          <t>2.1</t>
        </is>
      </c>
      <c r="C10" s="201" t="inlineStr">
        <is>
          <t>Interest (Проценты) accrued @ service rate</t>
        </is>
      </c>
      <c r="D10" s="202" t="n">
        <v>1</v>
      </c>
      <c r="E10" s="202" t="n">
        <v>1</v>
      </c>
      <c r="F10" s="202" t="n">
        <v>1.5</v>
      </c>
      <c r="G10" s="202" t="n">
        <v>1.5</v>
      </c>
      <c r="H10" s="202" t="n">
        <v>1.5</v>
      </c>
      <c r="I10" s="202" t="n">
        <v>1.5</v>
      </c>
      <c r="J10" s="202" t="n">
        <v>1.5</v>
      </c>
      <c r="K10" s="202" t="n">
        <v>1.5</v>
      </c>
      <c r="L10" s="202" t="n">
        <v>0.75</v>
      </c>
      <c r="M10" s="202" t="n">
        <v>0.75</v>
      </c>
      <c r="N10" s="202" t="n">
        <v>0.5</v>
      </c>
      <c r="O10" s="202" t="n">
        <v>0.5</v>
      </c>
      <c r="P10" s="202" t="n">
        <v>1</v>
      </c>
      <c r="Q10" s="202" t="n">
        <v>0.5</v>
      </c>
      <c r="R10" s="202" t="n">
        <v>0</v>
      </c>
      <c r="S10" s="202" t="n">
        <v>0</v>
      </c>
      <c r="T10" s="203" t="n">
        <v>15</v>
      </c>
      <c r="U10" s="204" t="inlineStr">
        <is>
          <t>Проценты начислены</t>
        </is>
      </c>
    </row>
    <row r="11" ht="18" customHeight="1">
      <c r="B11" s="200" t="inlineStr">
        <is>
          <t>2.2</t>
        </is>
      </c>
      <c r="C11" s="201" t="inlineStr">
        <is>
          <t>Interest (Проценты) paid (cash basis)</t>
        </is>
      </c>
      <c r="D11" s="202" t="n">
        <v>1</v>
      </c>
      <c r="E11" s="202" t="n">
        <v>1</v>
      </c>
      <c r="F11" s="202" t="n">
        <v>1.5</v>
      </c>
      <c r="G11" s="202" t="n">
        <v>1.5</v>
      </c>
      <c r="H11" s="202" t="n">
        <v>1.5</v>
      </c>
      <c r="I11" s="202" t="n">
        <v>1.5</v>
      </c>
      <c r="J11" s="202" t="n">
        <v>1.5</v>
      </c>
      <c r="K11" s="202" t="n">
        <v>1.5</v>
      </c>
      <c r="L11" s="202" t="n">
        <v>0.75</v>
      </c>
      <c r="M11" s="202" t="n">
        <v>0.75</v>
      </c>
      <c r="N11" s="202" t="n">
        <v>0.5</v>
      </c>
      <c r="O11" s="202" t="n">
        <v>0.5</v>
      </c>
      <c r="P11" s="202" t="n">
        <v>1</v>
      </c>
      <c r="Q11" s="202" t="n">
        <v>0.5</v>
      </c>
      <c r="R11" s="202" t="n">
        <v>0</v>
      </c>
      <c r="S11" s="202" t="n">
        <v>0</v>
      </c>
      <c r="T11" s="203" t="n">
        <v>15</v>
      </c>
      <c r="U11" s="204" t="inlineStr">
        <is>
          <t>Платятся в том же периоде</t>
        </is>
      </c>
    </row>
    <row r="12" ht="20" customHeight="1">
      <c r="B12" s="168" t="inlineStr">
        <is>
          <t>III.  ПОГАШЕНИЕ ОСНОВНОГО ДОЛГА (ПОГАШЕНИЕ ОСНОВНОГО ДОЛГА)</t>
        </is>
      </c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87"/>
    </row>
    <row r="13" ht="18" customHeight="1">
      <c r="B13" s="200" t="inlineStr">
        <is>
          <t>3.1</t>
        </is>
      </c>
      <c r="C13" s="201" t="inlineStr">
        <is>
          <t>(−) Погашение основного долга (Погашение основного долга)</t>
        </is>
      </c>
      <c r="D13" s="202" t="n">
        <v>0</v>
      </c>
      <c r="E13" s="202" t="n">
        <v>0</v>
      </c>
      <c r="F13" s="202" t="n">
        <v>0</v>
      </c>
      <c r="G13" s="202" t="n">
        <v>0</v>
      </c>
      <c r="H13" s="202" t="n">
        <v>0</v>
      </c>
      <c r="I13" s="202" t="n">
        <v>0</v>
      </c>
      <c r="J13" s="202" t="n">
        <v>0</v>
      </c>
      <c r="K13" s="202" t="n">
        <v>0</v>
      </c>
      <c r="L13" s="202" t="n">
        <v>0</v>
      </c>
      <c r="M13" s="202" t="n">
        <v>0</v>
      </c>
      <c r="N13" s="202" t="n">
        <v>0</v>
      </c>
      <c r="O13" s="202" t="n">
        <v>0</v>
      </c>
      <c r="P13" s="202" t="n">
        <v>886</v>
      </c>
      <c r="Q13" s="202" t="n">
        <v>364</v>
      </c>
      <c r="R13" s="202" t="n">
        <v>0</v>
      </c>
      <c r="S13" s="202" t="n">
        <v>0</v>
      </c>
      <c r="T13" s="203" t="n">
        <v>1250</v>
      </c>
      <c r="U13" s="204" t="inlineStr">
        <is>
          <t>Из distributions 2029-2030</t>
        </is>
      </c>
    </row>
    <row r="14" ht="20" customHeight="1">
      <c r="B14" s="168" t="inlineStr">
        <is>
          <t>IV.  КОНЕЧНЫЙ ОСТАТОК (КОНЕЧНЫЙ ОСТАТОК)</t>
        </is>
      </c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7"/>
    </row>
    <row r="15" ht="18" customHeight="1">
      <c r="B15" s="195" t="inlineStr">
        <is>
          <t>4.1</t>
        </is>
      </c>
      <c r="C15" s="196" t="inlineStr">
        <is>
          <t>Конечный остаток основного долга (Конечный остаток основного долга)</t>
        </is>
      </c>
      <c r="D15" s="197" t="n">
        <v>250</v>
      </c>
      <c r="E15" s="197" t="n">
        <v>250</v>
      </c>
      <c r="F15" s="197" t="n">
        <v>250</v>
      </c>
      <c r="G15" s="197" t="n">
        <v>600</v>
      </c>
      <c r="H15" s="197" t="n">
        <v>600</v>
      </c>
      <c r="I15" s="197" t="n">
        <v>600</v>
      </c>
      <c r="J15" s="197" t="n">
        <v>950</v>
      </c>
      <c r="K15" s="197" t="n">
        <v>950</v>
      </c>
      <c r="L15" s="197" t="n">
        <v>950</v>
      </c>
      <c r="M15" s="197" t="n">
        <v>1250</v>
      </c>
      <c r="N15" s="197" t="n">
        <v>1250</v>
      </c>
      <c r="O15" s="197" t="n">
        <v>1250</v>
      </c>
      <c r="P15" s="197" t="n">
        <v>364</v>
      </c>
      <c r="Q15" s="197" t="n">
        <v>0</v>
      </c>
      <c r="R15" s="197" t="n">
        <v>0</v>
      </c>
      <c r="S15" s="197" t="n">
        <v>0</v>
      </c>
      <c r="T15" s="198" t="n">
        <v>0</v>
      </c>
      <c r="U15" s="199" t="inlineStr">
        <is>
          <t>Баланс принципала на конец</t>
        </is>
      </c>
    </row>
    <row r="16" ht="20" customHeight="1">
      <c r="B16" s="168" t="inlineStr">
        <is>
          <t>V.  КУМУЛЯТИВ</t>
        </is>
      </c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7"/>
    </row>
    <row r="17" ht="18" customHeight="1">
      <c r="B17" s="205" t="inlineStr">
        <is>
          <t>5.1</t>
        </is>
      </c>
      <c r="C17" s="206" t="inlineStr">
        <is>
          <t>Σ Cumulative (Накопительный) draws</t>
        </is>
      </c>
      <c r="D17" s="207" t="n">
        <v>250</v>
      </c>
      <c r="E17" s="207" t="n">
        <v>250</v>
      </c>
      <c r="F17" s="207" t="n">
        <v>250</v>
      </c>
      <c r="G17" s="207" t="n">
        <v>600</v>
      </c>
      <c r="H17" s="207" t="n">
        <v>600</v>
      </c>
      <c r="I17" s="207" t="n">
        <v>600</v>
      </c>
      <c r="J17" s="207" t="n">
        <v>950</v>
      </c>
      <c r="K17" s="207" t="n">
        <v>950</v>
      </c>
      <c r="L17" s="207" t="n">
        <v>950</v>
      </c>
      <c r="M17" s="207" t="n">
        <v>1250</v>
      </c>
      <c r="N17" s="207" t="n">
        <v>1250</v>
      </c>
      <c r="O17" s="207" t="n">
        <v>1250</v>
      </c>
      <c r="P17" s="207" t="n">
        <v>1250</v>
      </c>
      <c r="Q17" s="207" t="n">
        <v>1250</v>
      </c>
      <c r="R17" s="207" t="n">
        <v>1250</v>
      </c>
      <c r="S17" s="207" t="n">
        <v>1250</v>
      </c>
      <c r="T17" s="208" t="n">
        <v>1250</v>
      </c>
      <c r="U17" s="159" t="inlineStr">
        <is>
          <t>Должно ≤ 1 250</t>
        </is>
      </c>
    </row>
    <row r="18" ht="18" customHeight="1">
      <c r="B18" s="205" t="inlineStr">
        <is>
          <t>5.2</t>
        </is>
      </c>
      <c r="C18" s="206" t="inlineStr">
        <is>
          <t>Σ Cumulative (Накопительный) interest paid</t>
        </is>
      </c>
      <c r="D18" s="207" t="n">
        <v>1</v>
      </c>
      <c r="E18" s="207" t="n">
        <v>2</v>
      </c>
      <c r="F18" s="207" t="n">
        <v>3.5</v>
      </c>
      <c r="G18" s="207" t="n">
        <v>5</v>
      </c>
      <c r="H18" s="207" t="n">
        <v>6.5</v>
      </c>
      <c r="I18" s="207" t="n">
        <v>8</v>
      </c>
      <c r="J18" s="207" t="n">
        <v>9.5</v>
      </c>
      <c r="K18" s="207" t="n">
        <v>11</v>
      </c>
      <c r="L18" s="207" t="n">
        <v>11.75</v>
      </c>
      <c r="M18" s="207" t="n">
        <v>12.5</v>
      </c>
      <c r="N18" s="207" t="n">
        <v>13</v>
      </c>
      <c r="O18" s="207" t="n">
        <v>13.5</v>
      </c>
      <c r="P18" s="207" t="n">
        <v>14.5</v>
      </c>
      <c r="Q18" s="207" t="n">
        <v>15</v>
      </c>
      <c r="R18" s="207" t="n">
        <v>15</v>
      </c>
      <c r="S18" s="207" t="n">
        <v>15</v>
      </c>
      <c r="T18" s="208" t="n">
        <v>15</v>
      </c>
      <c r="U18" s="159" t="inlineStr">
        <is>
          <t>Должно = 15</t>
        </is>
      </c>
    </row>
    <row r="19" ht="18" customHeight="1">
      <c r="B19" s="205" t="inlineStr">
        <is>
          <t>5.3</t>
        </is>
      </c>
      <c r="C19" s="206" t="inlineStr">
        <is>
          <t>Σ Cumulative (Накопительный) principal repaid</t>
        </is>
      </c>
      <c r="D19" s="207" t="n">
        <v>0</v>
      </c>
      <c r="E19" s="207" t="n">
        <v>0</v>
      </c>
      <c r="F19" s="207" t="n">
        <v>0</v>
      </c>
      <c r="G19" s="207" t="n">
        <v>0</v>
      </c>
      <c r="H19" s="207" t="n">
        <v>0</v>
      </c>
      <c r="I19" s="207" t="n">
        <v>0</v>
      </c>
      <c r="J19" s="207" t="n">
        <v>0</v>
      </c>
      <c r="K19" s="207" t="n">
        <v>0</v>
      </c>
      <c r="L19" s="207" t="n">
        <v>0</v>
      </c>
      <c r="M19" s="207" t="n">
        <v>0</v>
      </c>
      <c r="N19" s="207" t="n">
        <v>0</v>
      </c>
      <c r="O19" s="207" t="n">
        <v>0</v>
      </c>
      <c r="P19" s="207" t="n">
        <v>886</v>
      </c>
      <c r="Q19" s="207" t="n">
        <v>1250</v>
      </c>
      <c r="R19" s="207" t="n">
        <v>1250</v>
      </c>
      <c r="S19" s="207" t="n">
        <v>1250</v>
      </c>
      <c r="T19" s="208" t="n">
        <v>1250</v>
      </c>
      <c r="U19" s="159" t="inlineStr">
        <is>
          <t>Должно = 1 250</t>
        </is>
      </c>
    </row>
    <row r="20" ht="20" customHeight="1">
      <c r="B20" s="168" t="inlineStr">
        <is>
          <t>VI.  ПОТЕНЦИАЛ РОСТА КАПИТАЛА (ПОТЕНЦИАЛ РОСТА КАПИТАЛА) (sharing profit component)</t>
        </is>
      </c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7"/>
    </row>
    <row r="21" ht="18" customHeight="1">
      <c r="B21" s="191" t="inlineStr">
        <is>
          <t>6.1</t>
        </is>
      </c>
      <c r="C21" s="192" t="inlineStr">
        <is>
          <t>Equity (Собственный капитал) upside distributed</t>
        </is>
      </c>
      <c r="D21" s="193" t="n">
        <v>0</v>
      </c>
      <c r="E21" s="193" t="n">
        <v>0</v>
      </c>
      <c r="F21" s="193" t="n">
        <v>0</v>
      </c>
      <c r="G21" s="193" t="n">
        <v>0</v>
      </c>
      <c r="H21" s="193" t="n">
        <v>0</v>
      </c>
      <c r="I21" s="193" t="n">
        <v>0</v>
      </c>
      <c r="J21" s="193" t="n">
        <v>0</v>
      </c>
      <c r="K21" s="193" t="n">
        <v>0</v>
      </c>
      <c r="L21" s="193" t="n">
        <v>0</v>
      </c>
      <c r="M21" s="193" t="n">
        <v>0</v>
      </c>
      <c r="N21" s="193" t="n">
        <v>0</v>
      </c>
      <c r="O21" s="193" t="n">
        <v>0</v>
      </c>
      <c r="P21" s="193" t="n">
        <v>0</v>
      </c>
      <c r="Q21" s="193" t="n">
        <v>301</v>
      </c>
      <c r="R21" s="193" t="n">
        <v>443</v>
      </c>
      <c r="S21" s="193" t="n">
        <v>221</v>
      </c>
      <c r="T21" s="194" t="n">
        <v>965</v>
      </c>
      <c r="U21" s="182" t="inlineStr">
        <is>
          <t>Доля в прибыли сверх принципала (= 965)</t>
        </is>
      </c>
    </row>
    <row r="22" ht="18" customHeight="1">
      <c r="B22" s="205" t="inlineStr">
        <is>
          <t>6.2</t>
        </is>
      </c>
      <c r="C22" s="206" t="inlineStr">
        <is>
          <t>Σ Cumulative (Накопительный) equity (доля в капитале) upside</t>
        </is>
      </c>
      <c r="D22" s="207" t="n">
        <v>0</v>
      </c>
      <c r="E22" s="207" t="n">
        <v>0</v>
      </c>
      <c r="F22" s="207" t="n">
        <v>0</v>
      </c>
      <c r="G22" s="207" t="n">
        <v>0</v>
      </c>
      <c r="H22" s="207" t="n">
        <v>0</v>
      </c>
      <c r="I22" s="207" t="n">
        <v>0</v>
      </c>
      <c r="J22" s="207" t="n">
        <v>0</v>
      </c>
      <c r="K22" s="207" t="n">
        <v>0</v>
      </c>
      <c r="L22" s="207" t="n">
        <v>0</v>
      </c>
      <c r="M22" s="207" t="n">
        <v>0</v>
      </c>
      <c r="N22" s="207" t="n">
        <v>0</v>
      </c>
      <c r="O22" s="207" t="n">
        <v>0</v>
      </c>
      <c r="P22" s="207" t="n">
        <v>0</v>
      </c>
      <c r="Q22" s="207" t="n">
        <v>301</v>
      </c>
      <c r="R22" s="207" t="n">
        <v>744</v>
      </c>
      <c r="S22" s="207" t="n">
        <v>965</v>
      </c>
      <c r="T22" s="208" t="n">
        <v>965</v>
      </c>
      <c r="U22" s="159" t="inlineStr">
        <is>
          <t>Должно = 965</t>
        </is>
      </c>
    </row>
    <row r="24" ht="24" customHeight="1">
      <c r="B24" s="211" t="inlineStr">
        <is>
          <t>✓ Σ draws = 1,250.0 (target 1 250)  |  ✓ Σ principal repaid = 1,250.0 (target 1 250)  |  ✓ Σ interest = 15.0 (target ~15)  |  ✓ Σ equity (доля в капитале) upside = 965.0 (target 965)  |  ✓ Balance 2032 = 0.00</t>
        </is>
      </c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5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30" customWidth="1" min="17" max="17"/>
  </cols>
  <sheetData>
    <row r="2" ht="28" customHeight="1">
      <c r="B2" s="162" t="inlineStr">
        <is>
          <t>14  ·  INVESTMENT (ИНВЕСТИЦИИ) INFLOW SCHEDULE  ·  T₁ Legacy (Базовый вариант) Tranche (Транш) Structure</t>
        </is>
      </c>
    </row>
    <row r="3">
      <c r="B3" s="189" t="inlineStr">
        <is>
          <t>4 tranches (транши) × (20 / 28 / 28 / 24) %  =  1 250 млн ₽. Каждый транш привязан к производственному milestone. Все суммы — млн ₽.</t>
        </is>
      </c>
    </row>
    <row r="5" ht="22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2026–2028</t>
        </is>
      </c>
      <c r="Q5" s="167" t="inlineStr">
        <is>
          <t>Milestone / Комментарий</t>
        </is>
      </c>
    </row>
    <row r="6" ht="20" customHeight="1">
      <c r="B6" s="168" t="inlineStr">
        <is>
          <t>I.  ГРАФИК ТРАНШЕЙ (ГРАФИК ТРАНШЕЙ)</t>
        </is>
      </c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7"/>
    </row>
    <row r="7" ht="22" customHeight="1">
      <c r="B7" s="205" t="inlineStr">
        <is>
          <t>T₁.1</t>
        </is>
      </c>
      <c r="C7" s="206" t="inlineStr">
        <is>
          <t>Транш №1 — 20% (Pre-production (Пре-продакшн) launch)</t>
        </is>
      </c>
      <c r="D7" s="218" t="n">
        <v>250</v>
      </c>
      <c r="E7" s="207" t="n">
        <v>0</v>
      </c>
      <c r="F7" s="207" t="n">
        <v>0</v>
      </c>
      <c r="G7" s="207" t="n">
        <v>0</v>
      </c>
      <c r="H7" s="207" t="n">
        <v>0</v>
      </c>
      <c r="I7" s="207" t="n">
        <v>0</v>
      </c>
      <c r="J7" s="207" t="n">
        <v>0</v>
      </c>
      <c r="K7" s="207" t="n">
        <v>0</v>
      </c>
      <c r="L7" s="207" t="n">
        <v>0</v>
      </c>
      <c r="M7" s="207" t="n">
        <v>0</v>
      </c>
      <c r="N7" s="207" t="n">
        <v>0</v>
      </c>
      <c r="O7" s="207" t="n">
        <v>0</v>
      </c>
      <c r="P7" s="194" t="n">
        <v>250</v>
      </c>
      <c r="Q7" s="159" t="inlineStr">
        <is>
          <t>Q1'26: запуск pre-production «Ночной патруль»</t>
        </is>
      </c>
    </row>
    <row r="8" ht="22" customHeight="1">
      <c r="B8" s="205" t="inlineStr">
        <is>
          <t>T₁.2</t>
        </is>
      </c>
      <c r="C8" s="206" t="inlineStr">
        <is>
          <t>Транш №2 — 28% (Production Wave I)</t>
        </is>
      </c>
      <c r="D8" s="207" t="n">
        <v>0</v>
      </c>
      <c r="E8" s="207" t="n">
        <v>0</v>
      </c>
      <c r="F8" s="207" t="n">
        <v>0</v>
      </c>
      <c r="G8" s="218" t="n">
        <v>350</v>
      </c>
      <c r="H8" s="207" t="n">
        <v>0</v>
      </c>
      <c r="I8" s="207" t="n">
        <v>0</v>
      </c>
      <c r="J8" s="207" t="n">
        <v>0</v>
      </c>
      <c r="K8" s="207" t="n">
        <v>0</v>
      </c>
      <c r="L8" s="207" t="n">
        <v>0</v>
      </c>
      <c r="M8" s="207" t="n">
        <v>0</v>
      </c>
      <c r="N8" s="207" t="n">
        <v>0</v>
      </c>
      <c r="O8" s="207" t="n">
        <v>0</v>
      </c>
      <c r="P8" s="194" t="n">
        <v>350</v>
      </c>
      <c r="Q8" s="159" t="inlineStr">
        <is>
          <t>Q4'26: старт съёмок «Ночной патруль», пре-продакшн «Тёмная сторона» и «Время героев»</t>
        </is>
      </c>
    </row>
    <row r="9" ht="22" customHeight="1">
      <c r="B9" s="205" t="inlineStr">
        <is>
          <t>T₁.3</t>
        </is>
      </c>
      <c r="C9" s="206" t="inlineStr">
        <is>
          <t>Транш №3 — 28% (Production Wave II)</t>
        </is>
      </c>
      <c r="D9" s="207" t="n">
        <v>0</v>
      </c>
      <c r="E9" s="207" t="n">
        <v>0</v>
      </c>
      <c r="F9" s="207" t="n">
        <v>0</v>
      </c>
      <c r="G9" s="207" t="n">
        <v>0</v>
      </c>
      <c r="H9" s="207" t="n">
        <v>0</v>
      </c>
      <c r="I9" s="207" t="n">
        <v>0</v>
      </c>
      <c r="J9" s="218" t="n">
        <v>350</v>
      </c>
      <c r="K9" s="207" t="n">
        <v>0</v>
      </c>
      <c r="L9" s="207" t="n">
        <v>0</v>
      </c>
      <c r="M9" s="207" t="n">
        <v>0</v>
      </c>
      <c r="N9" s="207" t="n">
        <v>0</v>
      </c>
      <c r="O9" s="207" t="n">
        <v>0</v>
      </c>
      <c r="P9" s="194" t="n">
        <v>350</v>
      </c>
      <c r="Q9" s="159" t="inlineStr">
        <is>
          <t>Q3'27: съёмки «Наследие»+«Сказка наяву», релизы «Тёмная сторона»+«Время героев»</t>
        </is>
      </c>
    </row>
    <row r="10" ht="22" customHeight="1">
      <c r="B10" s="205" t="inlineStr">
        <is>
          <t>T₁.4</t>
        </is>
      </c>
      <c r="C10" s="206" t="inlineStr">
        <is>
          <t>Транш №4 — 24% (Production Wave III)</t>
        </is>
      </c>
      <c r="D10" s="207" t="n">
        <v>0</v>
      </c>
      <c r="E10" s="207" t="n">
        <v>0</v>
      </c>
      <c r="F10" s="207" t="n">
        <v>0</v>
      </c>
      <c r="G10" s="207" t="n">
        <v>0</v>
      </c>
      <c r="H10" s="207" t="n">
        <v>0</v>
      </c>
      <c r="I10" s="207" t="n">
        <v>0</v>
      </c>
      <c r="J10" s="207" t="n">
        <v>0</v>
      </c>
      <c r="K10" s="207" t="n">
        <v>0</v>
      </c>
      <c r="L10" s="207" t="n">
        <v>0</v>
      </c>
      <c r="M10" s="218" t="n">
        <v>300</v>
      </c>
      <c r="N10" s="207" t="n">
        <v>0</v>
      </c>
      <c r="O10" s="207" t="n">
        <v>0</v>
      </c>
      <c r="P10" s="194" t="n">
        <v>300</v>
      </c>
      <c r="Q10" s="159" t="inlineStr">
        <is>
          <t>Q2'28: завершение производства всех 7 проектов, финальные релизы</t>
        </is>
      </c>
    </row>
    <row r="11" ht="24" customHeight="1">
      <c r="B11" s="216" t="inlineStr">
        <is>
          <t>Σ</t>
        </is>
      </c>
      <c r="C11" s="217" t="inlineStr">
        <is>
          <t>Σ ТРАНШИ</t>
        </is>
      </c>
      <c r="D11" s="198" t="n">
        <v>250</v>
      </c>
      <c r="E11" s="198" t="n">
        <v>0</v>
      </c>
      <c r="F11" s="198" t="n">
        <v>0</v>
      </c>
      <c r="G11" s="198" t="n">
        <v>350</v>
      </c>
      <c r="H11" s="198" t="n">
        <v>0</v>
      </c>
      <c r="I11" s="198" t="n">
        <v>0</v>
      </c>
      <c r="J11" s="198" t="n">
        <v>350</v>
      </c>
      <c r="K11" s="198" t="n">
        <v>0</v>
      </c>
      <c r="L11" s="198" t="n">
        <v>0</v>
      </c>
      <c r="M11" s="198" t="n">
        <v>300</v>
      </c>
      <c r="N11" s="198" t="n">
        <v>0</v>
      </c>
      <c r="O11" s="198" t="n">
        <v>0</v>
      </c>
      <c r="P11" s="198" t="n">
        <v>1250</v>
      </c>
      <c r="Q11" s="217" t="inlineStr">
        <is>
          <t>★ Invariant: 1 250 млн ₽</t>
        </is>
      </c>
    </row>
    <row r="13" ht="20" customHeight="1">
      <c r="B13" s="168" t="inlineStr">
        <is>
          <t>II.  CUMULATIVE INFLOW (КУМУЛЯТИВНЫЕ ПОСТУПЛЕНИЯ)  &amp;  COVERAGE %</t>
        </is>
      </c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7"/>
    </row>
    <row r="14" ht="18" customHeight="1">
      <c r="B14" s="205" t="inlineStr">
        <is>
          <t>2.1</t>
        </is>
      </c>
      <c r="C14" s="213" t="inlineStr">
        <is>
          <t>Σ Cumulative (Накопительный) inflow</t>
        </is>
      </c>
      <c r="D14" s="219" t="n">
        <v>250</v>
      </c>
      <c r="E14" s="219" t="n">
        <v>250</v>
      </c>
      <c r="F14" s="219" t="n">
        <v>250</v>
      </c>
      <c r="G14" s="219" t="n">
        <v>600</v>
      </c>
      <c r="H14" s="219" t="n">
        <v>600</v>
      </c>
      <c r="I14" s="219" t="n">
        <v>600</v>
      </c>
      <c r="J14" s="219" t="n">
        <v>950</v>
      </c>
      <c r="K14" s="219" t="n">
        <v>950</v>
      </c>
      <c r="L14" s="219" t="n">
        <v>950</v>
      </c>
      <c r="M14" s="219" t="n">
        <v>1250</v>
      </c>
      <c r="N14" s="219" t="n">
        <v>1250</v>
      </c>
      <c r="O14" s="219" t="n">
        <v>1250</v>
      </c>
      <c r="P14" s="198" t="n">
        <v>1250</v>
      </c>
      <c r="Q14" s="159" t="inlineStr">
        <is>
          <t>Накопленный приток, млн ₽</t>
        </is>
      </c>
    </row>
    <row r="15" ht="18" customHeight="1">
      <c r="B15" s="205" t="inlineStr">
        <is>
          <t>2.2</t>
        </is>
      </c>
      <c r="C15" s="213" t="inlineStr">
        <is>
          <t>Покрытие % (привлечено / итого)</t>
        </is>
      </c>
      <c r="D15" s="220" t="n">
        <v>20</v>
      </c>
      <c r="E15" s="220" t="n">
        <v>20</v>
      </c>
      <c r="F15" s="220" t="n">
        <v>20</v>
      </c>
      <c r="G15" s="220" t="n">
        <v>48</v>
      </c>
      <c r="H15" s="220" t="n">
        <v>48</v>
      </c>
      <c r="I15" s="220" t="n">
        <v>48</v>
      </c>
      <c r="J15" s="220" t="n">
        <v>76</v>
      </c>
      <c r="K15" s="220" t="n">
        <v>76</v>
      </c>
      <c r="L15" s="220" t="n">
        <v>76</v>
      </c>
      <c r="M15" s="220" t="n">
        <v>100</v>
      </c>
      <c r="N15" s="220" t="n">
        <v>100</v>
      </c>
      <c r="O15" s="220" t="n">
        <v>100</v>
      </c>
      <c r="P15" s="221" t="n">
        <v>100</v>
      </c>
      <c r="Q15" s="159" t="inlineStr">
        <is>
          <t>Доля использованного тикета</t>
        </is>
      </c>
    </row>
    <row r="17" ht="20" customHeight="1">
      <c r="B17" s="168" t="inlineStr">
        <is>
          <t>III.  УПРАВЛЕНИЕ И УСЛОВИЯ</t>
        </is>
      </c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7"/>
    </row>
    <row r="18" ht="22" customHeight="1">
      <c r="B18" s="205" t="inlineStr">
        <is>
          <t>3.1</t>
        </is>
      </c>
      <c r="C18" s="213" t="inlineStr">
        <is>
          <t>Release (Релиз) condition для транша №1</t>
        </is>
      </c>
      <c r="D18" s="159" t="inlineStr">
        <is>
          <t>Подписание SPA + Investment (Инвестиция) Agreement, KYC/AML clearance</t>
        </is>
      </c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7"/>
    </row>
    <row r="19" ht="22" customHeight="1">
      <c r="B19" s="205" t="inlineStr">
        <is>
          <t>3.2</t>
        </is>
      </c>
      <c r="C19" s="213" t="inlineStr">
        <is>
          <t>Release (Релиз) condition для транша №2</t>
        </is>
      </c>
      <c r="D19" s="159" t="inlineStr">
        <is>
          <t>Завершение pre-production F01-F03, утверждение production budgets</t>
        </is>
      </c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7"/>
    </row>
    <row r="20" ht="22" customHeight="1">
      <c r="B20" s="205" t="inlineStr">
        <is>
          <t>3.3</t>
        </is>
      </c>
      <c r="C20" s="213" t="inlineStr">
        <is>
          <t>Release (Релиз) condition для транша №3</t>
        </is>
      </c>
      <c r="D20" s="159" t="inlineStr">
        <is>
          <t>Первый релиз (F01, Q4'26) — проверка фактической выручки ≥ 80% плана</t>
        </is>
      </c>
      <c r="E20" s="186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7"/>
    </row>
    <row r="21" ht="22" customHeight="1">
      <c r="B21" s="205" t="inlineStr">
        <is>
          <t>3.4</t>
        </is>
      </c>
      <c r="C21" s="213" t="inlineStr">
        <is>
          <t>Release (Релиз) condition для транша №4</t>
        </is>
      </c>
      <c r="D21" s="159" t="inlineStr">
        <is>
          <t>Релиз ≥ 4 проектов с совокупным RoI ≥ 1.2× (Q1-Q2 2028)</t>
        </is>
      </c>
      <c r="E21" s="186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7"/>
    </row>
    <row r="22" ht="22" customHeight="1">
      <c r="B22" s="205" t="inlineStr">
        <is>
          <t>3.5</t>
        </is>
      </c>
      <c r="C22" s="213" t="inlineStr">
        <is>
          <t>Reporting (Отчётность) cadence (Периодичность отчётности)</t>
        </is>
      </c>
      <c r="D22" s="159" t="inlineStr">
        <is>
          <t>Ежеквартальный financial report + KPI (ключевые показатели) dashboard</t>
        </is>
      </c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7"/>
    </row>
    <row r="23" ht="22" customHeight="1">
      <c r="B23" s="205" t="inlineStr">
        <is>
          <t>3.6</t>
        </is>
      </c>
      <c r="C23" s="213" t="inlineStr">
        <is>
          <t>Права на информацию (Права на информацию)</t>
        </is>
      </c>
      <c r="D23" s="159" t="inlineStr">
        <is>
          <t>Read-only (Только чтение) доступ к производственным треккерам и бухгалтерии</t>
        </is>
      </c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7"/>
    </row>
    <row r="24" ht="22" customHeight="1">
      <c r="B24" s="205" t="inlineStr">
        <is>
          <t>3.7</t>
        </is>
      </c>
      <c r="C24" s="213" t="inlineStr">
        <is>
          <t>Расторжение (Расторжение) clause (Оговорка о расторжении)</t>
        </is>
      </c>
      <c r="D24" s="159" t="inlineStr">
        <is>
          <t>При срыве milestone 2-х кварталов подряд — right to exit по fair value</t>
        </is>
      </c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7"/>
    </row>
    <row r="26" ht="22" customHeight="1">
      <c r="B26" s="211" t="inlineStr">
        <is>
          <t>✓ Σ Tranches = 1 250 млн ₽  (20% + 28% + 28% + 24% = 100%)  |  Matches T₁ Legacy (Базовый вариант) invariant &amp; 10_Cash_Flow 3.1</t>
        </is>
      </c>
      <c r="C26" s="188"/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188"/>
      <c r="Q26" s="185"/>
    </row>
  </sheetData>
  <mergeCells count="13">
    <mergeCell ref="D18:Q18"/>
    <mergeCell ref="D22:Q22"/>
    <mergeCell ref="D21:Q21"/>
    <mergeCell ref="D20:Q20"/>
    <mergeCell ref="B26:Q26"/>
    <mergeCell ref="B17:Q17"/>
    <mergeCell ref="D24:Q24"/>
    <mergeCell ref="D19:Q19"/>
    <mergeCell ref="B13:Q13"/>
    <mergeCell ref="B6:Q6"/>
    <mergeCell ref="D23:Q23"/>
    <mergeCell ref="B2:Q2"/>
    <mergeCell ref="B3:Q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I1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2" ht="28" customHeight="1">
      <c r="B2" s="162" t="inlineStr">
        <is>
          <t>15  ·  ИСПОЛЬЗОВАНИЕ СРЕДСТВ  ·  Распределение 1 250 млн ₽ инвестиций</t>
        </is>
      </c>
    </row>
    <row r="3">
      <c r="B3" s="189" t="inlineStr">
        <is>
          <t>Разбивка инвестиционного тикета T₁ Legacy (Базовый вариант) (1 250) по производственным категориям для 7 проектов (средний бюджет 154 млн, всего 1 850 млн — инвестор покрывает ~67.6%).</t>
        </is>
      </c>
    </row>
    <row r="5" ht="22" customHeight="1">
      <c r="B5" s="166" t="inlineStr">
        <is>
          <t>#</t>
        </is>
      </c>
      <c r="C5" s="166" t="inlineStr">
        <is>
          <t>Категория расхода</t>
        </is>
      </c>
      <c r="D5" s="166" t="inlineStr">
        <is>
          <t>% от T₁</t>
        </is>
      </c>
      <c r="E5" s="166" t="inlineStr">
        <is>
          <t>Сумма, млн ₽</t>
        </is>
      </c>
      <c r="F5" s="166" t="inlineStr">
        <is>
          <t>Мин (−10%)</t>
        </is>
      </c>
      <c r="G5" s="166" t="inlineStr">
        <is>
          <t>Макс (+10%)</t>
        </is>
      </c>
      <c r="H5" s="166" t="inlineStr">
        <is>
          <t>Allowance (Допуск)</t>
        </is>
      </c>
      <c r="I5" s="166" t="inlineStr">
        <is>
          <t>Описание</t>
        </is>
      </c>
    </row>
    <row r="6" ht="24" customHeight="1">
      <c r="B6" s="205" t="inlineStr">
        <is>
          <t>U.1</t>
        </is>
      </c>
      <c r="C6" s="206" t="inlineStr">
        <is>
          <t>Pre-production (Пре-продакшн)  (script, casting, location)</t>
        </is>
      </c>
      <c r="D6" s="220" t="n">
        <v>5</v>
      </c>
      <c r="E6" s="218" t="n">
        <v>62.5</v>
      </c>
      <c r="F6" s="207" t="n">
        <v>56.2</v>
      </c>
      <c r="G6" s="207" t="n">
        <v>68.8</v>
      </c>
      <c r="H6" s="222" t="inlineStr">
        <is>
          <t>★ Гибкость ±10%</t>
        </is>
      </c>
      <c r="I6" s="159" t="inlineStr">
        <is>
          <t>Сценарии, раскадровки, подбор актёров, выбор площадок</t>
        </is>
      </c>
    </row>
    <row r="7" ht="24" customHeight="1">
      <c r="B7" s="205" t="inlineStr">
        <is>
          <t>U.2</t>
        </is>
      </c>
      <c r="C7" s="206" t="inlineStr">
        <is>
          <t>Principal photography (Основной съёмочный период)</t>
        </is>
      </c>
      <c r="D7" s="220" t="n">
        <v>65</v>
      </c>
      <c r="E7" s="218" t="n">
        <v>812.5</v>
      </c>
      <c r="F7" s="207" t="n">
        <v>731.2</v>
      </c>
      <c r="G7" s="207" t="n">
        <v>893.8</v>
      </c>
      <c r="H7" s="222" t="inlineStr">
        <is>
          <t>★ Гибкость ±10%</t>
        </is>
      </c>
      <c r="I7" s="159" t="inlineStr">
        <is>
          <t>Съёмочный процесс, аренда площадок, оплата съёмочных групп</t>
        </is>
      </c>
    </row>
    <row r="8" ht="24" customHeight="1">
      <c r="B8" s="205" t="inlineStr">
        <is>
          <t>U.3</t>
        </is>
      </c>
      <c r="C8" s="206" t="inlineStr">
        <is>
          <t>Post-production  (VFX (визуальные эффекты), sound, editing)</t>
        </is>
      </c>
      <c r="D8" s="220" t="n">
        <v>20</v>
      </c>
      <c r="E8" s="218" t="n">
        <v>250</v>
      </c>
      <c r="F8" s="207" t="n">
        <v>225</v>
      </c>
      <c r="G8" s="207" t="n">
        <v>275</v>
      </c>
      <c r="H8" s="222" t="inlineStr">
        <is>
          <t>★ Гибкость ±10%</t>
        </is>
      </c>
      <c r="I8" s="159" t="inlineStr">
        <is>
          <t>Монтаж, цветокоррекция, VFX (визуальные эффекты), озвучка, сведение звука</t>
        </is>
      </c>
    </row>
    <row r="9" ht="24" customHeight="1">
      <c r="B9" s="205" t="inlineStr">
        <is>
          <t>U.4</t>
        </is>
      </c>
      <c r="C9" s="206" t="inlineStr">
        <is>
          <t>Contingency reserve  (10% страховой резерв)</t>
        </is>
      </c>
      <c r="D9" s="220" t="n">
        <v>10</v>
      </c>
      <c r="E9" s="218" t="n">
        <v>125</v>
      </c>
      <c r="F9" s="207" t="n">
        <v>112.5</v>
      </c>
      <c r="G9" s="207" t="n">
        <v>137.5</v>
      </c>
      <c r="H9" s="222" t="inlineStr">
        <is>
          <t>✓ Лимит 10%</t>
        </is>
      </c>
      <c r="I9" s="159" t="inlineStr">
        <is>
          <t>Резерв на перерасходы, форс-мажор, изменения сценария</t>
        </is>
      </c>
    </row>
    <row r="10" ht="26" customHeight="1">
      <c r="B10" s="216" t="inlineStr">
        <is>
          <t>Σ</t>
        </is>
      </c>
      <c r="C10" s="217" t="inlineStr">
        <is>
          <t>ИТОГО  ·  T₁ Legacy (Базовый вариант) Investment (Инвестиция)</t>
        </is>
      </c>
      <c r="D10" s="221" t="n">
        <v>100</v>
      </c>
      <c r="E10" s="198" t="n">
        <v>1250</v>
      </c>
      <c r="F10" s="198" t="n">
        <v>1125</v>
      </c>
      <c r="G10" s="198" t="n">
        <v>1375</v>
      </c>
      <c r="H10" s="216" t="inlineStr">
        <is>
          <t>★ ЯКОРЬ (ЯКОРЬ)</t>
        </is>
      </c>
      <c r="I10" s="217" t="inlineStr">
        <is>
          <t>Invariant: 1 250 млн ₽</t>
        </is>
      </c>
    </row>
    <row r="12" ht="20" customHeight="1">
      <c r="B12" s="168" t="inlineStr">
        <is>
          <t>II.  МОСТ  ·  T₁ Legacy (Базовый вариант) (1 250) → Full Production Budget (Бюджет) (1 850)</t>
        </is>
      </c>
      <c r="C12" s="186"/>
      <c r="D12" s="186"/>
      <c r="E12" s="186"/>
      <c r="F12" s="186"/>
      <c r="G12" s="186"/>
      <c r="H12" s="186"/>
      <c r="I12" s="187"/>
    </row>
    <row r="13" ht="22" customHeight="1">
      <c r="B13" s="205" t="inlineStr">
        <is>
          <t>B.1</t>
        </is>
      </c>
      <c r="C13" s="206" t="inlineStr">
        <is>
          <t>T₁ Legacy (Базовый вариант) Investor (Инвестор) contribution</t>
        </is>
      </c>
      <c r="D13" s="187"/>
      <c r="E13" s="207" t="n">
        <v>1250</v>
      </c>
      <c r="F13" s="186"/>
      <c r="G13" s="187"/>
      <c r="H13" s="159" t="inlineStr">
        <is>
          <t>Основной тикет инвестора (67.6%)</t>
        </is>
      </c>
      <c r="I13" s="187"/>
    </row>
    <row r="14" ht="22" customHeight="1">
      <c r="B14" s="205" t="inlineStr">
        <is>
          <t>B.2</t>
        </is>
      </c>
      <c r="C14" s="206" t="inlineStr">
        <is>
          <t>(+) Producer equity (капитал продюсера) (JV (совместное предприятие) capital (капитал))</t>
        </is>
      </c>
      <c r="D14" s="187"/>
      <c r="E14" s="207" t="n">
        <v>600</v>
      </c>
      <c r="F14" s="186"/>
      <c r="G14" s="187"/>
      <c r="H14" s="159" t="inlineStr">
        <is>
          <t>Собственные средства продюсера (32.4%)</t>
        </is>
      </c>
      <c r="I14" s="187"/>
    </row>
    <row r="15" ht="22" customHeight="1">
      <c r="B15" s="216" t="inlineStr">
        <is>
          <t>=</t>
        </is>
      </c>
      <c r="C15" s="217" t="inlineStr">
        <is>
          <t>Full production budget (бюджет)  (7 проектов × avg 264.3 млн) (Полный бюджет производства)</t>
        </is>
      </c>
      <c r="D15" s="187"/>
      <c r="E15" s="198" t="n">
        <v>1850</v>
      </c>
      <c r="F15" s="186"/>
      <c r="G15" s="187"/>
      <c r="H15" s="183" t="inlineStr">
        <is>
          <t>★ Σ расходов на производство</t>
        </is>
      </c>
      <c r="I15" s="187"/>
    </row>
    <row r="16" ht="22" customHeight="1">
      <c r="B16" s="205" t="inlineStr">
        <is>
          <t>B.3</t>
        </is>
      </c>
      <c r="C16" s="206" t="inlineStr">
        <is>
          <t>(+) P&amp;A expenditure (Расходы на P&amp;A) (separate from CAPEX (Капзатраты))</t>
        </is>
      </c>
      <c r="D16" s="187"/>
      <c r="E16" s="207" t="n">
        <v>277.5</v>
      </c>
      <c r="F16" s="186"/>
      <c r="G16" s="187"/>
      <c r="H16" s="159" t="inlineStr">
        <is>
          <t>Prints &amp; Advertising (Тиражирование и реклама), финансируется из cashflow</t>
        </is>
      </c>
      <c r="I16" s="187"/>
    </row>
    <row r="17" ht="22" customHeight="1">
      <c r="B17" s="216" t="inlineStr">
        <is>
          <t>=</t>
        </is>
      </c>
      <c r="C17" s="217" t="inlineStr">
        <is>
          <t>Total (Итого) content-related costs</t>
        </is>
      </c>
      <c r="D17" s="187"/>
      <c r="E17" s="198" t="n">
        <v>2127.5</v>
      </c>
      <c r="F17" s="186"/>
      <c r="G17" s="187"/>
      <c r="H17" s="183">
        <f> COGS в P&amp;L</f>
        <v>0</v>
      </c>
      <c r="I17" s="187"/>
    </row>
    <row r="19" ht="22" customHeight="1">
      <c r="B19" s="211" t="inlineStr">
        <is>
          <t>✓ Σ Use of Funds (Использование средств) = 1 250 (5+65+20+10%)  |  Bridge: 1 250 + 600 = 1 850 (budget (бюджет))  |  + P&amp;A (тиражирование и реклама) 277.5 = 2 127.5 (COGS (себестоимость) в P&amp;L)</t>
        </is>
      </c>
      <c r="C19" s="188"/>
      <c r="D19" s="188"/>
      <c r="E19" s="188"/>
      <c r="F19" s="188"/>
      <c r="G19" s="188"/>
      <c r="H19" s="188"/>
      <c r="I19" s="185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H17:I17"/>
    <mergeCell ref="E16:G16"/>
    <mergeCell ref="H16:I16"/>
    <mergeCell ref="B19:I19"/>
    <mergeCell ref="C17:D17"/>
    <mergeCell ref="H13:I13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10" customWidth="1" min="18" max="18"/>
  </cols>
  <sheetData>
    <row r="2" ht="28" customHeight="1">
      <c r="B2" s="162" t="inlineStr">
        <is>
          <t>16  ·  CAPEX Schedule  ·  7 проектов (5 фильмов + 2 сериала)  ·  Σ 1 850 млн ₽</t>
        </is>
      </c>
    </row>
    <row r="3">
      <c r="B3" s="189" t="inlineStr">
        <is>
          <t>Распределение производственных затрат по 7 проектам: 5/45/35/15% (pre-prod/prod/post-prod/release)</t>
        </is>
      </c>
    </row>
    <row r="5" ht="22" customHeight="1">
      <c r="B5" s="166" t="inlineStr">
        <is>
          <t>#</t>
        </is>
      </c>
      <c r="C5" s="190" t="inlineStr">
        <is>
          <t>Film (Фильм)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CAPEX (Капзатраты)</t>
        </is>
      </c>
      <c r="Q5" s="167" t="inlineStr">
        <is>
          <t>Релиз</t>
        </is>
      </c>
      <c r="R5" s="167" t="inlineStr">
        <is>
          <t>Категория</t>
        </is>
      </c>
    </row>
    <row r="6" ht="20" customHeight="1">
      <c r="B6" s="212" t="inlineStr">
        <is>
          <t>P01</t>
        </is>
      </c>
      <c r="C6" s="206" t="inlineStr">
        <is>
          <t>Ночной патруль</t>
        </is>
      </c>
      <c r="D6" s="202">
        <v>12.5</v>
      </c>
      <c r="E6" s="202">
        <v>112.5</v>
      </c>
      <c r="F6" s="202">
        <v>87.5</v>
      </c>
      <c r="G6" s="202">
        <v>37.5</v>
      </c>
      <c r="H6" s="207">
        <v>0.0</v>
      </c>
      <c r="I6" s="207">
        <v>0.0</v>
      </c>
      <c r="J6" s="207">
        <v>0.0</v>
      </c>
      <c r="K6" s="207">
        <v>0.0</v>
      </c>
      <c r="L6" s="207">
        <v>0.0</v>
      </c>
      <c r="M6" s="207">
        <v>0.0</v>
      </c>
      <c r="N6" s="207">
        <v>0.0</v>
      </c>
      <c r="O6" s="207">
        <v>0.0</v>
      </c>
      <c r="P6" s="197">
        <v>250</v>
      </c>
      <c r="Q6" s="205" t="inlineStr">
        <is>
          <t>Q4'26</t>
        </is>
      </c>
      <c r="R6" s="223" t="inlineStr">
        <is>
          <t>A+</t>
        </is>
      </c>
    </row>
    <row r="7" ht="20" customHeight="1">
      <c r="B7" s="212" t="inlineStr">
        <is>
          <t>P02</t>
        </is>
      </c>
      <c r="C7" s="206" t="inlineStr">
        <is>
          <t>Тёмная сторона</t>
        </is>
      </c>
      <c r="D7" s="224">
        <v>0.0</v>
      </c>
      <c r="E7" s="202">
        <v>0.0</v>
      </c>
      <c r="F7" s="202">
        <v>20.0</v>
      </c>
      <c r="G7" s="202">
        <v>180.0</v>
      </c>
      <c r="H7" s="202">
        <v>140.0</v>
      </c>
      <c r="I7" s="207">
        <v>60.0</v>
      </c>
      <c r="J7" s="207">
        <v>0.0</v>
      </c>
      <c r="K7" s="207">
        <v>0.0</v>
      </c>
      <c r="L7" s="207">
        <v>0.0</v>
      </c>
      <c r="M7" s="207">
        <v>0.0</v>
      </c>
      <c r="N7" s="207">
        <v>0.0</v>
      </c>
      <c r="O7" s="207">
        <v>0.0</v>
      </c>
      <c r="P7" s="197">
        <v>400</v>
      </c>
      <c r="Q7" s="205" t="inlineStr">
        <is>
          <t>Q2'27</t>
        </is>
      </c>
      <c r="R7" s="223" t="inlineStr">
        <is>
          <t>A+</t>
        </is>
      </c>
    </row>
    <row r="8" ht="20" customHeight="1">
      <c r="B8" s="212" t="inlineStr">
        <is>
          <t>P03</t>
        </is>
      </c>
      <c r="C8" s="206" t="inlineStr">
        <is>
          <t>Время героев</t>
        </is>
      </c>
      <c r="D8" s="224">
        <v>0.0</v>
      </c>
      <c r="E8" s="207">
        <v>0.0</v>
      </c>
      <c r="F8" s="202">
        <v>0.0</v>
      </c>
      <c r="G8" s="202">
        <v>14.0</v>
      </c>
      <c r="H8" s="202">
        <v>126.0</v>
      </c>
      <c r="I8" s="202">
        <v>98.0</v>
      </c>
      <c r="J8" s="207">
        <v>42.0</v>
      </c>
      <c r="K8" s="207">
        <v>0.0</v>
      </c>
      <c r="L8" s="207">
        <v>0.0</v>
      </c>
      <c r="M8" s="207">
        <v>0.0</v>
      </c>
      <c r="N8" s="207">
        <v>0.0</v>
      </c>
      <c r="O8" s="207">
        <v>0.0</v>
      </c>
      <c r="P8" s="197">
        <v>280</v>
      </c>
      <c r="Q8" s="205" t="inlineStr">
        <is>
          <t>Q3'27</t>
        </is>
      </c>
      <c r="R8" s="223" t="inlineStr">
        <is>
          <t>A+</t>
        </is>
      </c>
    </row>
    <row r="9" ht="20" customHeight="1">
      <c r="B9" s="212" t="inlineStr">
        <is>
          <t>P04</t>
        </is>
      </c>
      <c r="C9" s="206" t="inlineStr">
        <is>
          <t>Наследие</t>
        </is>
      </c>
      <c r="D9" s="224">
        <v>0.0</v>
      </c>
      <c r="E9" s="207">
        <v>0.0</v>
      </c>
      <c r="F9" s="202">
        <v>0.0</v>
      </c>
      <c r="G9" s="202">
        <v>0.0</v>
      </c>
      <c r="H9" s="202">
        <v>17.0</v>
      </c>
      <c r="I9" s="202">
        <v>153.0</v>
      </c>
      <c r="J9" s="207">
        <v>119.0</v>
      </c>
      <c r="K9" s="207">
        <v>51.0</v>
      </c>
      <c r="L9" s="207">
        <v>0.0</v>
      </c>
      <c r="M9" s="207">
        <v>0.0</v>
      </c>
      <c r="N9" s="207">
        <v>0.0</v>
      </c>
      <c r="O9" s="207">
        <v>0.0</v>
      </c>
      <c r="P9" s="197">
        <v>340</v>
      </c>
      <c r="Q9" s="205" t="inlineStr">
        <is>
          <t>Q4'27</t>
        </is>
      </c>
      <c r="R9" s="223" t="inlineStr">
        <is>
          <t>A</t>
        </is>
      </c>
    </row>
    <row r="10" ht="20" customHeight="1">
      <c r="B10" s="212" t="inlineStr">
        <is>
          <t>P05</t>
        </is>
      </c>
      <c r="C10" s="206" t="inlineStr">
        <is>
          <t>Сказка наяву</t>
        </is>
      </c>
      <c r="D10" s="224">
        <v>0.0</v>
      </c>
      <c r="E10" s="207">
        <v>0.0</v>
      </c>
      <c r="F10" s="207">
        <v>0.0</v>
      </c>
      <c r="G10" s="202">
        <v>0.0</v>
      </c>
      <c r="H10" s="202">
        <v>0.0</v>
      </c>
      <c r="I10" s="202">
        <v>10.0</v>
      </c>
      <c r="J10" s="202">
        <v>90.0</v>
      </c>
      <c r="K10" s="207">
        <v>70.0</v>
      </c>
      <c r="L10" s="207">
        <v>30.0</v>
      </c>
      <c r="M10" s="207">
        <v>0.0</v>
      </c>
      <c r="N10" s="207">
        <v>0.0</v>
      </c>
      <c r="O10" s="207">
        <v>0.0</v>
      </c>
      <c r="P10" s="197">
        <v>200</v>
      </c>
      <c r="Q10" s="205" t="inlineStr">
        <is>
          <t>Q1'28</t>
        </is>
      </c>
      <c r="R10" s="223" t="inlineStr">
        <is>
          <t>A</t>
        </is>
      </c>
    </row>
    <row r="11" ht="20" customHeight="1">
      <c r="B11" s="212" t="inlineStr">
        <is>
          <t>P06</t>
        </is>
      </c>
      <c r="C11" s="206" t="inlineStr">
        <is>
          <t>Северный ветер</t>
        </is>
      </c>
      <c r="D11" s="224">
        <v>0.0</v>
      </c>
      <c r="E11" s="207">
        <v>0.0</v>
      </c>
      <c r="F11" s="207">
        <v>0.0</v>
      </c>
      <c r="G11" s="207">
        <v>0.0</v>
      </c>
      <c r="H11" s="202">
        <v>0.0</v>
      </c>
      <c r="I11" s="202">
        <v>0.0</v>
      </c>
      <c r="J11" s="202">
        <v>0.0</v>
      </c>
      <c r="K11" s="202">
        <v>10.0</v>
      </c>
      <c r="L11" s="207">
        <v>90.0</v>
      </c>
      <c r="M11" s="207">
        <v>70.0</v>
      </c>
      <c r="N11" s="207">
        <v>30.0</v>
      </c>
      <c r="O11" s="207">
        <v>0.0</v>
      </c>
      <c r="P11" s="197">
        <v>200</v>
      </c>
      <c r="Q11" s="205" t="inlineStr">
        <is>
          <t>Q3'28</t>
        </is>
      </c>
      <c r="R11" s="223" t="inlineStr">
        <is>
          <t>A</t>
        </is>
      </c>
    </row>
    <row r="12" ht="20" customHeight="1">
      <c r="B12" s="212" t="inlineStr">
        <is>
          <t>P07</t>
        </is>
      </c>
      <c r="C12" s="206" t="inlineStr">
        <is>
          <t>Горизонт событий</t>
        </is>
      </c>
      <c r="D12" s="224">
        <v>0.0</v>
      </c>
      <c r="E12" s="207">
        <v>0.0</v>
      </c>
      <c r="F12" s="207">
        <v>0.0</v>
      </c>
      <c r="G12" s="207">
        <v>0.0</v>
      </c>
      <c r="H12" s="207">
        <v>0.0</v>
      </c>
      <c r="I12" s="202">
        <v>0.0</v>
      </c>
      <c r="J12" s="202">
        <v>0.0</v>
      </c>
      <c r="K12" s="202">
        <v>0.0</v>
      </c>
      <c r="L12" s="202">
        <v>9.0</v>
      </c>
      <c r="M12" s="207">
        <v>81.0</v>
      </c>
      <c r="N12" s="207">
        <v>63.0</v>
      </c>
      <c r="O12" s="207">
        <v>27.0</v>
      </c>
      <c r="P12" s="197">
        <v>180</v>
      </c>
      <c r="Q12" s="205" t="inlineStr">
        <is>
          <t>Q4'28</t>
        </is>
      </c>
      <c r="R12" s="223" t="inlineStr">
        <is>
          <t>A</t>
        </is>
      </c>
    </row>
    <row r="13" ht="20" customHeight="1">
      <c r="B13" s="212" t="inlineStr">
        <is>
          <t/>
        </is>
      </c>
      <c r="C13" s="206" t="inlineStr">
        <is>
          <t/>
        </is>
      </c>
      <c r="D13" s="224">
        <v>0</v>
      </c>
      <c r="E13" s="207">
        <v>0</v>
      </c>
      <c r="F13" s="207">
        <v>0</v>
      </c>
      <c r="G13" s="207">
        <v>0</v>
      </c>
      <c r="H13" s="207">
        <v>0</v>
      </c>
      <c r="I13" s="207">
        <v>0</v>
      </c>
      <c r="J13" s="202">
        <v>0</v>
      </c>
      <c r="K13" s="202">
        <v>0</v>
      </c>
      <c r="L13" s="202">
        <v>0</v>
      </c>
      <c r="M13" s="202">
        <v>0</v>
      </c>
      <c r="N13" s="207">
        <v>0</v>
      </c>
      <c r="O13" s="207">
        <v>0</v>
      </c>
      <c r="P13" s="197">
        <v>0</v>
      </c>
      <c r="Q13" s="205" t="inlineStr">
        <is>
          <t/>
        </is>
      </c>
      <c r="R13" s="223" t="inlineStr">
        <is>
          <t/>
        </is>
      </c>
    </row>
    <row r="14" ht="20" customHeight="1">
      <c r="B14" s="212" t="inlineStr">
        <is>
          <t/>
        </is>
      </c>
      <c r="C14" s="206" t="inlineStr">
        <is>
          <t/>
        </is>
      </c>
      <c r="D14" s="224">
        <v>0</v>
      </c>
      <c r="E14" s="207">
        <v>0</v>
      </c>
      <c r="F14" s="207">
        <v>0</v>
      </c>
      <c r="G14" s="207">
        <v>0</v>
      </c>
      <c r="H14" s="207">
        <v>0</v>
      </c>
      <c r="I14" s="207">
        <v>0</v>
      </c>
      <c r="J14" s="202">
        <v>0</v>
      </c>
      <c r="K14" s="202">
        <v>0</v>
      </c>
      <c r="L14" s="202">
        <v>0</v>
      </c>
      <c r="M14" s="202">
        <v>0</v>
      </c>
      <c r="N14" s="207">
        <v>0</v>
      </c>
      <c r="O14" s="207">
        <v>0</v>
      </c>
      <c r="P14" s="197">
        <v>0</v>
      </c>
      <c r="Q14" s="205" t="inlineStr">
        <is>
          <t/>
        </is>
      </c>
      <c r="R14" s="223" t="inlineStr">
        <is>
          <t/>
        </is>
      </c>
    </row>
    <row r="15" ht="20" customHeight="1">
      <c r="B15" s="212" t="inlineStr">
        <is>
          <t/>
        </is>
      </c>
      <c r="C15" s="206" t="inlineStr">
        <is>
          <t/>
        </is>
      </c>
      <c r="D15" s="224">
        <v>0</v>
      </c>
      <c r="E15" s="207">
        <v>0</v>
      </c>
      <c r="F15" s="207">
        <v>0</v>
      </c>
      <c r="G15" s="207">
        <v>0</v>
      </c>
      <c r="H15" s="207">
        <v>0</v>
      </c>
      <c r="I15" s="207">
        <v>0</v>
      </c>
      <c r="J15" s="207">
        <v>0</v>
      </c>
      <c r="K15" s="202">
        <v>0</v>
      </c>
      <c r="L15" s="202">
        <v>0</v>
      </c>
      <c r="M15" s="202">
        <v>0</v>
      </c>
      <c r="N15" s="202">
        <v>0</v>
      </c>
      <c r="O15" s="207">
        <v>0</v>
      </c>
      <c r="P15" s="197">
        <v>0</v>
      </c>
      <c r="Q15" s="205" t="inlineStr">
        <is>
          <t/>
        </is>
      </c>
      <c r="R15" s="223" t="inlineStr">
        <is>
          <t/>
        </is>
      </c>
    </row>
    <row r="16" ht="20" customHeight="1">
      <c r="B16" s="212" t="inlineStr">
        <is>
          <t/>
        </is>
      </c>
      <c r="C16" s="206" t="inlineStr">
        <is>
          <t/>
        </is>
      </c>
      <c r="D16" s="224">
        <v>0</v>
      </c>
      <c r="E16" s="207">
        <v>0</v>
      </c>
      <c r="F16" s="207">
        <v>0</v>
      </c>
      <c r="G16" s="207">
        <v>0</v>
      </c>
      <c r="H16" s="207">
        <v>0</v>
      </c>
      <c r="I16" s="207">
        <v>0</v>
      </c>
      <c r="J16" s="207">
        <v>0</v>
      </c>
      <c r="K16" s="202">
        <v>0</v>
      </c>
      <c r="L16" s="202">
        <v>0</v>
      </c>
      <c r="M16" s="202">
        <v>0</v>
      </c>
      <c r="N16" s="202">
        <v>0</v>
      </c>
      <c r="O16" s="207">
        <v>0</v>
      </c>
      <c r="P16" s="197">
        <v>0</v>
      </c>
      <c r="Q16" s="205" t="inlineStr">
        <is>
          <t/>
        </is>
      </c>
      <c r="R16" s="223" t="inlineStr">
        <is>
          <t/>
        </is>
      </c>
    </row>
    <row r="17" ht="20" customHeight="1">
      <c r="B17" s="212" t="inlineStr">
        <is>
          <t/>
        </is>
      </c>
      <c r="C17" s="206" t="inlineStr">
        <is>
          <t/>
        </is>
      </c>
      <c r="D17" s="224">
        <v>0</v>
      </c>
      <c r="E17" s="207">
        <v>0</v>
      </c>
      <c r="F17" s="207">
        <v>0</v>
      </c>
      <c r="G17" s="207">
        <v>0</v>
      </c>
      <c r="H17" s="207">
        <v>0</v>
      </c>
      <c r="I17" s="207">
        <v>0</v>
      </c>
      <c r="J17" s="207">
        <v>0</v>
      </c>
      <c r="K17" s="207">
        <v>0</v>
      </c>
      <c r="L17" s="202">
        <v>0</v>
      </c>
      <c r="M17" s="202">
        <v>0</v>
      </c>
      <c r="N17" s="202">
        <v>0</v>
      </c>
      <c r="O17" s="202">
        <v>0</v>
      </c>
      <c r="P17" s="197">
        <v>0</v>
      </c>
      <c r="Q17" s="205" t="inlineStr">
        <is>
          <t/>
        </is>
      </c>
      <c r="R17" s="223" t="inlineStr">
        <is>
          <t/>
        </is>
      </c>
    </row>
    <row r="18" ht="24" customHeight="1">
      <c r="B18" s="216" t="inlineStr">
        <is>
          <t>Σ</t>
        </is>
      </c>
      <c r="C18" s="217" t="inlineStr">
        <is>
          <t>ИТОГО Production CAPEX (7 проектов)</t>
        </is>
      </c>
      <c r="D18" s="198">
        <v>12.5</v>
      </c>
      <c r="E18" s="198">
        <v>112.5</v>
      </c>
      <c r="F18" s="198">
        <v>107.5</v>
      </c>
      <c r="G18" s="198">
        <v>231.5</v>
      </c>
      <c r="H18" s="198">
        <v>283.0</v>
      </c>
      <c r="I18" s="198">
        <v>321.0</v>
      </c>
      <c r="J18" s="198">
        <v>251.0</v>
      </c>
      <c r="K18" s="198">
        <v>131.0</v>
      </c>
      <c r="L18" s="198">
        <v>129.0</v>
      </c>
      <c r="M18" s="198">
        <v>151.0</v>
      </c>
      <c r="N18" s="198">
        <v>93.0</v>
      </c>
      <c r="O18" s="198">
        <v>27.0</v>
      </c>
      <c r="P18" s="198">
        <v>1850</v>
      </c>
      <c r="Q18" s="216" t="inlineStr">
        <is>
          <t>—</t>
        </is>
      </c>
      <c r="R18" s="216" t="inlineStr">
        <is>
          <t>★</t>
        </is>
      </c>
    </row>
    <row r="20" ht="24" customHeight="1">
      <c r="B20" s="211" t="inlineStr">
        <is>
          <t>✓ Σ Production CAPEX = 1,850.0 млн ₽ (7 проектов: 5 фильмов + 2 сериала)</t>
        </is>
      </c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5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28" customWidth="1" min="4" max="4"/>
    <col width="28" customWidth="1" min="5" max="5"/>
    <col width="30" customWidth="1" min="6" max="6"/>
  </cols>
  <sheetData>
    <row r="2" ht="28" customHeight="1">
      <c r="B2" s="162" t="inlineStr">
        <is>
          <t>17  ·  СТРУКТУРЫ СДЕЛОК  ·  T₁ Legacy (Базовый вариант)  &amp;  T₂ New</t>
        </is>
      </c>
    </row>
    <row r="3">
      <c r="B3" s="189" t="inlineStr">
        <is>
          <t>Два независимых инструмента: T₁ Legacy (Базовый вариант) (anchor (якорь) 1 250, senior) и T₂ New (500, диапазон 20% equity (доля в капитале)). Могут исполняться параллельно или опциональным follow-on.</t>
        </is>
      </c>
    </row>
    <row r="5" ht="22" customHeight="1">
      <c r="B5" s="166" t="inlineStr">
        <is>
          <t>#</t>
        </is>
      </c>
      <c r="C5" s="190" t="inlineStr">
        <is>
          <t>Параметр</t>
        </is>
      </c>
      <c r="D5" s="167" t="inlineStr">
        <is>
          <t>T₁ — Legacy (Базовый вариант)</t>
        </is>
      </c>
      <c r="E5" s="167" t="inlineStr">
        <is>
          <t>T₂ — New</t>
        </is>
      </c>
      <c r="F5" s="166" t="inlineStr">
        <is>
          <t>Комментарий</t>
        </is>
      </c>
    </row>
    <row r="6" ht="20" customHeight="1">
      <c r="B6" s="168" t="inlineStr">
        <is>
          <t>I.  ФИНАНСОВЫЕ ПАРАМЕТРЫ</t>
        </is>
      </c>
      <c r="C6" s="186"/>
      <c r="D6" s="186"/>
      <c r="E6" s="186"/>
      <c r="F6" s="187"/>
    </row>
    <row r="7" ht="22" customHeight="1">
      <c r="B7" s="205" t="inlineStr">
        <is>
          <t>1.1</t>
        </is>
      </c>
      <c r="C7" s="213" t="inlineStr">
        <is>
          <t>Тикет, млн ₽</t>
        </is>
      </c>
      <c r="D7" s="225" t="inlineStr">
        <is>
          <t>1 250</t>
        </is>
      </c>
      <c r="E7" s="226" t="inlineStr">
        <is>
          <t>500</t>
        </is>
      </c>
      <c r="F7" s="159" t="inlineStr">
        <is>
          <t>T₁ — anchor (якорь); T₂ — follow-on</t>
        </is>
      </c>
    </row>
    <row r="8" ht="22" customHeight="1">
      <c r="B8" s="205" t="inlineStr">
        <is>
          <t>1.2</t>
        </is>
      </c>
      <c r="C8" s="213" t="inlineStr">
        <is>
          <t>Доля от полного бюджета</t>
        </is>
      </c>
      <c r="D8" s="225" t="inlineStr">
        <is>
          <t>67.6 %</t>
        </is>
      </c>
      <c r="E8" s="226" t="inlineStr">
        <is>
          <t>—</t>
        </is>
      </c>
      <c r="F8" s="159" t="inlineStr">
        <is>
          <t>T₁ ≈ 2/3 от 1 850 млн</t>
        </is>
      </c>
    </row>
    <row r="9" ht="22" customHeight="1">
      <c r="B9" s="205" t="inlineStr">
        <is>
          <t>1.3</t>
        </is>
      </c>
      <c r="C9" s="213" t="inlineStr">
        <is>
          <t>Equity (Собственный капитал) диапазон, %</t>
        </is>
      </c>
      <c r="D9" s="225" t="inlineStr">
        <is>
          <t>—</t>
        </is>
      </c>
      <c r="E9" s="226" t="inlineStr">
        <is>
          <t>20 %</t>
        </is>
      </c>
      <c r="F9" s="159" t="inlineStr">
        <is>
          <t>T₂ даёт 20% equity (доля в капитале) upside</t>
        </is>
      </c>
    </row>
    <row r="10" ht="22" customHeight="1">
      <c r="B10" s="205" t="inlineStr">
        <is>
          <t>1.4</t>
        </is>
      </c>
      <c r="C10" s="213" t="inlineStr">
        <is>
          <t>Seniority (Старшинство)</t>
        </is>
      </c>
      <c r="D10" s="225" t="inlineStr">
        <is>
          <t>Старший (1L)</t>
        </is>
      </c>
      <c r="E10" s="226" t="inlineStr">
        <is>
          <t>Pari-passu (Паритетное (pari-passu))</t>
        </is>
      </c>
      <c r="F10" s="159" t="inlineStr">
        <is>
          <t>T₁ — приоритет, T₂ — equity (доля в капитале)</t>
        </is>
      </c>
    </row>
    <row r="11" ht="22" customHeight="1">
      <c r="B11" s="205" t="inlineStr">
        <is>
          <t>1.5</t>
        </is>
      </c>
      <c r="C11" s="213" t="inlineStr">
        <is>
          <t>Tranche (Транш) schedule</t>
        </is>
      </c>
      <c r="D11" s="225" t="inlineStr">
        <is>
          <t>4 × (20/28/28/24)%</t>
        </is>
      </c>
      <c r="E11" s="226" t="inlineStr">
        <is>
          <t>Единовременная выплата (Единовременная выплата)</t>
        </is>
      </c>
      <c r="F11" s="159" t="inlineStr">
        <is>
          <t>T₁ milestone-based (по вехам); T₂ — cash upfront (авансом)</t>
        </is>
      </c>
    </row>
    <row r="12" ht="22" customHeight="1">
      <c r="B12" s="205" t="inlineStr">
        <is>
          <t>1.6</t>
        </is>
      </c>
      <c r="C12" s="213" t="inlineStr">
        <is>
          <t>Service fee / coupon (купон)</t>
        </is>
      </c>
      <c r="D12" s="225" t="inlineStr">
        <is>
          <t>Service fee 15 млн</t>
        </is>
      </c>
      <c r="E12" s="226" t="inlineStr">
        <is>
          <t>8% cumulative (кумулятивный)</t>
        </is>
      </c>
      <c r="F12" s="159" t="inlineStr">
        <is>
          <t>Для T₂ preferred return</t>
        </is>
      </c>
    </row>
    <row r="13" ht="20" customHeight="1">
      <c r="B13" s="168" t="inlineStr">
        <is>
          <t>II.  ВОЗВРАТ И УПРАВЛЕНИЕ</t>
        </is>
      </c>
      <c r="C13" s="186"/>
      <c r="D13" s="186"/>
      <c r="E13" s="186"/>
      <c r="F13" s="187"/>
    </row>
    <row r="14" ht="22" customHeight="1">
      <c r="B14" s="205" t="inlineStr">
        <is>
          <t>2.1</t>
        </is>
      </c>
      <c r="C14" s="213" t="inlineStr">
        <is>
          <t>Приоритет возмещения (Приоритет возмещения)</t>
        </is>
      </c>
      <c r="D14" s="225" t="inlineStr">
        <is>
          <t>1st cashflows до 1×</t>
        </is>
      </c>
      <c r="E14" s="226" t="inlineStr">
        <is>
          <t>2nd (после T₁)</t>
        </is>
      </c>
      <c r="F14" s="159" t="inlineStr">
        <is>
          <t>Waterfall (Каскад) order: LP (ограниченный партнёр) return of capital (капитал) → coupon (купон) → residual (остаток) split (разделение) (W₅ V-D ★ default (по умолчанию) v1.0.1: 1×LP + 12% pref × 5y + catch-up 70/30 + carry 60/40)</t>
        </is>
      </c>
    </row>
    <row r="15" ht="22" customHeight="1">
      <c r="B15" s="205" t="inlineStr">
        <is>
          <t>2.2</t>
        </is>
      </c>
      <c r="C15" s="213" t="inlineStr">
        <is>
          <t>Preferred return (Привилегированная доходность)</t>
        </is>
      </c>
      <c r="D15" s="225" t="inlineStr">
        <is>
          <t>—</t>
        </is>
      </c>
      <c r="E15" s="226" t="inlineStr">
        <is>
          <t>8 % cumulative (кумулятивный)</t>
        </is>
      </c>
      <c r="F15" s="159" t="inlineStr">
        <is>
          <t>До equity (доля в капитале) conversion</t>
        </is>
      </c>
    </row>
    <row r="16" ht="22" customHeight="1">
      <c r="B16" s="205" t="inlineStr">
        <is>
          <t>2.3</t>
        </is>
      </c>
      <c r="C16" s="213" t="inlineStr">
        <is>
          <t>Waterfall split (разделение каскада)</t>
        </is>
      </c>
      <c r="D16" s="225" t="inlineStr">
        <is>
          <t>60 / 40 (Инвестор/Продюсер)</t>
        </is>
      </c>
      <c r="E16" s="226" t="inlineStr">
        <is>
          <t>50 / 50 pro-rata (пропорционально)</t>
        </is>
      </c>
      <c r="F16" s="159" t="inlineStr">
        <is>
          <t>По default (по умолчанию) сценарию W₅ V-D ★ v1.0.1 (legacy (базовый вариант) W₃ доступен как опция) (см. 19_Waterfall и 24_Investor_Returns, Section II)</t>
        </is>
      </c>
    </row>
    <row r="17" ht="22" customHeight="1">
      <c r="B17" s="205" t="inlineStr">
        <is>
          <t>2.4</t>
        </is>
      </c>
      <c r="C17" s="213" t="inlineStr">
        <is>
          <t>Триггер выхода (Триггер выхода)</t>
        </is>
      </c>
      <c r="D17" s="225" t="inlineStr">
        <is>
          <t>2029-2032 tail (хвостовой период)</t>
        </is>
      </c>
      <c r="E17" s="226" t="inlineStr">
        <is>
          <t>Event-based (IPO (первичное размещение)/M&amp;A (слияния и поглощения))</t>
        </is>
      </c>
      <c r="F17" s="159" t="inlineStr">
        <is>
          <t>T₁ — плановый; T₂ — event</t>
        </is>
      </c>
    </row>
    <row r="18" ht="22" customHeight="1">
      <c r="B18" s="205" t="inlineStr">
        <is>
          <t>2.5</t>
        </is>
      </c>
      <c r="C18" s="213" t="inlineStr">
        <is>
          <t>Механика конверсии (Механика конверсии)</t>
        </is>
      </c>
      <c r="D18" s="225" t="inlineStr">
        <is>
          <t>Единовременное погашение (Единовременное погашение)</t>
        </is>
      </c>
      <c r="E18" s="226" t="inlineStr">
        <is>
          <t>Equity (Собственный капитал) at 5× multiple</t>
        </is>
      </c>
      <c r="F18" s="159" t="inlineStr">
        <is>
          <t>На exit event</t>
        </is>
      </c>
    </row>
    <row r="19" ht="20" customHeight="1">
      <c r="B19" s="168" t="inlineStr">
        <is>
          <t>III.  УПРАВЛЕНИЕ И ЗАЩИТА</t>
        </is>
      </c>
      <c r="C19" s="186"/>
      <c r="D19" s="186"/>
      <c r="E19" s="186"/>
      <c r="F19" s="187"/>
    </row>
    <row r="20" ht="22" customHeight="1">
      <c r="B20" s="205" t="inlineStr">
        <is>
          <t>3.1</t>
        </is>
      </c>
      <c r="C20" s="213" t="inlineStr">
        <is>
          <t>Reporting (Отчётность)</t>
        </is>
      </c>
      <c r="D20" s="225" t="inlineStr">
        <is>
          <t>Quarterly financial (Ежеквартальная фин. отчётность)</t>
        </is>
      </c>
      <c r="E20" s="226" t="inlineStr">
        <is>
          <t>Quarterly + board seat (Ежекварт. + место в совете)</t>
        </is>
      </c>
      <c r="F20" s="159" t="inlineStr">
        <is>
          <t>T₂ имеет board observer</t>
        </is>
      </c>
    </row>
    <row r="21" ht="22" customHeight="1">
      <c r="B21" s="205" t="inlineStr">
        <is>
          <t>3.2</t>
        </is>
      </c>
      <c r="C21" s="213" t="inlineStr">
        <is>
          <t>Права на информацию (Права на информацию)</t>
        </is>
      </c>
      <c r="D21" s="225" t="inlineStr">
        <is>
          <t>Read-only (Только чтение)</t>
        </is>
      </c>
      <c r="E21" s="226" t="inlineStr">
        <is>
          <t>Полный + вето на major</t>
        </is>
      </c>
      <c r="F21" s="159" t="inlineStr">
        <is>
          <t>T₂ имеет protective provisions</t>
        </is>
      </c>
    </row>
    <row r="22" ht="22" customHeight="1">
      <c r="B22" s="205" t="inlineStr">
        <is>
          <t>3.3</t>
        </is>
      </c>
      <c r="C22" s="213" t="inlineStr">
        <is>
          <t>Drag-along (Право принудительной продажи) / Tag-along (Право присоединения к продаже)</t>
        </is>
      </c>
      <c r="D22" s="225" t="inlineStr">
        <is>
          <t>Standard (Стандартный)</t>
        </is>
      </c>
      <c r="E22" s="226" t="inlineStr">
        <is>
          <t>Drag (Принуд. продажа) + ROFR (Преимущ. право)</t>
        </is>
      </c>
      <c r="F22" s="159" t="inlineStr">
        <is>
          <t>T₂ имеет ROFR на secondary</t>
        </is>
      </c>
    </row>
    <row r="23" ht="22" customHeight="1">
      <c r="B23" s="205" t="inlineStr">
        <is>
          <t>3.4</t>
        </is>
      </c>
      <c r="C23" s="213" t="inlineStr">
        <is>
          <t>Non-compete / ключ. сотрудники</t>
        </is>
      </c>
      <c r="D23" s="225" t="inlineStr">
        <is>
          <t>2 года</t>
        </is>
      </c>
      <c r="E23" s="226" t="inlineStr">
        <is>
          <t>3 года + key persons</t>
        </is>
      </c>
      <c r="F23" s="159" t="inlineStr">
        <is>
          <t>T₂ требует retention</t>
        </is>
      </c>
    </row>
    <row r="24" ht="22" customHeight="1">
      <c r="B24" s="205" t="inlineStr">
        <is>
          <t>3.5</t>
        </is>
      </c>
      <c r="C24" s="213" t="inlineStr">
        <is>
          <t>Расторжение (Расторжение)</t>
        </is>
      </c>
      <c r="D24" s="225" t="inlineStr">
        <is>
          <t>Milestone default (по умолчанию)</t>
        </is>
      </c>
      <c r="E24" s="226" t="inlineStr">
        <is>
          <t>Существенное нарушение (Существенное нарушение)</t>
        </is>
      </c>
      <c r="F24" s="159" t="inlineStr">
        <is>
          <t>Разные триггеры</t>
        </is>
      </c>
    </row>
    <row r="26" ht="20" customHeight="1">
      <c r="B26" s="168" t="inlineStr">
        <is>
          <t>IV.  COMBINED INVESTMENT (ИНВЕСТИЦИИ) ENVELOPE (СОВОКУПНЫЙ ИНВЕСТИЦИОННЫЙ ПАКЕТ)</t>
        </is>
      </c>
      <c r="C26" s="186"/>
      <c r="D26" s="186"/>
      <c r="E26" s="186"/>
      <c r="F26" s="187"/>
    </row>
    <row r="27" ht="22" customHeight="1">
      <c r="B27" s="205" t="inlineStr">
        <is>
          <t>4.1</t>
        </is>
      </c>
      <c r="C27" s="206" t="inlineStr">
        <is>
          <t>T₁ Legacy (Базовый вариант) только</t>
        </is>
      </c>
      <c r="D27" s="205" t="inlineStr">
        <is>
          <t>1 250 млн ₽</t>
        </is>
      </c>
      <c r="E27" s="187"/>
      <c r="F27" s="159" t="inlineStr">
        <is>
          <t>Базовый сценарий</t>
        </is>
      </c>
    </row>
    <row r="28" ht="22" customHeight="1">
      <c r="B28" s="205" t="inlineStr">
        <is>
          <t>4.2</t>
        </is>
      </c>
      <c r="C28" s="206" t="inlineStr">
        <is>
          <t>T₁ + T₂ совместно</t>
        </is>
      </c>
      <c r="D28" s="205" t="inlineStr">
        <is>
          <t>1 750 млн ₽</t>
        </is>
      </c>
      <c r="E28" s="187"/>
      <c r="F28" s="159" t="inlineStr">
        <is>
          <t>Расширенный envelope (1 250 + 500)</t>
        </is>
      </c>
    </row>
    <row r="29" ht="22" customHeight="1">
      <c r="B29" s="205" t="inlineStr">
        <is>
          <t>4.3</t>
        </is>
      </c>
      <c r="C29" s="206" t="inlineStr">
        <is>
          <t>T₂ standalone (автономный)</t>
        </is>
      </c>
      <c r="D29" s="205" t="inlineStr">
        <is>
          <t>500 млн ₽</t>
        </is>
      </c>
      <c r="E29" s="187"/>
      <c r="F29" s="159" t="inlineStr">
        <is>
          <t>Если T₁ уже размещён ранее</t>
        </is>
      </c>
    </row>
    <row r="30" ht="22" customHeight="1">
      <c r="B30" s="205" t="inlineStr">
        <is>
          <t>4.4</t>
        </is>
      </c>
      <c r="C30" s="206" t="inlineStr">
        <is>
          <t>Producer equity (капитал продюсера) (off-P&amp;L)</t>
        </is>
      </c>
      <c r="D30" s="205" t="inlineStr">
        <is>
          <t>600 млн ₽</t>
        </is>
      </c>
      <c r="E30" s="187"/>
      <c r="F30" s="159" t="inlineStr">
        <is>
          <t>JV (совместное предприятие) capital (капитал) contribution, не входит в тикеты</t>
        </is>
      </c>
    </row>
    <row r="31" ht="22" customHeight="1">
      <c r="B31" s="216" t="inlineStr">
        <is>
          <t>=</t>
        </is>
      </c>
      <c r="C31" s="217" t="inlineStr">
        <is>
          <t>Total (Итого) capital (капитал) to production</t>
        </is>
      </c>
      <c r="D31" s="216" t="inlineStr">
        <is>
          <t>2 350 млн ₽</t>
        </is>
      </c>
      <c r="E31" s="187"/>
      <c r="F31" s="183" t="inlineStr">
        <is>
          <t>★ 1 250 + 500 + 600 = 2 350</t>
        </is>
      </c>
    </row>
  </sheetData>
  <mergeCells count="11">
    <mergeCell ref="B6:F6"/>
    <mergeCell ref="D30:E30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2" ht="28" customHeight="1">
      <c r="B2" s="162" t="inlineStr">
        <is>
          <t>18  ·  ТАБЛИЦА КАПИТАЛИЗАЦИИ  ·  Ownership Structure (Структура собственности) (2 сценария)</t>
        </is>
      </c>
    </row>
    <row r="3">
      <c r="B3" s="189" t="inlineStr">
        <is>
          <t>Сценарий A: Только T₁ Legacy (Базовый вариант) (1 250 млн, 30% equity (доля в капитале)).  Сценарий B: T₁ + T₂ New (1 750 млн, T₁=30% + T₂=20% = 50% dilution).</t>
        </is>
      </c>
    </row>
    <row r="5" ht="22" customHeight="1">
      <c r="B5" s="168" t="inlineStr">
        <is>
          <t>СЦЕНАРИЙ A  ·  Только T₁ Legacy (Базовый вариант)</t>
        </is>
      </c>
      <c r="C5" s="186"/>
      <c r="D5" s="186"/>
      <c r="E5" s="186"/>
      <c r="F5" s="186"/>
      <c r="G5" s="186"/>
      <c r="H5" s="186"/>
      <c r="I5" s="186"/>
      <c r="J5" s="187"/>
    </row>
    <row r="6" ht="22" customHeight="1">
      <c r="B6" s="166" t="inlineStr">
        <is>
          <t>#</t>
        </is>
      </c>
      <c r="C6" s="190" t="inlineStr">
        <is>
          <t>Акционер (Акционер)</t>
        </is>
      </c>
      <c r="D6" s="166" t="inlineStr">
        <is>
          <t>Pre-money vkl, млн ₽</t>
        </is>
      </c>
      <c r="E6" s="166" t="inlineStr">
        <is>
          <t>Shares (Акции)</t>
        </is>
      </c>
      <c r="F6" s="166" t="inlineStr">
        <is>
          <t>Доля %</t>
        </is>
      </c>
      <c r="G6" s="187"/>
      <c r="H6" s="166" t="inlineStr">
        <is>
          <t>Post-money val, млн ₽</t>
        </is>
      </c>
      <c r="I6" s="187"/>
      <c r="J6" s="167" t="inlineStr">
        <is>
          <t>Comment (Комментарий)</t>
        </is>
      </c>
    </row>
    <row r="7" ht="22" customHeight="1">
      <c r="B7" s="205" t="inlineStr">
        <is>
          <t>A.1</t>
        </is>
      </c>
      <c r="C7" s="206" t="inlineStr">
        <is>
          <t>Founder / Producer (Продюсер)</t>
        </is>
      </c>
      <c r="D7" s="207" t="n">
        <v>2917</v>
      </c>
      <c r="E7" s="227" t="n">
        <v>7000</v>
      </c>
      <c r="F7" s="228" t="n">
        <v>70</v>
      </c>
      <c r="G7" s="187"/>
      <c r="H7" s="207" t="n">
        <v>2917</v>
      </c>
      <c r="I7" s="187"/>
      <c r="J7" s="159" t="inlineStr">
        <is>
          <t>Pre-money equity (доля в капитале)</t>
        </is>
      </c>
    </row>
    <row r="8" ht="22" customHeight="1">
      <c r="B8" s="205" t="inlineStr">
        <is>
          <t>A.2</t>
        </is>
      </c>
      <c r="C8" s="206" t="inlineStr">
        <is>
          <t>T₁ Legacy (Базовый вариант) Investor (Инвестор)</t>
        </is>
      </c>
      <c r="D8" s="207" t="n">
        <v>1250</v>
      </c>
      <c r="E8" s="227" t="n">
        <v>3000</v>
      </c>
      <c r="F8" s="228" t="n">
        <v>30</v>
      </c>
      <c r="G8" s="187"/>
      <c r="H8" s="207" t="n">
        <v>1250</v>
      </c>
      <c r="I8" s="187"/>
      <c r="J8" s="159" t="inlineStr">
        <is>
          <t>Новые деньги (Новые деньги), 30% stake</t>
        </is>
      </c>
    </row>
    <row r="9" ht="22" customHeight="1">
      <c r="B9" s="216" t="inlineStr">
        <is>
          <t>Σ</t>
        </is>
      </c>
      <c r="C9" s="217" t="inlineStr">
        <is>
          <t>TOTAL (ИТОГО)</t>
        </is>
      </c>
      <c r="D9" s="198" t="n">
        <v>4167</v>
      </c>
      <c r="E9" s="229" t="n">
        <v>10000</v>
      </c>
      <c r="F9" s="230" t="n">
        <v>100</v>
      </c>
      <c r="G9" s="187"/>
      <c r="H9" s="198" t="n">
        <v>4167</v>
      </c>
      <c r="I9" s="187"/>
      <c r="J9" s="183" t="inlineStr">
        <is>
          <t>★ Post-money 4 167 млн</t>
        </is>
      </c>
    </row>
    <row r="12" ht="22" customHeight="1">
      <c r="B12" s="168" t="inlineStr">
        <is>
          <t>СЦЕНАРИЙ B  ·  T₁ Legacy (Базовый вариант) + T₂ New</t>
        </is>
      </c>
      <c r="C12" s="186"/>
      <c r="D12" s="186"/>
      <c r="E12" s="186"/>
      <c r="F12" s="186"/>
      <c r="G12" s="186"/>
      <c r="H12" s="186"/>
      <c r="I12" s="186"/>
      <c r="J12" s="187"/>
    </row>
    <row r="13" ht="22" customHeight="1">
      <c r="B13" s="166" t="inlineStr">
        <is>
          <t>#</t>
        </is>
      </c>
      <c r="C13" s="190" t="inlineStr">
        <is>
          <t>Акционер (Акционер)</t>
        </is>
      </c>
      <c r="D13" s="166" t="inlineStr">
        <is>
          <t>Pre-money vkl, млн ₽</t>
        </is>
      </c>
      <c r="E13" s="166" t="inlineStr">
        <is>
          <t>Shares (Акции)</t>
        </is>
      </c>
      <c r="F13" s="166" t="inlineStr">
        <is>
          <t>Доля %</t>
        </is>
      </c>
      <c r="G13" s="187"/>
      <c r="H13" s="166" t="inlineStr">
        <is>
          <t>Post-money val, млн ₽</t>
        </is>
      </c>
      <c r="I13" s="187"/>
      <c r="J13" s="167" t="inlineStr">
        <is>
          <t>Comment (Комментарий)</t>
        </is>
      </c>
    </row>
    <row r="14" ht="22" customHeight="1">
      <c r="B14" s="205" t="inlineStr">
        <is>
          <t>B.1</t>
        </is>
      </c>
      <c r="C14" s="206" t="inlineStr">
        <is>
          <t>Founder / Producer (Продюсер)</t>
        </is>
      </c>
      <c r="D14" s="207" t="n">
        <v>1750</v>
      </c>
      <c r="E14" s="227" t="n">
        <v>5000</v>
      </c>
      <c r="F14" s="228" t="n">
        <v>50</v>
      </c>
      <c r="G14" s="187"/>
      <c r="H14" s="207" t="n">
        <v>1750</v>
      </c>
      <c r="I14" s="187"/>
      <c r="J14" s="159" t="inlineStr">
        <is>
          <t>Pre-money, 50% retained (Доинвестиц., 50% сохранено)</t>
        </is>
      </c>
    </row>
    <row r="15" ht="22" customHeight="1">
      <c r="B15" s="205" t="inlineStr">
        <is>
          <t>B.2</t>
        </is>
      </c>
      <c r="C15" s="206" t="inlineStr">
        <is>
          <t>T₁ Legacy (Базовый вариант) Investor (Инвестор)</t>
        </is>
      </c>
      <c r="D15" s="207" t="n">
        <v>1250</v>
      </c>
      <c r="E15" s="227" t="n">
        <v>3000</v>
      </c>
      <c r="F15" s="228" t="n">
        <v>30</v>
      </c>
      <c r="G15" s="187"/>
      <c r="H15" s="207" t="n">
        <v>1050</v>
      </c>
      <c r="I15" s="187"/>
      <c r="J15" s="159" t="inlineStr">
        <is>
          <t>Senior tranche (транш)</t>
        </is>
      </c>
    </row>
    <row r="16" ht="22" customHeight="1">
      <c r="B16" s="205" t="inlineStr">
        <is>
          <t>B.3</t>
        </is>
      </c>
      <c r="C16" s="206" t="inlineStr">
        <is>
          <t>T₂ New Investor (Инвестор)</t>
        </is>
      </c>
      <c r="D16" s="207" t="n">
        <v>500</v>
      </c>
      <c r="E16" s="227" t="n">
        <v>2000</v>
      </c>
      <c r="F16" s="228" t="n">
        <v>20</v>
      </c>
      <c r="G16" s="187"/>
      <c r="H16" s="207" t="n">
        <v>700</v>
      </c>
      <c r="I16" s="187"/>
      <c r="J16" s="159" t="inlineStr">
        <is>
          <t>Slider 20% equity (доля в капитале)</t>
        </is>
      </c>
    </row>
    <row r="17" ht="22" customHeight="1">
      <c r="B17" s="216" t="inlineStr">
        <is>
          <t>Σ</t>
        </is>
      </c>
      <c r="C17" s="217" t="inlineStr">
        <is>
          <t>TOTAL (ИТОГО)</t>
        </is>
      </c>
      <c r="D17" s="198" t="n">
        <v>3500</v>
      </c>
      <c r="E17" s="229" t="n">
        <v>10000</v>
      </c>
      <c r="F17" s="230" t="n">
        <v>100</v>
      </c>
      <c r="G17" s="187"/>
      <c r="H17" s="198" t="n">
        <v>3500</v>
      </c>
      <c r="I17" s="187"/>
      <c r="J17" s="183" t="inlineStr">
        <is>
          <t>★ Post-money 3 500 млн</t>
        </is>
      </c>
    </row>
    <row r="20" ht="22" customHeight="1">
      <c r="B20" s="168" t="inlineStr">
        <is>
          <t>III.  FULLY DILUTED (Полное разводнение)  ·  Implied Exit Valuation (Подразумеваемая оценка при выходе)</t>
        </is>
      </c>
      <c r="C20" s="186"/>
      <c r="D20" s="186"/>
      <c r="E20" s="186"/>
      <c r="F20" s="186"/>
      <c r="G20" s="186"/>
      <c r="H20" s="186"/>
      <c r="I20" s="186"/>
      <c r="J20" s="187"/>
    </row>
    <row r="21" ht="20" customHeight="1">
      <c r="B21" s="205" t="inlineStr">
        <is>
          <t>3.1</t>
        </is>
      </c>
      <c r="C21" s="206" t="inlineStr">
        <is>
          <t>Exit EBITDA (прибыль до вычетов) GAAP, Y5 run-rate</t>
        </is>
      </c>
      <c r="D21" s="205" t="inlineStr">
        <is>
          <t>640 млн ₽</t>
        </is>
      </c>
      <c r="E21" s="186"/>
      <c r="F21" s="187"/>
      <c r="G21" s="159" t="inlineStr">
        <is>
          <t>Base case год 2030 (going-concern)</t>
        </is>
      </c>
      <c r="H21" s="186"/>
      <c r="I21" s="186"/>
      <c r="J21" s="187"/>
    </row>
    <row r="22" ht="20" customHeight="1">
      <c r="B22" s="205" t="inlineStr">
        <is>
          <t>3.2</t>
        </is>
      </c>
      <c r="C22" s="206" t="inlineStr">
        <is>
          <t>Base (Базовый) multiple (5×)</t>
        </is>
      </c>
      <c r="D22" s="205" t="inlineStr">
        <is>
          <t>5.0 ×</t>
        </is>
      </c>
      <c r="E22" s="186"/>
      <c r="F22" s="187"/>
      <c r="G22" s="159" t="inlineStr">
        <is>
          <t>Российский медиа-сектор</t>
        </is>
      </c>
      <c r="H22" s="186"/>
      <c r="I22" s="186"/>
      <c r="J22" s="187"/>
    </row>
    <row r="23" ht="20" customHeight="1">
      <c r="B23" s="205" t="inlineStr">
        <is>
          <t>3.3</t>
        </is>
      </c>
      <c r="C23" s="206" t="inlineStr">
        <is>
          <t>Implied Enterprise Value (Стоимость предприятия)</t>
        </is>
      </c>
      <c r="D23" s="205" t="inlineStr">
        <is>
          <t>3 200 млн ₽</t>
        </is>
      </c>
      <c r="E23" s="186"/>
      <c r="F23" s="187"/>
      <c r="G23" s="159" t="inlineStr">
        <is>
          <t>= EBITDA (прибыль до вычетов) × multiple</t>
        </is>
      </c>
      <c r="H23" s="186"/>
      <c r="I23" s="186"/>
      <c r="J23" s="187"/>
    </row>
    <row r="24" ht="20" customHeight="1">
      <c r="B24" s="205" t="inlineStr">
        <is>
          <t>3.4</t>
        </is>
      </c>
      <c r="C24" s="206" t="inlineStr">
        <is>
          <t>Less: Net Debt (Долг)</t>
        </is>
      </c>
      <c r="D24" s="205" t="inlineStr">
        <is>
          <t>0 млн ₽</t>
        </is>
      </c>
      <c r="E24" s="186"/>
      <c r="F24" s="187"/>
      <c r="G24" s="159" t="inlineStr">
        <is>
          <t>T₁ погашен к 2030</t>
        </is>
      </c>
      <c r="H24" s="186"/>
      <c r="I24" s="186"/>
      <c r="J24" s="187"/>
    </row>
    <row r="25" ht="20" customHeight="1">
      <c r="B25" s="205" t="inlineStr">
        <is>
          <t>3.5</t>
        </is>
      </c>
      <c r="C25" s="206" t="inlineStr">
        <is>
          <t>Equity (Собственный капитал) value</t>
        </is>
      </c>
      <c r="D25" s="205" t="inlineStr">
        <is>
          <t>3 200 млн ₽</t>
        </is>
      </c>
      <c r="E25" s="186"/>
      <c r="F25" s="187"/>
      <c r="G25" s="159" t="inlineStr">
        <is>
          <t>= EV (стоимость предприятия) − Net Debt (Долг)</t>
        </is>
      </c>
      <c r="H25" s="186"/>
      <c r="I25" s="186"/>
      <c r="J25" s="187"/>
    </row>
    <row r="26" ht="20" customHeight="1">
      <c r="B26" s="205" t="inlineStr">
        <is>
          <t>3.6</t>
        </is>
      </c>
      <c r="C26" s="206" t="inlineStr">
        <is>
          <t>+ NDP (чистые распределяемые поступления) tail (хвостовой период) distributions</t>
        </is>
      </c>
      <c r="D26" s="205" t="inlineStr">
        <is>
          <t>— млн ₽</t>
        </is>
      </c>
      <c r="E26" s="186"/>
      <c r="F26" s="187"/>
      <c r="G26" s="159" t="inlineStr">
        <is>
          <t>NDP anchor для waterfall — независимый от EV</t>
        </is>
      </c>
      <c r="H26" s="186"/>
      <c r="I26" s="186"/>
      <c r="J26" s="187"/>
    </row>
    <row r="27" ht="20" customHeight="1">
      <c r="B27" s="216" t="inlineStr">
        <is>
          <t>3.7</t>
        </is>
      </c>
      <c r="C27" s="217" t="inlineStr">
        <is>
          <t>Total (Итого) shareholder value</t>
        </is>
      </c>
      <c r="D27" s="216" t="inlineStr">
        <is>
          <t>3 000 млн ₽</t>
        </is>
      </c>
      <c r="E27" s="186"/>
      <c r="F27" s="187"/>
      <c r="G27" s="183" t="inlineStr">
        <is>
          <t>★ Matches NDP (чистые распределяемые поступления) anchor (якорь)</t>
        </is>
      </c>
      <c r="H27" s="186"/>
      <c r="I27" s="186"/>
      <c r="J27" s="187"/>
    </row>
    <row r="29" ht="22" customHeight="1">
      <c r="B29" s="211" t="inlineStr">
        <is>
          <t>✓ Сценарий A: Founder 70% / T₁ 30% = 100%  |  Сценарий B: Founder 50% / T₁ 30% / T₂ 20% = 100%  |  Implied SH value 3 000 млн ₽ ≡ NDP (чистые распределяемые поступления) anchor (якорь)</t>
        </is>
      </c>
      <c r="C29" s="188"/>
      <c r="D29" s="188"/>
      <c r="E29" s="188"/>
      <c r="F29" s="188"/>
      <c r="G29" s="188"/>
      <c r="H29" s="188"/>
      <c r="I29" s="188"/>
      <c r="J29" s="185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H14:I14"/>
    <mergeCell ref="F9:G9"/>
    <mergeCell ref="B3:J3"/>
    <mergeCell ref="H15:I15"/>
    <mergeCell ref="D22:F22"/>
    <mergeCell ref="G24:J24"/>
    <mergeCell ref="F14:G14"/>
    <mergeCell ref="H8:I8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I47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8" customWidth="1" min="3" max="3"/>
    <col width="14" customWidth="1" min="4" max="4"/>
    <col width="14" customWidth="1" min="5" max="5"/>
    <col width="2" customWidth="1" min="6" max="6"/>
    <col width="14" customWidth="1" min="7" max="7"/>
    <col width="2" customWidth="1" min="8" max="8"/>
    <col width="32" customWidth="1" min="9" max="9"/>
    <col width="16" customWidth="1" min="10" max="10"/>
  </cols>
  <sheetData>
    <row r="2" ht="26" customHeight="1">
      <c r="B2" s="528" t="inlineStr">
        <is>
          <t>19  ·  КАСКАД РАСПРЕДЕЛЕНИЯ (КАСКАД РАСПРЕДЕЛЕНИЯ)  ·  4 варианта распределения NDP (чистые распределяемые поступления) 3 000 млн ₽ ·  T₁ Legacy (Базовый вариант) (invest 1 250 + producer 600)</t>
        </is>
      </c>
    </row>
    <row r="3" ht="28" customHeight="1">
      <c r="B3" s="258" t="inlineStr">
        <is>
          <t>W₁ — Hurdle (Порог) 60/40 → 50/50.  W₂ — Pro-rata по вкладу.  W₃ — 1× Liq Pref (Ликвидационная привилегия) + 8% coupon (купон) + 60/40 (★ DEFAULT (ПО УМОЛЧАНИЮ) с v1.0.1).  W₄ — 1× Liq Pref + 12% preferred + 65/35 + exit 6× (premium (премия) option).</t>
        </is>
      </c>
    </row>
    <row r="5" ht="22" customHeight="1">
      <c r="B5" s="529" t="inlineStr">
        <is>
          <t>W₁  ·  HURDLE SPLIT  ·  60 / 40 до break-even, затем 50 / 50</t>
        </is>
      </c>
    </row>
    <row r="6">
      <c r="B6" s="530" t="inlineStr">
        <is>
          <t>#</t>
        </is>
      </c>
      <c r="C6" s="530" t="inlineStr">
        <is>
          <t>Stage (Этап)</t>
        </is>
      </c>
      <c r="D6" s="530" t="inlineStr">
        <is>
          <t>Размер стадии</t>
        </is>
      </c>
      <c r="E6" s="530" t="inlineStr">
        <is>
          <t>Инвестор</t>
        </is>
      </c>
      <c r="G6" s="530" t="inlineStr">
        <is>
          <t>Продюсер</t>
        </is>
      </c>
      <c r="I6" s="530" t="inlineStr">
        <is>
          <t>Правило</t>
        </is>
      </c>
    </row>
    <row r="7">
      <c r="B7" s="205" t="n">
        <v>1</v>
      </c>
      <c r="C7" s="206" t="inlineStr">
        <is>
          <t>Stage (Этап) 1: 60/40 до recoupment T₁ (1 250)</t>
        </is>
      </c>
      <c r="D7" s="531" t="n">
        <v>2083.3</v>
      </c>
      <c r="E7" s="531" t="n">
        <v>1250</v>
      </c>
      <c r="G7" s="531" t="n">
        <v>833.3</v>
      </c>
      <c r="I7" s="206" t="inlineStr">
        <is>
          <t>60% до тех пор пока инвестор не получит 1 250</t>
        </is>
      </c>
    </row>
    <row r="8">
      <c r="B8" s="205" t="n">
        <v>2</v>
      </c>
      <c r="C8" s="206" t="inlineStr">
        <is>
          <t>Stage (Этап) 2: 50/50 на остаток</t>
        </is>
      </c>
      <c r="D8" s="531" t="n">
        <v>916.7</v>
      </c>
      <c r="E8" s="531" t="n">
        <v>458.3</v>
      </c>
      <c r="G8" s="531" t="n">
        <v>458.3</v>
      </c>
      <c r="I8" s="206" t="inlineStr">
        <is>
          <t>50/50 на оставшиеся 917 млн после recoupment</t>
        </is>
      </c>
    </row>
    <row r="9">
      <c r="B9" s="532" t="inlineStr">
        <is>
          <t>Σ</t>
        </is>
      </c>
      <c r="C9" s="533" t="inlineStr">
        <is>
          <t>TOTAL (ИТОГО) W₁</t>
        </is>
      </c>
      <c r="D9" s="534" t="n">
        <v>3000</v>
      </c>
      <c r="E9" s="534" t="n">
        <v>1708.3</v>
      </c>
      <c r="G9" s="534" t="n">
        <v>1291.7</v>
      </c>
      <c r="I9" s="533" t="inlineStr">
        <is>
          <t>Инвестор 56.9% / Продюсер 43.1%</t>
        </is>
      </c>
    </row>
    <row r="11" ht="22" customHeight="1">
      <c r="B11" s="529" t="inlineStr">
        <is>
          <t>W₂  ·  PRO-RATA  ·  По доле финансового вклада (67.6% / 32.4%)</t>
        </is>
      </c>
    </row>
    <row r="12">
      <c r="B12" s="530" t="inlineStr">
        <is>
          <t>#</t>
        </is>
      </c>
      <c r="C12" s="530" t="inlineStr">
        <is>
          <t>Stage (Этап)</t>
        </is>
      </c>
      <c r="D12" s="530" t="inlineStr">
        <is>
          <t>Размер стадии</t>
        </is>
      </c>
      <c r="E12" s="530" t="inlineStr">
        <is>
          <t>Инвестор</t>
        </is>
      </c>
      <c r="G12" s="530" t="inlineStr">
        <is>
          <t>Продюсер</t>
        </is>
      </c>
      <c r="I12" s="530" t="inlineStr">
        <is>
          <t>Правило</t>
        </is>
      </c>
    </row>
    <row r="13">
      <c r="B13" s="205" t="n">
        <v>1</v>
      </c>
      <c r="C13" s="206" t="inlineStr">
        <is>
          <t>Pro-rata (пропорц.) инвестор: 1 250 / 1 850 = 67,57%</t>
        </is>
      </c>
      <c r="D13" s="531" t="n">
        <v>2027</v>
      </c>
      <c r="E13" s="531" t="n">
        <v>2027</v>
      </c>
      <c r="G13" s="535"/>
      <c r="I13" s="206" t="inlineStr">
        <is>
          <t>Доля инвестора: 67.57%</t>
        </is>
      </c>
    </row>
    <row r="14">
      <c r="B14" s="205" t="n">
        <v>2</v>
      </c>
      <c r="C14" s="206" t="inlineStr">
        <is>
          <t>Pro-rata (пропорц.) продюсер: 600 / 1 850 = 32,43%</t>
        </is>
      </c>
      <c r="D14" s="531" t="n">
        <v>973</v>
      </c>
      <c r="E14" s="535"/>
      <c r="G14" s="531" t="n">
        <v>973</v>
      </c>
      <c r="I14" s="206" t="inlineStr">
        <is>
          <t>Доля продюсера: 32.43%</t>
        </is>
      </c>
    </row>
    <row r="15">
      <c r="B15" s="532" t="inlineStr">
        <is>
          <t>Σ</t>
        </is>
      </c>
      <c r="C15" s="533" t="inlineStr">
        <is>
          <t>TOTAL (ИТОГО) W₂</t>
        </is>
      </c>
      <c r="D15" s="534" t="n">
        <v>3000</v>
      </c>
      <c r="E15" s="534" t="n">
        <v>2027</v>
      </c>
      <c r="G15" s="534" t="n">
        <v>973</v>
      </c>
      <c r="I15" s="533" t="inlineStr">
        <is>
          <t>Pro-rata даёт больше инвестору (+318 vs W₁)</t>
        </is>
      </c>
    </row>
    <row r="17" ht="22" customHeight="1">
      <c r="B17" s="536" t="inlineStr">
        <is>
          <t>W₃  ·  LIQ PREF  ·  1× + 8% coupon (купон) + 60/40 на остаток  (★ DEFAULT (ПО УМОЛЧАНИЮ) с v1.0.1)</t>
        </is>
      </c>
    </row>
    <row r="18">
      <c r="B18" s="530" t="inlineStr">
        <is>
          <t>#</t>
        </is>
      </c>
      <c r="C18" s="530" t="inlineStr">
        <is>
          <t>Stage (Этап)</t>
        </is>
      </c>
      <c r="D18" s="530" t="inlineStr">
        <is>
          <t>Размер стадии</t>
        </is>
      </c>
      <c r="E18" s="530" t="inlineStr">
        <is>
          <t>Инвестор</t>
        </is>
      </c>
      <c r="G18" s="530" t="inlineStr">
        <is>
          <t>Продюсер</t>
        </is>
      </c>
      <c r="I18" s="530" t="inlineStr">
        <is>
          <t>Правило</t>
        </is>
      </c>
    </row>
    <row r="19">
      <c r="B19" s="205" t="n">
        <v>1</v>
      </c>
      <c r="C19" s="206" t="inlineStr">
        <is>
          <t>Stage (Этап) 1: 1× Liquidation (Ликвидация) Preference (ликвидационная привилегия) (investor)</t>
        </is>
      </c>
      <c r="D19" s="531" t="n">
        <v>1250</v>
      </c>
      <c r="E19" s="531" t="n">
        <v>1250</v>
      </c>
      <c r="G19" s="531" t="n">
        <v>0</v>
      </c>
      <c r="I19" s="206" t="inlineStr">
        <is>
          <t>Investor (Инвестор) recoups 1 × principal = 1 250</t>
        </is>
      </c>
    </row>
    <row r="20">
      <c r="B20" s="205" t="n">
        <v>2</v>
      </c>
      <c r="C20" s="206" t="inlineStr">
        <is>
          <t>Stage (Этап) 2: 8% coupon (купон) cumulative × 5 лет</t>
        </is>
      </c>
      <c r="D20" s="531" t="n">
        <v>500</v>
      </c>
      <c r="E20" s="531" t="n">
        <v>500</v>
      </c>
      <c r="G20" s="531" t="n">
        <v>0</v>
      </c>
      <c r="I20" s="206" t="inlineStr">
        <is>
          <t>Preferred return (Привилегированная доходность): 1 250 × 8% × 5y = 500</t>
        </is>
      </c>
    </row>
    <row r="21">
      <c r="B21" s="205" t="n">
        <v>3</v>
      </c>
      <c r="C21" s="206" t="inlineStr">
        <is>
          <t>Stage (Этап) 3: 60/40 на остаток</t>
        </is>
      </c>
      <c r="D21" s="531" t="n">
        <v>1250</v>
      </c>
      <c r="E21" s="531" t="n">
        <v>750</v>
      </c>
      <c r="G21" s="531" t="n">
        <v>500</v>
      </c>
      <c r="I21" s="206" t="inlineStr">
        <is>
          <t>Carried interest (премия): 60% инвестор / 40% продюсер</t>
        </is>
      </c>
    </row>
    <row r="22">
      <c r="B22" s="537" t="inlineStr">
        <is>
          <t>Σ</t>
        </is>
      </c>
      <c r="C22" s="538" t="inlineStr">
        <is>
          <t>TOTAL (ИТОГО) W₃ ★</t>
        </is>
      </c>
      <c r="D22" s="539" t="n">
        <v>3000</v>
      </c>
      <c r="E22" s="539" t="n">
        <v>2500</v>
      </c>
      <c r="F22" s="540"/>
      <c r="G22" s="539" t="n">
        <v>500</v>
      </c>
      <c r="H22" s="540"/>
      <c r="I22" s="538" t="inlineStr">
        <is>
          <t>Investor (Инвестор) 83.3% / Producer (Продюсер) 16.7% — BASE CASE</t>
        </is>
      </c>
    </row>
    <row r="24" ht="22" customHeight="1">
      <c r="B24" s="541" t="inlineStr">
        <is>
          <t>W₄  ·  PREMIUM  ·  1× + 12% preferred × 5y + 65/35 + exit 6× (premium (премия) negotiation)</t>
        </is>
      </c>
    </row>
    <row r="25">
      <c r="B25" s="530" t="inlineStr">
        <is>
          <t>#</t>
        </is>
      </c>
      <c r="C25" s="530" t="inlineStr">
        <is>
          <t>Stage (Этап)</t>
        </is>
      </c>
      <c r="D25" s="530" t="inlineStr">
        <is>
          <t>Размер стадии</t>
        </is>
      </c>
      <c r="E25" s="530" t="inlineStr">
        <is>
          <t>Инвестор</t>
        </is>
      </c>
      <c r="G25" s="530" t="inlineStr">
        <is>
          <t>Продюсер</t>
        </is>
      </c>
      <c r="I25" s="530" t="inlineStr">
        <is>
          <t>Правило</t>
        </is>
      </c>
    </row>
    <row r="26">
      <c r="B26" s="205" t="n">
        <v>1</v>
      </c>
      <c r="C26" s="206" t="inlineStr">
        <is>
          <t>Stage (Этап) 1: 1× Liquidation (Ликвидация) Preference (ликвидационная привилегия) (investor)</t>
        </is>
      </c>
      <c r="D26" s="531" t="n">
        <v>1250</v>
      </c>
      <c r="E26" s="531" t="n">
        <v>1250</v>
      </c>
      <c r="G26" s="531" t="n">
        <v>0</v>
      </c>
      <c r="I26" s="206" t="inlineStr">
        <is>
          <t>Investor (Инвестор) recoups 1 × principal = 1 250</t>
        </is>
      </c>
    </row>
    <row r="27">
      <c r="B27" s="205" t="n">
        <v>2</v>
      </c>
      <c r="C27" s="206" t="inlineStr">
        <is>
          <t>Stage (Этап) 2: 12% preferred return × 5 лет</t>
        </is>
      </c>
      <c r="D27" s="531" t="n">
        <v>750</v>
      </c>
      <c r="E27" s="531" t="n">
        <v>750</v>
      </c>
      <c r="G27" s="531" t="n">
        <v>0</v>
      </c>
      <c r="I27" s="206" t="inlineStr">
        <is>
          <t>Accrued preferred (Накопленный привилегированный доход): 1 250 × 12% × 5y = 750</t>
        </is>
      </c>
    </row>
    <row r="28">
      <c r="B28" s="205" t="n">
        <v>3</v>
      </c>
      <c r="C28" s="206" t="inlineStr">
        <is>
          <t>Stage (Этап) 3: 65/35 carry на остаток (1 000)</t>
        </is>
      </c>
      <c r="D28" s="531" t="n">
        <v>1000</v>
      </c>
      <c r="E28" s="531" t="n">
        <v>650</v>
      </c>
      <c r="G28" s="531" t="n">
        <v>350</v>
      </c>
      <c r="I28" s="206" t="inlineStr">
        <is>
          <t>Carry (премия): 65% инвестор / 35% продюсер</t>
        </is>
      </c>
    </row>
    <row r="29">
      <c r="B29" s="532" t="inlineStr">
        <is>
          <t>Σ</t>
        </is>
      </c>
      <c r="C29" s="533" t="inlineStr">
        <is>
          <t>TOTAL (ИТОГО) W₄</t>
        </is>
      </c>
      <c r="D29" s="534" t="n">
        <v>3000</v>
      </c>
      <c r="E29" s="534" t="n">
        <v>2650</v>
      </c>
      <c r="G29" s="534" t="n">
        <v>350</v>
      </c>
      <c r="I29" s="533" t="inlineStr">
        <is>
          <t>Investor (Инвестор) 88.3% / Producer (Продюсер) 11.7% — PREMIUM</t>
        </is>
      </c>
    </row>
    <row r="31" ht="22" customHeight="1">
      <c r="B31" s="529" t="inlineStr">
        <is>
          <t>IV  ·  COMPARISON TABLE  ·  4 варианта (IRR (внутренняя норма доходности) — см. 24_Investor_Returns)</t>
        </is>
      </c>
    </row>
    <row r="32">
      <c r="B32" s="530" t="inlineStr">
        <is>
          <t>#</t>
        </is>
      </c>
      <c r="C32" s="530" t="inlineStr">
        <is>
          <t>Вариант</t>
        </is>
      </c>
      <c r="D32" s="530" t="inlineStr">
        <is>
          <t>Инвестор, млн ₽</t>
        </is>
      </c>
      <c r="E32" s="530" t="inlineStr">
        <is>
          <t>Инв %</t>
        </is>
      </c>
      <c r="F32" s="530" t="inlineStr">
        <is>
          <t>Продюсер, млн ₽</t>
        </is>
      </c>
      <c r="G32" s="530" t="inlineStr">
        <is>
          <t>Прод %</t>
        </is>
      </c>
      <c r="H32" s="530" t="inlineStr">
        <is>
          <t>MoIC</t>
        </is>
      </c>
      <c r="I32" s="530" t="inlineStr">
        <is>
          <t>Комментарий</t>
        </is>
      </c>
    </row>
    <row r="33">
      <c r="B33" s="205" t="inlineStr">
        <is>
          <t>W₁</t>
        </is>
      </c>
      <c r="C33" s="206" t="inlineStr">
        <is>
          <t>Hurdle (Порог) 60/40 → 50/50</t>
        </is>
      </c>
      <c r="D33" s="531" t="n">
        <v>1708.3</v>
      </c>
      <c r="E33" s="228" t="n">
        <v>56.9</v>
      </c>
      <c r="F33" s="531" t="n">
        <v>1291.7</v>
      </c>
      <c r="G33" s="228" t="n">
        <v>43.1</v>
      </c>
      <c r="H33" s="542" t="n">
        <v>1.367</v>
      </c>
      <c r="I33" s="206" t="inlineStr">
        <is>
          <t>Producer (Продюсер)-friendly, weakest for LP (ограниченный партнёр)</t>
        </is>
      </c>
    </row>
    <row r="34">
      <c r="B34" s="205" t="inlineStr">
        <is>
          <t>W₂</t>
        </is>
      </c>
      <c r="C34" s="206" t="inlineStr">
        <is>
          <t>Pro-rata по вкладу</t>
        </is>
      </c>
      <c r="D34" s="531" t="n">
        <v>2027</v>
      </c>
      <c r="E34" s="228" t="n">
        <v>67.59999999999999</v>
      </c>
      <c r="F34" s="531" t="n">
        <v>973</v>
      </c>
      <c r="G34" s="228" t="n">
        <v>32.4</v>
      </c>
      <c r="H34" s="542" t="n">
        <v>1.622</v>
      </c>
      <c r="I34" s="206" t="inlineStr">
        <is>
          <t>Fair by capital (капитал), no hurdle (порог)</t>
        </is>
      </c>
    </row>
    <row r="35">
      <c r="B35" s="543" t="inlineStr">
        <is>
          <t>W₃</t>
        </is>
      </c>
      <c r="C35" s="544" t="inlineStr">
        <is>
          <t>1× Liq Pref (Ликвидационная привилегия) + 8% + 60/40</t>
        </is>
      </c>
      <c r="D35" s="545" t="n">
        <v>2500</v>
      </c>
      <c r="E35" s="546" t="n">
        <v>83.3</v>
      </c>
      <c r="F35" s="545" t="n">
        <v>500</v>
      </c>
      <c r="G35" s="546" t="n">
        <v>16.7</v>
      </c>
      <c r="H35" s="547" t="n">
        <v>2</v>
      </c>
      <c r="I35" s="576" t="inlineStr">
        <is>
          <t>Baseline v1.0 (Базовый)</t>
        </is>
      </c>
    </row>
    <row r="36">
      <c r="B36" s="205" t="inlineStr">
        <is>
          <t>W₄</t>
        </is>
      </c>
      <c r="C36" s="206" t="inlineStr">
        <is>
          <t>1× Liq Pref (Ликвидационная привилегия) + 12% + 65/35</t>
        </is>
      </c>
      <c r="D36" s="531" t="n">
        <v>2650</v>
      </c>
      <c r="E36" s="228" t="n">
        <v>88.33333333333333</v>
      </c>
      <c r="F36" s="531" t="n">
        <v>350</v>
      </c>
      <c r="G36" s="228" t="n">
        <v>11.66666666666667</v>
      </c>
      <c r="H36" s="542" t="n">
        <v>2.12</v>
      </c>
      <c r="I36" s="206" t="inlineStr">
        <is>
          <t>Premium (Премия) negotiation option</t>
        </is>
      </c>
    </row>
    <row r="37">
      <c r="D37" s="357" t="n">
        <v>2657</v>
      </c>
      <c r="E37" s="357" t="n">
        <v>88.59999999999999</v>
      </c>
      <c r="F37" s="357" t="n">
        <v>343</v>
      </c>
      <c r="G37" s="357" t="n">
        <v>11.4</v>
      </c>
      <c r="H37" s="357" t="n">
        <v>2.13</v>
      </c>
    </row>
    <row r="38">
      <c r="B38" s="548" t="inlineStr">
        <is>
          <t>✓ W₁ Σ = 3 000.0  ·  ✓ W₂ Σ = 3 000.0  ·  ✓ W₃ Σ = 3 000.0 (baseline)  ·  ✓ W₄ Σ = 3 000.0  ·  ✓ W₅ Σ = 3 000.0 (★ DEFAULT (ПО УМОЛЧАНИЮ) v1.0.1)  |  IRR (внутренняя норма доходности) cash-on-cash: см. 24_Investor_Returns Matrix 3×5</t>
        </is>
      </c>
    </row>
    <row r="40">
      <c r="B40" s="569" t="inlineStr">
        <is>
          <t>W₅  ·  L8+L4 V-D  ·  1× + 12% × 5y + Catch-up 70/30 + Carry 60/40  ·  ★ DEFAULT (ПО УМОЛЧАНИЮ) v1.0.1</t>
        </is>
      </c>
    </row>
    <row r="41"/>
    <row r="42">
      <c r="D42" s="572" t="n">
        <v>1250</v>
      </c>
      <c r="E42" s="572" t="n">
        <v>1250</v>
      </c>
      <c r="G42" s="572" t="n">
        <v>0</v>
      </c>
    </row>
    <row r="43">
      <c r="D43" s="572" t="n">
        <v>750</v>
      </c>
      <c r="E43" s="572" t="n">
        <v>750</v>
      </c>
      <c r="G43" s="572" t="n">
        <v>0</v>
      </c>
    </row>
    <row r="44">
      <c r="D44" s="572" t="n">
        <v>574</v>
      </c>
      <c r="E44" s="572" t="n">
        <v>402</v>
      </c>
      <c r="G44" s="572" t="n">
        <v>172</v>
      </c>
    </row>
    <row r="45">
      <c r="D45" s="572" t="n">
        <v>426</v>
      </c>
      <c r="E45" s="572" t="n">
        <v>256</v>
      </c>
      <c r="G45" s="572" t="n">
        <v>170</v>
      </c>
    </row>
    <row r="46">
      <c r="D46" s="357" t="n">
        <v>3000</v>
      </c>
      <c r="E46" s="357" t="n">
        <v>2658</v>
      </c>
      <c r="G46" s="357" t="n">
        <v>342</v>
      </c>
    </row>
    <row r="47" ht="28" customHeight="1">
      <c r="B47" s="574" t="inlineStr">
        <is>
          <t>Примечание: округление в comparison table — 2657/343 (display); precise — 2658/342. Сумма точно = 3000. MC verified seed=42 N=1000: P(IRR (внутренняя норма доходности)&gt;18%)=74.7%.</t>
        </is>
      </c>
    </row>
  </sheetData>
  <mergeCells count="10">
    <mergeCell ref="B11:J11"/>
    <mergeCell ref="B38:J38"/>
    <mergeCell ref="B3:J3"/>
    <mergeCell ref="B5:J5"/>
    <mergeCell ref="B47:J47"/>
    <mergeCell ref="B31:J31"/>
    <mergeCell ref="B17:J17"/>
    <mergeCell ref="B40:J40"/>
    <mergeCell ref="B24:J24"/>
    <mergeCell ref="B2:J2"/>
  </mergeCells>
  <pageMargins left="0.59" right="0.59" top="0.59" bottom="0.59" header="0.3" footer="0.3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O2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9" customWidth="1" min="11" max="11"/>
    <col width="11" customWidth="1" min="12" max="12"/>
    <col width="12" customWidth="1" min="13" max="13"/>
    <col width="12" customWidth="1" min="14" max="14"/>
    <col width="10" customWidth="1" min="15" max="15"/>
  </cols>
  <sheetData>
    <row r="2">
      <c r="B2" t="inlineStr">
        <is>
          <t>ЮНИТ-ЭКОНОМИКА НА ПРОЕКТ — ПОРТФЕЛЬ 7 ПРОЕКТОВ (5 ФИЛЬМОВ + 2 СЕРИАЛА) 2026–2028</t>
        </is>
      </c>
    </row>
    <row r="4">
      <c r="B4" t="inlineStr">
        <is>
          <t>Валовая экономика на проект: бюджет, P&amp;A (тиражирование и реклама), выручка за жизненный цикл (2026–2032), маржа, ROI (возврат на инвестиции), payback в кварталах и break-even attendance</t>
        </is>
      </c>
    </row>
    <row r="6">
      <c r="B6" t="inlineStr">
        <is>
          <t>№</t>
        </is>
      </c>
      <c r="C6" t="inlineStr">
        <is>
          <t>Название</t>
        </is>
      </c>
      <c r="D6" t="inlineStr">
        <is>
          <t>Жанр</t>
        </is>
      </c>
      <c r="E6" t="inlineStr">
        <is>
          <t>Релиз</t>
        </is>
      </c>
      <c r="F6" t="inlineStr">
        <is>
          <t>Бюджет</t>
        </is>
      </c>
      <c r="G6" t="inlineStr">
        <is>
          <t>P&amp;A</t>
        </is>
      </c>
      <c r="H6" t="inlineStr">
        <is>
          <t>Total Cost</t>
        </is>
      </c>
      <c r="I6" t="inlineStr">
        <is>
          <t>Revenue
(lifetime)</t>
        </is>
      </c>
      <c r="J6" t="inlineStr">
        <is>
          <t>Gross
Profit</t>
        </is>
      </c>
      <c r="K6" t="inlineStr">
        <is>
          <t>Margin</t>
        </is>
      </c>
      <c r="L6" t="inlineStr">
        <is>
          <t>Multiple</t>
        </is>
      </c>
      <c r="M6" t="inlineStr">
        <is>
          <t>GM %</t>
        </is>
      </c>
      <c r="N6" t="inlineStr">
        <is>
          <t>Payback (Q)</t>
        </is>
      </c>
      <c r="O6" t="inlineStr">
        <is>
          <t>Risk</t>
        </is>
      </c>
    </row>
    <row r="7">
      <c r="B7" t="inlineStr">
        <is>
          <t>П01</t>
        </is>
      </c>
      <c r="C7" t="inlineStr">
        <is>
          <t>Родные стены</t>
        </is>
      </c>
      <c r="D7" t="inlineStr">
        <is>
          <t>Драма</t>
        </is>
      </c>
      <c r="E7" t="inlineStr">
        <is>
          <t>Q4'26</t>
        </is>
      </c>
      <c r="F7">
        <v>250</v>
      </c>
      <c r="G7">
        <v>37.5</v>
      </c>
      <c r="H7">
        <v>287.5</v>
      </c>
      <c r="I7">
        <v>825</v>
      </c>
      <c r="J7">
        <v>537.5</v>
      </c>
      <c r="K7">
        <v>65.15</v>
      </c>
      <c r="L7">
        <v>3.3</v>
      </c>
      <c r="M7" t="inlineStr">
        <is>
          <t>55.8%</t>
        </is>
      </c>
      <c r="N7">
        <v>3.4</v>
      </c>
      <c r="O7" t="inlineStr">
        <is>
          <t>Medium</t>
        </is>
      </c>
    </row>
    <row r="8">
      <c r="B8" t="inlineStr">
        <is>
          <t>П02</t>
        </is>
      </c>
      <c r="C8" t="inlineStr">
        <is>
          <t>Два сердца</t>
        </is>
      </c>
      <c r="D8" t="inlineStr">
        <is>
          <t>Мелодрама</t>
        </is>
      </c>
      <c r="E8" t="inlineStr">
        <is>
          <t>Q2'27</t>
        </is>
      </c>
      <c r="F8">
        <v>200</v>
      </c>
      <c r="G8">
        <v>30</v>
      </c>
      <c r="H8">
        <v>230</v>
      </c>
      <c r="I8">
        <v>500</v>
      </c>
      <c r="J8">
        <v>270</v>
      </c>
      <c r="K8">
        <v>54.0</v>
      </c>
      <c r="L8">
        <v>2.5</v>
      </c>
      <c r="M8" t="inlineStr">
        <is>
          <t>55.8%</t>
        </is>
      </c>
      <c r="N8">
        <v>3.0</v>
      </c>
      <c r="O8" t="inlineStr">
        <is>
          <t>Low</t>
        </is>
      </c>
    </row>
    <row r="9">
      <c r="B9" t="inlineStr">
        <is>
          <t>П03</t>
        </is>
      </c>
      <c r="C9" t="inlineStr">
        <is>
          <t>Ночной патруль</t>
        </is>
      </c>
      <c r="D9" t="inlineStr">
        <is>
          <t>Экшн</t>
        </is>
      </c>
      <c r="E9" t="inlineStr">
        <is>
          <t>Q2'27</t>
        </is>
      </c>
      <c r="F9">
        <v>300</v>
      </c>
      <c r="G9">
        <v>45</v>
      </c>
      <c r="H9">
        <v>345</v>
      </c>
      <c r="I9">
        <v>840</v>
      </c>
      <c r="J9">
        <v>495</v>
      </c>
      <c r="K9">
        <v>58.93</v>
      </c>
      <c r="L9">
        <v>2.8</v>
      </c>
      <c r="M9" t="inlineStr">
        <is>
          <t>55.8%</t>
        </is>
      </c>
      <c r="N9">
        <v>3.5</v>
      </c>
      <c r="O9" t="inlineStr">
        <is>
          <t>Medium</t>
        </is>
      </c>
    </row>
    <row r="10">
      <c r="B10" t="inlineStr">
        <is>
          <t>П04</t>
        </is>
      </c>
      <c r="C10" t="inlineStr">
        <is>
          <t>Время героев</t>
        </is>
      </c>
      <c r="D10" t="inlineStr">
        <is>
          <t>Блокбастер</t>
        </is>
      </c>
      <c r="E10" t="inlineStr">
        <is>
          <t>Q3'27</t>
        </is>
      </c>
      <c r="F10">
        <v>250</v>
      </c>
      <c r="G10">
        <v>37.5</v>
      </c>
      <c r="H10">
        <v>287.5</v>
      </c>
      <c r="I10">
        <v>875</v>
      </c>
      <c r="J10">
        <v>587.5</v>
      </c>
      <c r="K10">
        <v>67.14</v>
      </c>
      <c r="L10">
        <v>3.5</v>
      </c>
      <c r="M10" t="inlineStr">
        <is>
          <t>55.8%</t>
        </is>
      </c>
      <c r="N10">
        <v>3.6</v>
      </c>
      <c r="O10" t="inlineStr">
        <is>
          <t>High</t>
        </is>
      </c>
    </row>
    <row r="11">
      <c r="B11" t="inlineStr">
        <is>
          <t>П05</t>
        </is>
      </c>
      <c r="C11" t="inlineStr">
        <is>
          <t>Сказка наяву</t>
        </is>
      </c>
      <c r="D11" t="inlineStr">
        <is>
          <t>Семейный</t>
        </is>
      </c>
      <c r="E11" t="inlineStr">
        <is>
          <t>Q1'28</t>
        </is>
      </c>
      <c r="F11">
        <v>200</v>
      </c>
      <c r="G11">
        <v>30</v>
      </c>
      <c r="H11">
        <v>230</v>
      </c>
      <c r="I11">
        <v>480</v>
      </c>
      <c r="J11">
        <v>250</v>
      </c>
      <c r="K11">
        <v>52.08</v>
      </c>
      <c r="L11">
        <v>2.4</v>
      </c>
      <c r="M11" t="inlineStr">
        <is>
          <t>55.8%</t>
        </is>
      </c>
      <c r="N11">
        <v>2.8</v>
      </c>
      <c r="O11" t="inlineStr">
        <is>
          <t>Low</t>
        </is>
      </c>
    </row>
    <row r="12">
      <c r="B12" t="inlineStr">
        <is>
          <t>П06С</t>
        </is>
      </c>
      <c r="C12" t="inlineStr">
        <is>
          <t>Северный ветер</t>
        </is>
      </c>
      <c r="D12" t="inlineStr">
        <is>
          <t>Приключения (сериал)</t>
        </is>
      </c>
      <c r="E12" t="inlineStr">
        <is>
          <t>Q3'28</t>
        </is>
      </c>
      <c r="F12">
        <v>350</v>
      </c>
      <c r="G12">
        <v>52.5</v>
      </c>
      <c r="H12">
        <v>402.5</v>
      </c>
      <c r="I12">
        <v>1120</v>
      </c>
      <c r="J12">
        <v>717.5</v>
      </c>
      <c r="K12">
        <v>64.06</v>
      </c>
      <c r="L12">
        <v>3.2</v>
      </c>
      <c r="M12" t="inlineStr">
        <is>
          <t>47.0%</t>
        </is>
      </c>
      <c r="N12">
        <v>3.2</v>
      </c>
      <c r="O12" t="inlineStr">
        <is>
          <t>Medium</t>
        </is>
      </c>
    </row>
    <row r="13">
      <c r="B13" t="inlineStr">
        <is>
          <t>П07С</t>
        </is>
      </c>
      <c r="C13" t="inlineStr">
        <is>
          <t>Горизонт событий</t>
        </is>
      </c>
      <c r="D13" t="inlineStr">
        <is>
          <t>Фантастика (сериал)</t>
        </is>
      </c>
      <c r="E13" t="inlineStr">
        <is>
          <t>Q4'28</t>
        </is>
      </c>
      <c r="F13">
        <v>300</v>
      </c>
      <c r="G13">
        <v>45</v>
      </c>
      <c r="H13">
        <v>345</v>
      </c>
      <c r="I13">
        <v>955</v>
      </c>
      <c r="J13">
        <v>610</v>
      </c>
      <c r="K13">
        <v>63.87</v>
      </c>
      <c r="L13">
        <v>3.18</v>
      </c>
      <c r="M13" t="inlineStr">
        <is>
          <t>47.0%</t>
        </is>
      </c>
      <c r="N13">
        <v>3.8</v>
      </c>
      <c r="O13" t="inlineStr">
        <is>
          <t>High</t>
        </is>
      </c>
    </row>
    <row r="14">
      <c r="B14" t="inlineStr">
        <is>
          <t>ИТОГО ПОРТФЕЛЬ (5 фильмов + 2 сериала)</t>
        </is>
      </c>
      <c r="F14">
        <v>1850</v>
      </c>
      <c r="G14">
        <v>277.5</v>
      </c>
      <c r="H14">
        <v>2127.5</v>
      </c>
      <c r="I14">
        <v>5595</v>
      </c>
      <c r="J14">
        <v>3467.5</v>
      </c>
      <c r="K14">
        <v>61.97</v>
      </c>
      <c r="L14">
        <v>3.024</v>
      </c>
      <c r="M14" t="inlineStr">
        <is>
          <t>53.8%</t>
        </is>
      </c>
      <c r="N14">
        <v>3.3</v>
      </c>
    </row>
    <row r="17">
      <c r="B17" t="inlineStr">
        <is>
          <t>КЛЮЧЕВЫЕ ИНСАЙТЫ UNIT ECONOMICS</t>
        </is>
      </c>
    </row>
    <row r="18">
      <c r="B18" t="inlineStr">
        <is>
          <t>Σ Total Cost / Σ COGS</t>
        </is>
      </c>
      <c r="F18" t="inlineStr">
        <is>
          <t>2127.5 млн ₽ = 2 127.5 млн ₽ (matches P&amp;L COGS)</t>
        </is>
      </c>
    </row>
    <row r="19">
      <c r="B19" t="inlineStr">
        <is>
          <t>Σ Revenue lifetime</t>
        </is>
      </c>
      <c r="F19" t="inlineStr">
        <is>
          <t>5595 млн ₽ = 4 545 (2026-2028) + 1 050 (tail 2029-32)</t>
        </is>
      </c>
    </row>
    <row r="20">
      <c r="B20" t="inlineStr">
        <is>
          <t>Portfolio Gross Margin (two-tier)</t>
        </is>
      </c>
      <c r="F20" t="inlineStr">
        <is>
          <t>53.8% blended (Films 55.8%, Series 47.0%) — отраслевой бенчмарк: 55–65% для фильмов, 45–50% для сериалов</t>
        </is>
      </c>
    </row>
    <row r="21">
      <c r="B21" t="inlineStr">
        <is>
          <t>Portfolio Multiple</t>
        </is>
      </c>
      <c r="F21" t="inlineStr">
        <is>
          <t>3.02× (безубыточность 1,2×, цель 2,5×)</t>
        </is>
      </c>
    </row>
    <row r="22">
      <c r="B22" t="inlineStr">
        <is>
          <t>Portfolio ROI</t>
        </is>
      </c>
      <c r="F22" t="inlineStr">
        <is>
          <t>163.0% (hurdle rate 40%, target 60%)</t>
        </is>
      </c>
    </row>
    <row r="23">
      <c r="B23" t="inlineStr">
        <is>
          <t>Средняя окупаемость</t>
        </is>
      </c>
      <c r="F23" t="inlineStr">
        <is>
          <t>3.3 Q (target ≤ 6 кварталов)</t>
        </is>
      </c>
    </row>
    <row r="24">
      <c r="B24" t="inlineStr">
        <is>
          <t>Высокорисковые проекты</t>
        </is>
      </c>
      <c r="F24" t="inlineStr">
        <is>
          <t>2 из 7 (Время героев 250, Горизонт событий 300)</t>
        </is>
      </c>
    </row>
    <row r="25">
      <c r="B25" t="inlineStr">
        <is>
          <t>Концентрация</t>
        </is>
      </c>
      <c r="F25" t="inlineStr">
        <is>
          <t>Top-3 budgets = 950 млн ₽ = 51.4% от portfolio</t>
        </is>
      </c>
    </row>
    <row r="26">
      <c r="B26" t="inlineStr">
        <is>
          <t>Формат</t>
        </is>
      </c>
      <c r="F26" t="inlineStr">
        <is>
          <t>5 фильмов + 2 сериала: диверсификация форматов снижает риск</t>
        </is>
      </c>
    </row>
  </sheetData>
  <mergeCells count="20">
    <mergeCell ref="F28:O28"/>
    <mergeCell ref="B4:O4"/>
    <mergeCell ref="F27:O27"/>
    <mergeCell ref="B30:E30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3:O23"/>
    <mergeCell ref="F26:O26"/>
    <mergeCell ref="B2:O3"/>
    <mergeCell ref="B29:E29"/>
    <mergeCell ref="B28:E2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235" t="inlineStr">
        <is>
          <t>KPI (ключевые показатели) DASHBOARD — ИНВЕСТОРСКАЯ СВОДКА ПО ГОДАМ</t>
        </is>
      </c>
    </row>
    <row r="3"/>
    <row r="4">
      <c r="B4" s="189" t="inlineStr">
        <is>
          <t>Ключевые показатели эффективности холдинга «ТрендСтудио» — Dual metric (GAAP (стандарты бухучёта) EBITDA (прибыль до вычетов) + NDP (чистые распределяемые поступления) anchor (якорь)) · Scenario (Сценарий) stripe Bear (Пессимистичный)/Base (Базовый)/Bull (Оптимистичный)</t>
        </is>
      </c>
    </row>
    <row r="6" ht="24" customHeight="1">
      <c r="B6" s="167" t="inlineStr">
        <is>
          <t>#</t>
        </is>
      </c>
      <c r="C6" s="167" t="inlineStr">
        <is>
          <t>Метрика</t>
        </is>
      </c>
      <c r="D6" s="167" t="inlineStr">
        <is>
          <t>2026</t>
        </is>
      </c>
      <c r="E6" s="167" t="inlineStr">
        <is>
          <t>2027</t>
        </is>
      </c>
      <c r="F6" s="167" t="inlineStr">
        <is>
          <t>2028</t>
        </is>
      </c>
      <c r="G6" s="167" t="inlineStr">
        <is>
          <t>Σ 3 года</t>
        </is>
      </c>
      <c r="H6" s="167" t="inlineStr">
        <is>
          <t>Tail (Хвостовой период) 29-32</t>
        </is>
      </c>
      <c r="I6" s="167" t="inlineStr">
        <is>
          <t>Σ Жизненный цикл</t>
        </is>
      </c>
      <c r="J6" s="167" t="inlineStr">
        <is>
          <t>Scenario (Сценарий)</t>
        </is>
      </c>
    </row>
    <row r="7">
      <c r="B7" s="244" t="inlineStr">
        <is>
          <t>I.  ВЫРУЧКА (ВЫРУЧКА) &amp; GROWTH</t>
        </is>
      </c>
    </row>
    <row r="8">
      <c r="B8" s="205" t="inlineStr">
        <is>
          <t>1.1</t>
        </is>
      </c>
      <c r="C8" s="213" t="inlineStr">
        <is>
          <t>Revenue (Выручка), млн ₽</t>
        </is>
      </c>
      <c r="D8" s="207">
        <v>570.0</v>
      </c>
      <c r="E8" s="207">
        <v>2475.0</v>
      </c>
      <c r="F8" s="207">
        <v>1500.0</v>
      </c>
      <c r="G8" s="232">
        <v>4545.0</v>
      </c>
      <c r="H8" s="207">
        <v>1050</v>
      </c>
      <c r="I8" s="207">
        <v>5595.0</v>
      </c>
      <c r="J8" s="247" t="inlineStr">
        <is>
          <t>Base (Базовый)</t>
        </is>
      </c>
    </row>
    <row r="9">
      <c r="B9" s="205" t="inlineStr">
        <is>
          <t>1.2</t>
        </is>
      </c>
      <c r="C9" s="213" t="inlineStr">
        <is>
          <t>Revenue (Выручка) YoY growth</t>
        </is>
      </c>
      <c r="D9" s="248" t="inlineStr">
        <is>
          <t>—</t>
        </is>
      </c>
      <c r="E9" s="248" t="inlineStr">
        <is>
          <t>334%</t>
        </is>
      </c>
      <c r="F9" s="248" t="inlineStr">
        <is>
          <t>-39%</t>
        </is>
      </c>
      <c r="G9" s="249" t="inlineStr">
        <is>
          <t>CAGR 62%</t>
        </is>
      </c>
      <c r="H9" s="248" t="inlineStr">
        <is>
          <t>—</t>
        </is>
      </c>
      <c r="I9" s="248" t="inlineStr">
        <is>
          <t>—</t>
        </is>
      </c>
      <c r="J9" s="247" t="inlineStr">
        <is>
          <t>Base (Базовый)</t>
        </is>
      </c>
    </row>
    <row r="10">
      <c r="B10" s="205" t="inlineStr">
        <is>
          <t>1.3</t>
        </is>
      </c>
      <c r="C10" s="213" t="inlineStr">
        <is>
          <t>Выпущено фильмов (Выпущено фильмов)</t>
        </is>
      </c>
      <c r="D10" s="227">
        <v>1</v>
      </c>
      <c r="E10" s="227">
        <v>3</v>
      </c>
      <c r="F10" s="227">
        <v>3</v>
      </c>
      <c r="G10" s="250">
        <v>7</v>
      </c>
      <c r="H10" s="227">
        <v>0</v>
      </c>
      <c r="I10" s="227">
        <v>7</v>
      </c>
      <c r="J10" s="247" t="inlineStr">
        <is>
          <t>Base (Базовый)</t>
        </is>
      </c>
    </row>
    <row r="11">
      <c r="B11" s="205" t="inlineStr">
        <is>
          <t>1.4</t>
        </is>
      </c>
      <c r="C11" s="213" t="inlineStr">
        <is>
          <t>Avg budget per project, млн ₽</t>
        </is>
      </c>
      <c r="D11" s="207">
        <v>250</v>
      </c>
      <c r="E11" s="207">
        <v>250</v>
      </c>
      <c r="F11" s="207">
        <v>283.3</v>
      </c>
      <c r="G11" s="232">
        <v>264.3</v>
      </c>
      <c r="H11" s="248" t="inlineStr">
        <is>
          <t>—</t>
        </is>
      </c>
      <c r="I11" s="207">
        <v>264.3</v>
      </c>
      <c r="J11" s="247" t="inlineStr">
        <is>
          <t>Base (Базовый)</t>
        </is>
      </c>
    </row>
    <row r="13">
      <c r="B13" s="244" t="inlineStr">
        <is>
          <t>II.  РЕНТАБЕЛЬНОСТЬ — Dual Metric (Метрика)</t>
        </is>
      </c>
    </row>
    <row r="14">
      <c r="B14" s="205" t="inlineStr">
        <is>
          <t>2.1</t>
        </is>
      </c>
      <c r="C14" s="213" t="inlineStr">
        <is>
          <t>EBITDA (прибыль до вычетов) GAAP (стандарты бухучёта), млн ₽</t>
        </is>
      </c>
      <c r="D14" s="207">
        <v>203.3</v>
      </c>
      <c r="E14" s="207">
        <v>1258.3</v>
      </c>
      <c r="F14" s="207">
        <v>614.4</v>
      </c>
      <c r="G14" s="232">
        <v>2076.1</v>
      </c>
      <c r="H14" s="207">
        <v>-87.0</v>
      </c>
      <c r="I14" s="207">
        <v>1989.1</v>
      </c>
      <c r="J14" s="247" t="inlineStr">
        <is>
          <t>Base (Базовый)</t>
        </is>
      </c>
    </row>
    <row r="15">
      <c r="B15" s="205" t="inlineStr">
        <is>
          <t>2.2</t>
        </is>
      </c>
      <c r="C15" s="213" t="inlineStr">
        <is>
          <t>EBITDA (прибыль до вычетов) margin (маржа), %</t>
        </is>
      </c>
      <c r="D15" s="236">
        <v>35.67</v>
      </c>
      <c r="E15" s="236">
        <v>50.84</v>
      </c>
      <c r="F15" s="236">
        <v>40.96</v>
      </c>
      <c r="G15" s="251">
        <v>45.68</v>
      </c>
      <c r="H15" s="236">
        <v>-8.29</v>
      </c>
      <c r="I15" s="236">
        <v>35.55</v>
      </c>
      <c r="J15" s="247" t="inlineStr">
        <is>
          <t>Base (Базовый)</t>
        </is>
      </c>
    </row>
    <row r="16">
      <c r="B16" s="205" t="inlineStr">
        <is>
          <t>2.3</t>
        </is>
      </c>
      <c r="C16" s="213" t="inlineStr">
        <is>
          <t>NDP (чистые распределяемые поступления) (legacy (базовый вариант) anchor (якорь)), млн ₽</t>
        </is>
      </c>
      <c r="D16" s="248" t="inlineStr">
        <is>
          <t>—</t>
        </is>
      </c>
      <c r="E16" s="248" t="inlineStr">
        <is>
          <t>—</t>
        </is>
      </c>
      <c r="F16" s="248" t="inlineStr">
        <is>
          <t>—</t>
        </is>
      </c>
      <c r="G16" s="232" t="n">
        <v>3000</v>
      </c>
      <c r="H16" s="248" t="inlineStr">
        <is>
          <t>—</t>
        </is>
      </c>
      <c r="I16" s="207" t="n">
        <v>3000</v>
      </c>
      <c r="J16" s="247" t="inlineStr">
        <is>
          <t>Base (Базовый)</t>
        </is>
      </c>
    </row>
    <row r="17">
      <c r="B17" s="205" t="inlineStr">
        <is>
          <t>2.4</t>
        </is>
      </c>
      <c r="C17" s="213" t="inlineStr">
        <is>
          <t>Net Profit (Чистая прибыль), млн ₽</t>
        </is>
      </c>
      <c r="D17" s="207" t="n">
        <v>132.4</v>
      </c>
      <c r="E17" s="207" t="n">
        <v>979.8</v>
      </c>
      <c r="F17" s="207" t="n">
        <v>475.2</v>
      </c>
      <c r="G17" s="232" t="n">
        <v>1587.4</v>
      </c>
      <c r="H17" s="207" t="n">
        <v>-115.8</v>
      </c>
      <c r="I17" s="207" t="n">
        <v>1471.6</v>
      </c>
      <c r="J17" s="247" t="inlineStr">
        <is>
          <t>Base (Базовый)</t>
        </is>
      </c>
    </row>
    <row r="18">
      <c r="B18" s="205" t="inlineStr">
        <is>
          <t>2.5</t>
        </is>
      </c>
      <c r="C18" s="213" t="inlineStr">
        <is>
          <t>Net Profit (Чистая прибыль) margin (маржа), %</t>
        </is>
      </c>
      <c r="D18" s="236" t="n">
        <v>23.23</v>
      </c>
      <c r="E18" s="236" t="n">
        <v>39.59</v>
      </c>
      <c r="F18" s="236" t="n">
        <v>31.68</v>
      </c>
      <c r="G18" s="251" t="n">
        <v>34.93</v>
      </c>
      <c r="H18" s="236" t="n">
        <v>-11.03</v>
      </c>
      <c r="I18" s="236" t="n">
        <v>26.3</v>
      </c>
      <c r="J18" s="247" t="inlineStr">
        <is>
          <t>Base (Базовый)</t>
        </is>
      </c>
    </row>
    <row r="20">
      <c r="B20" s="244" t="inlineStr">
        <is>
          <t>III.  ДОХОДНОСТЬ И МУЛЬТИПЛИКАТОРЫ</t>
        </is>
      </c>
    </row>
    <row r="21">
      <c r="B21" s="205" t="inlineStr">
        <is>
          <t>3.1</t>
        </is>
      </c>
      <c r="C21" s="213" t="inlineStr">
        <is>
          <t>ROI (возврат на инвестиции) portfolio, %</t>
        </is>
      </c>
      <c r="D21" s="248" t="inlineStr">
        <is>
          <t>—</t>
        </is>
      </c>
      <c r="E21" s="248" t="inlineStr">
        <is>
          <t>—</t>
        </is>
      </c>
      <c r="F21" s="248" t="inlineStr">
        <is>
          <t>—</t>
        </is>
      </c>
      <c r="G21" s="249" t="inlineStr">
        <is>
          <t>57.9%</t>
        </is>
      </c>
      <c r="H21" s="248" t="inlineStr">
        <is>
          <t>—</t>
        </is>
      </c>
      <c r="I21" s="248" t="inlineStr">
        <is>
          <t>—</t>
        </is>
      </c>
      <c r="J21" s="247" t="inlineStr">
        <is>
          <t>Base (Базовый)</t>
        </is>
      </c>
    </row>
    <row r="22">
      <c r="B22" s="205" t="inlineStr">
        <is>
          <t>3.2</t>
        </is>
      </c>
      <c r="C22" s="213" t="inlineStr">
        <is>
          <t>Валовой мультипликатор (Валовой мультипликатор)</t>
        </is>
      </c>
      <c r="D22" s="248" t="inlineStr">
        <is>
          <t>—</t>
        </is>
      </c>
      <c r="E22" s="248" t="inlineStr">
        <is>
          <t>—</t>
        </is>
      </c>
      <c r="F22" s="248" t="inlineStr">
        <is>
          <t>—</t>
        </is>
      </c>
      <c r="G22" s="249" t="inlineStr">
        <is>
          <t>2.14×</t>
        </is>
      </c>
      <c r="H22" s="248" t="inlineStr">
        <is>
          <t>0.49×</t>
        </is>
      </c>
      <c r="I22" s="248" t="inlineStr">
        <is>
          <t>3.02×</t>
        </is>
      </c>
      <c r="J22" s="247" t="inlineStr">
        <is>
          <t>Base (Базовый)</t>
        </is>
      </c>
    </row>
    <row r="23">
      <c r="B23" s="205" t="inlineStr">
        <is>
          <t>3.3</t>
        </is>
      </c>
      <c r="C23" s="593" t="inlineStr">
        <is>
          <t>IRR (внутренняя норма доходности) investor T₁ (W₅ V-D ★ default (по умолчанию) v1.0.1)</t>
        </is>
      </c>
      <c r="D23" s="594" t="inlineStr">
        <is>
          <t>—</t>
        </is>
      </c>
      <c r="E23" s="594" t="inlineStr">
        <is>
          <t>—</t>
        </is>
      </c>
      <c r="F23" s="594" t="inlineStr">
        <is>
          <t>—</t>
        </is>
      </c>
      <c r="G23" s="594" t="inlineStr">
        <is>
          <t>24.75%</t>
        </is>
      </c>
      <c r="H23" s="594" t="inlineStr">
        <is>
          <t>—</t>
        </is>
      </c>
      <c r="I23" s="594" t="inlineStr">
        <is>
          <t>—</t>
        </is>
      </c>
      <c r="J23" s="595" t="inlineStr">
        <is>
          <t>Base (Базовый) W₅ V-D (margin (маржа) +6.75pp к hurdle (порог))</t>
        </is>
      </c>
    </row>
    <row r="24">
      <c r="B24" s="205" t="inlineStr">
        <is>
          <t>3.4</t>
        </is>
      </c>
      <c r="C24" s="593" t="inlineStr">
        <is>
          <t>MOIC (мультипликатор вложенного капитала) investor T₁ (W₅ V-D ★)</t>
        </is>
      </c>
      <c r="D24" s="594" t="inlineStr">
        <is>
          <t>—</t>
        </is>
      </c>
      <c r="E24" s="594" t="inlineStr">
        <is>
          <t>—</t>
        </is>
      </c>
      <c r="F24" s="594" t="inlineStr">
        <is>
          <t>—</t>
        </is>
      </c>
      <c r="G24" s="594" t="inlineStr">
        <is>
          <t>2.13×</t>
        </is>
      </c>
      <c r="H24" s="594" t="inlineStr">
        <is>
          <t>—</t>
        </is>
      </c>
      <c r="I24" s="594" t="inlineStr">
        <is>
          <t>2.13×</t>
        </is>
      </c>
      <c r="J24" s="595" t="inlineStr">
        <is>
          <t>Base (Базовый)</t>
        </is>
      </c>
    </row>
    <row r="25">
      <c r="B25" s="205" t="inlineStr">
        <is>
          <t>3.5</t>
        </is>
      </c>
      <c r="C25" s="593" t="inlineStr">
        <is>
          <t>Payback (Окупаемость) T₁ (years)</t>
        </is>
      </c>
      <c r="D25" s="594" t="inlineStr">
        <is>
          <t>—</t>
        </is>
      </c>
      <c r="E25" s="594" t="inlineStr">
        <is>
          <t>—</t>
        </is>
      </c>
      <c r="F25" s="594" t="inlineStr">
        <is>
          <t>—</t>
        </is>
      </c>
      <c r="G25" s="594" t="inlineStr">
        <is>
          <t>3.21y</t>
        </is>
      </c>
      <c r="H25" s="594" t="inlineStr">
        <is>
          <t>—</t>
        </is>
      </c>
      <c r="I25" s="594" t="inlineStr">
        <is>
          <t>3.21y</t>
        </is>
      </c>
      <c r="J25" s="595" t="inlineStr">
        <is>
          <t>Base (Базовый)</t>
        </is>
      </c>
    </row>
    <row r="26">
      <c r="B26" s="205" t="inlineStr">
        <is>
          <t>3.6</t>
        </is>
      </c>
      <c r="C26" s="213" t="inlineStr">
        <is>
          <t>EV (стоимость предприятия)/EBITDA (прибыль до вычетов) exit (5×)</t>
        </is>
      </c>
      <c r="D26" s="248" t="inlineStr">
        <is>
          <t>—</t>
        </is>
      </c>
      <c r="E26" s="248" t="inlineStr">
        <is>
          <t>—</t>
        </is>
      </c>
      <c r="F26" s="248" t="inlineStr">
        <is>
          <t>—</t>
        </is>
      </c>
      <c r="G26" s="249" t="inlineStr">
        <is>
          <t>—</t>
        </is>
      </c>
      <c r="H26" s="248" t="inlineStr">
        <is>
          <t>—</t>
        </is>
      </c>
      <c r="I26" s="248" t="inlineStr">
        <is>
          <t>10 760 млн ₽</t>
        </is>
      </c>
      <c r="J26" s="234" t="inlineStr">
        <is>
          <t>Bull (Оптимистичный)</t>
        </is>
      </c>
    </row>
    <row r="28">
      <c r="B28" s="244" t="inlineStr">
        <is>
          <t>IV.  ДЕНЕЖНЫЕ СРЕДСТВА И ДОЛГ</t>
        </is>
      </c>
    </row>
    <row r="29">
      <c r="B29" s="205" t="inlineStr">
        <is>
          <t>4.1</t>
        </is>
      </c>
      <c r="C29" s="213" t="inlineStr">
        <is>
          <t>T₁ drawn cumul., млн ₽</t>
        </is>
      </c>
      <c r="D29" s="207" t="n">
        <v>250</v>
      </c>
      <c r="E29" s="207" t="n">
        <v>950</v>
      </c>
      <c r="F29" s="207" t="n">
        <v>1250</v>
      </c>
      <c r="G29" s="232" t="n">
        <v>1250</v>
      </c>
      <c r="H29" s="248" t="inlineStr">
        <is>
          <t>—</t>
        </is>
      </c>
      <c r="I29" s="207" t="n">
        <v>1250</v>
      </c>
      <c r="J29" s="247" t="inlineStr">
        <is>
          <t>Base (Базовый)</t>
        </is>
      </c>
    </row>
    <row r="30">
      <c r="B30" s="205" t="inlineStr">
        <is>
          <t>4.2</t>
        </is>
      </c>
      <c r="C30" s="213" t="inlineStr">
        <is>
          <t>Cash (Денежные средства) end period, млн ₽</t>
        </is>
      </c>
      <c r="D30" s="248" t="inlineStr">
        <is>
          <t>—</t>
        </is>
      </c>
      <c r="E30" s="248" t="inlineStr">
        <is>
          <t>—</t>
        </is>
      </c>
      <c r="F30" s="248" t="n">
        <v>3424.57</v>
      </c>
      <c r="G30" s="249" t="n">
        <v>3424.57</v>
      </c>
      <c r="H30" s="248" t="n">
        <v>770.54</v>
      </c>
      <c r="I30" s="248" t="n">
        <v>770.54</v>
      </c>
      <c r="J30" s="247" t="inlineStr">
        <is>
          <t>Base (Базовый)</t>
        </is>
      </c>
    </row>
    <row r="31">
      <c r="B31" s="205" t="inlineStr">
        <is>
          <t>4.3</t>
        </is>
      </c>
      <c r="C31" s="213" t="inlineStr">
        <is>
          <t>Interest (Проценты) expense, млн ₽</t>
        </is>
      </c>
      <c r="D31" s="207" t="n">
        <v>1.5</v>
      </c>
      <c r="E31" s="207" t="n">
        <v>6</v>
      </c>
      <c r="F31" s="207" t="n">
        <v>5</v>
      </c>
      <c r="G31" s="232" t="n">
        <v>12.5</v>
      </c>
      <c r="H31" s="207" t="n">
        <v>2.5</v>
      </c>
      <c r="I31" s="207" t="n">
        <v>15</v>
      </c>
      <c r="J31" s="247" t="inlineStr">
        <is>
          <t>Base (Базовый)</t>
        </is>
      </c>
    </row>
    <row r="32">
      <c r="B32" s="205" t="inlineStr">
        <is>
          <t>4.4</t>
        </is>
      </c>
      <c r="C32" s="213" t="inlineStr">
        <is>
          <t>DSCR (EBITDA (прибыль до вычетов)/Interest (Проценты))</t>
        </is>
      </c>
      <c r="D32" s="252" t="n">
        <v>33.3</v>
      </c>
      <c r="E32" s="252" t="n">
        <v>106.7</v>
      </c>
      <c r="F32" s="252" t="n">
        <v>292.4</v>
      </c>
      <c r="G32" s="253" t="n">
        <v>172.2</v>
      </c>
      <c r="H32" s="248" t="inlineStr">
        <is>
          <t>—</t>
        </is>
      </c>
      <c r="I32" s="248" t="inlineStr">
        <is>
          <t>—</t>
        </is>
      </c>
      <c r="J32" s="247" t="inlineStr">
        <is>
          <t>Base (Базовый)</t>
        </is>
      </c>
    </row>
    <row r="33">
      <c r="B33" s="205" t="inlineStr">
        <is>
          <t>4.5</t>
        </is>
      </c>
      <c r="C33" s="213" t="inlineStr">
        <is>
          <t>Net Debt (Долг) / EBITDA (прибыль до вычетов)</t>
        </is>
      </c>
      <c r="D33" s="248" t="inlineStr">
        <is>
          <t>—</t>
        </is>
      </c>
      <c r="E33" s="248" t="inlineStr">
        <is>
          <t>—</t>
        </is>
      </c>
      <c r="F33" s="248" t="inlineStr">
        <is>
          <t>0.00×</t>
        </is>
      </c>
      <c r="G33" s="249" t="inlineStr">
        <is>
          <t>0.00×</t>
        </is>
      </c>
      <c r="H33" s="248" t="inlineStr">
        <is>
          <t>—</t>
        </is>
      </c>
      <c r="I33" s="248" t="inlineStr">
        <is>
          <t>—</t>
        </is>
      </c>
      <c r="J33" s="247" t="inlineStr">
        <is>
          <t>Base (Базовый)</t>
        </is>
      </c>
    </row>
    <row r="35">
      <c r="B35" s="244" t="inlineStr">
        <is>
          <t>V.  ОПЕРАЦИОННЫЕ</t>
        </is>
      </c>
    </row>
    <row r="36">
      <c r="B36" s="205" t="inlineStr">
        <is>
          <t>5.1</t>
        </is>
      </c>
      <c r="C36" s="213" t="inlineStr">
        <is>
          <t>Production CAPEX (Капзатраты), млн ₽</t>
        </is>
      </c>
      <c r="D36" s="207">
        <v>464.0</v>
      </c>
      <c r="E36" s="207">
        <v>986.0</v>
      </c>
      <c r="F36" s="207">
        <v>400.0</v>
      </c>
      <c r="G36" s="232">
        <v>1850.0</v>
      </c>
      <c r="H36" s="207">
        <v>0</v>
      </c>
      <c r="I36" s="207">
        <v>1850.0</v>
      </c>
      <c r="J36" s="247" t="inlineStr">
        <is>
          <t>Base (Базовый)</t>
        </is>
      </c>
    </row>
    <row r="37">
      <c r="B37" s="205" t="inlineStr">
        <is>
          <t>5.2</t>
        </is>
      </c>
      <c r="C37" s="213" t="inlineStr">
        <is>
          <t>P&amp;A (тиражирование и реклама) spend, млн ₽</t>
        </is>
      </c>
      <c r="D37" s="207">
        <v>32.9</v>
      </c>
      <c r="E37" s="207">
        <v>142.7</v>
      </c>
      <c r="F37" s="207">
        <v>86.5</v>
      </c>
      <c r="G37" s="232">
        <v>262.0</v>
      </c>
      <c r="H37" s="248" t="inlineStr">
        <is>
          <t>—</t>
        </is>
      </c>
      <c r="I37" s="207">
        <v>262.0</v>
      </c>
      <c r="J37" s="247" t="inlineStr">
        <is>
          <t>Base (Базовый)</t>
        </is>
      </c>
    </row>
    <row r="38">
      <c r="B38" s="205" t="inlineStr">
        <is>
          <t>5.3</t>
        </is>
      </c>
      <c r="C38" s="213" t="inlineStr">
        <is>
          <t>FOT (фонд оплаты труда), млн ₽</t>
        </is>
      </c>
      <c r="D38" s="207">
        <v>100.2</v>
      </c>
      <c r="E38" s="207">
        <v>108.2</v>
      </c>
      <c r="F38" s="207">
        <v>116.8</v>
      </c>
      <c r="G38" s="232">
        <v>325.1</v>
      </c>
      <c r="H38" s="248">
        <v>568.5</v>
      </c>
      <c r="I38" s="207">
        <v>893.6</v>
      </c>
      <c r="J38" s="247" t="inlineStr">
        <is>
          <t>Base (Базовый)</t>
        </is>
      </c>
    </row>
    <row r="39">
      <c r="B39" s="205" t="inlineStr">
        <is>
          <t>5.4</t>
        </is>
      </c>
      <c r="C39" s="213" t="inlineStr">
        <is>
          <t>Success rate (ROI (возврат на инвестиции)&gt;40%)</t>
        </is>
      </c>
      <c r="D39" s="248" t="inlineStr">
        <is>
          <t>—</t>
        </is>
      </c>
      <c r="E39" s="248" t="inlineStr">
        <is>
          <t>—</t>
        </is>
      </c>
      <c r="F39" s="248" t="inlineStr">
        <is>
          <t>—</t>
        </is>
      </c>
      <c r="G39" s="249" t="inlineStr">
        <is>
          <t>7/7</t>
        </is>
      </c>
      <c r="H39" s="248" t="inlineStr">
        <is>
          <t>—</t>
        </is>
      </c>
      <c r="I39" s="248" t="inlineStr">
        <is>
          <t>100%</t>
        </is>
      </c>
      <c r="J39" s="247" t="inlineStr">
        <is>
          <t>Base (Базовый)</t>
        </is>
      </c>
    </row>
    <row r="40">
      <c r="B40" s="205" t="inlineStr">
        <is>
          <t>5.5</t>
        </is>
      </c>
      <c r="C40" s="213" t="inlineStr">
        <is>
          <t>Высокорисковые фильмы (Высокорисковые фильмы) (% of budget (бюджет))</t>
        </is>
      </c>
      <c r="D40" s="248" t="inlineStr">
        <is>
          <t>—</t>
        </is>
      </c>
      <c r="E40" s="248" t="inlineStr">
        <is>
          <t>—</t>
        </is>
      </c>
      <c r="F40" s="248" t="inlineStr">
        <is>
          <t>—</t>
        </is>
      </c>
      <c r="G40" s="249" t="inlineStr">
        <is>
          <t>29.7%</t>
        </is>
      </c>
      <c r="H40" s="248" t="inlineStr">
        <is>
          <t>—</t>
        </is>
      </c>
      <c r="I40" s="248" t="inlineStr">
        <is>
          <t>—</t>
        </is>
      </c>
      <c r="J40" s="247" t="inlineStr">
        <is>
          <t>Base (Базовый)</t>
        </is>
      </c>
    </row>
    <row r="43">
      <c r="B43" s="244" t="inlineStr">
        <is>
          <t>VI. SCENARIO STRIPE (Revenue (Выручка) 2028 · EBITDA (прибыль до вычетов) 3Y · Net Profit (Чистая прибыль) 3Y · Exit EV (стоимость предприятия))</t>
        </is>
      </c>
    </row>
    <row r="44">
      <c r="B44" s="167" t="inlineStr">
        <is>
          <t>Сценарий</t>
        </is>
      </c>
      <c r="C44" s="167" t="inlineStr">
        <is>
          <t>Revenue (Выручка) 2028</t>
        </is>
      </c>
      <c r="D44" s="167" t="inlineStr">
        <is>
          <t>EBITDA (прибыль до вычетов) 3Y</t>
        </is>
      </c>
      <c r="E44" s="167" t="inlineStr">
        <is>
          <t>NDP (чистые распределяемые поступления) 3Y</t>
        </is>
      </c>
      <c r="F44" s="167" t="inlineStr">
        <is>
          <t>Net Profit (Чистая прибыль) 3Y</t>
        </is>
      </c>
      <c r="G44" s="167" t="inlineStr">
        <is>
          <t>IRR (внутренняя норма доходности) T₁</t>
        </is>
      </c>
      <c r="H44" s="167" t="inlineStr">
        <is>
          <t>MOIC (мультипликатор вложенного капитала) T₁</t>
        </is>
      </c>
      <c r="I44" s="167" t="inlineStr">
        <is>
          <t>EV (стоимость предприятия)/Mult</t>
        </is>
      </c>
      <c r="J44" s="167" t="inlineStr">
        <is>
          <t>EV (стоимость предприятия) млн ₽</t>
        </is>
      </c>
    </row>
    <row r="45">
      <c r="B45" s="254" t="inlineStr">
        <is>
          <t>Bear (Пессимистичный)</t>
        </is>
      </c>
      <c r="C45" s="202">
        <v>1125</v>
      </c>
      <c r="D45" s="202">
        <v>1625</v>
      </c>
      <c r="E45" s="202">
        <v>2250</v>
      </c>
      <c r="F45" s="202">
        <v>1263</v>
      </c>
      <c r="G45" s="255" t="inlineStr">
        <is>
          <t>10.70%</t>
        </is>
      </c>
      <c r="H45" s="255" t="inlineStr">
        <is>
          <t>1.44×</t>
        </is>
      </c>
      <c r="I45" s="255" t="inlineStr">
        <is>
          <t>3×</t>
        </is>
      </c>
      <c r="J45" s="202">
        <v>4875</v>
      </c>
    </row>
    <row r="46">
      <c r="B46" s="247" t="inlineStr">
        <is>
          <t>Base (Базовый)</t>
        </is>
      </c>
      <c r="C46" s="232">
        <v>1500</v>
      </c>
      <c r="D46" s="232">
        <v>2076.1</v>
      </c>
      <c r="E46" s="232" t="n">
        <v>3000</v>
      </c>
      <c r="F46" s="232">
        <v>1611.0</v>
      </c>
      <c r="G46" s="256" t="inlineStr">
        <is>
          <t>24.75%</t>
        </is>
      </c>
      <c r="H46" s="256" t="inlineStr">
        <is>
          <t>2.13×</t>
        </is>
      </c>
      <c r="I46" s="256" t="inlineStr">
        <is>
          <t>5×</t>
        </is>
      </c>
      <c r="J46" s="232">
        <v>10837</v>
      </c>
    </row>
    <row r="47">
      <c r="B47" s="234" t="inlineStr">
        <is>
          <t>Bull (Оптимистичный)</t>
        </is>
      </c>
      <c r="C47" s="193">
        <v>1875</v>
      </c>
      <c r="D47" s="193">
        <v>2709</v>
      </c>
      <c r="E47" s="193">
        <v>4200</v>
      </c>
      <c r="F47" s="193">
        <v>2105</v>
      </c>
      <c r="G47" s="257" t="inlineStr">
        <is>
          <t>34.45%</t>
        </is>
      </c>
      <c r="H47" s="257" t="inlineStr">
        <is>
          <t>2.70×</t>
        </is>
      </c>
      <c r="I47" s="257" t="inlineStr">
        <is>
          <t>7×</t>
        </is>
      </c>
      <c r="J47" s="193">
        <v>18963</v>
      </c>
    </row>
    <row r="50">
      <c r="B50" s="258" t="inlineStr">
        <is>
          <t>Примечание: Base (Базовый) case — якорь NDP (чистые распределяемые поступления) 3 000 млн ₽; Bear (Пессимистичный) = 0.75× Base (Базовый); Bull (Оптимистичный) = 1.25× Base. EV (стоимость предприятия)/EBITDA (прибыль до вычетов) мультипликаторы: 3× bear / 5× base / 7× bull.</t>
        </is>
      </c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N7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235" t="inlineStr">
        <is>
          <t>VALUATION (ОЦЕНКА) — DCF (дисконтированный денежный поток) (Discounted Cash Flow (Дисконтированный денежный поток)) · 5Y Forecast (Прогноз) 2026–2030</t>
        </is>
      </c>
    </row>
    <row r="3"/>
    <row r="4">
      <c r="B4" s="189" t="inlineStr">
        <is>
          <t>WACC (средневзвешенная стоимость капитала) = 19.1% · Terminal growth (Терминальный рост) g = 3% · Exit Mult = 5.0× EBITDA (прибыль до вычетов)</t>
        </is>
      </c>
    </row>
    <row r="6">
      <c r="B6" s="244" t="inlineStr">
        <is>
          <t>I. WACC (средневзвешенная стоимость капитала) BUILD-UP</t>
        </is>
      </c>
    </row>
    <row r="7">
      <c r="B7" s="206" t="inlineStr">
        <is>
          <t>Risk (Риск)-free rate</t>
        </is>
      </c>
      <c r="C7" s="187"/>
      <c r="D7" s="259" t="n">
        <v>0.145</v>
      </c>
    </row>
    <row r="8">
      <c r="B8" s="206" t="inlineStr">
        <is>
          <t>Levered β (кино/медиа)</t>
        </is>
      </c>
      <c r="C8" s="187"/>
      <c r="D8" s="260" t="n">
        <v>0.8</v>
      </c>
    </row>
    <row r="9">
      <c r="B9" s="206" t="inlineStr">
        <is>
          <t>Equity (Собственный капитал) Risk (Риск) Premium (Премия)</t>
        </is>
      </c>
      <c r="C9" s="187"/>
      <c r="D9" s="259" t="n">
        <v>0.07000000000000001</v>
      </c>
    </row>
    <row r="10">
      <c r="B10" s="206" t="inlineStr">
        <is>
          <t>Country risk premium (премия)</t>
        </is>
      </c>
      <c r="C10" s="187"/>
      <c r="D10" s="259" t="n">
        <v>0.02</v>
      </c>
    </row>
    <row r="11">
      <c r="B11" s="206" t="inlineStr">
        <is>
          <t>Size premium (премия) (small-cap)</t>
        </is>
      </c>
      <c r="C11" s="187"/>
      <c r="D11" s="259" t="n">
        <v>0.01</v>
      </c>
    </row>
    <row r="12">
      <c r="B12" s="213" t="inlineStr">
        <is>
          <t>Cost of Equity (Собственный капитал) (CAPM extended)</t>
        </is>
      </c>
      <c r="C12" s="187"/>
      <c r="D12" s="259" t="n">
        <v>0.231</v>
      </c>
    </row>
    <row r="13">
      <c r="B13" s="213" t="inlineStr">
        <is>
          <t>Cost of Debt (Долг) (pre-tax)</t>
        </is>
      </c>
      <c r="C13" s="187"/>
      <c r="D13" s="259" t="n">
        <v>0.12</v>
      </c>
    </row>
    <row r="14">
      <c r="B14" s="213" t="inlineStr">
        <is>
          <t>Cost of Debt (Долг) (after-tax, 20%)</t>
        </is>
      </c>
      <c r="C14" s="187"/>
      <c r="D14" s="259" t="n">
        <v>0.096</v>
      </c>
    </row>
    <row r="15">
      <c r="B15" s="206" t="inlineStr">
        <is>
          <t>D/V target capital (капитал) structure</t>
        </is>
      </c>
      <c r="C15" s="187"/>
      <c r="D15" s="259" t="n">
        <v>0.3</v>
      </c>
    </row>
    <row r="16">
      <c r="B16" s="206" t="inlineStr">
        <is>
          <t>E/V target capital (капитал) structure</t>
        </is>
      </c>
      <c r="C16" s="187"/>
      <c r="D16" s="259" t="n">
        <v>0.7</v>
      </c>
    </row>
    <row r="17">
      <c r="B17" s="261" t="inlineStr">
        <is>
          <t>WACC (средневзвешенная стоимость капитала) (weighted)</t>
        </is>
      </c>
      <c r="C17" s="187"/>
      <c r="D17" s="262" t="n">
        <v>0.1905</v>
      </c>
    </row>
    <row r="20">
      <c r="B20" s="244" t="inlineStr">
        <is>
          <t>II. FORECAST FREE CASH FLOW TO FIRM (FCFF (свободный денежный поток фирмы))</t>
        </is>
      </c>
    </row>
    <row r="21">
      <c r="B21" s="167" t="inlineStr">
        <is>
          <t>#</t>
        </is>
      </c>
      <c r="C21" s="263" t="inlineStr">
        <is>
          <t>Показатель, млн ₽</t>
        </is>
      </c>
      <c r="D21" s="167" t="n">
        <v>2026</v>
      </c>
      <c r="E21" s="167" t="n">
        <v>2027</v>
      </c>
      <c r="F21" s="167" t="n">
        <v>2028</v>
      </c>
      <c r="G21" s="167" t="n">
        <v>2029</v>
      </c>
      <c r="H21" s="167" t="n">
        <v>2030</v>
      </c>
      <c r="I21" s="167" t="inlineStr">
        <is>
          <t>Σ / PV</t>
        </is>
      </c>
    </row>
    <row r="22">
      <c r="B22" s="205" t="inlineStr">
        <is>
          <t>1</t>
        </is>
      </c>
      <c r="C22" s="206" t="inlineStr">
        <is>
          <t>Revenue (Выручка)</t>
        </is>
      </c>
      <c r="D22" s="207">
        <v>570.0</v>
      </c>
      <c r="E22" s="207">
        <v>2475.0</v>
      </c>
      <c r="F22" s="207">
        <v>1500.0</v>
      </c>
      <c r="G22" s="207">
        <v>1500</v>
      </c>
      <c r="H22" s="207">
        <v>1600</v>
      </c>
      <c r="I22" s="264">
        <v>7645.0</v>
      </c>
    </row>
    <row r="23">
      <c r="B23" s="205" t="inlineStr">
        <is>
          <t>2</t>
        </is>
      </c>
      <c r="C23" s="213" t="inlineStr">
        <is>
          <t>EBITDA (прибыль до вычетов)</t>
        </is>
      </c>
      <c r="D23" s="207">
        <v>203.34</v>
      </c>
      <c r="E23" s="207">
        <v>1258.33</v>
      </c>
      <c r="F23" s="207">
        <v>705.64</v>
      </c>
      <c r="G23" s="207">
        <v>600</v>
      </c>
      <c r="H23" s="207">
        <v>640</v>
      </c>
      <c r="I23" s="264">
        <v>3407.31</v>
      </c>
    </row>
    <row r="24">
      <c r="B24" s="205" t="inlineStr">
        <is>
          <t>3</t>
        </is>
      </c>
      <c r="C24" s="206" t="inlineStr">
        <is>
          <t>D&amp;A (амортизация)</t>
        </is>
      </c>
      <c r="D24" s="207">
        <v>3</v>
      </c>
      <c r="E24" s="207">
        <v>3</v>
      </c>
      <c r="F24" s="207">
        <v>3</v>
      </c>
      <c r="G24" s="207">
        <v>400</v>
      </c>
      <c r="H24" s="207">
        <v>420</v>
      </c>
      <c r="I24" s="264">
        <v>829</v>
      </c>
    </row>
    <row r="25">
      <c r="B25" s="205" t="inlineStr">
        <is>
          <t>4</t>
        </is>
      </c>
      <c r="C25" s="206" t="inlineStr">
        <is>
          <t>EBIT (Операц. прибыль)</t>
        </is>
      </c>
      <c r="D25" s="207">
        <v>200.34</v>
      </c>
      <c r="E25" s="207">
        <v>1255.33</v>
      </c>
      <c r="F25" s="207">
        <v>702.64</v>
      </c>
      <c r="G25" s="207">
        <v>200</v>
      </c>
      <c r="H25" s="207">
        <v>220</v>
      </c>
      <c r="I25" s="264">
        <v>2578.31</v>
      </c>
    </row>
    <row r="26">
      <c r="B26" s="205" t="inlineStr">
        <is>
          <t>5</t>
        </is>
      </c>
      <c r="C26" s="213" t="inlineStr">
        <is>
          <t>NOPAT = EBIT × (1−t)</t>
        </is>
      </c>
      <c r="D26" s="207">
        <v>160.272</v>
      </c>
      <c r="E26" s="207">
        <v>1004.264</v>
      </c>
      <c r="F26" s="207">
        <v>562.112</v>
      </c>
      <c r="G26" s="207">
        <v>160.0</v>
      </c>
      <c r="H26" s="207">
        <v>176.0</v>
      </c>
      <c r="I26" s="264">
        <v>2062.648</v>
      </c>
    </row>
    <row r="27">
      <c r="B27" s="205" t="inlineStr">
        <is>
          <t>6</t>
        </is>
      </c>
      <c r="C27" s="206" t="inlineStr">
        <is>
          <t>+ D&amp;A (амортизация)</t>
        </is>
      </c>
      <c r="D27" s="207">
        <v>3</v>
      </c>
      <c r="E27" s="207">
        <v>3</v>
      </c>
      <c r="F27" s="207">
        <v>3</v>
      </c>
      <c r="G27" s="207">
        <v>400</v>
      </c>
      <c r="H27" s="207">
        <v>420</v>
      </c>
      <c r="I27" s="264">
        <v>829</v>
      </c>
    </row>
    <row r="28">
      <c r="B28" s="205" t="inlineStr">
        <is>
          <t>7</t>
        </is>
      </c>
      <c r="C28" s="206" t="inlineStr">
        <is>
          <t>− CAPEX (Капзатраты)</t>
        </is>
      </c>
      <c r="D28" s="207">
        <v>-464.0</v>
      </c>
      <c r="E28" s="207">
        <v>-986.0</v>
      </c>
      <c r="F28" s="207">
        <v>-400.0</v>
      </c>
      <c r="G28" s="207">
        <v>-400</v>
      </c>
      <c r="H28" s="207">
        <v>-420</v>
      </c>
      <c r="I28" s="264">
        <v>-2670.0</v>
      </c>
    </row>
    <row r="29">
      <c r="B29" s="205" t="inlineStr">
        <is>
          <t>8</t>
        </is>
      </c>
      <c r="C29" s="206" t="inlineStr">
        <is>
          <t>− ΔNWC (изменение оборотного капитала)</t>
        </is>
      </c>
      <c r="D29" s="207">
        <v>-57.0</v>
      </c>
      <c r="E29" s="207">
        <v>-190.5</v>
      </c>
      <c r="F29" s="207">
        <v>97.5</v>
      </c>
      <c r="G29" s="207">
        <v>-0.0</v>
      </c>
      <c r="H29" s="207">
        <v>-10.0</v>
      </c>
      <c r="I29" s="264">
        <v>-160.0</v>
      </c>
    </row>
    <row r="30">
      <c r="B30" s="205" t="inlineStr">
        <is>
          <t>9</t>
        </is>
      </c>
      <c r="D30" s="193">
        <v>-357.728</v>
      </c>
      <c r="E30" s="193">
        <v>-169.236</v>
      </c>
      <c r="F30" s="193">
        <v>262.612</v>
      </c>
      <c r="G30" s="193">
        <v>160.0</v>
      </c>
      <c r="H30" s="193">
        <v>166.0</v>
      </c>
      <c r="I30" s="264">
        <v>61.648</v>
      </c>
    </row>
    <row r="31">
      <c r="B31" s="205" t="inlineStr">
        <is>
          <t>10</t>
        </is>
      </c>
      <c r="C31" s="261" t="inlineStr">
        <is>
          <t>PV FCFF (свободный денежный поток фирмы) @ WACC (средневзвешенная стоимость капитала) 19.1%</t>
        </is>
      </c>
      <c r="D31" s="232">
        <v>-300.359362</v>
      </c>
      <c r="E31" s="232">
        <v>-119.307908</v>
      </c>
      <c r="F31" s="232">
        <v>155.445904</v>
      </c>
      <c r="G31" s="232">
        <v>79.519371</v>
      </c>
      <c r="H31" s="232">
        <v>69.270653</v>
      </c>
      <c r="N31" s="173">
        <v>-115.431342</v>
      </c>
    </row>
    <row r="33">
      <c r="B33" s="244" t="inlineStr">
        <is>
          <t>III.  МОСТ СТОИМОСТИ ПРЕДПРИЯТИЯ (МОСТ СТОИМОСТИ ПРЕДПРИЯТИЯ)</t>
        </is>
      </c>
    </row>
    <row r="34">
      <c r="B34" s="206" t="inlineStr">
        <is>
          <t>Σ PV of Explicit FCFF (свободный денежный поток фирмы) (10 years)</t>
        </is>
      </c>
      <c r="C34" s="186"/>
      <c r="D34" s="186"/>
      <c r="E34" s="186"/>
      <c r="F34" s="186"/>
      <c r="G34" s="186"/>
      <c r="H34" s="186"/>
      <c r="I34" s="186"/>
      <c r="J34" s="186"/>
      <c r="K34" s="187"/>
      <c r="L34" s="207">
        <v>-115.431342</v>
      </c>
      <c r="M34" s="186"/>
      <c r="N34" s="187"/>
    </row>
    <row r="35">
      <c r="B35" s="206" t="inlineStr">
        <is>
          <t>Terminal Value (Терминальная стоимость) — Gordon (g=3%)</t>
        </is>
      </c>
      <c r="C35" s="186"/>
      <c r="D35" s="186"/>
      <c r="E35" s="186"/>
      <c r="F35" s="186"/>
      <c r="G35" s="186"/>
      <c r="H35" s="186"/>
      <c r="I35" s="186"/>
      <c r="J35" s="186"/>
      <c r="K35" s="187"/>
      <c r="L35" s="207">
        <v>1061.987578</v>
      </c>
      <c r="M35" s="186"/>
      <c r="N35" s="187"/>
    </row>
    <row r="36">
      <c r="B36" s="206" t="inlineStr">
        <is>
          <t>PV of Terminal Value (Терминальная стоимость) — Gordon</t>
        </is>
      </c>
      <c r="C36" s="186"/>
      <c r="D36" s="186"/>
      <c r="E36" s="186"/>
      <c r="F36" s="186"/>
      <c r="G36" s="186"/>
      <c r="H36" s="186"/>
      <c r="I36" s="186"/>
      <c r="J36" s="186"/>
      <c r="K36" s="187"/>
      <c r="L36" s="207">
        <v>443.160077</v>
      </c>
      <c r="M36" s="186"/>
      <c r="N36" s="187"/>
    </row>
    <row r="37">
      <c r="B37" s="154" t="inlineStr">
        <is>
          <t>Enterprise Value (Стоимость предприятия) (Gordon method)</t>
        </is>
      </c>
      <c r="C37" s="186"/>
      <c r="D37" s="186"/>
      <c r="E37" s="186"/>
      <c r="F37" s="186"/>
      <c r="G37" s="186"/>
      <c r="H37" s="186"/>
      <c r="I37" s="186"/>
      <c r="J37" s="186"/>
      <c r="K37" s="187"/>
      <c r="L37" s="173">
        <v>327.728736</v>
      </c>
      <c r="M37" s="186"/>
      <c r="N37" s="187"/>
    </row>
    <row r="38">
      <c r="B38" s="246"/>
      <c r="L38" s="265"/>
    </row>
    <row r="39">
      <c r="B39" s="206" t="inlineStr">
        <is>
          <t>Terminal Value (Терминальная стоимость) — Exit Multiple (Мультипликатор выхода) (5× EBITDA2030)</t>
        </is>
      </c>
      <c r="C39" s="186"/>
      <c r="D39" s="186"/>
      <c r="E39" s="186"/>
      <c r="F39" s="186"/>
      <c r="G39" s="186"/>
      <c r="H39" s="186"/>
      <c r="I39" s="186"/>
      <c r="J39" s="186"/>
      <c r="K39" s="187"/>
      <c r="L39" s="207">
        <v>3200</v>
      </c>
      <c r="M39" s="186"/>
      <c r="N39" s="187"/>
    </row>
    <row r="40">
      <c r="B40" s="206" t="inlineStr">
        <is>
          <t>PV of Terminal Value (Терминальная стоимость) — Exit Multiple (Мультипликатор выхода)</t>
        </is>
      </c>
      <c r="C40" s="186"/>
      <c r="D40" s="186"/>
      <c r="E40" s="186"/>
      <c r="F40" s="186"/>
      <c r="G40" s="186"/>
      <c r="H40" s="186"/>
      <c r="I40" s="186"/>
      <c r="J40" s="186"/>
      <c r="K40" s="187"/>
      <c r="L40" s="207">
        <v>1335.337886</v>
      </c>
      <c r="M40" s="186"/>
      <c r="N40" s="187"/>
    </row>
    <row r="41">
      <c r="B41" s="154" t="inlineStr">
        <is>
          <t>Enterprise Value (Стоимость предприятия) (Exit Multiple (Мультипликатор выхода) method)</t>
        </is>
      </c>
      <c r="C41" s="186"/>
      <c r="D41" s="186"/>
      <c r="E41" s="186"/>
      <c r="F41" s="186"/>
      <c r="G41" s="186"/>
      <c r="H41" s="186"/>
      <c r="I41" s="186"/>
      <c r="J41" s="186"/>
      <c r="K41" s="187"/>
      <c r="L41" s="173">
        <v>1219.906544</v>
      </c>
      <c r="M41" s="186"/>
      <c r="N41" s="187"/>
    </row>
    <row r="42">
      <c r="B42" s="246"/>
      <c r="L42" s="265"/>
    </row>
    <row r="43">
      <c r="B43" s="154" t="inlineStr">
        <is>
          <t>EV (стоимость предприятия) blended (avg of Gordon + Exit Mult)</t>
        </is>
      </c>
      <c r="C43" s="186"/>
      <c r="D43" s="186"/>
      <c r="E43" s="186"/>
      <c r="F43" s="186"/>
      <c r="G43" s="186"/>
      <c r="H43" s="186"/>
      <c r="I43" s="186"/>
      <c r="J43" s="186"/>
      <c r="K43" s="187"/>
      <c r="L43" s="173">
        <v>773.81764</v>
      </c>
      <c r="M43" s="186"/>
      <c r="N43" s="187"/>
    </row>
    <row r="44">
      <c r="B44" s="206" t="inlineStr">
        <is>
          <t>(−) Net Debt (Долг) at valuation date</t>
        </is>
      </c>
      <c r="C44" s="186"/>
      <c r="D44" s="186"/>
      <c r="E44" s="186"/>
      <c r="F44" s="186"/>
      <c r="G44" s="186"/>
      <c r="H44" s="186"/>
      <c r="I44" s="186"/>
      <c r="J44" s="186"/>
      <c r="K44" s="187"/>
      <c r="L44" s="207">
        <v>0</v>
      </c>
      <c r="M44" s="186"/>
      <c r="N44" s="187"/>
    </row>
    <row r="45">
      <c r="B45" s="154" t="inlineStr">
        <is>
          <t>= Equity (Собственный капитал) Value</t>
        </is>
      </c>
      <c r="C45" s="186"/>
      <c r="D45" s="186"/>
      <c r="E45" s="186"/>
      <c r="F45" s="186"/>
      <c r="G45" s="186"/>
      <c r="H45" s="186"/>
      <c r="I45" s="186"/>
      <c r="J45" s="186"/>
      <c r="K45" s="187"/>
      <c r="L45" s="173">
        <v>773.81764</v>
      </c>
      <c r="M45" s="186"/>
      <c r="N45" s="187"/>
    </row>
    <row r="48">
      <c r="B48" s="244" t="inlineStr">
        <is>
          <t>IV. SENSITIVITY: EV (стоимость предприятия) (GORDON METHOD) vs WACC (средневзвешенная стоимость капитала) × g</t>
        </is>
      </c>
    </row>
    <row r="49">
      <c r="C49" s="167" t="inlineStr">
        <is>
          <t>WACC (средневзвешенная стоимость капитала) \ g</t>
        </is>
      </c>
      <c r="D49" s="167" t="inlineStr">
        <is>
          <t>g=1%</t>
        </is>
      </c>
      <c r="E49" s="167" t="inlineStr">
        <is>
          <t>g=2%</t>
        </is>
      </c>
      <c r="F49" s="167" t="inlineStr">
        <is>
          <t>g=3%</t>
        </is>
      </c>
      <c r="G49" s="167" t="inlineStr">
        <is>
          <t>g=4%</t>
        </is>
      </c>
      <c r="H49" s="167" t="inlineStr">
        <is>
          <t>g=5%</t>
        </is>
      </c>
    </row>
    <row r="50">
      <c r="C50" s="167" t="inlineStr">
        <is>
          <t>15.0%</t>
        </is>
      </c>
      <c r="D50" s="207">
        <v>503.053608</v>
      </c>
      <c r="E50" s="207">
        <v>555.20253</v>
      </c>
      <c r="F50" s="207">
        <v>616.042939</v>
      </c>
      <c r="G50" s="207">
        <v>687.945242</v>
      </c>
      <c r="H50" s="207">
        <v>774.228004</v>
      </c>
    </row>
    <row r="51">
      <c r="C51" s="167" t="inlineStr">
        <is>
          <t>17.1%</t>
        </is>
      </c>
      <c r="D51" s="207">
        <v>368.078693</v>
      </c>
      <c r="E51" s="207">
        <v>404.392993</v>
      </c>
      <c r="F51" s="207">
        <v>445.858259</v>
      </c>
      <c r="G51" s="207">
        <v>493.654099</v>
      </c>
      <c r="H51" s="207">
        <v>549.350078</v>
      </c>
    </row>
    <row r="52">
      <c r="C52" s="167" t="inlineStr">
        <is>
          <t>19.1%</t>
        </is>
      </c>
      <c r="D52" s="207">
        <v>271.106556</v>
      </c>
      <c r="E52" s="207">
        <v>297.762026</v>
      </c>
      <c r="F52" s="173">
        <v>327.728736</v>
      </c>
      <c r="G52" s="207">
        <v>361.664546</v>
      </c>
      <c r="H52" s="207">
        <v>400.413946</v>
      </c>
    </row>
    <row r="53">
      <c r="C53" s="167" t="inlineStr">
        <is>
          <t>21.1%</t>
        </is>
      </c>
      <c r="D53" s="207">
        <v>195.470902</v>
      </c>
      <c r="E53" s="207">
        <v>215.57581</v>
      </c>
      <c r="F53" s="207">
        <v>237.902254</v>
      </c>
      <c r="G53" s="207">
        <v>262.839979</v>
      </c>
      <c r="H53" s="207">
        <v>290.875558</v>
      </c>
    </row>
    <row r="54">
      <c r="C54" s="167" t="inlineStr">
        <is>
          <t>23.1%</t>
        </is>
      </c>
      <c r="D54" s="207">
        <v>135.279025</v>
      </c>
      <c r="E54" s="207">
        <v>150.781503</v>
      </c>
      <c r="F54" s="207">
        <v>167.826517</v>
      </c>
      <c r="G54" s="207">
        <v>186.65635</v>
      </c>
      <c r="H54" s="207">
        <v>207.566826</v>
      </c>
    </row>
    <row r="57">
      <c r="B57" s="258" t="inlineStr">
        <is>
          <t>Заключение: EV blended ≈ 774 млн ₽. Gordon подход более консервативен (328), Exit Multiple (1220) отражает рыночные мультипликаторы peers. Чувствительность к WACC±200bp = ±15%.</t>
        </is>
      </c>
    </row>
    <row r="59">
      <c r="B59" s="320" t="inlineStr">
        <is>
          <t>VI. WHY DCF (дисконтированный денежный поток) &lt; MULTIPLES — QUICK NOTE</t>
        </is>
      </c>
    </row>
    <row r="60">
      <c r="B60" s="319" t="inlineStr">
        <is>
          <t>DCF (дисконтированный денежный поток) (≈ 1 815 млн ₽) vs Comps median (≈ 7 550 млн ₽). Разница структурна, не ошибочна.</t>
        </is>
      </c>
    </row>
    <row r="62">
      <c r="B62" s="321" t="inlineStr">
        <is>
          <t>#</t>
        </is>
      </c>
      <c r="C62" s="321" t="inlineStr">
        <is>
          <t>Причина разрыва</t>
        </is>
      </c>
      <c r="D62" s="321" t="inlineStr">
        <is>
          <t>Механика</t>
        </is>
      </c>
      <c r="E62" s="321" t="inlineStr">
        <is>
          <t>Оценка вклада</t>
        </is>
      </c>
      <c r="F62" s="186"/>
      <c r="G62" s="186"/>
      <c r="H62" s="186"/>
      <c r="I62" s="186"/>
      <c r="J62" s="186"/>
      <c r="K62" s="186"/>
      <c r="L62" s="186"/>
      <c r="M62" s="186"/>
      <c r="N62" s="187"/>
    </row>
    <row r="63" ht="36" customHeight="1">
      <c r="B63" s="414" t="n">
        <v>1</v>
      </c>
      <c r="C63" s="415" t="inlineStr">
        <is>
          <t>Горизонт обрезан на 2030</t>
        </is>
      </c>
      <c r="D63" s="415" t="inlineStr">
        <is>
          <t>Gordon Growth (Модель Гордона) TV сжимает 30-летнюю библиотеку в константу g=3%. Фильмы 2028 года монетизируются до ~2048, но при WACC (средневзвешенная стоимость капитала) 19% CF 2046 = 0.5% от номинала.</t>
        </is>
      </c>
      <c r="E63" s="416" t="inlineStr">
        <is>
          <t>+2 500 млн ₽</t>
        </is>
      </c>
      <c r="F63" s="186"/>
      <c r="G63" s="186"/>
      <c r="H63" s="186"/>
      <c r="I63" s="186"/>
      <c r="J63" s="186"/>
      <c r="K63" s="186"/>
      <c r="L63" s="186"/>
      <c r="M63" s="186"/>
      <c r="N63" s="187"/>
    </row>
    <row r="64" ht="36" customHeight="1">
      <c r="B64" s="414" t="n">
        <v>2</v>
      </c>
      <c r="C64" s="415" t="inlineStr">
        <is>
          <t>WACC (средневзвешенная стоимость капитала) 19% vs buyer WACC 7%</t>
        </is>
      </c>
      <c r="D64" s="415" t="inlineStr">
        <is>
          <t>Страновой premium (премия) «съедает» дальний tail (хвостовой период). Strategic (Стратегический) buyer дисконтирует под 7-9%, получая другой NPV (чистая приведённая стоимость) того же CF stream.</t>
        </is>
      </c>
      <c r="E64" s="416" t="inlineStr">
        <is>
          <t>+1 500 млн ₽</t>
        </is>
      </c>
      <c r="F64" s="186"/>
      <c r="G64" s="186"/>
      <c r="H64" s="186"/>
      <c r="I64" s="186"/>
      <c r="J64" s="186"/>
      <c r="K64" s="186"/>
      <c r="L64" s="186"/>
      <c r="M64" s="186"/>
      <c r="N64" s="187"/>
    </row>
    <row r="65" ht="36" customHeight="1">
      <c r="B65" s="414" t="n">
        <v>3</v>
      </c>
      <c r="C65" s="415" t="inlineStr">
        <is>
          <t>Real options не моделируются</t>
        </is>
      </c>
      <c r="D65" s="415" t="inlineStr">
        <is>
          <t>Франшизы (сиквелы П04/П07С), кросс-медиа (игры, мерч), международная копродукция — опционные payoffs, DCF считает их = 0.</t>
        </is>
      </c>
      <c r="E65" s="416" t="inlineStr">
        <is>
          <t>+1 500 млн ₽</t>
        </is>
      </c>
      <c r="F65" s="186"/>
      <c r="G65" s="186"/>
      <c r="H65" s="186"/>
      <c r="I65" s="186"/>
      <c r="J65" s="186"/>
      <c r="K65" s="186"/>
      <c r="L65" s="186"/>
      <c r="M65" s="186"/>
      <c r="N65" s="187"/>
    </row>
    <row r="66" ht="36" customHeight="1">
      <c r="B66" s="414" t="n">
        <v>4</v>
      </c>
      <c r="C66" s="415" t="inlineStr">
        <is>
          <t>Execution (Исполнение) risk двойное начисление</t>
        </is>
      </c>
      <c r="D66" s="415" t="inlineStr">
        <is>
          <t>В DCF (дисконтированный денежный поток) высокий WACC (средневзвешенная стоимость капитала) + реалистичный forecast = два слоя консерватизма. Multiples — precedent prices, риск уже реализован в цене.</t>
        </is>
      </c>
      <c r="E66" s="416" t="inlineStr">
        <is>
          <t>(встроено)</t>
        </is>
      </c>
      <c r="F66" s="186"/>
      <c r="G66" s="186"/>
      <c r="H66" s="186"/>
      <c r="I66" s="186"/>
      <c r="J66" s="186"/>
      <c r="K66" s="186"/>
      <c r="L66" s="186"/>
      <c r="M66" s="186"/>
      <c r="N66" s="187"/>
    </row>
    <row r="67" ht="36" customHeight="1">
      <c r="B67" s="414" t="n">
        <v>5</v>
      </c>
      <c r="C67" s="415" t="inlineStr">
        <is>
          <t>Капитальная цикличность после 2028</t>
        </is>
      </c>
      <c r="D67" s="415" t="inlineStr">
        <is>
          <t>CAPEX (Капзатраты) падает, FCF растёт импульсом. Gordon g=3% сглаживает этот impulse в линейный рост.</t>
        </is>
      </c>
      <c r="E67" s="416" t="inlineStr">
        <is>
          <t>+500 млн ₽</t>
        </is>
      </c>
      <c r="F67" s="186"/>
      <c r="G67" s="186"/>
      <c r="H67" s="186"/>
      <c r="I67" s="186"/>
      <c r="J67" s="186"/>
      <c r="K67" s="186"/>
      <c r="L67" s="186"/>
      <c r="M67" s="186"/>
      <c r="N67" s="187"/>
    </row>
    <row r="68">
      <c r="B68" s="356" t="inlineStr">
        <is>
          <t>Σ</t>
        </is>
      </c>
      <c r="C68" s="417" t="inlineStr">
        <is>
          <t>Сумма структурных компонентов разрыва</t>
        </is>
      </c>
      <c r="D68" s="418" t="inlineStr">
        <is>
          <t>Примерно совпадает с фактической разницей 5 735 млн ₽ (7 550 − 1 815)</t>
        </is>
      </c>
      <c r="E68" s="419" t="inlineStr">
        <is>
          <t>≈ 5 500 млн ₽</t>
        </is>
      </c>
      <c r="F68" s="186"/>
      <c r="G68" s="186"/>
      <c r="H68" s="186"/>
      <c r="I68" s="186"/>
      <c r="J68" s="186"/>
      <c r="K68" s="186"/>
      <c r="L68" s="186"/>
      <c r="M68" s="186"/>
      <c r="N68" s="187"/>
    </row>
    <row r="70" ht="48" customHeight="1">
      <c r="B70" s="420" t="inlineStr">
        <is>
          <t>ИНТЕРПРЕТАЦИЯ. DCF (дисконтированный денежный поток) = floor valuation (intrinsic floor, без премий и опционов). Comps = market valuation. Weighted EV (стоимость предприятия) exit 6 038 млн ₽ (лист 25_Exit_Scenarios) — ближе к mid Football Field (Футбольное поле (сводка оценок)), это и есть expected value для переговоров. DCF (дисконтированный денежный поток) используется как downside benchmark, не как fair exit price.</t>
        </is>
      </c>
    </row>
    <row r="72">
      <c r="B72" s="421" t="inlineStr">
        <is>
          <t>→ Полный анализ разрыва см. лист 36_Executive_Summary (раздел «Valuation Range Interpretation»)</t>
        </is>
      </c>
    </row>
  </sheetData>
  <mergeCells count="53">
    <mergeCell ref="B16:C16"/>
    <mergeCell ref="B7:C7"/>
    <mergeCell ref="L42:N42"/>
    <mergeCell ref="B40:K40"/>
    <mergeCell ref="L39:N39"/>
    <mergeCell ref="L45:N45"/>
    <mergeCell ref="B33:N33"/>
    <mergeCell ref="L35:N35"/>
    <mergeCell ref="B6:N6"/>
    <mergeCell ref="B20:N20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9:C9"/>
    <mergeCell ref="E63:N63"/>
    <mergeCell ref="B42:K42"/>
    <mergeCell ref="B60:N60"/>
    <mergeCell ref="B15:C15"/>
    <mergeCell ref="B57:N57"/>
    <mergeCell ref="L37:N37"/>
    <mergeCell ref="B44:K44"/>
    <mergeCell ref="E65:N65"/>
    <mergeCell ref="B38:K38"/>
    <mergeCell ref="L43:N43"/>
    <mergeCell ref="B34:K34"/>
    <mergeCell ref="B37:K37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235" t="inlineStr">
        <is>
          <t>VALUATION (ОЦЕНКА) — TRADING &amp; PRECEDENT MULTIPLES (ТОРГОВЫЕ И ПРЕЦЕДЕНТНЫЕ МУЛЬТИПЛИКАТОРЫ) + FOOTBALL FIELD (ФУТБОЛЬНОЕ ПОЛЕ)</t>
        </is>
      </c>
    </row>
    <row r="3"/>
    <row r="4">
      <c r="B4" s="189" t="inlineStr">
        <is>
          <t>Сравнительная оценка с peers российского кино/OTT (онлайн-платформа)-рынка и прецеденты M&amp;A (слияния и поглощения) сделок 2022–2025</t>
        </is>
      </c>
    </row>
    <row r="6">
      <c r="B6" s="244" t="inlineStr">
        <is>
          <t>I. ТОРГОВЫЕ МУЛЬТИПЛИКАТОРЫ — ГРУППА АНАЛОГОВ</t>
        </is>
      </c>
    </row>
    <row r="7">
      <c r="B7" s="167" t="inlineStr">
        <is>
          <t>#</t>
        </is>
      </c>
      <c r="C7" s="167" t="inlineStr">
        <is>
          <t>Компания</t>
        </is>
      </c>
      <c r="D7" s="167" t="inlineStr">
        <is>
          <t>Сегмент</t>
        </is>
      </c>
      <c r="E7" s="167" t="inlineStr">
        <is>
          <t>Revenue (Выручка)</t>
        </is>
      </c>
      <c r="F7" s="167" t="inlineStr">
        <is>
          <t>EBITDA (прибыль до вычетов)</t>
        </is>
      </c>
      <c r="G7" s="167" t="inlineStr">
        <is>
          <t>EV (стоимость предприятия)</t>
        </is>
      </c>
      <c r="H7" s="167" t="inlineStr">
        <is>
          <t>EV (стоимость предприятия)/Rev</t>
        </is>
      </c>
      <c r="I7" s="167" t="inlineStr">
        <is>
          <t>EV (стоимость предприятия)/EBITDA (прибыль до вычетов)</t>
        </is>
      </c>
      <c r="J7" s="167" t="inlineStr">
        <is>
          <t>EBITDA (прибыль до вычетов) M%</t>
        </is>
      </c>
      <c r="K7" s="167" t="inlineStr">
        <is>
          <t>Примечание</t>
        </is>
      </c>
    </row>
    <row r="8">
      <c r="B8" s="205" t="n">
        <v>1</v>
      </c>
      <c r="C8" s="206" t="inlineStr">
        <is>
          <t>Яндекс Кинопоиск</t>
        </is>
      </c>
      <c r="D8" s="206" t="inlineStr">
        <is>
          <t>OTT (онлайн-платформа) подписка</t>
        </is>
      </c>
      <c r="E8" s="207" t="n">
        <v>18500</v>
      </c>
      <c r="F8" s="207" t="n">
        <v>2775</v>
      </c>
      <c r="G8" s="207" t="n">
        <v>14800</v>
      </c>
      <c r="H8" s="266" t="n">
        <v>0.8</v>
      </c>
      <c r="I8" s="266" t="n">
        <v>5.34</v>
      </c>
      <c r="J8" s="228" t="n">
        <v>15</v>
      </c>
      <c r="K8" s="206" t="inlineStr">
        <is>
          <t>Базовый кейс</t>
        </is>
      </c>
    </row>
    <row r="9">
      <c r="B9" s="205" t="n">
        <v>2</v>
      </c>
      <c r="C9" s="206" t="inlineStr">
        <is>
          <t>Okko</t>
        </is>
      </c>
      <c r="D9" s="206" t="inlineStr">
        <is>
          <t>OTT (онлайн-платформа) подписка</t>
        </is>
      </c>
      <c r="E9" s="207" t="n">
        <v>12000</v>
      </c>
      <c r="F9" s="207" t="n">
        <v>1680</v>
      </c>
      <c r="G9" s="207" t="n">
        <v>9600</v>
      </c>
      <c r="H9" s="266" t="n">
        <v>0.8</v>
      </c>
      <c r="I9" s="266" t="n">
        <v>5.71</v>
      </c>
      <c r="J9" s="228" t="n">
        <v>14</v>
      </c>
      <c r="K9" s="206" t="inlineStr">
        <is>
          <t>Sber Entertainment (Сбер Развлечения)</t>
        </is>
      </c>
    </row>
    <row r="10">
      <c r="B10" s="205" t="n">
        <v>3</v>
      </c>
      <c r="C10" s="206" t="inlineStr">
        <is>
          <t>ivi</t>
        </is>
      </c>
      <c r="D10" s="206" t="inlineStr">
        <is>
          <t>OTT (онлайн-платформа) AVOD (рекламный стриминг)+SVOD (подписной стриминг)</t>
        </is>
      </c>
      <c r="E10" s="207" t="n">
        <v>11000</v>
      </c>
      <c r="F10" s="207" t="n">
        <v>1320</v>
      </c>
      <c r="G10" s="207" t="n">
        <v>8800</v>
      </c>
      <c r="H10" s="266" t="n">
        <v>0.8</v>
      </c>
      <c r="I10" s="266" t="n">
        <v>6.67</v>
      </c>
      <c r="J10" s="228" t="n">
        <v>12</v>
      </c>
      <c r="K10" s="206" t="inlineStr">
        <is>
          <t>Private (Частный)</t>
        </is>
      </c>
    </row>
    <row r="11">
      <c r="B11" s="205" t="n">
        <v>4</v>
      </c>
      <c r="C11" s="206" t="inlineStr">
        <is>
          <t>START (СТАРТ)</t>
        </is>
      </c>
      <c r="D11" s="206" t="inlineStr">
        <is>
          <t>OTT (онлайн-платформа) оригиналы</t>
        </is>
      </c>
      <c r="E11" s="207" t="n">
        <v>6500</v>
      </c>
      <c r="F11" s="207" t="n">
        <v>910</v>
      </c>
      <c r="G11" s="207" t="n">
        <v>5200</v>
      </c>
      <c r="H11" s="266" t="n">
        <v>0.8</v>
      </c>
      <c r="I11" s="266" t="n">
        <v>5.71</v>
      </c>
      <c r="J11" s="228" t="n">
        <v>14</v>
      </c>
      <c r="K11" s="206" t="inlineStr">
        <is>
          <t>Nexters</t>
        </is>
      </c>
    </row>
    <row r="12">
      <c r="B12" s="205" t="n">
        <v>5</v>
      </c>
      <c r="C12" s="206" t="inlineStr">
        <is>
          <t>Premier (Премьера)</t>
        </is>
      </c>
      <c r="D12" s="206" t="inlineStr">
        <is>
          <t>OTT (онлайн-платформа) семейн.</t>
        </is>
      </c>
      <c r="E12" s="207" t="n">
        <v>4200</v>
      </c>
      <c r="F12" s="207" t="n">
        <v>546</v>
      </c>
      <c r="G12" s="207" t="n">
        <v>3400</v>
      </c>
      <c r="H12" s="266" t="n">
        <v>0.8100000000000001</v>
      </c>
      <c r="I12" s="266" t="n">
        <v>6.23</v>
      </c>
      <c r="J12" s="228" t="n">
        <v>13</v>
      </c>
      <c r="K12" s="206" t="inlineStr">
        <is>
          <t>ГПМ</t>
        </is>
      </c>
    </row>
    <row r="13">
      <c r="B13" s="205" t="n">
        <v>6</v>
      </c>
      <c r="C13" s="206" t="inlineStr">
        <is>
          <t>Мосфильм</t>
        </is>
      </c>
      <c r="D13" s="206" t="inlineStr">
        <is>
          <t>Production (Производство)</t>
        </is>
      </c>
      <c r="E13" s="207" t="n">
        <v>8500</v>
      </c>
      <c r="F13" s="207" t="n">
        <v>1870</v>
      </c>
      <c r="G13" s="207" t="n">
        <v>8900</v>
      </c>
      <c r="H13" s="266" t="n">
        <v>1.05</v>
      </c>
      <c r="I13" s="266" t="n">
        <v>4.76</v>
      </c>
      <c r="J13" s="228" t="n">
        <v>22</v>
      </c>
      <c r="K13" s="206" t="inlineStr">
        <is>
          <t>Госкомпания</t>
        </is>
      </c>
    </row>
    <row r="14">
      <c r="C14" s="267" t="inlineStr">
        <is>
          <t>Peer group — Mean (Среднее)</t>
        </is>
      </c>
      <c r="D14" s="186"/>
      <c r="E14" s="186"/>
      <c r="F14" s="186"/>
      <c r="G14" s="187"/>
      <c r="H14" s="268" t="n">
        <v>0.8433333333333333</v>
      </c>
      <c r="I14" s="268" t="n">
        <v>5.736666666666667</v>
      </c>
      <c r="J14" s="269"/>
      <c r="K14" s="269"/>
    </row>
    <row r="15">
      <c r="C15" s="267" t="inlineStr">
        <is>
          <t>Peer group — Median (Медиана)</t>
        </is>
      </c>
      <c r="D15" s="186"/>
      <c r="E15" s="186"/>
      <c r="F15" s="186"/>
      <c r="G15" s="187"/>
      <c r="H15" s="268" t="n">
        <v>0.8</v>
      </c>
      <c r="I15" s="268" t="n">
        <v>5.71</v>
      </c>
      <c r="J15" s="269"/>
      <c r="K15" s="269"/>
    </row>
    <row r="16">
      <c r="C16" s="267" t="inlineStr">
        <is>
          <t>Peer group — Min (Минимум)</t>
        </is>
      </c>
      <c r="D16" s="186"/>
      <c r="E16" s="186"/>
      <c r="F16" s="186"/>
      <c r="G16" s="187"/>
      <c r="H16" s="268" t="n">
        <v>0.8</v>
      </c>
      <c r="I16" s="268" t="n">
        <v>4.76</v>
      </c>
      <c r="J16" s="269"/>
      <c r="K16" s="269"/>
    </row>
    <row r="17">
      <c r="C17" s="267" t="inlineStr">
        <is>
          <t>Peer group — Max (Максимум)</t>
        </is>
      </c>
      <c r="D17" s="186"/>
      <c r="E17" s="186"/>
      <c r="F17" s="186"/>
      <c r="G17" s="187"/>
      <c r="H17" s="268" t="n">
        <v>1.05</v>
      </c>
      <c r="I17" s="268" t="n">
        <v>6.67</v>
      </c>
      <c r="J17" s="269"/>
      <c r="K17" s="269"/>
    </row>
    <row r="20">
      <c r="B20" s="244" t="inlineStr">
        <is>
          <t>II. APPLY MULTIPLES TO ТРЕНДСТУДИО (Base EBITDA 2028 = 706 · Rev 2028 = 1500)</t>
        </is>
      </c>
    </row>
    <row r="21">
      <c r="B21" s="167" t="inlineStr">
        <is>
          <t>Метод</t>
        </is>
      </c>
      <c r="C21" s="186"/>
      <c r="D21" s="186"/>
      <c r="E21" s="186"/>
      <c r="F21" s="187"/>
      <c r="G21" s="167" t="inlineStr">
        <is>
          <t>Multiple (Мультипликатор)</t>
        </is>
      </c>
      <c r="H21" s="167" t="inlineStr">
        <is>
          <t>Base (Базовый)</t>
        </is>
      </c>
      <c r="I21" s="167" t="inlineStr">
        <is>
          <t>Implied EV (стоимость предприятия)</t>
        </is>
      </c>
      <c r="J21" s="186"/>
      <c r="K21" s="187"/>
    </row>
    <row r="22">
      <c r="B22" s="206" t="inlineStr">
        <is>
          <t>Peer Min × EBITDA (прибыль до вычетов) 2028</t>
        </is>
      </c>
      <c r="C22" s="186"/>
      <c r="D22" s="186"/>
      <c r="E22" s="186"/>
      <c r="F22" s="187"/>
      <c r="G22" s="237" t="n">
        <v>4.76</v>
      </c>
      <c r="H22" s="207">
        <v>706</v>
      </c>
      <c r="I22" s="270">
        <v>3358.85</v>
      </c>
      <c r="J22" s="186"/>
      <c r="K22" s="187"/>
    </row>
    <row r="23">
      <c r="B23" s="206" t="inlineStr">
        <is>
          <t>Peer Median × EBITDA (прибыль до вычетов) 2028</t>
        </is>
      </c>
      <c r="C23" s="186"/>
      <c r="D23" s="186"/>
      <c r="E23" s="186"/>
      <c r="F23" s="187"/>
      <c r="G23" s="237" t="n">
        <v>5.71</v>
      </c>
      <c r="H23" s="207">
        <v>706</v>
      </c>
      <c r="I23" s="270">
        <v>4029.2</v>
      </c>
      <c r="J23" s="186"/>
      <c r="K23" s="187"/>
    </row>
    <row r="24">
      <c r="B24" s="206" t="inlineStr">
        <is>
          <t>Peer Mean × EBITDA (прибыль до вычетов) 2028</t>
        </is>
      </c>
      <c r="C24" s="186"/>
      <c r="D24" s="186"/>
      <c r="E24" s="186"/>
      <c r="F24" s="187"/>
      <c r="G24" s="237" t="n">
        <v>5.736666666666667</v>
      </c>
      <c r="H24" s="207">
        <v>706</v>
      </c>
      <c r="I24" s="270">
        <v>4048.04</v>
      </c>
      <c r="J24" s="186"/>
      <c r="K24" s="187"/>
    </row>
    <row r="25">
      <c r="B25" s="206" t="inlineStr">
        <is>
          <t>Peer Max × EBITDA (прибыль до вычетов) 2028</t>
        </is>
      </c>
      <c r="C25" s="186"/>
      <c r="D25" s="186"/>
      <c r="E25" s="186"/>
      <c r="F25" s="187"/>
      <c r="G25" s="237" t="n">
        <v>6.67</v>
      </c>
      <c r="H25" s="207">
        <v>706</v>
      </c>
      <c r="I25" s="270">
        <v>4706.62</v>
      </c>
      <c r="J25" s="186"/>
      <c r="K25" s="187"/>
    </row>
    <row r="26">
      <c r="B26" s="206" t="inlineStr">
        <is>
          <t>Peer Min × Revenue (Выручка) 2028</t>
        </is>
      </c>
      <c r="C26" s="186"/>
      <c r="D26" s="186"/>
      <c r="E26" s="186"/>
      <c r="F26" s="187"/>
      <c r="G26" s="237" t="n">
        <v>0.8</v>
      </c>
      <c r="H26" s="207">
        <v>1500</v>
      </c>
      <c r="I26" s="270">
        <v>1200.0</v>
      </c>
      <c r="J26" s="186"/>
      <c r="K26" s="187"/>
    </row>
    <row r="27">
      <c r="B27" s="206" t="inlineStr">
        <is>
          <t>Peer Median × Revenue (Выручка) 2028</t>
        </is>
      </c>
      <c r="C27" s="186"/>
      <c r="D27" s="186"/>
      <c r="E27" s="186"/>
      <c r="F27" s="187"/>
      <c r="G27" s="237" t="n">
        <v>0.8</v>
      </c>
      <c r="H27" s="207">
        <v>1500</v>
      </c>
      <c r="I27" s="270">
        <v>1200.0</v>
      </c>
      <c r="J27" s="186"/>
      <c r="K27" s="187"/>
    </row>
    <row r="28">
      <c r="B28" s="206" t="inlineStr">
        <is>
          <t>Peer Mean × Revenue (Выручка) 2028</t>
        </is>
      </c>
      <c r="C28" s="186"/>
      <c r="D28" s="186"/>
      <c r="E28" s="186"/>
      <c r="F28" s="187"/>
      <c r="G28" s="237" t="n">
        <v>0.8433333333333333</v>
      </c>
      <c r="H28" s="207">
        <v>1500</v>
      </c>
      <c r="I28" s="270">
        <v>1264.95</v>
      </c>
      <c r="J28" s="186"/>
      <c r="K28" s="187"/>
    </row>
    <row r="29">
      <c r="B29" s="206" t="inlineStr">
        <is>
          <t>Peer Max × Revenue (Выручка) 2028</t>
        </is>
      </c>
      <c r="C29" s="186"/>
      <c r="D29" s="186"/>
      <c r="E29" s="186"/>
      <c r="F29" s="187"/>
      <c r="G29" s="237" t="n">
        <v>1.05</v>
      </c>
      <c r="H29" s="207">
        <v>1500</v>
      </c>
      <c r="I29" s="270">
        <v>1575.0</v>
      </c>
      <c r="J29" s="186"/>
      <c r="K29" s="187"/>
    </row>
    <row r="32">
      <c r="B32" s="244" t="inlineStr">
        <is>
          <t>III. PRECEDENT M&amp;A (слияния и поглощения) TRANSACTIONS</t>
        </is>
      </c>
    </row>
    <row r="33">
      <c r="B33" s="167" t="inlineStr">
        <is>
          <t>#</t>
        </is>
      </c>
      <c r="C33" s="167" t="inlineStr">
        <is>
          <t>Сделка</t>
        </is>
      </c>
      <c r="D33" s="187"/>
      <c r="E33" s="167" t="inlineStr">
        <is>
          <t>Год</t>
        </is>
      </c>
      <c r="F33" s="167" t="inlineStr">
        <is>
          <t>Target Rev (Целевая выручка)</t>
        </is>
      </c>
      <c r="G33" s="167" t="inlineStr">
        <is>
          <t>Deal EV (стоимость предприятия)</t>
        </is>
      </c>
      <c r="H33" s="167" t="inlineStr">
        <is>
          <t>EV (стоимость предприятия)/Rev</t>
        </is>
      </c>
      <c r="I33" s="167" t="inlineStr">
        <is>
          <t>EV (стоимость предприятия)/EBITDA (прибыль до вычетов)</t>
        </is>
      </c>
      <c r="J33" s="167" t="inlineStr">
        <is>
          <t>Комментарий</t>
        </is>
      </c>
      <c r="K33" s="187"/>
    </row>
    <row r="34">
      <c r="B34" s="205" t="n">
        <v>1</v>
      </c>
      <c r="C34" s="206" t="inlineStr">
        <is>
          <t>Сбер → Okko</t>
        </is>
      </c>
      <c r="D34" s="187"/>
      <c r="E34" s="205" t="n">
        <v>2023</v>
      </c>
      <c r="F34" s="207" t="n">
        <v>11200</v>
      </c>
      <c r="G34" s="207" t="n">
        <v>9520</v>
      </c>
      <c r="H34" s="237" t="n">
        <v>0.85</v>
      </c>
      <c r="I34" s="237" t="n">
        <v>5.6</v>
      </c>
      <c r="J34" s="206" t="inlineStr">
        <is>
          <t>Консолидация OTT (онлайн-платформа) в экосистеме</t>
        </is>
      </c>
      <c r="K34" s="187"/>
    </row>
    <row r="35">
      <c r="B35" s="205" t="n">
        <v>2</v>
      </c>
      <c r="C35" s="206" t="inlineStr">
        <is>
          <t>Газпром-Медиа → Premier (Премьера)</t>
        </is>
      </c>
      <c r="D35" s="187"/>
      <c r="E35" s="205" t="n">
        <v>2022</v>
      </c>
      <c r="F35" s="207" t="n">
        <v>3800</v>
      </c>
      <c r="G35" s="207" t="n">
        <v>3040</v>
      </c>
      <c r="H35" s="237" t="n">
        <v>0.8</v>
      </c>
      <c r="I35" s="237" t="n">
        <v>5.9</v>
      </c>
      <c r="J35" s="206" t="inlineStr">
        <is>
          <t>Stream-платформа Premier (Премьера)</t>
        </is>
      </c>
      <c r="K35" s="187"/>
    </row>
    <row r="36">
      <c r="B36" s="205" t="n">
        <v>3</v>
      </c>
      <c r="C36" s="206" t="inlineStr">
        <is>
          <t>ВК → zvook/Russkoe Radio медиа</t>
        </is>
      </c>
      <c r="D36" s="187"/>
      <c r="E36" s="205" t="n">
        <v>2024</v>
      </c>
      <c r="F36" s="207" t="n">
        <v>8600</v>
      </c>
      <c r="G36" s="207" t="n">
        <v>6880</v>
      </c>
      <c r="H36" s="237" t="n">
        <v>0.8</v>
      </c>
      <c r="I36" s="237" t="n">
        <v>6.4</v>
      </c>
      <c r="J36" s="206" t="inlineStr">
        <is>
          <t>Мультимедиа консолидация</t>
        </is>
      </c>
      <c r="K36" s="187"/>
    </row>
    <row r="39">
      <c r="B39" s="244" t="inlineStr">
        <is>
          <t>IV. FOOTBALL FIELD (ФУТБОЛЬНОЕ ПОЛЕ) — ИТОГОВЫЙ ДИАПАЗОН ОЦЕНКИ, млн ₽</t>
        </is>
      </c>
    </row>
    <row r="40">
      <c r="B40" s="167" t="inlineStr">
        <is>
          <t>Метод оценки</t>
        </is>
      </c>
      <c r="C40" s="186"/>
      <c r="D40" s="187"/>
      <c r="E40" s="167" t="inlineStr">
        <is>
          <t>Low</t>
        </is>
      </c>
      <c r="F40" s="167" t="inlineStr">
        <is>
          <t>Mid</t>
        </is>
      </c>
      <c r="G40" s="167" t="inlineStr">
        <is>
          <t>High (Высокий)</t>
        </is>
      </c>
      <c r="H40" s="167" t="inlineStr">
        <is>
          <t>Commentary (Комментарий)</t>
        </is>
      </c>
      <c r="I40" s="186"/>
      <c r="J40" s="186"/>
      <c r="K40" s="187"/>
    </row>
    <row r="41">
      <c r="B41" s="213" t="inlineStr">
        <is>
          <t>DCF (дисконтированный денежный поток) — Gordon Growth (Модель Гордона)</t>
        </is>
      </c>
      <c r="C41" s="186"/>
      <c r="D41" s="187"/>
      <c r="E41" s="207">
        <v>278.57</v>
      </c>
      <c r="F41" s="173">
        <v>327.73</v>
      </c>
      <c r="G41" s="207">
        <v>376.89</v>
      </c>
      <c r="H41" s="159" t="inlineStr">
        <is>
          <t>g=3%, WACC (средневзвешенная стоимость капитала)=19.1%, sensitivity ±15%</t>
        </is>
      </c>
      <c r="I41" s="186"/>
      <c r="J41" s="186"/>
      <c r="K41" s="187"/>
    </row>
    <row r="42">
      <c r="B42" s="213" t="inlineStr">
        <is>
          <t>DCF (дисконтированный денежный поток) — Exit Multiple (Мультипликатор выхода)</t>
        </is>
      </c>
      <c r="C42" s="186"/>
      <c r="D42" s="187"/>
      <c r="E42" s="207">
        <v>1036.92</v>
      </c>
      <c r="F42" s="173">
        <v>1219.91</v>
      </c>
      <c r="G42" s="207">
        <v>1402.9</v>
      </c>
      <c r="H42" s="159" t="inlineStr">
        <is>
          <t>5× EBITDA2030, ±15% чувствительность</t>
        </is>
      </c>
      <c r="I42" s="186"/>
      <c r="J42" s="186"/>
      <c r="K42" s="187"/>
    </row>
    <row r="43">
      <c r="B43" s="213" t="inlineStr">
        <is>
          <t>Trading Multiples (Торговые мультипликаторы) — EV (стоимость предприятия)/EBITDA (прибыль до вычетов)</t>
        </is>
      </c>
      <c r="C43" s="186"/>
      <c r="D43" s="187"/>
      <c r="E43" s="207">
        <v>3358.85</v>
      </c>
      <c r="F43" s="173">
        <v>4029.2</v>
      </c>
      <c r="G43" s="207">
        <v>4706.62</v>
      </c>
      <c r="H43" s="159" t="inlineStr">
        <is>
          <t>Peer median 5.71× × EBITDA 2028</t>
        </is>
      </c>
      <c r="I43" s="186"/>
      <c r="J43" s="186"/>
      <c r="K43" s="187"/>
    </row>
    <row r="44">
      <c r="B44" s="213" t="inlineStr">
        <is>
          <t>Trading Multiples (Торговые мультипликаторы) — EV (стоимость предприятия)/Revenue (Выручка)</t>
        </is>
      </c>
      <c r="C44" s="186"/>
      <c r="D44" s="187"/>
      <c r="E44" s="207">
        <v>1200.0</v>
      </c>
      <c r="F44" s="173">
        <v>1200.0</v>
      </c>
      <c r="G44" s="207">
        <v>1575.0</v>
      </c>
      <c r="H44" s="159" t="inlineStr">
        <is>
          <t>Peer median 0,80× × Выручка 2028</t>
        </is>
      </c>
      <c r="I44" s="186"/>
      <c r="J44" s="186"/>
      <c r="K44" s="187"/>
    </row>
    <row r="45">
      <c r="B45" s="213" t="inlineStr">
        <is>
          <t>Прецедентные сделки (Прецедентные сделки)</t>
        </is>
      </c>
      <c r="C45" s="186"/>
      <c r="D45" s="187"/>
      <c r="E45" s="207">
        <v>3538.78</v>
      </c>
      <c r="F45" s="173">
        <v>4163.28</v>
      </c>
      <c r="G45" s="207">
        <v>4787.77</v>
      </c>
      <c r="H45" s="159" t="inlineStr">
        <is>
          <t>Med 5.90× (3 M&amp;A (слияния и поглощения))</t>
        </is>
      </c>
      <c r="I45" s="186"/>
      <c r="J45" s="186"/>
      <c r="K45" s="187"/>
    </row>
    <row r="46">
      <c r="B46" s="213" t="inlineStr">
        <is>
          <t>Scenario (Сценарий) Base (Базовый) (internal)</t>
        </is>
      </c>
      <c r="C46" s="186"/>
      <c r="D46" s="187"/>
      <c r="E46" s="207">
        <v>6502</v>
      </c>
      <c r="F46" s="173">
        <v>10837</v>
      </c>
      <c r="G46" s="207">
        <v>15171</v>
      </c>
      <c r="H46" s="159" t="inlineStr">
        <is>
          <t>EBITDA (прибыль до вычетов) 3Y × 3×/5×/7× (bear/base/bull)</t>
        </is>
      </c>
      <c r="I46" s="186"/>
      <c r="J46" s="186"/>
      <c r="K46" s="187"/>
    </row>
    <row r="48">
      <c r="B48" s="180" t="inlineStr">
        <is>
          <t>ИТОГО Football Field (Футбольное поле (сводка оценок))</t>
        </is>
      </c>
      <c r="C48" s="186"/>
      <c r="D48" s="187"/>
      <c r="E48" s="271">
        <v>278.57</v>
      </c>
      <c r="F48" s="271">
        <v>7724.78</v>
      </c>
      <c r="G48" s="271">
        <v>15171</v>
      </c>
      <c r="H48" s="180" t="inlineStr">
        <is>
          <t>Envelope: 279 – 15171, mid ≈ 7725 млн ₽</t>
        </is>
      </c>
      <c r="I48" s="186"/>
      <c r="J48" s="186"/>
      <c r="K48" s="187"/>
    </row>
    <row r="51">
      <c r="B51" s="258" t="inlineStr">
        <is>
          <t>Примечание: Peer multiples рассчитаны по публичным данным РФ OTT (онлайн-платформа)-рынка (оценки 2024–2025). Premium (Премия)/discount к median = ±15% на illiquidity, scale и execution risk. Final range = пересечение всех методов.</t>
        </is>
      </c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6:K6"/>
    <mergeCell ref="C14:G14"/>
    <mergeCell ref="B51:K51"/>
    <mergeCell ref="B20:K20"/>
    <mergeCell ref="I21:K21"/>
    <mergeCell ref="B22:F22"/>
    <mergeCell ref="B2:K3"/>
    <mergeCell ref="B44:D44"/>
    <mergeCell ref="B27:F27"/>
    <mergeCell ref="C35:D35"/>
    <mergeCell ref="H42:K42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O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ИНВЕСТОР (ИНВЕСТОР) RETURNS — T₁ LEGACY 1 250 млн ₽  ·  3 Scenarios × 4 Waterfalls  ·  Base (Базовый) illustration = W₃ DEFAULT (ПО УМОЛЧАНИЮ)</t>
        </is>
      </c>
    </row>
    <row r="3"/>
    <row r="4">
      <c r="B4" s="189" t="inlineStr">
        <is>
          <t>IRR (внутренняя норма доходности) / MOIC (мультипликатор вложенного капитала) / DPI (распределения к вложенному) / TVPI (общая стоимость к вложенному) анализ — базовый waterfall (каскад) W₃ (Liq Pref (Ликвидационная привилегия) 1× + 8% coupon (купон) + 60/40) с четырьмя вариантами распределения NDP (чистые распределяемые поступления). Single methodology: out quarterly 2026, in annual (годовой) 2029-2032 (20/50/15/15 split (разделение)).</t>
        </is>
      </c>
    </row>
    <row r="6">
      <c r="B6" s="577" t="inlineStr">
        <is>
          <t>I. T₁ ИНВЕСТОР (ИНВЕСТОР) CASHFLOW SCHEDULE (Base (Базовый) case · W₅ V-D ★ DEFAULT (ПО УМОЛЧАНИЮ) v1.0.1 · L8+L4 Liq Pref (Ликвидационная привилегия) 1× + Pref 12%×5y + Catch-up 70/30 + Carry 60/40)</t>
        </is>
      </c>
    </row>
    <row r="7">
      <c r="B7" s="167" t="inlineStr">
        <is>
          <t>#</t>
        </is>
      </c>
      <c r="C7" s="167" t="inlineStr">
        <is>
          <t>Период</t>
        </is>
      </c>
      <c r="D7" s="167" t="inlineStr">
        <is>
          <t>Действие</t>
        </is>
      </c>
      <c r="E7" s="167" t="inlineStr">
        <is>
          <t>Tranche (Транш)/Repay</t>
        </is>
      </c>
      <c r="F7" s="167" t="inlineStr">
        <is>
          <t>Interest (Проценты)</t>
        </is>
      </c>
      <c r="G7" s="167" t="inlineStr">
        <is>
          <t>Equity Upside (Верхний сценарий) (Потенциал роста капитала)</t>
        </is>
      </c>
      <c r="H7" s="167" t="inlineStr">
        <is>
          <t>Чистый ДП</t>
        </is>
      </c>
      <c r="I7" s="167" t="inlineStr">
        <is>
          <t>Кумулятив. ДП</t>
        </is>
      </c>
      <c r="J7" s="167" t="inlineStr">
        <is>
          <t>Peak Exposure (Максимальная экспозиция)</t>
        </is>
      </c>
      <c r="K7" s="167" t="inlineStr">
        <is>
          <t>Type (Тип)</t>
        </is>
      </c>
    </row>
    <row r="8">
      <c r="B8" s="200" t="n">
        <v>1</v>
      </c>
      <c r="C8" s="201" t="inlineStr">
        <is>
          <t>Q1 2026</t>
        </is>
      </c>
      <c r="D8" s="201" t="inlineStr">
        <is>
          <t>Tranche (Транш) disbursement</t>
        </is>
      </c>
      <c r="E8" s="202" t="n">
        <v>-250</v>
      </c>
      <c r="F8" s="255"/>
      <c r="G8" s="255"/>
      <c r="H8" s="202" t="n">
        <v>-250</v>
      </c>
      <c r="I8" s="202" t="n">
        <v>-250</v>
      </c>
      <c r="J8" s="202" t="n">
        <v>-1250</v>
      </c>
      <c r="K8" s="200" t="inlineStr">
        <is>
          <t>Out</t>
        </is>
      </c>
    </row>
    <row r="9">
      <c r="B9" s="200" t="n">
        <v>2</v>
      </c>
      <c r="C9" s="201" t="inlineStr">
        <is>
          <t>Q2 2026</t>
        </is>
      </c>
      <c r="D9" s="201" t="inlineStr">
        <is>
          <t>Tranche (Транш) disbursement</t>
        </is>
      </c>
      <c r="E9" s="202" t="n">
        <v>-350</v>
      </c>
      <c r="F9" s="255"/>
      <c r="G9" s="255"/>
      <c r="H9" s="202" t="n">
        <v>-350</v>
      </c>
      <c r="I9" s="202" t="n">
        <v>-600</v>
      </c>
      <c r="J9" s="202" t="n">
        <v>-1250</v>
      </c>
      <c r="K9" s="200" t="inlineStr">
        <is>
          <t>Out</t>
        </is>
      </c>
    </row>
    <row r="10">
      <c r="B10" s="200" t="n">
        <v>3</v>
      </c>
      <c r="C10" s="201" t="inlineStr">
        <is>
          <t>Q3 2026</t>
        </is>
      </c>
      <c r="D10" s="201" t="inlineStr">
        <is>
          <t>Tranche (Транш) disbursement</t>
        </is>
      </c>
      <c r="E10" s="202" t="n">
        <v>-350</v>
      </c>
      <c r="F10" s="255"/>
      <c r="G10" s="255"/>
      <c r="H10" s="202" t="n">
        <v>-350</v>
      </c>
      <c r="I10" s="202" t="n">
        <v>-950</v>
      </c>
      <c r="J10" s="202" t="n">
        <v>-1250</v>
      </c>
      <c r="K10" s="200" t="inlineStr">
        <is>
          <t>Out</t>
        </is>
      </c>
    </row>
    <row r="11">
      <c r="B11" s="200" t="n">
        <v>4</v>
      </c>
      <c r="C11" s="201" t="inlineStr">
        <is>
          <t>Q4 2026</t>
        </is>
      </c>
      <c r="D11" s="201" t="inlineStr">
        <is>
          <t>Tranche (Транш) disbursement</t>
        </is>
      </c>
      <c r="E11" s="202" t="n">
        <v>-300</v>
      </c>
      <c r="F11" s="255"/>
      <c r="G11" s="255"/>
      <c r="H11" s="202" t="n">
        <v>-300</v>
      </c>
      <c r="I11" s="202" t="n">
        <v>-1250</v>
      </c>
      <c r="J11" s="202" t="n">
        <v>-1250</v>
      </c>
      <c r="K11" s="200" t="inlineStr">
        <is>
          <t>Out</t>
        </is>
      </c>
    </row>
    <row r="12">
      <c r="B12" s="191" t="n">
        <v>5</v>
      </c>
      <c r="C12" s="192" t="inlineStr">
        <is>
          <t>2029</t>
        </is>
      </c>
      <c r="D12" s="192" t="inlineStr">
        <is>
          <t>W₅ T1 partial (Liq Pref (Ликвидационная привилегия) start)</t>
        </is>
      </c>
      <c r="E12" s="549" t="n">
        <v>990</v>
      </c>
      <c r="F12" s="549"/>
      <c r="G12" s="257"/>
      <c r="H12" s="549" t="n">
        <v>990</v>
      </c>
      <c r="I12" s="549" t="n">
        <v>-260</v>
      </c>
      <c r="J12" s="549" t="n">
        <v>-1250</v>
      </c>
      <c r="K12" s="191" t="inlineStr">
        <is>
          <t>In</t>
        </is>
      </c>
    </row>
    <row r="13">
      <c r="B13" s="191" t="n">
        <v>6</v>
      </c>
      <c r="C13" s="192" t="inlineStr">
        <is>
          <t>2030</t>
        </is>
      </c>
      <c r="D13" s="192" t="inlineStr">
        <is>
          <t>W₅ T1 fin + T2 pref (привил.) 12% + T3 catch-up (догоняющий) 70/30</t>
        </is>
      </c>
      <c r="E13" s="549" t="n">
        <v>260</v>
      </c>
      <c r="F13" s="549" t="n">
        <v>750</v>
      </c>
      <c r="G13" s="549" t="n">
        <v>238</v>
      </c>
      <c r="H13" s="549" t="n">
        <v>1248</v>
      </c>
      <c r="I13" s="549" t="n">
        <v>988</v>
      </c>
      <c r="J13" s="549" t="n">
        <v>-1250</v>
      </c>
      <c r="K13" s="191" t="inlineStr">
        <is>
          <t>In</t>
        </is>
      </c>
    </row>
    <row r="14">
      <c r="B14" s="191" t="n">
        <v>7</v>
      </c>
      <c r="C14" s="192" t="inlineStr">
        <is>
          <t>2031</t>
        </is>
      </c>
      <c r="D14" s="192" t="inlineStr">
        <is>
          <t>W₅ T3 catch-up tail (хвостовой период) + T4 carry 60/40 start</t>
        </is>
      </c>
      <c r="E14" s="549"/>
      <c r="F14" s="257"/>
      <c r="G14" s="549" t="n">
        <v>185</v>
      </c>
      <c r="H14" s="549" t="n">
        <v>185</v>
      </c>
      <c r="I14" s="549" t="n">
        <v>1173</v>
      </c>
      <c r="J14" s="549" t="n">
        <v>-1250</v>
      </c>
      <c r="K14" s="191" t="inlineStr">
        <is>
          <t>In</t>
        </is>
      </c>
    </row>
    <row r="15">
      <c r="B15" s="191" t="n">
        <v>8</v>
      </c>
      <c r="C15" s="192" t="inlineStr">
        <is>
          <t>2032</t>
        </is>
      </c>
      <c r="D15" s="192" t="inlineStr">
        <is>
          <t>W₅ T4 carry 60/40 (residual (остаток))</t>
        </is>
      </c>
      <c r="E15" s="549"/>
      <c r="F15" s="257"/>
      <c r="G15" s="549" t="n">
        <v>234</v>
      </c>
      <c r="H15" s="549" t="n">
        <v>234</v>
      </c>
      <c r="I15" s="549" t="n">
        <v>1407</v>
      </c>
      <c r="J15" s="549" t="n">
        <v>-1250</v>
      </c>
      <c r="K15" s="191" t="inlineStr">
        <is>
          <t>In</t>
        </is>
      </c>
    </row>
    <row r="16">
      <c r="B16" s="267" t="inlineStr">
        <is>
          <t>ИТОГО</t>
        </is>
      </c>
      <c r="C16" s="186"/>
      <c r="D16" s="187"/>
      <c r="E16" s="550" t="n">
        <v>260</v>
      </c>
      <c r="F16" s="550" t="n">
        <v>750</v>
      </c>
      <c r="G16" s="550" t="n">
        <v>658</v>
      </c>
      <c r="H16" s="550" t="n">
        <v>2657</v>
      </c>
      <c r="I16" s="273"/>
      <c r="J16" s="273"/>
      <c r="K16" s="273"/>
    </row>
    <row r="18">
      <c r="B18" s="577" t="inlineStr">
        <is>
          <t>II. RETURNS MATRIX — 3 SCENARIOS × 5 WATERFALLS (IRR (внутренняя норма доходности) / MOIC (мультипликатор вложенного капитала)) — W₅ V-D ★ DEFAULT (ПО УМОЛЧАНИЮ) v1.0.1</t>
        </is>
      </c>
    </row>
    <row r="19">
      <c r="B19" s="530" t="inlineStr">
        <is>
          <t>#</t>
        </is>
      </c>
      <c r="C19" s="530" t="inlineStr">
        <is>
          <t>Сценарий</t>
        </is>
      </c>
      <c r="D19" s="530" t="inlineStr">
        <is>
          <t>W₁ IRR (внутренняя норма доходности)</t>
        </is>
      </c>
      <c r="E19" s="530" t="inlineStr">
        <is>
          <t>W₁ MOIC (мультипликатор вложенного капитала)</t>
        </is>
      </c>
      <c r="F19" s="530" t="inlineStr">
        <is>
          <t>W₂ IRR (внутренняя норма доходности)</t>
        </is>
      </c>
      <c r="G19" s="530" t="inlineStr">
        <is>
          <t>W₂ MOIC (мультипликатор вложенного капитала)</t>
        </is>
      </c>
      <c r="H19" s="530" t="inlineStr">
        <is>
          <t>W₃ IRR (внутренняя норма доходности)</t>
        </is>
      </c>
      <c r="I19" s="530" t="inlineStr">
        <is>
          <t>W₃ MOIC (мультипликатор вложенного капитала)</t>
        </is>
      </c>
      <c r="J19" s="530" t="inlineStr">
        <is>
          <t>W₄ IRR (внутренняя норма доходности)</t>
        </is>
      </c>
      <c r="K19" s="530" t="inlineStr">
        <is>
          <t>W₄ MOIC (мультипликатор вложенного капитала)</t>
        </is>
      </c>
      <c r="L19" s="578" t="inlineStr">
        <is>
          <t>W₅ IRR (внутренняя норма доходности)</t>
        </is>
      </c>
      <c r="M19" s="578" t="inlineStr">
        <is>
          <t>W₅ MOIC (мультипликатор вложенного капитала)</t>
        </is>
      </c>
    </row>
    <row r="20">
      <c r="B20" s="200" t="n">
        <v>1</v>
      </c>
      <c r="C20" s="254" t="inlineStr">
        <is>
          <t>Bear (Пессимистичный)</t>
        </is>
      </c>
      <c r="D20" s="551" t="n">
        <v>1.532617788497537</v>
      </c>
      <c r="E20" s="542" t="n">
        <v>1.066668</v>
      </c>
      <c r="F20" s="551" t="n">
        <v>4.736693562463778</v>
      </c>
      <c r="G20" s="542" t="n">
        <v>1.216216216216216</v>
      </c>
      <c r="H20" s="552" t="n">
        <v>12.50390006512723</v>
      </c>
      <c r="I20" s="547" t="n">
        <v>1.64</v>
      </c>
      <c r="J20" s="553" t="n">
        <v>13.96390487175871</v>
      </c>
      <c r="K20" s="554" t="n">
        <v>1.73</v>
      </c>
      <c r="L20" s="579" t="n">
        <v>17.12</v>
      </c>
      <c r="M20" s="580" t="n">
        <v>1.74</v>
      </c>
      <c r="O20" s="572" t="n">
        <v>2250</v>
      </c>
    </row>
    <row r="21">
      <c r="B21" s="226" t="n">
        <v>2</v>
      </c>
      <c r="C21" s="247" t="inlineStr">
        <is>
          <t>Base (Базовый)</t>
        </is>
      </c>
      <c r="D21" s="556" t="n">
        <v>7.687716860374616</v>
      </c>
      <c r="E21" s="557" t="n">
        <v>1.366668</v>
      </c>
      <c r="F21" s="556" t="n">
        <v>12.19879660470751</v>
      </c>
      <c r="G21" s="557" t="n">
        <v>1.621621621621621</v>
      </c>
      <c r="H21" s="552" t="n">
        <v>18.04314415327262</v>
      </c>
      <c r="I21" s="547" t="n">
        <v>2</v>
      </c>
      <c r="J21" s="553" t="n">
        <v>19.73117645203768</v>
      </c>
      <c r="K21" s="554" t="n">
        <v>2.12</v>
      </c>
      <c r="L21" s="579" t="n">
        <v>24.75</v>
      </c>
      <c r="M21" s="580" t="n">
        <v>2.13</v>
      </c>
      <c r="O21" s="572" t="n">
        <v>3000</v>
      </c>
    </row>
    <row r="22">
      <c r="B22" s="191" t="n">
        <v>3</v>
      </c>
      <c r="C22" s="234" t="inlineStr">
        <is>
          <t>Bull (Оптимистичный)</t>
        </is>
      </c>
      <c r="D22" s="551" t="n">
        <v>12.94232927711196</v>
      </c>
      <c r="E22" s="542" t="n">
        <v>1.666668</v>
      </c>
      <c r="F22" s="551" t="n">
        <v>18.42946922376654</v>
      </c>
      <c r="G22" s="542" t="n">
        <v>2.027027027027027</v>
      </c>
      <c r="H22" s="552" t="n">
        <v>22.91405074019273</v>
      </c>
      <c r="I22" s="547" t="n">
        <v>2.36</v>
      </c>
      <c r="J22" s="553" t="n">
        <v>24.78851956006107</v>
      </c>
      <c r="K22" s="554" t="n">
        <v>2.51</v>
      </c>
      <c r="L22" s="579" t="n">
        <v>30.99</v>
      </c>
      <c r="M22" s="580" t="n">
        <v>2.49</v>
      </c>
      <c r="O22" s="572" t="n">
        <v>3750</v>
      </c>
    </row>
    <row r="25">
      <c r="B25" s="577" t="inlineStr">
        <is>
          <t>III. CASH-ON-CASH METRICS (Base (Базовый) case · W₅ V-D ★ DEFAULT (ПО УМОЛЧАНИЮ) v1.0.1)</t>
        </is>
      </c>
    </row>
    <row r="26">
      <c r="B26" s="213" t="inlineStr">
        <is>
          <t>Валовые инвестиции (Валовые инвестиции) (4 tranches (транши))</t>
        </is>
      </c>
      <c r="C26" s="186"/>
      <c r="D26" s="186"/>
      <c r="E26" s="186"/>
      <c r="F26" s="187"/>
      <c r="G26" s="558" t="n">
        <v>1250</v>
      </c>
      <c r="H26" s="187"/>
      <c r="I26" s="159" t="inlineStr">
        <is>
          <t>Σ outflow T₁ (отток)</t>
        </is>
      </c>
      <c r="J26" s="186"/>
      <c r="K26" s="187"/>
    </row>
    <row r="27">
      <c r="B27" s="213" t="inlineStr">
        <is>
          <t>Валовые поступления (Валовые поступления) (principal + interest + upside)</t>
        </is>
      </c>
      <c r="C27" s="186"/>
      <c r="D27" s="186"/>
      <c r="E27" s="186"/>
      <c r="F27" s="187"/>
      <c r="G27" s="581" t="n">
        <v>2657</v>
      </c>
      <c r="H27" s="187"/>
      <c r="I27" s="159" t="inlineStr">
        <is>
          <t>W₅ V-D: 1250 LP (ограниченный партнёр)+750 Pref+402 Cu+256 Carry ≈ 2657</t>
        </is>
      </c>
      <c r="J27" s="186"/>
      <c r="K27" s="187"/>
    </row>
    <row r="28">
      <c r="B28" s="213" t="inlineStr">
        <is>
          <t>Net Gain (Чистая прибыль от выхода)</t>
        </is>
      </c>
      <c r="C28" s="186"/>
      <c r="D28" s="186"/>
      <c r="E28" s="186"/>
      <c r="F28" s="187"/>
      <c r="G28" s="581" t="n">
        <v>1407</v>
      </c>
      <c r="H28" s="187"/>
      <c r="I28" s="159" t="inlineStr">
        <is>
          <t>Net gain (Чистая прибыль) = 2657 − 1250 = 1407 (W₅ V-D)</t>
        </is>
      </c>
      <c r="J28" s="186"/>
      <c r="K28" s="187"/>
    </row>
    <row r="29">
      <c r="B29" s="213" t="inlineStr">
        <is>
          <t>Net Gain (Чистая прибыль от выхода) %</t>
        </is>
      </c>
      <c r="C29" s="186"/>
      <c r="D29" s="186"/>
      <c r="E29" s="186"/>
      <c r="F29" s="187"/>
      <c r="G29" s="582" t="n">
        <v>112.6</v>
      </c>
      <c r="H29" s="187"/>
      <c r="I29" s="159" t="inlineStr">
        <is>
          <t>Total (Итого) return % (net gain / invest) — W₅ V-D</t>
        </is>
      </c>
      <c r="J29" s="186"/>
      <c r="K29" s="187"/>
    </row>
    <row r="30">
      <c r="B30" s="213" t="inlineStr">
        <is>
          <t>MOIC (мультипликатор вложенного капитала) (Multiple (Мультипликатор) on Invested Capital (Капитал))</t>
        </is>
      </c>
      <c r="C30" s="186"/>
      <c r="D30" s="186"/>
      <c r="E30" s="186"/>
      <c r="F30" s="187"/>
      <c r="G30" s="583" t="n">
        <v>2.13</v>
      </c>
      <c r="H30" s="187"/>
      <c r="I30" s="159" t="inlineStr">
        <is>
          <t>MOIC (мультипликатор вложенного капитала) = 2657/1250 ≈ 2.13× (W₅ V-D institutional)</t>
        </is>
      </c>
      <c r="J30" s="186"/>
      <c r="K30" s="187"/>
    </row>
    <row r="31">
      <c r="B31" s="213" t="inlineStr">
        <is>
          <t>DPI (распределения к вложенному) (Distributions / Paid-in)</t>
        </is>
      </c>
      <c r="C31" s="186"/>
      <c r="D31" s="186"/>
      <c r="E31" s="186"/>
      <c r="F31" s="187"/>
      <c r="G31" s="583" t="n">
        <v>2.13</v>
      </c>
      <c r="H31" s="187"/>
      <c r="I31" s="159" t="inlineStr">
        <is>
          <t>DPI (распределения к вложенному) fully realized to 2032 (W₅ V-D)</t>
        </is>
      </c>
      <c r="J31" s="186"/>
      <c r="K31" s="187"/>
    </row>
    <row r="32">
      <c r="B32" s="213" t="inlineStr">
        <is>
          <t>TVPI (общая стоимость к вложенному) (Total (Итого) Value / Paid-in)</t>
        </is>
      </c>
      <c r="C32" s="186"/>
      <c r="D32" s="186"/>
      <c r="E32" s="186"/>
      <c r="F32" s="187"/>
      <c r="G32" s="583" t="n">
        <v>2.13</v>
      </c>
      <c r="H32" s="187"/>
      <c r="I32" s="159" t="inlineStr">
        <is>
          <t>= DPI (распределения к вложенному) (no NAV residual (остаток))</t>
        </is>
      </c>
      <c r="J32" s="186"/>
      <c r="K32" s="187"/>
    </row>
    <row r="33">
      <c r="B33" s="213" t="inlineStr">
        <is>
          <t>IRR (внутренняя норма доходности) (fractional period)</t>
        </is>
      </c>
      <c r="C33" s="186"/>
      <c r="D33" s="186"/>
      <c r="E33" s="186"/>
      <c r="F33" s="187"/>
      <c r="G33" s="582" t="n">
        <v>24.75</v>
      </c>
      <c r="H33" s="187"/>
      <c r="I33" s="159" t="inlineStr">
        <is>
          <t>Hurdle (Порог) 18%, PASS — W₅ V-D LP (ограниченный партнёр) IRR (внутренняя норма доходности) ≈ 24.75%</t>
        </is>
      </c>
      <c r="J33" s="186"/>
      <c r="K33" s="187"/>
    </row>
    <row r="34">
      <c r="B34" s="213" t="inlineStr">
        <is>
          <t>Peak Exposure (Максимальная экспозиция) (max drawdown)</t>
        </is>
      </c>
      <c r="C34" s="186"/>
      <c r="D34" s="186"/>
      <c r="E34" s="186"/>
      <c r="F34" s="187"/>
      <c r="G34" s="581" t="n">
        <v>1250</v>
      </c>
      <c r="H34" s="187"/>
      <c r="I34" s="159" t="inlineStr">
        <is>
          <t>Q4'26 полное освоение 1 250 (без изменений)</t>
        </is>
      </c>
      <c r="J34" s="186"/>
      <c r="K34" s="187"/>
    </row>
    <row r="35">
      <c r="B35" s="213" t="inlineStr">
        <is>
          <t>Payback (Окупаемость) period (Срок окупаемости)</t>
        </is>
      </c>
      <c r="C35" s="186"/>
      <c r="D35" s="186"/>
      <c r="E35" s="186"/>
      <c r="F35" s="187"/>
      <c r="G35" s="584" t="n">
        <v>3.21</v>
      </c>
      <c r="H35" s="187"/>
      <c r="I35" s="159" t="inlineStr">
        <is>
          <t>Payback (Окупаемость) ~Q1'30 — A+C pattern (паттерн) accelerates recovery vs W₃ 3.75y</t>
        </is>
      </c>
      <c r="J35" s="186"/>
      <c r="K35" s="187"/>
    </row>
    <row r="38">
      <c r="B38" s="577" t="inlineStr">
        <is>
          <t>IV. RETURN ATTRIBUTION — РАЗБИВКА ROI (возврат на инвестиции) (Base (Базовый) W₅ V-D ★ DEFAULT (ПО УМОЛЧАНИЮ) v1.0.1)</t>
        </is>
      </c>
    </row>
    <row r="39">
      <c r="B39" s="167" t="inlineStr">
        <is>
          <t>#</t>
        </is>
      </c>
      <c r="C39" s="167" t="inlineStr">
        <is>
          <t>Компонент</t>
        </is>
      </c>
      <c r="D39" s="186"/>
      <c r="E39" s="186"/>
      <c r="F39" s="186"/>
      <c r="G39" s="187"/>
      <c r="H39" s="167" t="inlineStr">
        <is>
          <t>млн ₽</t>
        </is>
      </c>
      <c r="I39" s="167" t="inlineStr">
        <is>
          <t>% of Σ</t>
        </is>
      </c>
      <c r="J39" s="167" t="inlineStr">
        <is>
          <t>Комментарий</t>
        </is>
      </c>
      <c r="K39" s="187"/>
    </row>
    <row r="40">
      <c r="B40" s="205" t="n">
        <v>1</v>
      </c>
      <c r="C40" s="206" t="inlineStr">
        <is>
          <t>Return of Principal (W₅ T1 — Liq Pref (Ликвидационная привилегия) 1×)</t>
        </is>
      </c>
      <c r="D40" s="186"/>
      <c r="E40" s="186"/>
      <c r="F40" s="186"/>
      <c r="G40" s="187"/>
      <c r="H40" s="227" t="n">
        <v>1250</v>
      </c>
      <c r="I40" s="236" t="n">
        <v>47</v>
      </c>
      <c r="J40" s="206" t="inlineStr">
        <is>
          <t>W₅ T1: senior recovery (старший возврат) 1× = 1 250</t>
        </is>
      </c>
      <c r="K40" s="187"/>
    </row>
    <row r="41">
      <c r="B41" s="205" t="n">
        <v>2</v>
      </c>
      <c r="C41" s="206" t="inlineStr">
        <is>
          <t>Preferred Return Coupon (Купон) (W₅ T2 — 12% × 5y cumulative)</t>
        </is>
      </c>
      <c r="D41" s="186"/>
      <c r="E41" s="186"/>
      <c r="F41" s="186"/>
      <c r="G41" s="187"/>
      <c r="H41" s="227" t="n">
        <v>750</v>
      </c>
      <c r="I41" s="236" t="n">
        <v>28.2</v>
      </c>
      <c r="J41" s="206" t="inlineStr">
        <is>
          <t>W₅ T2: 1 250 × 12% × 5y = 750 (vs W₃ 8%×5y=500)</t>
        </is>
      </c>
      <c r="K41" s="187"/>
    </row>
    <row r="42">
      <c r="B42" s="205" t="n">
        <v>3</v>
      </c>
      <c r="C42" s="206" t="inlineStr">
        <is>
          <t>Catch-up Tranche (Транш) (W₅ T3 — 70% LP (ограниченный партнёр) / 30% Producer (Продюсер) to hurdle (порог) 2402)</t>
        </is>
      </c>
      <c r="D42" s="186"/>
      <c r="E42" s="186"/>
      <c r="F42" s="186"/>
      <c r="G42" s="187"/>
      <c r="H42" s="227" t="n">
        <v>402</v>
      </c>
      <c r="I42" s="236" t="n">
        <v>15.1</v>
      </c>
      <c r="J42" s="206" t="inlineStr">
        <is>
          <t>W₅ T3: 574 catch-up × 70% LP (ограниченный партнёр) = 402; aligns IRR (внутренняя норма доходности) to 18% hurdle (порог)</t>
        </is>
      </c>
      <c r="K42" s="187"/>
    </row>
    <row r="43">
      <c r="B43" s="179" t="n">
        <v>4</v>
      </c>
      <c r="C43" s="180" t="inlineStr">
        <is>
          <t>Carry Residual (Остаток) (W₅ T4 — 60% LP (ограниченный партнёр) / 40% Producer (Продюсер))</t>
        </is>
      </c>
      <c r="D43" s="186"/>
      <c r="E43" s="186"/>
      <c r="F43" s="186"/>
      <c r="G43" s="187"/>
      <c r="H43" s="561" t="n">
        <v>256</v>
      </c>
      <c r="I43" s="280" t="n">
        <v>9.6</v>
      </c>
      <c r="J43" s="180" t="inlineStr">
        <is>
          <t>W₅ T4: residual (остаток) 426 × 60% LP (ограниченный партнёр) = 256 (rounded)</t>
        </is>
      </c>
      <c r="K43" s="187"/>
    </row>
    <row r="44">
      <c r="C44" s="357" t="inlineStr">
        <is>
          <t>ИТОГО ROI (возврат на инвестиции) (W₅ V-D ★ DEFAULT (ПО УМОЛЧАНИЮ) v1.0.1)</t>
        </is>
      </c>
      <c r="H44" s="357" t="n">
        <v>2657</v>
      </c>
      <c r="I44" s="357" t="n">
        <v>99.90000000000001</v>
      </c>
      <c r="J44" s="357" t="inlineStr">
        <is>
          <t>= 1250 + 750 + 402 + 256 ≈ 2 657 (W₅ V-D · NDP (чистые распределяемые поступления) 3000 · MoIC 2.13×)</t>
        </is>
      </c>
    </row>
    <row r="46">
      <c r="B46" s="585" t="inlineStr">
        <is>
          <t>V. STRUCTURAL DISCLAIMERS (ОТКАЗ ОТ ОТВЕТСТВЕННОСТИ) — W₅ V-D LIMITATIONS &amp; DESIGN CHOICES (v1.0.1)</t>
        </is>
      </c>
    </row>
    <row r="47" ht="45" customHeight="1">
      <c r="B47" s="586" t="inlineStr">
        <is>
          <t>V.1 BEAR SCENARIO IRR (внутренняя норма доходности) &lt; HURDLE: Под Stress Bear (Стресс-пессимистичный) (NDP (чистые распределяемые поступления)=1800) Investor (Инвестор) IRR (внутренняя норма доходности) W₅ V-D = 10.70% (vs hurdle (порог) 18%). Под Downside (Нижний сценарий) (NDP (чистые распределяемые поступления)=2400) IRR (внутренняя норма доходности) = 18.87% (margin (маржа) к hurdle (порог)). Hurdle (Порог) break-even target NDP (чистые распределяемые поступления) ≥ 2 402 млн ₽. Capital (Капитал) protection: Liq Pref (Ликвидационная привилегия) 1× = 1250 (MoIC ≥ 1.44× в Bear (Пессимистичный)). См. 27_Scenario_Analysis r15.</t>
        </is>
      </c>
      <c r="C47" s="587" t="inlineStr">
        <is>
          <t>Bear (Пессимистичный) scenario IRR (внутренняя норма доходности) &lt; 18% hurdle (порог) — Под Bear (Пессимистичный) NDP (чистые распределяемые поступления)=2250 LP (ограниченный партнёр) IRR=17.12% (W₅), что НИЖЕ 18% hurdle (порог). Это НЕ дефект waterfall (каскад) — это арифметика: hurdle (порог) target=2402, при NDP&lt;2402 целевой IRR недостижим никаким распределением. Downside (Нижний сценарий) protection обеспечивается T1 Liq Pref (Ликвидационная привилегия) 1× (LP (ограниченный партнёр) получает 2175 vs invested 1250 → MoIC 1.74×). Полная защита капитала + 74% gross return даже в bear case.</t>
        </is>
      </c>
    </row>
    <row r="48" ht="45" customHeight="1">
      <c r="B48" s="586" t="inlineStr">
        <is>
          <t>V.2</t>
        </is>
      </c>
      <c r="C48" s="587" t="inlineStr">
        <is>
          <t>Bull (Оптимистичный) W₄ MoIC 2.51 &gt; W₅ MoIC 2.49 (industry tradeoff) — Под Bull NDP (чистые распределяемые поступления)=3750 W₄ даёт LP (ограниченный партнёр) 0.02× больше MoIC чем W₅. Разница 0.8%, в пределах MC σ ~0.3-0.4. W₅ V-D выбран как DEFAULT (ПО УМОЛЧАНИЮ) по причине: (1) catch-up до hurdle (порог) защищает Producer (Продюсер) alignment, (2) carry 60/40 — industry standard для venture/film finance, (3) institutional LP-investors ожидают именно такую структуру. Перекалибровка carry на 70/30 дала бы MoIC 2.58 в Bull (Оптимистичный), но создала бы misalignment incentives для Producer и сигнализировала «жадный waterfall (каскад)».</t>
        </is>
      </c>
    </row>
    <row r="49" ht="45" customHeight="1">
      <c r="B49" s="586" t="inlineStr">
        <is>
          <t>V.3</t>
        </is>
      </c>
      <c r="C49" s="587" t="inlineStr">
        <is>
          <t>Revenue (Выручка) pattern (паттерн) A+C 33/45/9/13 (зависимость) — Метрики выше рассчитаны под A+C fast pattern (Domestic 2700 + SVoD presell 270 + International 300). Под slower B pattern (60/30/8/2) LP (ограниченный партнёр) IRR (внутренняя норма доходности) падает на ~3-4 п.п., MoIC сохраняется. См. 28_Monte_Carlo для распределения IRR/MoIC под рандомизированные revenue patterns.</t>
        </is>
      </c>
    </row>
    <row r="50" ht="45" customHeight="1">
      <c r="B50" s="586" t="inlineStr">
        <is>
          <t>V.4</t>
        </is>
      </c>
      <c r="C50" s="587" t="inlineStr">
        <is>
          <t>Hurdle (Порог) target 2402 vs scenario NDP (чистые распределяемые поступления) — Hurdle (Порог) 2402 = INVEST/Σ(pattern (паттерн)×discount@18%). NDP scenarios: Bear (Пессимистичный) 2250 (&lt; hurdle (порог)), Base (Базовый) 3000 (&gt; hurdle (порог)), Bull (Оптимистичный) 3750 (&gt;&gt; hurdle (порог)). P(NDP &gt; hurdle) = ключевая Monte Carlo (Монте-Карло) метрика, которая отвечает на вопрос «какова вероятность достижения 18% IRR (внутренняя норма доходности)» — см. 28_Monte_Carlo.</t>
        </is>
      </c>
    </row>
    <row r="51">
      <c r="C51" s="574" t="inlineStr">
        <is>
          <t>Все 4 оговорки также вынесены в 36_Executive_Summary секция «Structural Risks» и в Public-версию модели как стандартный investor disclaimer.</t>
        </is>
      </c>
    </row>
  </sheetData>
  <mergeCells count="55">
    <mergeCell ref="J39:K39"/>
    <mergeCell ref="C47:K47"/>
    <mergeCell ref="I32:K32"/>
    <mergeCell ref="J44:K44"/>
    <mergeCell ref="I28:K28"/>
    <mergeCell ref="C42:G42"/>
    <mergeCell ref="C50:K50"/>
    <mergeCell ref="G27:H27"/>
    <mergeCell ref="B31:F31"/>
    <mergeCell ref="B6:K6"/>
    <mergeCell ref="B2:K3"/>
    <mergeCell ref="B27:F27"/>
    <mergeCell ref="J40:K40"/>
    <mergeCell ref="I33:K33"/>
    <mergeCell ref="C51:K51"/>
    <mergeCell ref="B4:K4"/>
    <mergeCell ref="C44:G44"/>
    <mergeCell ref="C41:G41"/>
    <mergeCell ref="C48:K48"/>
    <mergeCell ref="B25:K25"/>
    <mergeCell ref="G28:H28"/>
    <mergeCell ref="I35:K35"/>
    <mergeCell ref="C40:G40"/>
    <mergeCell ref="I29:K29"/>
    <mergeCell ref="B29:F29"/>
    <mergeCell ref="G34:H34"/>
    <mergeCell ref="C43:G43"/>
    <mergeCell ref="B46:K46"/>
    <mergeCell ref="G30:H30"/>
    <mergeCell ref="B34:F34"/>
    <mergeCell ref="B18:K18"/>
    <mergeCell ref="B28:F28"/>
    <mergeCell ref="G33:H33"/>
    <mergeCell ref="I31:K31"/>
    <mergeCell ref="J41:K41"/>
    <mergeCell ref="I34:K34"/>
    <mergeCell ref="C49:K49"/>
    <mergeCell ref="I30:K30"/>
    <mergeCell ref="C39:G39"/>
    <mergeCell ref="G26:H26"/>
    <mergeCell ref="B16:D16"/>
    <mergeCell ref="G29:H29"/>
    <mergeCell ref="B30:F30"/>
    <mergeCell ref="G35:H35"/>
    <mergeCell ref="J43:K43"/>
    <mergeCell ref="I27:K27"/>
    <mergeCell ref="G32:H32"/>
    <mergeCell ref="B33:F33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K55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2">
      <c r="B2" s="235" t="inlineStr">
        <is>
          <t>EXIT SCENARIOS (СЦЕНАРИИ ВЫХОДА) — 4 ROUTES × 3 TIMING (2028 / 2030 / 2032)</t>
        </is>
      </c>
    </row>
    <row r="3"/>
    <row r="4">
      <c r="B4" s="189" t="inlineStr">
        <is>
          <t>Стратегические сценарии выхода инвестора T₁ с оценкой EV (стоимость предприятия), net proceeds и probability-weighted expected value</t>
        </is>
      </c>
    </row>
    <row r="6">
      <c r="B6" s="244" t="inlineStr">
        <is>
          <t>I. EXIT ROUTES MATRIX (EBITDA (прибыль до вычетов) base × Multiple (Мультипликатор) → EV (стоимость предприятия) → Equity (Собственный капитал))</t>
        </is>
      </c>
    </row>
    <row r="7">
      <c r="B7" s="167" t="inlineStr">
        <is>
          <t>#</t>
        </is>
      </c>
      <c r="C7" s="167" t="inlineStr">
        <is>
          <t>Маршрут выхода (Маршрут выхода)</t>
        </is>
      </c>
      <c r="D7" s="167" t="inlineStr">
        <is>
          <t>Timing (Сроки)</t>
        </is>
      </c>
      <c r="E7" s="167" t="inlineStr">
        <is>
          <t>EBITDA (прибыль до вычетов) base</t>
        </is>
      </c>
      <c r="F7" s="167" t="inlineStr">
        <is>
          <t>Multiple (Мультипликатор)</t>
        </is>
      </c>
      <c r="G7" s="167" t="inlineStr">
        <is>
          <t>EV (стоимость предприятия) млн ₽</t>
        </is>
      </c>
      <c r="H7" s="167" t="inlineStr">
        <is>
          <t>Net Debt (Долг)</t>
        </is>
      </c>
      <c r="I7" s="167" t="inlineStr">
        <is>
          <t>Equity (Собственный капитал)</t>
        </is>
      </c>
      <c r="J7" s="167" t="inlineStr">
        <is>
          <t>T₁ proceeds (поступления)</t>
        </is>
      </c>
      <c r="K7" s="167" t="inlineStr">
        <is>
          <t>Вер. %</t>
        </is>
      </c>
    </row>
    <row r="8">
      <c r="B8" s="205" t="n">
        <v>1</v>
      </c>
      <c r="C8" s="281" t="inlineStr">
        <is>
          <t>Strategic (Стратегический) Sale (Стратегическая продажа)</t>
        </is>
      </c>
      <c r="D8" s="205" t="inlineStr">
        <is>
          <t>2028</t>
        </is>
      </c>
      <c r="E8" s="207">
        <v>936.0</v>
      </c>
      <c r="F8" s="266" t="n">
        <v>6</v>
      </c>
      <c r="G8" s="207">
        <v>5616</v>
      </c>
      <c r="H8" s="207" t="n">
        <v>1250</v>
      </c>
      <c r="I8" s="207">
        <v>4366</v>
      </c>
      <c r="J8" s="207">
        <v>2184</v>
      </c>
      <c r="K8" s="282" t="n">
        <v>15</v>
      </c>
    </row>
    <row r="9">
      <c r="B9" s="205" t="n">
        <v>2</v>
      </c>
      <c r="C9" s="281" t="inlineStr">
        <is>
          <t>Strategic (Стратегический) Sale (Стратегическая продажа)</t>
        </is>
      </c>
      <c r="D9" s="205" t="inlineStr">
        <is>
          <t>2030</t>
        </is>
      </c>
      <c r="E9" s="207">
        <v>640</v>
      </c>
      <c r="F9" s="266" t="n">
        <v>5.5</v>
      </c>
      <c r="G9" s="207">
        <v>3520</v>
      </c>
      <c r="H9" s="207" t="n">
        <v>0</v>
      </c>
      <c r="I9" s="207">
        <v>3520</v>
      </c>
      <c r="J9" s="207">
        <v>1882</v>
      </c>
      <c r="K9" s="282" t="n">
        <v>20</v>
      </c>
    </row>
    <row r="10">
      <c r="B10" s="205" t="n">
        <v>3</v>
      </c>
      <c r="C10" s="192" t="inlineStr">
        <is>
          <t>IPO (первичное размещение)</t>
        </is>
      </c>
      <c r="D10" s="205" t="inlineStr">
        <is>
          <t>2028</t>
        </is>
      </c>
      <c r="E10" s="207">
        <v>936.0</v>
      </c>
      <c r="F10" s="266" t="n">
        <v>7</v>
      </c>
      <c r="G10" s="207">
        <v>6552</v>
      </c>
      <c r="H10" s="207" t="n">
        <v>1250</v>
      </c>
      <c r="I10" s="207">
        <v>5302</v>
      </c>
      <c r="J10" s="207">
        <v>2519</v>
      </c>
      <c r="K10" s="282" t="n">
        <v>5</v>
      </c>
    </row>
    <row r="11">
      <c r="B11" s="205" t="n">
        <v>4</v>
      </c>
      <c r="C11" s="192" t="inlineStr">
        <is>
          <t>IPO (первичное размещение)</t>
        </is>
      </c>
      <c r="D11" s="205" t="inlineStr">
        <is>
          <t>2030</t>
        </is>
      </c>
      <c r="E11" s="207">
        <v>640</v>
      </c>
      <c r="F11" s="266" t="n">
        <v>6.5</v>
      </c>
      <c r="G11" s="207">
        <v>4160</v>
      </c>
      <c r="H11" s="207" t="n">
        <v>0</v>
      </c>
      <c r="I11" s="207">
        <v>4160</v>
      </c>
      <c r="J11" s="207">
        <v>2111</v>
      </c>
      <c r="K11" s="282" t="n">
        <v>10</v>
      </c>
    </row>
    <row r="12">
      <c r="B12" s="205" t="n">
        <v>5</v>
      </c>
      <c r="C12" s="281" t="inlineStr">
        <is>
          <t>Secondary (Вторичный)/Recap</t>
        </is>
      </c>
      <c r="D12" s="205" t="inlineStr">
        <is>
          <t>2030</t>
        </is>
      </c>
      <c r="E12" s="207">
        <v>640</v>
      </c>
      <c r="F12" s="266" t="n">
        <v>5</v>
      </c>
      <c r="G12" s="207">
        <v>3200</v>
      </c>
      <c r="H12" s="207" t="n">
        <v>0</v>
      </c>
      <c r="I12" s="207">
        <v>3200</v>
      </c>
      <c r="J12" s="207">
        <v>1768</v>
      </c>
      <c r="K12" s="282" t="n">
        <v>15</v>
      </c>
    </row>
    <row r="13">
      <c r="B13" s="205" t="n">
        <v>6</v>
      </c>
      <c r="C13" s="281" t="inlineStr">
        <is>
          <t>Secondary (Вторичный)/Recap</t>
        </is>
      </c>
      <c r="D13" s="205" t="inlineStr">
        <is>
          <t>2032</t>
        </is>
      </c>
      <c r="E13" s="207">
        <v>700</v>
      </c>
      <c r="F13" s="266" t="n">
        <v>4.5</v>
      </c>
      <c r="G13" s="207">
        <v>3150</v>
      </c>
      <c r="H13" s="207" t="n">
        <v>0</v>
      </c>
      <c r="I13" s="207">
        <v>3150</v>
      </c>
      <c r="J13" s="207">
        <v>1750</v>
      </c>
      <c r="K13" s="282" t="n">
        <v>15</v>
      </c>
    </row>
    <row r="14">
      <c r="B14" s="205" t="n">
        <v>7</v>
      </c>
      <c r="C14" s="201" t="inlineStr">
        <is>
          <t>Liquidation (Ликвидация)</t>
        </is>
      </c>
      <c r="D14" s="205" t="inlineStr">
        <is>
          <t>2032</t>
        </is>
      </c>
      <c r="E14" s="207">
        <v>700</v>
      </c>
      <c r="F14" s="266" t="n">
        <v>2.5</v>
      </c>
      <c r="G14" s="207">
        <v>1750</v>
      </c>
      <c r="H14" s="207" t="n">
        <v>0</v>
      </c>
      <c r="I14" s="207">
        <v>1750</v>
      </c>
      <c r="J14" s="207">
        <v>1250</v>
      </c>
      <c r="K14" s="282" t="n">
        <v>20</v>
      </c>
    </row>
    <row r="15">
      <c r="B15" s="272" t="inlineStr">
        <is>
          <t>Probability-weighted total (Итого с учётом вероятностей)</t>
        </is>
      </c>
      <c r="C15" s="186"/>
      <c r="D15" s="186"/>
      <c r="E15" s="186"/>
      <c r="F15" s="187"/>
      <c r="G15" s="172">
        <v>3650.0</v>
      </c>
      <c r="H15" s="283"/>
      <c r="I15" s="283"/>
      <c r="J15" s="172">
        <v>1839.3</v>
      </c>
      <c r="K15" s="284" t="n">
        <v>100</v>
      </c>
    </row>
    <row r="18">
      <c r="B18" s="244" t="inlineStr">
        <is>
          <t>II.  МОСТ БАЗОВОГО ВЫХОДА (МОСТ БАЗОВОГО ВЫХОДА) — Strategic (Стратегический) Sale (Стратегическая продажа) 2030 (Prob 20% · highest weighted)</t>
        </is>
      </c>
    </row>
    <row r="19">
      <c r="B19" s="206" t="inlineStr">
        <is>
          <t>EBITDA (прибыль до вычетов) 2030 (LTM)</t>
        </is>
      </c>
      <c r="C19" s="186"/>
      <c r="D19" s="186"/>
      <c r="E19" s="186"/>
      <c r="F19" s="187"/>
      <c r="G19" s="207">
        <v>640</v>
      </c>
      <c r="H19" s="187"/>
      <c r="I19" s="159" t="inlineStr">
        <is>
          <t>Стабильный конвейер проектов</t>
        </is>
      </c>
      <c r="J19" s="186"/>
      <c r="K19" s="187"/>
    </row>
    <row r="20">
      <c r="B20" s="206" t="inlineStr">
        <is>
          <t>× Exit Multiple (Мультипликатор выхода)</t>
        </is>
      </c>
      <c r="C20" s="186"/>
      <c r="D20" s="186"/>
      <c r="E20" s="186"/>
      <c r="F20" s="187"/>
      <c r="G20" s="237">
        <v>5.5</v>
      </c>
      <c r="H20" s="187"/>
      <c r="I20" s="159" t="inlineStr">
        <is>
          <t>Strategic (Стратегический) buyer premium (премия)</t>
        </is>
      </c>
      <c r="J20" s="186"/>
      <c r="K20" s="187"/>
    </row>
    <row r="21">
      <c r="B21" s="154" t="inlineStr">
        <is>
          <t>= Enterprise Value (Стоимость предприятия)</t>
        </is>
      </c>
      <c r="C21" s="186"/>
      <c r="D21" s="186"/>
      <c r="E21" s="186"/>
      <c r="F21" s="187"/>
      <c r="G21" s="173">
        <v>3520</v>
      </c>
      <c r="H21" s="187"/>
      <c r="I21" s="159" t="inlineStr">
        <is>
          <t>Before capital (капитал) structure</t>
        </is>
      </c>
      <c r="J21" s="186"/>
      <c r="K21" s="187"/>
    </row>
    <row r="22">
      <c r="B22" s="206" t="inlineStr">
        <is>
          <t>(−) Net Debt (Долг)</t>
        </is>
      </c>
      <c r="C22" s="186"/>
      <c r="D22" s="186"/>
      <c r="E22" s="186"/>
      <c r="F22" s="187"/>
      <c r="G22" s="207">
        <v>0</v>
      </c>
      <c r="H22" s="187"/>
      <c r="I22" s="159" t="inlineStr">
        <is>
          <t>T₁ repaid in 2029-2030 (Возврат T₁ в 2029–2030)</t>
        </is>
      </c>
      <c r="J22" s="186"/>
      <c r="K22" s="187"/>
    </row>
    <row r="23">
      <c r="B23" s="206" t="inlineStr">
        <is>
          <t>(+) Cash (Денежные средства) &amp; equivalents</t>
        </is>
      </c>
      <c r="C23" s="186"/>
      <c r="D23" s="186"/>
      <c r="E23" s="186"/>
      <c r="F23" s="187"/>
      <c r="G23" s="207" t="n">
        <v>0</v>
      </c>
      <c r="H23" s="187"/>
      <c r="I23" s="159" t="inlineStr">
        <is>
          <t>Distributed to holders (Распределено держателям)</t>
        </is>
      </c>
      <c r="J23" s="186"/>
      <c r="K23" s="187"/>
    </row>
    <row r="24">
      <c r="B24" s="154" t="inlineStr">
        <is>
          <t>= Equity (Собственный капитал) Value</t>
        </is>
      </c>
      <c r="C24" s="186"/>
      <c r="D24" s="186"/>
      <c r="E24" s="186"/>
      <c r="F24" s="187"/>
      <c r="G24" s="173">
        <v>3520</v>
      </c>
      <c r="H24" s="187"/>
      <c r="I24" s="159" t="inlineStr">
        <is>
          <t>For distribution (распределение)</t>
        </is>
      </c>
      <c r="J24" s="186"/>
      <c r="K24" s="187"/>
    </row>
    <row r="25">
      <c r="B25" s="206" t="inlineStr">
        <is>
          <t>(−) Транзакционные издержки (2%)</t>
        </is>
      </c>
      <c r="C25" s="186"/>
      <c r="D25" s="186"/>
      <c r="E25" s="186"/>
      <c r="F25" s="187"/>
      <c r="G25" s="207">
        <v>-70.4</v>
      </c>
      <c r="H25" s="187"/>
      <c r="I25" s="159" t="inlineStr">
        <is>
          <t>Консультации (Консультации), legal</t>
        </is>
      </c>
      <c r="J25" s="186"/>
      <c r="K25" s="187"/>
    </row>
    <row r="26">
      <c r="B26" s="154" t="inlineStr">
        <is>
          <t>= Net Equity (Собственный капитал) Proceeds</t>
        </is>
      </c>
      <c r="C26" s="186"/>
      <c r="D26" s="186"/>
      <c r="E26" s="186"/>
      <c r="F26" s="187"/>
      <c r="G26" s="173">
        <v>3449.6</v>
      </c>
      <c r="H26" s="187"/>
      <c r="I26" s="159" t="inlineStr">
        <is>
          <t>Available for waterfall (Доступно для каскада)</t>
        </is>
      </c>
      <c r="J26" s="186"/>
      <c r="K26" s="187"/>
    </row>
    <row r="29">
      <c r="B29" s="244" t="inlineStr">
        <is>
          <t>III. WATERFALL (КАСКАД) AT EXIT — PROCEEDS DISTRIBUTION (Scenario (Сценарий) B: 50/30/20)</t>
        </is>
      </c>
    </row>
    <row r="30">
      <c r="B30" s="167" t="inlineStr">
        <is>
          <t>#</t>
        </is>
      </c>
      <c r="C30" s="167" t="inlineStr">
        <is>
          <t>Level (Уровень)</t>
        </is>
      </c>
      <c r="D30" s="186"/>
      <c r="E30" s="186"/>
      <c r="F30" s="186"/>
      <c r="G30" s="187"/>
      <c r="H30" s="167" t="inlineStr">
        <is>
          <t>млн ₽</t>
        </is>
      </c>
      <c r="I30" s="167" t="inlineStr">
        <is>
          <t>%</t>
        </is>
      </c>
      <c r="J30" s="167" t="inlineStr">
        <is>
          <t>Комментарий</t>
        </is>
      </c>
      <c r="K30" s="187"/>
    </row>
    <row r="31">
      <c r="B31" s="205" t="n">
        <v>1</v>
      </c>
      <c r="C31" s="206" t="inlineStr">
        <is>
          <t>Net Equity (Собственный капитал) Proceeds</t>
        </is>
      </c>
      <c r="D31" s="186"/>
      <c r="E31" s="186"/>
      <c r="F31" s="186"/>
      <c r="G31" s="187"/>
      <c r="H31" s="207" t="n">
        <v>6036.8</v>
      </c>
      <c r="I31" s="228" t="n">
        <v>100</v>
      </c>
      <c r="J31" s="206" t="inlineStr">
        <is>
          <t>100% доступно</t>
        </is>
      </c>
      <c r="K31" s="187"/>
    </row>
    <row r="33">
      <c r="B33" s="205" t="n">
        <v>2</v>
      </c>
      <c r="C33" s="206" t="inlineStr">
        <is>
          <t>Step 1. T₁ Return of Capital (Капитал) (1 250)</t>
        </is>
      </c>
      <c r="D33" s="186"/>
      <c r="E33" s="186"/>
      <c r="F33" s="186"/>
      <c r="G33" s="187"/>
      <c r="H33" s="207" t="n">
        <v>1250</v>
      </c>
      <c r="I33" s="228" t="n">
        <v>20.70633448184469</v>
      </c>
      <c r="J33" s="206" t="inlineStr">
        <is>
          <t>Senior recovery (Старшее погашение)</t>
        </is>
      </c>
      <c r="K33" s="187"/>
    </row>
    <row r="34">
      <c r="B34" s="205" t="n">
        <v>3</v>
      </c>
      <c r="C34" s="206" t="inlineStr">
        <is>
          <t>Step 2. T₂ Return of Capital (Капитал) (500)</t>
        </is>
      </c>
      <c r="D34" s="186"/>
      <c r="E34" s="186"/>
      <c r="F34" s="186"/>
      <c r="G34" s="187"/>
      <c r="H34" s="207" t="n">
        <v>500</v>
      </c>
      <c r="I34" s="228" t="n">
        <v>8.282533792737874</v>
      </c>
      <c r="J34" s="206" t="inlineStr">
        <is>
          <t>Pari-passu (Паритетное (pari-passu)) recovery (Паритетное погашение)</t>
        </is>
      </c>
      <c r="K34" s="187"/>
    </row>
    <row r="35">
      <c r="B35" s="205" t="n">
        <v>4</v>
      </c>
      <c r="C35" s="206" t="inlineStr">
        <is>
          <t>Step 3. Residual (Остаток) after RoC</t>
        </is>
      </c>
      <c r="D35" s="186"/>
      <c r="E35" s="186"/>
      <c r="F35" s="186"/>
      <c r="G35" s="187"/>
      <c r="H35" s="207" t="n">
        <v>4286.8</v>
      </c>
      <c r="I35" s="228" t="n">
        <v>71.01113172541744</v>
      </c>
      <c r="J35" s="206" t="inlineStr">
        <is>
          <t>Available for hurdle (порог)</t>
        </is>
      </c>
      <c r="K35" s="187"/>
    </row>
    <row r="37">
      <c r="B37" s="205"/>
      <c r="C37" s="206" t="inlineStr">
        <is>
          <t>Step 4. Hurdle (Порог) split (разделение) 50/50 on residual (остаток)</t>
        </is>
      </c>
      <c r="D37" s="186"/>
      <c r="E37" s="186"/>
      <c r="F37" s="186"/>
      <c r="G37" s="187"/>
      <c r="H37" s="285"/>
      <c r="I37" s="205"/>
      <c r="J37" s="206"/>
      <c r="K37" s="187"/>
    </row>
    <row r="38">
      <c r="B38" s="205" t="n">
        <v>6</v>
      </c>
      <c r="C38" s="206" t="inlineStr">
        <is>
          <t xml:space="preserve">  → Founder 50% of residual (остаток)</t>
        </is>
      </c>
      <c r="D38" s="186"/>
      <c r="E38" s="186"/>
      <c r="F38" s="186"/>
      <c r="G38" s="187"/>
      <c r="H38" s="207" t="n">
        <v>2143.4</v>
      </c>
      <c r="I38" s="205"/>
      <c r="J38" s="206" t="inlineStr">
        <is>
          <t>Growth equity (доля в капитале)</t>
        </is>
      </c>
      <c r="K38" s="187"/>
    </row>
    <row r="39">
      <c r="B39" s="205" t="n">
        <v>7</v>
      </c>
      <c r="C39" s="206" t="inlineStr">
        <is>
          <t xml:space="preserve">  → T₁/T₂ pro-rata 50% of residual (остаток)</t>
        </is>
      </c>
      <c r="D39" s="186"/>
      <c r="E39" s="186"/>
      <c r="F39" s="186"/>
      <c r="G39" s="187"/>
      <c r="H39" s="207" t="n">
        <v>2143.4</v>
      </c>
      <c r="I39" s="205"/>
      <c r="J39" s="206" t="inlineStr">
        <is>
          <t>Investor (Инвестор) upside</t>
        </is>
      </c>
      <c r="K39" s="187"/>
    </row>
    <row r="41">
      <c r="B41" s="247"/>
      <c r="C41" s="261" t="inlineStr">
        <is>
          <t>Final Distribution (Распределение):</t>
        </is>
      </c>
      <c r="D41" s="186"/>
      <c r="E41" s="186"/>
      <c r="F41" s="186"/>
      <c r="G41" s="187"/>
      <c r="H41" s="286"/>
      <c r="I41" s="247"/>
      <c r="J41" s="261"/>
      <c r="K41" s="187"/>
    </row>
    <row r="42">
      <c r="B42" s="247" t="n">
        <v>9</v>
      </c>
      <c r="C42" s="261" t="inlineStr">
        <is>
          <t xml:space="preserve">  Founder Total (Итого)</t>
        </is>
      </c>
      <c r="D42" s="186"/>
      <c r="E42" s="186"/>
      <c r="F42" s="186"/>
      <c r="G42" s="187"/>
      <c r="H42" s="270" t="n">
        <v>2143.4</v>
      </c>
      <c r="I42" s="247"/>
      <c r="J42" s="261" t="inlineStr">
        <is>
          <t>Growth share (доля)</t>
        </is>
      </c>
      <c r="K42" s="187"/>
    </row>
    <row r="43">
      <c r="B43" s="247" t="n">
        <v>10</v>
      </c>
      <c r="C43" s="261" t="inlineStr">
        <is>
          <t xml:space="preserve">  T₁ Total (Итого) (1 250 + share (доля))</t>
        </is>
      </c>
      <c r="D43" s="186"/>
      <c r="E43" s="186"/>
      <c r="F43" s="186"/>
      <c r="G43" s="187"/>
      <c r="H43" s="270" t="n">
        <v>2781</v>
      </c>
      <c r="I43" s="247"/>
      <c r="J43" s="261" t="inlineStr">
        <is>
          <t>30% размещение</t>
        </is>
      </c>
      <c r="K43" s="187"/>
    </row>
    <row r="44">
      <c r="B44" s="247" t="n">
        <v>11</v>
      </c>
      <c r="C44" s="261" t="inlineStr">
        <is>
          <t xml:space="preserve">  T₂ Total (Итого) (500 + share (доля))</t>
        </is>
      </c>
      <c r="D44" s="186"/>
      <c r="E44" s="186"/>
      <c r="F44" s="186"/>
      <c r="G44" s="187"/>
      <c r="H44" s="270" t="n">
        <v>1112.4</v>
      </c>
      <c r="I44" s="247"/>
      <c r="J44" s="261" t="inlineStr">
        <is>
          <t>20% размещение</t>
        </is>
      </c>
      <c r="K44" s="187"/>
    </row>
    <row r="47">
      <c r="B47" s="244" t="inlineStr">
        <is>
          <t>IV. EXPECTED VALUE (ОЖИДАЕМАЯ СТОИМОСТЬ) SUMMARY</t>
        </is>
      </c>
    </row>
    <row r="48">
      <c r="B48" s="213" t="inlineStr">
        <is>
          <t>Probability-weighted EV (стоимость предприятия)</t>
        </is>
      </c>
      <c r="C48" s="186"/>
      <c r="D48" s="186"/>
      <c r="E48" s="186"/>
      <c r="F48" s="187"/>
      <c r="G48" s="173">
        <v>3592.5</v>
      </c>
      <c r="H48" s="187"/>
      <c r="I48" s="159" t="inlineStr">
        <is>
          <t>Across 7 exit routes (По 7 вариантам выхода)</t>
        </is>
      </c>
      <c r="J48" s="186"/>
      <c r="K48" s="187"/>
    </row>
    <row r="49">
      <c r="B49" s="213" t="inlineStr">
        <is>
          <t>Probability-weighted T₁ proceeds (Поступления T₁ с учётом вероятностей)</t>
        </is>
      </c>
      <c r="C49" s="186"/>
      <c r="D49" s="186"/>
      <c r="E49" s="186"/>
      <c r="F49" s="187"/>
      <c r="G49" s="173">
        <v>1818.8</v>
      </c>
      <c r="H49" s="187"/>
      <c r="I49" s="159" t="inlineStr">
        <is>
          <t>50/30/20 exit split (разделение)</t>
        </is>
      </c>
      <c r="J49" s="186"/>
      <c r="K49" s="187"/>
    </row>
    <row r="50">
      <c r="B50" s="213" t="inlineStr">
        <is>
          <t>Most likely exit (Наиб. вероятный выход, 20%)</t>
        </is>
      </c>
      <c r="C50" s="186"/>
      <c r="D50" s="186"/>
      <c r="E50" s="186"/>
      <c r="F50" s="187"/>
      <c r="G50" s="154" t="inlineStr">
        <is>
          <t>Strategic (Стратегический) Sale (Стратегическая продажа) 2030</t>
        </is>
      </c>
      <c r="H50" s="187"/>
      <c r="I50" s="159" t="inlineStr">
        <is>
          <t>EV 3 520 млн ₽</t>
        </is>
      </c>
      <c r="J50" s="186"/>
      <c r="K50" s="187"/>
    </row>
    <row r="51">
      <c r="B51" s="213" t="inlineStr">
        <is>
          <t>Highest EV (стоимость предприятия) exit (10% prob)</t>
        </is>
      </c>
      <c r="C51" s="186"/>
      <c r="D51" s="186"/>
      <c r="E51" s="186"/>
      <c r="F51" s="187"/>
      <c r="G51" s="154" t="inlineStr">
        <is>
          <t>IPO (первичное размещение) 2030</t>
        </is>
      </c>
      <c r="H51" s="187"/>
      <c r="I51" s="159" t="inlineStr">
        <is>
          <t>EV 6,552 млн ₽</t>
        </is>
      </c>
      <c r="J51" s="186"/>
      <c r="K51" s="187"/>
    </row>
    <row r="52">
      <c r="B52" s="213" t="inlineStr">
        <is>
          <t>Worst case exit (Худший сценарий выхода)</t>
        </is>
      </c>
      <c r="C52" s="186"/>
      <c r="D52" s="186"/>
      <c r="E52" s="186"/>
      <c r="F52" s="187"/>
      <c r="G52" s="154" t="inlineStr">
        <is>
          <t>Liquidation (Ликвидация) 2032</t>
        </is>
      </c>
      <c r="H52" s="187"/>
      <c r="I52" s="159" t="inlineStr">
        <is>
          <t>EV 1 750 млн ₽</t>
        </is>
      </c>
      <c r="J52" s="186"/>
      <c r="K52" s="187"/>
    </row>
    <row r="53">
      <c r="B53" s="213" t="inlineStr">
        <is>
          <t>Expected T₁ MOIC (мультипликатор вложенного капитала) (prob-weighted через 50/30/20)</t>
        </is>
      </c>
      <c r="C53" s="186"/>
      <c r="D53" s="186"/>
      <c r="E53" s="186"/>
      <c r="F53" s="187"/>
      <c r="G53" s="278">
        <v>1.455</v>
      </c>
      <c r="H53" s="187"/>
      <c r="I53" s="159" t="inlineStr">
        <is>
          <t>≠ matrix из 24 (там W₅ V-D ★ default (по умолчанию) Base (Базовый) MOIC (мультипликатор вложенного капитала) = 2.13× (legacy (базовый вариант) W₃ = 2.00×)). Методы разные.</t>
        </is>
      </c>
      <c r="J53" s="186"/>
      <c r="K53" s="187"/>
    </row>
    <row r="55" ht="42" customHeight="1">
      <c r="B55" s="562" t="inlineStr">
        <is>
          <t>МЕТОДОЛОГИЧЕСКОЕ ПРИМЕЧАНИЕ: 2028 exit использует blended EBITDA (FY2027 пик + FY2028 норм.) = 936.0 млн ₽ (two-tier GM). Лист 32 — dual-year implied EV 3,597–6,806 (midpoint 5,202). NDP 3 000 сохранён.</t>
        </is>
      </c>
    </row>
  </sheetData>
  <mergeCells count="74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55:K55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I48:K48"/>
    <mergeCell ref="B23:F23"/>
    <mergeCell ref="G53:H53"/>
    <mergeCell ref="C31:G31"/>
    <mergeCell ref="B47:K47"/>
    <mergeCell ref="I20:K20"/>
    <mergeCell ref="I51:K51"/>
    <mergeCell ref="G49:H49"/>
    <mergeCell ref="I19:K19"/>
    <mergeCell ref="J35:K3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J42:K42"/>
    <mergeCell ref="B51:F51"/>
    <mergeCell ref="B29:K29"/>
    <mergeCell ref="J33:K33"/>
    <mergeCell ref="I26:K26"/>
    <mergeCell ref="C37:G37"/>
    <mergeCell ref="G50:H50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АНАЛИЗ ЧУВСТВИТЕЛЬНОСТИ — TORNADO (±20% по 8 драйверам) · EBITDA (прибыль до вычетов) 3Y и IRR (внутренняя норма доходности) T₁ W₅ V-D ★ default (по умолчанию) v1.0.1 · A+C pattern (паттерн) 33/45/9/13</t>
        </is>
      </c>
    </row>
    <row r="3"/>
    <row r="4">
      <c r="B4" s="189" t="inlineStr">
        <is>
          <t>Ранжирование ключевых драйверов по влиянию на EBITDA 3Y (база 2167 млн ₽) и IRR T₁ под W₅ V-D + A+C pattern.</t>
        </is>
      </c>
    </row>
    <row r="6">
      <c r="B6" s="244" t="inlineStr">
        <is>
          <t>I.  БАЗОВЫЕ ПАРАМЕТРЫ (БАЗОВЫЕ ПАРАМЕТРЫ)</t>
        </is>
      </c>
    </row>
    <row r="7">
      <c r="B7" s="205" t="n">
        <v>1</v>
      </c>
      <c r="C7" s="213" t="inlineStr">
        <is>
          <t>Revenue (Выручка) 3Y (2026-2028)</t>
        </is>
      </c>
      <c r="D7" s="186"/>
      <c r="E7" s="186"/>
      <c r="F7" s="186"/>
      <c r="G7" s="187"/>
      <c r="H7" s="173">
        <v>4545</v>
      </c>
      <c r="I7" s="187"/>
      <c r="J7" s="159" t="inlineStr">
        <is>
          <t>млн ₽</t>
        </is>
      </c>
      <c r="K7" s="187"/>
    </row>
    <row r="8">
      <c r="B8" s="205" t="n">
        <v>2</v>
      </c>
      <c r="C8" s="213" t="inlineStr">
        <is>
          <t>EBITDA (прибыль до вычетов) margin (маржа)</t>
        </is>
      </c>
      <c r="D8" s="186"/>
      <c r="E8" s="186"/>
      <c r="F8" s="186"/>
      <c r="G8" s="187"/>
      <c r="H8" s="176">
        <v>47.69</v>
      </c>
      <c r="I8" s="187"/>
      <c r="J8" s="159" t="inlineStr">
        <is>
          <t>%</t>
        </is>
      </c>
      <c r="K8" s="187"/>
    </row>
    <row r="9">
      <c r="B9" s="205" t="n">
        <v>3</v>
      </c>
      <c r="C9" s="213" t="inlineStr">
        <is>
          <t>Production CAPEX (Капзатраты)</t>
        </is>
      </c>
      <c r="D9" s="186"/>
      <c r="E9" s="186"/>
      <c r="F9" s="186"/>
      <c r="G9" s="187"/>
      <c r="H9" s="173" t="n">
        <v>1850</v>
      </c>
      <c r="I9" s="187"/>
      <c r="J9" s="159" t="inlineStr">
        <is>
          <t>млн ₽</t>
        </is>
      </c>
      <c r="K9" s="187"/>
    </row>
    <row r="10">
      <c r="B10" s="205" t="n">
        <v>4</v>
      </c>
      <c r="C10" s="213" t="inlineStr">
        <is>
          <t>P&amp;A ratio (Коэффициент P&amp;A) to budget (бюджет)</t>
        </is>
      </c>
      <c r="D10" s="186"/>
      <c r="E10" s="186"/>
      <c r="F10" s="186"/>
      <c r="G10" s="187"/>
      <c r="H10" s="176" t="n">
        <v>15</v>
      </c>
      <c r="I10" s="187"/>
      <c r="J10" s="159" t="inlineStr">
        <is>
          <t>% of budget (бюджет)</t>
        </is>
      </c>
      <c r="K10" s="187"/>
    </row>
    <row r="11">
      <c r="B11" s="205" t="n">
        <v>5</v>
      </c>
      <c r="C11" s="213" t="inlineStr">
        <is>
          <t>OpEx 3Y (FOT (фонд оплаты труда) + other)</t>
        </is>
      </c>
      <c r="D11" s="186"/>
      <c r="E11" s="186"/>
      <c r="F11" s="186"/>
      <c r="G11" s="187"/>
      <c r="H11" s="173" t="n">
        <v>265.5</v>
      </c>
      <c r="I11" s="187"/>
      <c r="J11" s="159" t="inlineStr">
        <is>
          <t>млн ₽</t>
        </is>
      </c>
      <c r="K11" s="187"/>
    </row>
    <row r="12">
      <c r="B12" s="205" t="n">
        <v>6</v>
      </c>
      <c r="C12" s="213" t="inlineStr">
        <is>
          <t>Interest (Проценты) expense</t>
        </is>
      </c>
      <c r="D12" s="186"/>
      <c r="E12" s="186"/>
      <c r="F12" s="186"/>
      <c r="G12" s="187"/>
      <c r="H12" s="173" t="n">
        <v>15</v>
      </c>
      <c r="I12" s="187"/>
      <c r="J12" s="159" t="inlineStr">
        <is>
          <t>млн ₽</t>
        </is>
      </c>
      <c r="K12" s="187"/>
    </row>
    <row r="13">
      <c r="B13" s="205" t="n">
        <v>7</v>
      </c>
      <c r="C13" s="213" t="inlineStr">
        <is>
          <t>Exit Multiple (Мультипликатор выхода)</t>
        </is>
      </c>
      <c r="D13" s="186"/>
      <c r="E13" s="186"/>
      <c r="F13" s="186"/>
      <c r="G13" s="187"/>
      <c r="H13" s="278" t="n">
        <v>5</v>
      </c>
      <c r="I13" s="187"/>
      <c r="J13" s="159" t="inlineStr">
        <is>
          <t>× EBITDA (прибыль до вычетов)</t>
        </is>
      </c>
      <c r="K13" s="187"/>
    </row>
    <row r="14">
      <c r="B14" s="205" t="n">
        <v>8</v>
      </c>
      <c r="C14" s="213" t="inlineStr">
        <is>
          <t>Attendance (Посещаемость) (relative, 100%)</t>
        </is>
      </c>
      <c r="D14" s="186"/>
      <c r="E14" s="186"/>
      <c r="F14" s="186"/>
      <c r="G14" s="187"/>
      <c r="H14" s="176">
        <v>100</v>
      </c>
      <c r="I14" s="187"/>
      <c r="J14" s="159" t="inlineStr">
        <is>
          <t>базовая посещаемость</t>
        </is>
      </c>
      <c r="K14" s="187"/>
    </row>
    <row r="17">
      <c r="B17" s="244" t="inlineStr">
        <is>
          <t>II. TORNADO — IMPACT ON EBITDA (прибыль до вычетов) 3Y (base 2 152 млн ₽)</t>
        </is>
      </c>
    </row>
    <row r="18">
      <c r="B18" s="167" t="inlineStr">
        <is>
          <t>#</t>
        </is>
      </c>
      <c r="C18" s="167" t="inlineStr">
        <is>
          <t>Driver (Драйвер)</t>
        </is>
      </c>
      <c r="D18" s="167" t="inlineStr">
        <is>
          <t>−20%</t>
        </is>
      </c>
      <c r="E18" s="167" t="inlineStr">
        <is>
          <t>Base (Базовый)</t>
        </is>
      </c>
      <c r="F18" s="167" t="inlineStr">
        <is>
          <t>+20%</t>
        </is>
      </c>
      <c r="G18" s="167" t="inlineStr">
        <is>
          <t>Δ Low</t>
        </is>
      </c>
      <c r="H18" s="167" t="inlineStr">
        <is>
          <t>Δ Макс.</t>
        </is>
      </c>
      <c r="I18" s="167" t="inlineStr">
        <is>
          <t>Range (Диапазон)</t>
        </is>
      </c>
      <c r="J18" s="167" t="inlineStr">
        <is>
          <t>Elasticity (Эластичность)</t>
        </is>
      </c>
      <c r="K18" s="167" t="inlineStr">
        <is>
          <t>Rank (Ранг)</t>
        </is>
      </c>
    </row>
    <row r="19">
      <c r="B19" s="205" t="n">
        <v>1</v>
      </c>
      <c r="C19" s="287" t="inlineStr">
        <is>
          <t>Revenue (Выручка)</t>
        </is>
      </c>
      <c r="D19" s="207">
        <v>1733.6</v>
      </c>
      <c r="E19" s="207">
        <v>2167</v>
      </c>
      <c r="F19" s="207">
        <v>2600.4</v>
      </c>
      <c r="G19" s="288">
        <v>-433.4</v>
      </c>
      <c r="H19" s="289">
        <v>433.4</v>
      </c>
      <c r="I19" s="207">
        <v>866.8</v>
      </c>
      <c r="J19" s="236" t="n">
        <v>20</v>
      </c>
      <c r="K19" s="290" t="n">
        <v>1</v>
      </c>
    </row>
    <row r="20">
      <c r="B20" s="205" t="n">
        <v>2</v>
      </c>
      <c r="C20" s="281" t="inlineStr">
        <is>
          <t>EBITDA (прибыль до вычетов) margin (маржа)</t>
        </is>
      </c>
      <c r="D20" s="207">
        <v>1733.6</v>
      </c>
      <c r="E20" s="207">
        <v>2167</v>
      </c>
      <c r="F20" s="207">
        <v>2600.4</v>
      </c>
      <c r="G20" s="288">
        <v>-433.4</v>
      </c>
      <c r="H20" s="289">
        <v>433.4</v>
      </c>
      <c r="I20" s="207">
        <v>866.8</v>
      </c>
      <c r="J20" s="236" t="n">
        <v>19.99999999999999</v>
      </c>
      <c r="K20" s="247" t="n">
        <v>3</v>
      </c>
    </row>
    <row r="21">
      <c r="B21" s="205" t="n">
        <v>3</v>
      </c>
      <c r="C21" s="281" t="inlineStr">
        <is>
          <t>Production CAPEX (Капзатраты)</t>
        </is>
      </c>
      <c r="D21" s="207">
        <v>2373.5</v>
      </c>
      <c r="E21" s="207">
        <v>2167</v>
      </c>
      <c r="F21" s="207">
        <v>1960.5</v>
      </c>
      <c r="G21" s="289">
        <v>206.5</v>
      </c>
      <c r="H21" s="288">
        <v>-206.5</v>
      </c>
      <c r="I21" s="207">
        <v>413.0</v>
      </c>
      <c r="J21" s="236" t="n">
        <v>11.17565055762082</v>
      </c>
      <c r="K21" s="247" t="n">
        <v>4</v>
      </c>
    </row>
    <row r="22">
      <c r="B22" s="205" t="n">
        <v>4</v>
      </c>
      <c r="C22" s="206" t="inlineStr">
        <is>
          <t>P&amp;A ratio (Коэффициент P&amp;A)</t>
        </is>
      </c>
      <c r="D22" s="207">
        <v>2222.5</v>
      </c>
      <c r="E22" s="207">
        <v>2167</v>
      </c>
      <c r="F22" s="207">
        <v>2111.5</v>
      </c>
      <c r="G22" s="289">
        <v>55.5</v>
      </c>
      <c r="H22" s="288">
        <v>-55.5</v>
      </c>
      <c r="I22" s="207">
        <v>111.0</v>
      </c>
      <c r="J22" s="236" t="n">
        <v>2.578996282527881</v>
      </c>
      <c r="K22" s="212" t="n">
        <v>5</v>
      </c>
    </row>
    <row r="23">
      <c r="B23" s="205" t="n">
        <v>5</v>
      </c>
      <c r="C23" s="206" t="inlineStr">
        <is>
          <t>OpEx</t>
        </is>
      </c>
      <c r="D23" s="207">
        <v>2220.1</v>
      </c>
      <c r="E23" s="207">
        <v>2167</v>
      </c>
      <c r="F23" s="207">
        <v>2113.9</v>
      </c>
      <c r="G23" s="289">
        <v>53.1</v>
      </c>
      <c r="H23" s="288">
        <v>-53.1</v>
      </c>
      <c r="I23" s="207">
        <v>106.2</v>
      </c>
      <c r="J23" s="236" t="n">
        <v>2.467472118959104</v>
      </c>
      <c r="K23" s="212" t="n">
        <v>6</v>
      </c>
    </row>
    <row r="24">
      <c r="B24" s="205" t="n">
        <v>6</v>
      </c>
      <c r="C24" s="206" t="inlineStr">
        <is>
          <t>Interest (Проценты)</t>
        </is>
      </c>
      <c r="D24" s="207">
        <v>2167</v>
      </c>
      <c r="E24" s="207">
        <v>2167</v>
      </c>
      <c r="F24" s="207">
        <v>2167</v>
      </c>
      <c r="G24" s="289">
        <v>0</v>
      </c>
      <c r="H24" s="288">
        <v>0</v>
      </c>
      <c r="I24" s="207">
        <v>0</v>
      </c>
      <c r="J24" s="236" t="n">
        <v>0</v>
      </c>
      <c r="K24" s="212" t="n">
        <v>7</v>
      </c>
    </row>
    <row r="25">
      <c r="B25" s="205" t="n">
        <v>7</v>
      </c>
      <c r="C25" s="206" t="inlineStr">
        <is>
          <t>Exit Multiple (Мультипликатор выхода)</t>
        </is>
      </c>
      <c r="D25" s="207">
        <v>2167</v>
      </c>
      <c r="E25" s="207">
        <v>2167</v>
      </c>
      <c r="F25" s="207">
        <v>2167</v>
      </c>
      <c r="G25" s="289">
        <v>0</v>
      </c>
      <c r="H25" s="288">
        <v>0</v>
      </c>
      <c r="I25" s="207">
        <v>0</v>
      </c>
      <c r="J25" s="236" t="n">
        <v>0</v>
      </c>
      <c r="K25" s="212" t="n">
        <v>8</v>
      </c>
    </row>
    <row r="26">
      <c r="B26" s="205" t="n">
        <v>8</v>
      </c>
      <c r="C26" s="287" t="inlineStr">
        <is>
          <t>Attendance (Посещаемость)</t>
        </is>
      </c>
      <c r="D26" s="207">
        <v>1733.6</v>
      </c>
      <c r="E26" s="207">
        <v>2167</v>
      </c>
      <c r="F26" s="207">
        <v>2600.4</v>
      </c>
      <c r="G26" s="288">
        <v>-433.4</v>
      </c>
      <c r="H26" s="289">
        <v>433.4</v>
      </c>
      <c r="I26" s="207">
        <v>866.8</v>
      </c>
      <c r="J26" s="236" t="n">
        <v>20</v>
      </c>
      <c r="K26" s="290" t="n">
        <v>2</v>
      </c>
    </row>
    <row r="29">
      <c r="B29" s="244" t="inlineStr">
        <is>
          <t>III. TORNADO — IMPACT ON IRR (внутренняя норма доходности) T₁ W₅ V-D ★ (база 24.75%)</t>
        </is>
      </c>
    </row>
    <row r="30">
      <c r="B30" s="167" t="inlineStr">
        <is>
          <t>#</t>
        </is>
      </c>
      <c r="C30" s="167" t="inlineStr">
        <is>
          <t>Driver (Драйвер)</t>
        </is>
      </c>
      <c r="D30" s="167" t="inlineStr">
        <is>
          <t>−20%</t>
        </is>
      </c>
      <c r="E30" s="167" t="inlineStr">
        <is>
          <t>Base (Базовый)</t>
        </is>
      </c>
      <c r="F30" s="167" t="inlineStr">
        <is>
          <t>+20%</t>
        </is>
      </c>
      <c r="G30" s="167" t="inlineStr">
        <is>
          <t>Δ Мин. п.п.</t>
        </is>
      </c>
      <c r="H30" s="167" t="inlineStr">
        <is>
          <t>Δ Макс. п.п.</t>
        </is>
      </c>
      <c r="I30" s="167" t="inlineStr">
        <is>
          <t>Range pp (Диапазон п.п.)</t>
        </is>
      </c>
      <c r="J30" s="167" t="inlineStr">
        <is>
          <t>Elasticity (Эластичность)</t>
        </is>
      </c>
      <c r="K30" s="167" t="inlineStr">
        <is>
          <t>Rank (Ранг)</t>
        </is>
      </c>
    </row>
    <row r="31">
      <c r="B31" s="205" t="n">
        <v>1</v>
      </c>
      <c r="C31" s="287" t="inlineStr">
        <is>
          <t>Revenue (Выручка)</t>
        </is>
      </c>
      <c r="D31" s="236" t="n">
        <v>18.87</v>
      </c>
      <c r="E31" s="236" t="n">
        <v>24.75</v>
      </c>
      <c r="F31" s="236" t="n">
        <v>29.8</v>
      </c>
      <c r="G31" s="291" t="n">
        <v>-5.88</v>
      </c>
      <c r="H31" s="291" t="n">
        <v>5.05</v>
      </c>
      <c r="I31" s="291" t="n">
        <v>10.93</v>
      </c>
      <c r="J31" s="236" t="n">
        <v>110.4</v>
      </c>
      <c r="K31" s="290" t="n">
        <v>1</v>
      </c>
    </row>
    <row r="32">
      <c r="B32" s="205" t="n">
        <v>2</v>
      </c>
      <c r="C32" s="206" t="inlineStr">
        <is>
          <t>EBITDA (прибыль до вычетов) margin (маржа)</t>
        </is>
      </c>
      <c r="D32" s="236" t="n">
        <v>18.87</v>
      </c>
      <c r="E32" s="236" t="n">
        <v>24.75</v>
      </c>
      <c r="F32" s="236" t="n">
        <v>29.8</v>
      </c>
      <c r="G32" s="291" t="n">
        <v>-5.88</v>
      </c>
      <c r="H32" s="291" t="n">
        <v>5.05</v>
      </c>
      <c r="I32" s="291" t="n">
        <v>10.93</v>
      </c>
      <c r="J32" s="236" t="n">
        <v>110.4</v>
      </c>
      <c r="K32" s="212" t="n">
        <v>2</v>
      </c>
    </row>
    <row r="33">
      <c r="B33" s="205" t="n">
        <v>3</v>
      </c>
      <c r="C33" s="206" t="inlineStr">
        <is>
          <t>Production CAPEX (Капзатраты)</t>
        </is>
      </c>
      <c r="D33" s="236" t="n">
        <v>26.84</v>
      </c>
      <c r="E33" s="236" t="n">
        <v>24.75</v>
      </c>
      <c r="F33" s="236" t="n">
        <v>22.56</v>
      </c>
      <c r="G33" s="291" t="n">
        <v>2.09</v>
      </c>
      <c r="H33" s="291" t="n">
        <v>-2.19</v>
      </c>
      <c r="I33" s="291" t="n">
        <v>4.28</v>
      </c>
      <c r="J33" s="236" t="n">
        <v>43.21</v>
      </c>
      <c r="K33" s="212" t="n">
        <v>4</v>
      </c>
    </row>
    <row r="34">
      <c r="B34" s="205" t="n">
        <v>4</v>
      </c>
      <c r="C34" s="206" t="inlineStr">
        <is>
          <t>P&amp;A ratio (Коэффициент P&amp;A)</t>
        </is>
      </c>
      <c r="D34" s="236" t="n">
        <v>25.49</v>
      </c>
      <c r="E34" s="236" t="n">
        <v>24.75</v>
      </c>
      <c r="F34" s="236" t="n">
        <v>24</v>
      </c>
      <c r="G34" s="291" t="n">
        <v>0.74</v>
      </c>
      <c r="H34" s="291" t="n">
        <v>-0.75</v>
      </c>
      <c r="I34" s="291" t="n">
        <v>1.49</v>
      </c>
      <c r="J34" s="236" t="n">
        <v>15.07</v>
      </c>
      <c r="K34" s="212" t="n">
        <v>5</v>
      </c>
    </row>
    <row r="35">
      <c r="B35" s="205" t="n">
        <v>5</v>
      </c>
      <c r="C35" s="206" t="inlineStr">
        <is>
          <t>OpEx</t>
        </is>
      </c>
      <c r="D35" s="236" t="n">
        <v>25.22</v>
      </c>
      <c r="E35" s="236" t="n">
        <v>24.75</v>
      </c>
      <c r="F35" s="236" t="n">
        <v>24.27</v>
      </c>
      <c r="G35" s="291" t="n">
        <v>0.48</v>
      </c>
      <c r="H35" s="291" t="n">
        <v>-0.48</v>
      </c>
      <c r="I35" s="291" t="n">
        <v>0.96</v>
      </c>
      <c r="J35" s="236" t="n">
        <v>9.66</v>
      </c>
      <c r="K35" s="212" t="n">
        <v>6</v>
      </c>
    </row>
    <row r="36">
      <c r="B36" s="205" t="n">
        <v>6</v>
      </c>
      <c r="C36" s="206" t="inlineStr">
        <is>
          <t>Interest (Проценты)</t>
        </is>
      </c>
      <c r="D36" s="236" t="n">
        <v>24.8</v>
      </c>
      <c r="E36" s="236" t="n">
        <v>24.75</v>
      </c>
      <c r="F36" s="236" t="n">
        <v>24.7</v>
      </c>
      <c r="G36" s="291" t="n">
        <v>0.05</v>
      </c>
      <c r="H36" s="291" t="n">
        <v>-0.05</v>
      </c>
      <c r="I36" s="291" t="n">
        <v>0.11</v>
      </c>
      <c r="J36" s="236" t="n">
        <v>1.07</v>
      </c>
      <c r="K36" s="212" t="n">
        <v>7</v>
      </c>
    </row>
    <row r="37">
      <c r="B37" s="205" t="n">
        <v>7</v>
      </c>
      <c r="C37" s="206" t="inlineStr">
        <is>
          <t>Exit Multiple (Мультипликатор выхода)</t>
        </is>
      </c>
      <c r="D37" s="236" t="n">
        <v>24.75</v>
      </c>
      <c r="E37" s="236" t="n">
        <v>24.75</v>
      </c>
      <c r="F37" s="236" t="n">
        <v>24.75</v>
      </c>
      <c r="G37" s="291" t="n">
        <v>0</v>
      </c>
      <c r="H37" s="291" t="n">
        <v>0</v>
      </c>
      <c r="I37" s="291" t="n">
        <v>0</v>
      </c>
      <c r="J37" s="236" t="n">
        <v>0</v>
      </c>
      <c r="K37" s="212" t="n">
        <v>8</v>
      </c>
    </row>
    <row r="38">
      <c r="B38" s="205" t="n">
        <v>8</v>
      </c>
      <c r="C38" s="287" t="inlineStr">
        <is>
          <t>Attendance (Посещаемость)</t>
        </is>
      </c>
      <c r="D38" s="236" t="n">
        <v>18.87</v>
      </c>
      <c r="E38" s="236" t="n">
        <v>24.75</v>
      </c>
      <c r="F38" s="236" t="n">
        <v>29.8</v>
      </c>
      <c r="G38" s="291" t="n">
        <v>-5.88</v>
      </c>
      <c r="H38" s="291" t="n">
        <v>5.05</v>
      </c>
      <c r="I38" s="291" t="n">
        <v>10.93</v>
      </c>
      <c r="J38" s="236" t="n">
        <v>110.4</v>
      </c>
      <c r="K38" s="290" t="n">
        <v>3</v>
      </c>
    </row>
    <row r="41">
      <c r="B41" s="244" t="inlineStr">
        <is>
          <t>IV. ЗАКЛЮЧЕНИЯ</t>
        </is>
      </c>
    </row>
    <row r="42">
      <c r="B42" s="246" t="inlineStr">
        <is>
          <t>• Top-3 drivers EBITDA (прибыль до вычетов): Revenue (Выручка), Attendance (Посещаемость) и EBITDA (прибыль до вычетов) margin (маржа).</t>
        </is>
      </c>
    </row>
    <row r="43">
      <c r="B43" s="246" t="inlineStr">
        <is>
          <t>• Production CAPEX (Капзатраты) — 4th critical driver EBITDA (прибыль до вычетов) (range ±240 млн ₽ при ±20%).</t>
        </is>
      </c>
    </row>
    <row r="44">
      <c r="B44" s="246" t="inlineStr">
        <is>
          <t>• IRR (внутренняя норма доходности) T₁ W₅ V-D имеет ВЫСОКУЮ чувствительность к Revenue (Выручка)/Attendance (Посещаемость) (range ~10.9pp), значительно выше чем под W₃ (~8.3pp). Причина: catch-up 70/30 «впитывает» upside в LP (ограниченный партнёр), но не защищает downside так сильно как W₃ floor 8% pref + 60/40.</t>
        </is>
      </c>
    </row>
    <row r="45">
      <c r="B45" s="246" t="inlineStr">
        <is>
          <t>• Под W₅ V-D downside может уйти существенно ниже hurdle (порог): при NDP (чистые распределяемые поступления)&lt;2402 IRR (внутренняя норма доходности) &lt; 18% (см. 27_Scenario_Analysis Bear (Пессимистичный)=10.70%). Liq Pref (Ликвидационная привилегия) 1× защищает капитал, но не IRR (внутренняя норма доходности). Hedge: scenario diversification, milestone-based tranches (транши).</t>
        </is>
      </c>
    </row>
    <row r="46">
      <c r="B46" s="246" t="inlineStr">
        <is>
          <t>• Рекомендация: фокус на Box Office (Кассовые сборы) revenue (attendance × ticket price), маркетинг premium (премия)-фильмов, контроль CAPEX (Капзатраты) overrun. Exit Multiple (Мультипликатор выхода) под W₅ V-D НЕ влияет на LP (ограниченный партнёр) IRR (внутренняя норма доходности) (NDP (чистые распределяемые поступления)-based waterfall (каскад)).</t>
        </is>
      </c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H14:I14"/>
    <mergeCell ref="C7:G7"/>
    <mergeCell ref="H12:I12"/>
    <mergeCell ref="J12:K12"/>
    <mergeCell ref="B17:K17"/>
    <mergeCell ref="B44:K44"/>
    <mergeCell ref="B29:K29"/>
    <mergeCell ref="H8:I8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I3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235" t="inlineStr">
        <is>
          <t>СЦЕНАРНЫЙ АНАЛИЗ — 5 СЦЕНАРИЕВ (Stress (Стресс) / Downside (Нижний сценарий) / Base (Базовый) / Upside (Верхний сценарий) / Bull (Оптимистичный)) · W₅ V-D ★ default (по умолчанию) v1.0.1 · A+C pattern (паттерн) 33/45/9/13</t>
        </is>
      </c>
    </row>
    <row r="3"/>
    <row r="4">
      <c r="B4" s="189" t="inlineStr">
        <is>
          <t>Полный набор финансовых метрик по 5 сценариям с narrative triggers и preconditions. Revenue (Выручка) multiplier 0.60× / 0.80× / 1.00× / 1.20× / 1.40×</t>
        </is>
      </c>
    </row>
    <row r="6">
      <c r="B6" s="244" t="inlineStr">
        <is>
          <t>I. МАТРИЦА МЕТРИК СЦЕНАРИЕВ</t>
        </is>
      </c>
    </row>
    <row r="7">
      <c r="B7" s="167" t="inlineStr">
        <is>
          <t>#</t>
        </is>
      </c>
      <c r="C7" s="167" t="inlineStr">
        <is>
          <t>Метрика</t>
        </is>
      </c>
      <c r="D7" s="167" t="inlineStr">
        <is>
          <t>Stress Bear (Стресс-пессимистичный)</t>
        </is>
      </c>
      <c r="E7" s="167" t="inlineStr">
        <is>
          <t>Downside (Нижний сценарий)</t>
        </is>
      </c>
      <c r="F7" s="167" t="inlineStr">
        <is>
          <t>Base Case (Базовый сценарий)</t>
        </is>
      </c>
      <c r="G7" s="167" t="inlineStr">
        <is>
          <t>Upside (Верхний сценарий)</t>
        </is>
      </c>
      <c r="H7" s="167" t="inlineStr">
        <is>
          <t>Bull Case (Оптимистичный)</t>
        </is>
      </c>
      <c r="I7" s="167" t="inlineStr">
        <is>
          <t>Range (Диапазон)</t>
        </is>
      </c>
    </row>
    <row r="8">
      <c r="B8" s="205" t="n">
        <v>1</v>
      </c>
      <c r="C8" s="213" t="inlineStr">
        <is>
          <t>Revenue (Выручка) 3Y</t>
        </is>
      </c>
      <c r="D8" s="292">
        <v>2727</v>
      </c>
      <c r="E8" s="202">
        <v>3636</v>
      </c>
      <c r="F8" s="270">
        <v>4545</v>
      </c>
      <c r="G8" s="293">
        <v>5454</v>
      </c>
      <c r="H8" s="193">
        <v>6363</v>
      </c>
      <c r="I8" s="207">
        <v>3636</v>
      </c>
    </row>
    <row r="9">
      <c r="B9" s="205" t="n">
        <v>2</v>
      </c>
      <c r="C9" s="213" t="inlineStr">
        <is>
          <t>EBITDA (прибыль до вычетов) 3Y (GAAP (стандарты бухучёта))</t>
        </is>
      </c>
      <c r="D9" s="292">
        <v>1300.4</v>
      </c>
      <c r="E9" s="202">
        <v>1733.8</v>
      </c>
      <c r="F9" s="270">
        <v>2167.3</v>
      </c>
      <c r="G9" s="293">
        <v>2600.8</v>
      </c>
      <c r="H9" s="193">
        <v>3034.2</v>
      </c>
      <c r="I9" s="207">
        <v>1733.8</v>
      </c>
    </row>
    <row r="10">
      <c r="B10" s="205" t="n">
        <v>3</v>
      </c>
      <c r="C10" s="213" t="inlineStr">
        <is>
          <t>EBITDA (прибыль до вычетов) margin (маржа)</t>
        </is>
      </c>
      <c r="D10" s="294">
        <v>47.69</v>
      </c>
      <c r="E10" s="295">
        <v>47.69</v>
      </c>
      <c r="F10" s="275">
        <v>47.69</v>
      </c>
      <c r="G10" s="296">
        <v>47.69</v>
      </c>
      <c r="H10" s="297">
        <v>47.69</v>
      </c>
      <c r="I10" s="236">
        <v>0</v>
      </c>
    </row>
    <row r="11">
      <c r="B11" s="205" t="n">
        <v>4</v>
      </c>
      <c r="C11" s="213" t="inlineStr">
        <is>
          <t>Net Profit (Чистая прибыль) 3Y</t>
        </is>
      </c>
      <c r="D11" s="292">
        <v>1010.4</v>
      </c>
      <c r="E11" s="202">
        <v>1347.2</v>
      </c>
      <c r="F11" s="270">
        <v>1684.0</v>
      </c>
      <c r="G11" s="293">
        <v>2020.8</v>
      </c>
      <c r="H11" s="193">
        <v>2357.7</v>
      </c>
      <c r="I11" s="207">
        <v>1347.2</v>
      </c>
    </row>
    <row r="12">
      <c r="B12" s="205" t="n">
        <v>5</v>
      </c>
      <c r="C12" s="213" t="inlineStr">
        <is>
          <t>NDP (чистые распределяемые поступления) (legacy (базовый вариант))</t>
        </is>
      </c>
      <c r="D12" s="292">
        <v>1800</v>
      </c>
      <c r="E12" s="202">
        <v>2400</v>
      </c>
      <c r="F12" s="270">
        <v>3000</v>
      </c>
      <c r="G12" s="293">
        <v>3600</v>
      </c>
      <c r="H12" s="193">
        <v>4200</v>
      </c>
      <c r="I12" s="207">
        <v>2400</v>
      </c>
    </row>
    <row r="13">
      <c r="B13" s="205" t="n">
        <v>6</v>
      </c>
      <c r="C13" s="213" t="inlineStr">
        <is>
          <t>CAPEX (Капзатраты) Production</t>
        </is>
      </c>
      <c r="D13" s="292">
        <v>1665.0</v>
      </c>
      <c r="E13" s="202">
        <v>1757.5</v>
      </c>
      <c r="F13" s="270">
        <v>1850.0</v>
      </c>
      <c r="G13" s="293">
        <v>1942.5</v>
      </c>
      <c r="H13" s="193">
        <v>2035.0</v>
      </c>
      <c r="I13" s="207">
        <v>370.0</v>
      </c>
    </row>
    <row r="14">
      <c r="B14" s="205" t="n">
        <v>7</v>
      </c>
      <c r="C14" s="213" t="inlineStr">
        <is>
          <t>Выпущено фильмов (Выпущено фильмов)</t>
        </is>
      </c>
      <c r="D14" s="298">
        <v>5</v>
      </c>
      <c r="E14" s="299">
        <v>6</v>
      </c>
      <c r="F14" s="300">
        <v>7</v>
      </c>
      <c r="G14" s="301">
        <v>7</v>
      </c>
      <c r="H14" s="302">
        <v>8</v>
      </c>
      <c r="I14" s="303">
        <v>3</v>
      </c>
    </row>
    <row r="15">
      <c r="B15" s="205" t="n">
        <v>8</v>
      </c>
      <c r="C15" s="213" t="inlineStr">
        <is>
          <t>IRR (внутренняя норма доходности) T₁ (W₅ V-D ★ default (по умолчанию))</t>
        </is>
      </c>
      <c r="D15" s="590" t="n">
        <v>10.7</v>
      </c>
      <c r="E15" s="295" t="n">
        <v>18.87</v>
      </c>
      <c r="F15" s="275" t="n">
        <v>24.75</v>
      </c>
      <c r="G15" s="296" t="n">
        <v>29.8</v>
      </c>
      <c r="H15" s="297" t="n">
        <v>34.45</v>
      </c>
      <c r="I15" s="236" t="n">
        <v>23.75</v>
      </c>
    </row>
    <row r="16">
      <c r="B16" s="205" t="n">
        <v>9</v>
      </c>
      <c r="C16" s="213" t="inlineStr">
        <is>
          <t>MOIC (мультипликатор вложенного капитала) T₁ (W₅ V-D)</t>
        </is>
      </c>
      <c r="D16" s="304" t="n">
        <v>1.44</v>
      </c>
      <c r="E16" s="305" t="n">
        <v>1.82</v>
      </c>
      <c r="F16" s="276" t="n">
        <v>2.13</v>
      </c>
      <c r="G16" s="306" t="n">
        <v>2.41</v>
      </c>
      <c r="H16" s="307" t="n">
        <v>2.7</v>
      </c>
      <c r="I16" s="237" t="n">
        <v>1.26</v>
      </c>
    </row>
    <row r="17">
      <c r="B17" s="205" t="n">
        <v>10</v>
      </c>
      <c r="C17" s="213" t="inlineStr">
        <is>
          <t>EV (стоимость предприятия) 2028 (5× EBITDA (прибыль до вычетов))</t>
        </is>
      </c>
      <c r="D17" s="292">
        <v>6502</v>
      </c>
      <c r="E17" s="202">
        <v>8669</v>
      </c>
      <c r="F17" s="270">
        <v>10837</v>
      </c>
      <c r="G17" s="293">
        <v>13004</v>
      </c>
      <c r="H17" s="193">
        <v>15171</v>
      </c>
      <c r="I17" s="207">
        <v>8669</v>
      </c>
    </row>
    <row r="18">
      <c r="B18" s="205" t="n">
        <v>11</v>
      </c>
      <c r="C18" s="213" t="inlineStr">
        <is>
          <t>T₁ LP (ограниченный партнёр) distribution (распределение) W₅ V-D</t>
        </is>
      </c>
      <c r="D18" s="292" t="n">
        <v>1800</v>
      </c>
      <c r="E18" s="202" t="n">
        <v>2280</v>
      </c>
      <c r="F18" s="270" t="n">
        <v>2657</v>
      </c>
      <c r="G18" s="293" t="n">
        <v>3017</v>
      </c>
      <c r="H18" s="193" t="n">
        <v>3377</v>
      </c>
      <c r="I18" s="207" t="n">
        <v>1577</v>
      </c>
    </row>
    <row r="19">
      <c r="B19" s="205" t="n">
        <v>12</v>
      </c>
      <c r="C19" s="213" t="inlineStr">
        <is>
          <t>IRR (внутренняя норма доходности) exit-based (25_Exit, отдельный метод)</t>
        </is>
      </c>
      <c r="D19" s="294" t="n">
        <v>12</v>
      </c>
      <c r="E19" s="295" t="n">
        <v>18</v>
      </c>
      <c r="F19" s="275" t="n">
        <v>25</v>
      </c>
      <c r="G19" s="296" t="n">
        <v>31</v>
      </c>
      <c r="H19" s="297" t="n">
        <v>37</v>
      </c>
      <c r="I19" s="236" t="n">
        <v>25</v>
      </c>
    </row>
    <row r="20">
      <c r="B20" s="205" t="n">
        <v>13</v>
      </c>
      <c r="C20" s="213" t="inlineStr">
        <is>
          <t>Probability (Вероятность)</t>
        </is>
      </c>
      <c r="D20" s="308" t="n">
        <v>5</v>
      </c>
      <c r="E20" s="309" t="n">
        <v>15</v>
      </c>
      <c r="F20" s="310" t="n">
        <v>50</v>
      </c>
      <c r="G20" s="311" t="n">
        <v>20</v>
      </c>
      <c r="H20" s="312" t="n">
        <v>10</v>
      </c>
      <c r="I20" s="313" t="n">
        <v>45</v>
      </c>
    </row>
    <row r="23">
      <c r="B23" s="244" t="inlineStr">
        <is>
          <t>II. SCENARIO NARRATIVES (ОПИСАНИЯ СЦЕНАРИЕВ) &amp; TRIGGERS</t>
        </is>
      </c>
    </row>
    <row r="24" ht="48" customHeight="1">
      <c r="B24" s="314" t="inlineStr">
        <is>
          <t>Stress Bear (Стресс-пессимистичный) (5% prob)</t>
        </is>
      </c>
      <c r="C24" s="187"/>
      <c r="D24" s="206" t="inlineStr">
        <is>
          <t>Катастрофический сценарий: 2 провала из топ-проектов (П04 Время героев, П07С Горизонт событий), падение box office РФ на 25%, санкционный shock. Revenue −40%, EBITDA 1 300, IRR −5%.</t>
        </is>
      </c>
      <c r="E24" s="186"/>
      <c r="F24" s="186"/>
      <c r="G24" s="186"/>
      <c r="H24" s="186"/>
      <c r="I24" s="187"/>
    </row>
    <row r="25" ht="48" customHeight="1">
      <c r="B25" s="274" t="inlineStr">
        <is>
          <t>Downside (Нижний сценарий) (15% prob)</t>
        </is>
      </c>
      <c r="C25" s="187"/>
      <c r="D25" s="206" t="inlineStr">
        <is>
          <t>Один провал блокбастера (~250 млн), конкурентное давление от OTT, −20% посещаемости. Revenue 3 636, EBITDA 1 734, IRR 5%. Ниже hurdle, но рефинансирование возможно.</t>
        </is>
      </c>
      <c r="E25" s="186"/>
      <c r="F25" s="186"/>
      <c r="G25" s="186"/>
      <c r="H25" s="186"/>
      <c r="I25" s="187"/>
    </row>
    <row r="26" ht="48" customHeight="1">
      <c r="B26" s="261" t="inlineStr">
        <is>
          <t>Base Case (Базовый сценарий) (50% prob)</t>
        </is>
      </c>
      <c r="C26" s="187"/>
      <c r="D26" s="206" t="inlineStr">
        <is>
          <t>Модельные допущения: 7 проектов (5 фильмов + 2 сериала) выпущены по плану, средняя посещаемость 2026-2028 растёт на 10% CAGR. Revenue 4 545, EBITDA 2 167, IRR 7,7%, NDP 3 000 — якорь.</t>
        </is>
      </c>
      <c r="E26" s="186"/>
      <c r="F26" s="186"/>
      <c r="G26" s="186"/>
      <c r="H26" s="186"/>
      <c r="I26" s="187"/>
    </row>
    <row r="27" ht="48" customHeight="1">
      <c r="B27" s="315" t="inlineStr">
        <is>
          <t>Upside (Верхний сценарий) (20% prob)</t>
        </is>
      </c>
      <c r="C27" s="187"/>
      <c r="D27" s="206" t="inlineStr">
        <is>
          <t>Два блокбастера (П04 + П07С) превзошли ожидания на 40%, рост госсубсидий через Фонд кино, серийный формат создаёт recurring revenue. Revenue 5 454, EBITDA 2 601, IRR 9,8%. Открывает path к IPO 2028.</t>
        </is>
      </c>
      <c r="E27" s="186"/>
      <c r="F27" s="186"/>
      <c r="G27" s="186"/>
      <c r="H27" s="186"/>
      <c r="I27" s="187"/>
    </row>
    <row r="28" ht="48" customHeight="1">
      <c r="B28" s="277" t="inlineStr">
        <is>
          <t>Bull Case (Оптимистичный) (10% prob)</t>
        </is>
      </c>
      <c r="C28" s="187"/>
      <c r="D28" s="206" t="inlineStr">
        <is>
          <t>Хит 2026-2027 (П04 Время героев) +100%, международные продажи, SVOD-сделка c крупным OTT, сериалы становятся якорями подписки. Revenue 6 363, EBITDA 3 034, IRR 12,2%. Strategic exit 7× EBITDA = 21 240 млн ₽.</t>
        </is>
      </c>
      <c r="E28" s="186"/>
      <c r="F28" s="186"/>
      <c r="G28" s="186"/>
      <c r="H28" s="186"/>
      <c r="I28" s="187"/>
    </row>
    <row r="31">
      <c r="B31" s="244" t="inlineStr">
        <is>
          <t>III. PROBABILITY-WEIGHTED (ВЗВЕШЕННЫЙ ПО ВЕРОЯТНОСТИ) EXPECTED VALUE (ОЖИДАЕМАЯ СТОИМОСТЬ)</t>
        </is>
      </c>
    </row>
    <row r="32">
      <c r="B32" s="213" t="inlineStr">
        <is>
          <t>Expected Revenue (Выручка) 3Y</t>
        </is>
      </c>
      <c r="C32" s="186"/>
      <c r="D32" s="186"/>
      <c r="E32" s="186"/>
      <c r="F32" s="187"/>
      <c r="G32" s="173">
        <v>4681.35</v>
      </c>
      <c r="H32" s="187"/>
      <c r="I32" s="159" t="inlineStr">
        <is>
          <t>млн ₽</t>
        </is>
      </c>
    </row>
    <row r="33">
      <c r="B33" s="213" t="inlineStr">
        <is>
          <t>Expected EBITDA (прибыль до вычетов) 3Y</t>
        </is>
      </c>
      <c r="C33" s="186"/>
      <c r="D33" s="186"/>
      <c r="E33" s="186"/>
      <c r="F33" s="187"/>
      <c r="G33" s="173">
        <v>2232.33</v>
      </c>
      <c r="H33" s="187"/>
      <c r="I33" s="159" t="inlineStr">
        <is>
          <t>млн ₽</t>
        </is>
      </c>
    </row>
    <row r="34">
      <c r="B34" s="213" t="inlineStr">
        <is>
          <t>Expected Net Profit (Чистая прибыль) 3Y</t>
        </is>
      </c>
      <c r="C34" s="186"/>
      <c r="D34" s="186"/>
      <c r="E34" s="186"/>
      <c r="F34" s="187"/>
      <c r="G34" s="173">
        <v>1734.56</v>
      </c>
      <c r="H34" s="187"/>
      <c r="I34" s="159" t="inlineStr">
        <is>
          <t>млн ₽</t>
        </is>
      </c>
    </row>
    <row r="35">
      <c r="B35" s="213" t="inlineStr">
        <is>
          <t>Expected NDP (чистые распределяемые поступления)</t>
        </is>
      </c>
      <c r="C35" s="186"/>
      <c r="D35" s="186"/>
      <c r="E35" s="186"/>
      <c r="F35" s="187"/>
      <c r="G35" s="173">
        <v>3090.0</v>
      </c>
      <c r="H35" s="187"/>
      <c r="I35" s="159" t="inlineStr">
        <is>
          <t>млн ₽</t>
        </is>
      </c>
    </row>
    <row r="36">
      <c r="B36" s="213" t="inlineStr">
        <is>
          <t>Expected EV (стоимость предприятия) (5× exit)</t>
        </is>
      </c>
      <c r="C36" s="186"/>
      <c r="D36" s="186"/>
      <c r="E36" s="186"/>
      <c r="F36" s="187"/>
      <c r="G36" s="173">
        <v>11161.65</v>
      </c>
      <c r="H36" s="187"/>
      <c r="I36" s="159" t="inlineStr">
        <is>
          <t>млн ₽</t>
        </is>
      </c>
    </row>
    <row r="37">
      <c r="B37" s="213" t="inlineStr">
        <is>
          <t>Expected IRR (внутренняя норма доходности) T₁ W₅ V-D</t>
        </is>
      </c>
      <c r="C37" s="186"/>
      <c r="D37" s="186"/>
      <c r="E37" s="186"/>
      <c r="F37" s="187"/>
      <c r="G37" s="176" t="n">
        <v>25.14</v>
      </c>
      <c r="H37" s="187"/>
      <c r="I37" s="159" t="inlineStr">
        <is>
          <t>%</t>
        </is>
      </c>
    </row>
    <row r="39" ht="50" customHeight="1">
      <c r="B39" s="591" t="inlineStr">
        <is>
          <t>⚠ ВНИМАНИЕ: Под W₅ V-D Stress Bear IRR = 10.70% значительно ниже 18% hurdle (NDP=1800 &lt; hurdle target 2 402). Причина: A+C pattern концентрирует поток в Y2029-2030, оставшиеся Y2031-2032 уже за горизонтом дисконтирования. Liq Pref 1× защищает капитал (MoIC 1.44×). См. 24_Investor_Returns Section V.1 + 28_Monte_Carlo_Summary P(IRR&gt;18%)=32.7%.</t>
        </is>
      </c>
    </row>
  </sheetData>
  <mergeCells count="28">
    <mergeCell ref="D27:I27"/>
    <mergeCell ref="B25:C25"/>
    <mergeCell ref="G36:H36"/>
    <mergeCell ref="B31:I31"/>
    <mergeCell ref="B27:C27"/>
    <mergeCell ref="D28:I28"/>
    <mergeCell ref="B39:I39"/>
    <mergeCell ref="G37:H37"/>
    <mergeCell ref="B23:I23"/>
    <mergeCell ref="D25:I25"/>
    <mergeCell ref="D24:I24"/>
    <mergeCell ref="G34:H3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L8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35" t="inlineStr">
        <is>
          <t>СИМУЛЯЦИЯ МОНТЕ-КАРЛО (СИМУЛЯЦИЯ) — 5 000 ИТЕРАЦИЙ · 5 СТОХАСТИЧЕСКИХ ПЕРЕМЕННЫХ · W₅ V-D ★ DEFAULT (ПО УМОЛЧАНИЮ) v1.0.1 · A+C PATTERN 33/45/9/13</t>
        </is>
      </c>
    </row>
    <row r="3"/>
    <row r="4">
      <c r="B4" s="189" t="inlineStr">
        <is>
          <t>Распределения NDP (чистые распределяемые поступления), EBITDA (прибыль до вычетов), IRR (внутренняя норма доходности), MOIC (мультипликатор вложенного капитала), EV (стоимость предприятия) под Waterfall (Каскад) W₅ V-D + sensitivity grid</t>
        </is>
      </c>
    </row>
    <row r="6">
      <c r="B6" s="244" t="inlineStr">
        <is>
          <t>I.  СТОХАСТИЧЕСКИЕ ПЕРЕМЕННЫЕ (СТОХАСТИЧЕСКИЕ ПЕРЕМЕННЫЕ) (PDFs)</t>
        </is>
      </c>
    </row>
    <row r="7">
      <c r="B7" s="167" t="inlineStr">
        <is>
          <t>#</t>
        </is>
      </c>
      <c r="C7" s="167" t="inlineStr">
        <is>
          <t>Variable (Переменная)</t>
        </is>
      </c>
      <c r="D7" s="167" t="inlineStr">
        <is>
          <t>Distribution (Распределение)</t>
        </is>
      </c>
      <c r="E7" s="167" t="inlineStr">
        <is>
          <t>Param (Параметр) 1</t>
        </is>
      </c>
      <c r="F7" s="167" t="inlineStr">
        <is>
          <t>Param (Параметр) 2</t>
        </is>
      </c>
      <c r="G7" s="167" t="inlineStr">
        <is>
          <t>Param (Параметр) 3</t>
        </is>
      </c>
      <c r="H7" s="167" t="inlineStr">
        <is>
          <t>Description (Описание)</t>
        </is>
      </c>
      <c r="I7" s="187"/>
    </row>
    <row r="8">
      <c r="B8" s="205" t="n">
        <v>1</v>
      </c>
      <c r="C8" s="206" t="inlineStr">
        <is>
          <t>Revenue (Выручка) multiplier</t>
        </is>
      </c>
      <c r="D8" s="206" t="inlineStr">
        <is>
          <t>Triangular (Треугольное)</t>
        </is>
      </c>
      <c r="E8" s="285" t="n">
        <v>0.6</v>
      </c>
      <c r="F8" s="285" t="n">
        <v>1</v>
      </c>
      <c r="G8" s="285" t="n">
        <v>1.4</v>
      </c>
      <c r="H8" s="206" t="inlineStr">
        <is>
          <t>мин/мода/макс</t>
        </is>
      </c>
      <c r="I8" s="187"/>
    </row>
    <row r="9">
      <c r="B9" s="205" t="n">
        <v>2</v>
      </c>
      <c r="C9" s="206" t="inlineStr">
        <is>
          <t>EBITDA (прибыль до вычетов) margin (маржа) shock</t>
        </is>
      </c>
      <c r="D9" s="206" t="inlineStr">
        <is>
          <t>Normal (Нормальное)</t>
        </is>
      </c>
      <c r="E9" s="285" t="n">
        <v>0</v>
      </c>
      <c r="F9" s="285" t="n">
        <v>0.04</v>
      </c>
      <c r="G9" s="285" t="n">
        <v>0</v>
      </c>
      <c r="H9" s="206" t="inlineStr">
        <is>
          <t>μ=0, σ=4pp</t>
        </is>
      </c>
      <c r="I9" s="187"/>
    </row>
    <row r="10">
      <c r="B10" s="205" t="n">
        <v>3</v>
      </c>
      <c r="C10" s="206" t="inlineStr">
        <is>
          <t>CAPEX (Капзатраты) overrun</t>
        </is>
      </c>
      <c r="D10" s="206" t="inlineStr">
        <is>
          <t>LogNormal (Логнормальное)</t>
        </is>
      </c>
      <c r="E10" s="285" t="n">
        <v>0</v>
      </c>
      <c r="F10" s="285" t="n">
        <v>0.1</v>
      </c>
      <c r="G10" s="285" t="n">
        <v>1</v>
      </c>
      <c r="H10" s="206" t="inlineStr">
        <is>
          <t>σ=10%, base=1.00</t>
        </is>
      </c>
      <c r="I10" s="187"/>
    </row>
    <row r="11">
      <c r="B11" s="205" t="n">
        <v>4</v>
      </c>
      <c r="C11" s="206" t="inlineStr">
        <is>
          <t>Exit multiple (Мультипликатор выхода)</t>
        </is>
      </c>
      <c r="D11" s="206" t="inlineStr">
        <is>
          <t>Triangular (Треугольное)</t>
        </is>
      </c>
      <c r="E11" s="285" t="n">
        <v>3</v>
      </c>
      <c r="F11" s="285" t="n">
        <v>5</v>
      </c>
      <c r="G11" s="285" t="n">
        <v>7</v>
      </c>
      <c r="H11" s="206" t="inlineStr">
        <is>
          <t>мин/мода/макс</t>
        </is>
      </c>
      <c r="I11" s="187"/>
    </row>
    <row r="12">
      <c r="B12" s="205" t="n">
        <v>5</v>
      </c>
      <c r="C12" s="206" t="inlineStr">
        <is>
          <t>Film hit rate (Доля успешных фильмов)</t>
        </is>
      </c>
      <c r="D12" s="206" t="inlineStr">
        <is>
          <t>Binomial (Биномиальное)</t>
        </is>
      </c>
      <c r="E12" s="285">
        <v>0.7</v>
      </c>
      <c r="F12" s="285" t="n">
        <v>0.2</v>
      </c>
      <c r="G12" s="285" t="n">
        <v>0</v>
      </c>
      <c r="H12" s="206" t="inlineStr">
        <is>
          <t>p=0,70, 7 проектов</t>
        </is>
      </c>
      <c r="I12" s="187"/>
    </row>
    <row r="15">
      <c r="B15" s="244" t="inlineStr">
        <is>
          <t>II.  ИТОГИ РАСПРЕДЕЛЕНИЯ (ИТОГИ РАСПРЕДЕЛЕНИЯ) — 5 000 simulations</t>
        </is>
      </c>
    </row>
    <row r="16">
      <c r="B16" s="167" t="inlineStr">
        <is>
          <t>Metric (Метрика)</t>
        </is>
      </c>
      <c r="C16" s="187"/>
      <c r="D16" s="167" t="inlineStr">
        <is>
          <t>Mean (Среднее)</t>
        </is>
      </c>
      <c r="E16" s="167" t="inlineStr">
        <is>
          <t>StDev (Ст.откл.)</t>
        </is>
      </c>
      <c r="F16" s="167" t="inlineStr">
        <is>
          <t>P5</t>
        </is>
      </c>
      <c r="G16" s="167" t="inlineStr">
        <is>
          <t>P10</t>
        </is>
      </c>
      <c r="H16" s="167" t="inlineStr">
        <is>
          <t>P25</t>
        </is>
      </c>
      <c r="I16" s="167" t="inlineStr">
        <is>
          <t>P50</t>
        </is>
      </c>
      <c r="J16" s="167" t="inlineStr">
        <is>
          <t>P75</t>
        </is>
      </c>
      <c r="K16" s="167" t="inlineStr">
        <is>
          <t>P90</t>
        </is>
      </c>
      <c r="L16" s="167" t="inlineStr">
        <is>
          <t>P95</t>
        </is>
      </c>
    </row>
    <row r="17">
      <c r="B17" s="317" t="inlineStr">
        <is>
          <t>NDP (чистые распределяемые поступления)</t>
        </is>
      </c>
      <c r="C17" s="187"/>
      <c r="D17" s="207" t="n">
        <v>2104.06</v>
      </c>
      <c r="E17" s="207" t="n">
        <v>580.23</v>
      </c>
      <c r="F17" s="207" t="n">
        <v>1229.28</v>
      </c>
      <c r="G17" s="207" t="n">
        <v>1381.87</v>
      </c>
      <c r="H17" s="207" t="n">
        <v>1696.64</v>
      </c>
      <c r="I17" s="270" t="n">
        <v>2060.42</v>
      </c>
      <c r="J17" s="207" t="n">
        <v>2467.85</v>
      </c>
      <c r="K17" s="207" t="n">
        <v>2871.3</v>
      </c>
      <c r="L17" s="207" t="n">
        <v>3130.48</v>
      </c>
    </row>
    <row r="18">
      <c r="B18" s="317" t="inlineStr">
        <is>
          <t>EBITDA (прибыль до вычетов)</t>
        </is>
      </c>
      <c r="C18" s="187"/>
      <c r="D18" s="207" t="n">
        <v>1514.92</v>
      </c>
      <c r="E18" s="207" t="n">
        <v>417.76</v>
      </c>
      <c r="F18" s="207" t="n">
        <v>885.08</v>
      </c>
      <c r="G18" s="207" t="n">
        <v>994.95</v>
      </c>
      <c r="H18" s="207" t="n">
        <v>1221.58</v>
      </c>
      <c r="I18" s="270" t="n">
        <v>1483.5</v>
      </c>
      <c r="J18" s="207" t="n">
        <v>1776.85</v>
      </c>
      <c r="K18" s="207" t="n">
        <v>2067.34</v>
      </c>
      <c r="L18" s="207" t="n">
        <v>2253.94</v>
      </c>
    </row>
    <row r="19">
      <c r="B19" s="317" t="inlineStr">
        <is>
          <t>IRR (внутренняя норма доходности) (W₅ V-D)</t>
        </is>
      </c>
      <c r="C19" s="187"/>
      <c r="D19" s="236" t="n">
        <v>13.95</v>
      </c>
      <c r="E19" s="236" t="n">
        <v>8.050000000000001</v>
      </c>
      <c r="F19" s="236" t="n">
        <v>-0.46</v>
      </c>
      <c r="G19" s="236" t="n">
        <v>2.81</v>
      </c>
      <c r="H19" s="236" t="n">
        <v>8.869999999999999</v>
      </c>
      <c r="I19" s="275" t="n">
        <v>14.8</v>
      </c>
      <c r="J19" s="236" t="n">
        <v>19.64</v>
      </c>
      <c r="K19" s="236" t="n">
        <v>23.59</v>
      </c>
      <c r="L19" s="236" t="n">
        <v>25.89</v>
      </c>
    </row>
    <row r="20">
      <c r="B20" s="317" t="inlineStr">
        <is>
          <t>MOIC (мультипликатор вложенного капитала) (W₅ V-D)</t>
        </is>
      </c>
      <c r="C20" s="187"/>
      <c r="D20" s="237" t="n">
        <v>1.61</v>
      </c>
      <c r="E20" s="237" t="n">
        <v>0.37</v>
      </c>
      <c r="F20" s="237" t="n">
        <v>0.98</v>
      </c>
      <c r="G20" s="237" t="n">
        <v>1.11</v>
      </c>
      <c r="H20" s="237" t="n">
        <v>1.36</v>
      </c>
      <c r="I20" s="276" t="n">
        <v>1.63</v>
      </c>
      <c r="J20" s="237" t="n">
        <v>1.86</v>
      </c>
      <c r="K20" s="237" t="n">
        <v>2.06</v>
      </c>
      <c r="L20" s="237" t="n">
        <v>2.19</v>
      </c>
    </row>
    <row r="21">
      <c r="B21" s="317" t="inlineStr">
        <is>
          <t>EV (стоимость предприятия)</t>
        </is>
      </c>
      <c r="C21" s="187"/>
      <c r="D21" s="207" t="n">
        <v>7628.36</v>
      </c>
      <c r="E21" s="207" t="n">
        <v>2491.09</v>
      </c>
      <c r="F21" s="207" t="n">
        <v>4104.65</v>
      </c>
      <c r="G21" s="207" t="n">
        <v>4715.26</v>
      </c>
      <c r="H21" s="207" t="n">
        <v>5811.81</v>
      </c>
      <c r="I21" s="270" t="n">
        <v>7326.62</v>
      </c>
      <c r="J21" s="207" t="n">
        <v>9103.860000000001</v>
      </c>
      <c r="K21" s="207" t="n">
        <v>11002.11</v>
      </c>
      <c r="L21" s="207" t="n">
        <v>12311.59</v>
      </c>
    </row>
    <row r="24">
      <c r="B24" s="244" t="inlineStr">
        <is>
          <t>III.  МЕТРИКИ ВЕРОЯТНОСТИ И РИСКОВ</t>
        </is>
      </c>
    </row>
    <row r="25">
      <c r="B25" s="213" t="inlineStr">
        <is>
          <t>P(IRR (внутренняя норма доходности) &gt; 18% hurdle (порог))</t>
        </is>
      </c>
      <c r="C25" s="186"/>
      <c r="D25" s="186"/>
      <c r="E25" s="186"/>
      <c r="F25" s="187"/>
      <c r="G25" s="176" t="n">
        <v>32.7</v>
      </c>
      <c r="H25" s="186"/>
      <c r="I25" s="187"/>
    </row>
    <row r="26">
      <c r="B26" s="213" t="inlineStr">
        <is>
          <t>P(IRR (внутренняя норма доходности) &gt; 12% target)</t>
        </is>
      </c>
      <c r="C26" s="186"/>
      <c r="D26" s="186"/>
      <c r="E26" s="186"/>
      <c r="F26" s="187"/>
      <c r="G26" s="176" t="n">
        <v>63.2</v>
      </c>
      <c r="H26" s="186"/>
      <c r="I26" s="187"/>
    </row>
    <row r="27">
      <c r="B27" s="213" t="inlineStr">
        <is>
          <t>P(IRR (внутренняя норма доходности) &gt; 8% floor)</t>
        </is>
      </c>
      <c r="C27" s="186"/>
      <c r="D27" s="186"/>
      <c r="E27" s="186"/>
      <c r="F27" s="187"/>
      <c r="G27" s="176" t="n">
        <v>77.59999999999999</v>
      </c>
      <c r="H27" s="186"/>
      <c r="I27" s="187"/>
    </row>
    <row r="28">
      <c r="B28" s="213" t="inlineStr">
        <is>
          <t>P(Loss — IRR (внутренняя норма доходности) &lt; 0)</t>
        </is>
      </c>
      <c r="C28" s="186"/>
      <c r="D28" s="186"/>
      <c r="E28" s="186"/>
      <c r="F28" s="187"/>
      <c r="G28" s="176" t="n">
        <v>5.5</v>
      </c>
      <c r="H28" s="186"/>
      <c r="I28" s="187"/>
    </row>
    <row r="29">
      <c r="B29" s="213" t="inlineStr">
        <is>
          <t>P(MOIC (мультипликатор вложенного капитала) &gt; 2.0×)</t>
        </is>
      </c>
      <c r="C29" s="186"/>
      <c r="D29" s="186"/>
      <c r="E29" s="186"/>
      <c r="F29" s="187"/>
      <c r="G29" s="176" t="n">
        <v>13.6</v>
      </c>
      <c r="H29" s="186"/>
      <c r="I29" s="187"/>
    </row>
    <row r="30">
      <c r="B30" s="213" t="inlineStr">
        <is>
          <t>VaR 95% (NDP (чистые распределяемые поступления) shortfall vs base)</t>
        </is>
      </c>
      <c r="C30" s="186"/>
      <c r="D30" s="186"/>
      <c r="E30" s="186"/>
      <c r="F30" s="187"/>
      <c r="G30" s="173" t="n">
        <v>1770.7</v>
      </c>
      <c r="H30" s="186"/>
      <c r="I30" s="187"/>
    </row>
    <row r="31">
      <c r="B31" s="213" t="inlineStr">
        <is>
          <t>CVaR (условный VaR) 95% (expected shortfall)</t>
        </is>
      </c>
      <c r="C31" s="186"/>
      <c r="D31" s="186"/>
      <c r="E31" s="186"/>
      <c r="F31" s="187"/>
      <c r="G31" s="173" t="n">
        <v>1930.1</v>
      </c>
      <c r="H31" s="186"/>
      <c r="I31" s="187"/>
    </row>
    <row r="32">
      <c r="B32" s="213" t="inlineStr">
        <is>
          <t>Expected NDP (чистые распределяемые поступления)</t>
        </is>
      </c>
      <c r="C32" s="186"/>
      <c r="D32" s="186"/>
      <c r="E32" s="186"/>
      <c r="F32" s="187"/>
      <c r="G32" s="173" t="n">
        <v>2104</v>
      </c>
      <c r="H32" s="186"/>
      <c r="I32" s="187"/>
    </row>
    <row r="33">
      <c r="B33" s="213" t="inlineStr">
        <is>
          <t>Expected MOIC (мультипликатор вложенного капитала) T₁</t>
        </is>
      </c>
      <c r="C33" s="186"/>
      <c r="D33" s="186"/>
      <c r="E33" s="186"/>
      <c r="F33" s="187"/>
      <c r="G33" s="278" t="n">
        <v>1.609</v>
      </c>
      <c r="H33" s="186"/>
      <c r="I33" s="187"/>
    </row>
    <row r="34">
      <c r="B34" s="213" t="inlineStr">
        <is>
          <t>Median EV (стоимость предприятия) (P50)</t>
        </is>
      </c>
      <c r="C34" s="186"/>
      <c r="D34" s="186"/>
      <c r="E34" s="186"/>
      <c r="F34" s="187"/>
      <c r="G34" s="173" t="n">
        <v>7327</v>
      </c>
      <c r="H34" s="186"/>
      <c r="I34" s="187"/>
    </row>
    <row r="37">
      <c r="B37" s="244" t="inlineStr">
        <is>
          <t>IV. NDP (чистые распределяемые поступления) DISTRIBUTION HISTOGRAM (5 000 sims, 10 bins)</t>
        </is>
      </c>
    </row>
    <row r="38">
      <c r="B38" s="167" t="inlineStr">
        <is>
          <t>#</t>
        </is>
      </c>
      <c r="C38" s="167" t="inlineStr">
        <is>
          <t>Range (Диапазон)</t>
        </is>
      </c>
      <c r="D38" s="187"/>
      <c r="E38" s="167" t="inlineStr">
        <is>
          <t>Count (Количество)</t>
        </is>
      </c>
      <c r="F38" s="167" t="inlineStr">
        <is>
          <t>%</t>
        </is>
      </c>
      <c r="G38" s="167" t="inlineStr">
        <is>
          <t>Bar</t>
        </is>
      </c>
      <c r="H38" s="186"/>
      <c r="I38" s="187"/>
    </row>
    <row r="39">
      <c r="B39" s="205" t="n">
        <v>1</v>
      </c>
      <c r="C39" s="206" t="inlineStr">
        <is>
          <t>527 − 955</t>
        </is>
      </c>
      <c r="D39" s="187"/>
      <c r="E39" s="205" t="n">
        <v>45</v>
      </c>
      <c r="F39" s="236" t="n">
        <v>0.9</v>
      </c>
      <c r="G39" s="206" t="inlineStr">
        <is>
          <t>█</t>
        </is>
      </c>
      <c r="H39" s="186"/>
      <c r="I39" s="187"/>
    </row>
    <row r="40">
      <c r="B40" s="205" t="n">
        <v>2</v>
      </c>
      <c r="C40" s="206" t="inlineStr">
        <is>
          <t>955 − 1383</t>
        </is>
      </c>
      <c r="D40" s="187"/>
      <c r="E40" s="205" t="n">
        <v>458</v>
      </c>
      <c r="F40" s="236" t="n">
        <v>9.199999999999999</v>
      </c>
      <c r="G40" s="206" t="inlineStr">
        <is>
          <t>█████████</t>
        </is>
      </c>
      <c r="H40" s="186"/>
      <c r="I40" s="187"/>
    </row>
    <row r="41">
      <c r="B41" s="205" t="n">
        <v>3</v>
      </c>
      <c r="C41" s="206" t="inlineStr">
        <is>
          <t>1383 − 1811</t>
        </is>
      </c>
      <c r="D41" s="187"/>
      <c r="E41" s="205" t="n">
        <v>1120</v>
      </c>
      <c r="F41" s="236" t="n">
        <v>22.4</v>
      </c>
      <c r="G41" s="206" t="inlineStr">
        <is>
          <t>██████████████████████</t>
        </is>
      </c>
      <c r="H41" s="186"/>
      <c r="I41" s="187"/>
    </row>
    <row r="42">
      <c r="B42" s="205" t="n">
        <v>4</v>
      </c>
      <c r="C42" s="206" t="inlineStr">
        <is>
          <t>1811 − 2239</t>
        </is>
      </c>
      <c r="D42" s="187"/>
      <c r="E42" s="205" t="n">
        <v>1474</v>
      </c>
      <c r="F42" s="236" t="n">
        <v>29.5</v>
      </c>
      <c r="G42" s="206" t="inlineStr">
        <is>
          <t>█████████████████████████████</t>
        </is>
      </c>
      <c r="H42" s="186"/>
      <c r="I42" s="187"/>
    </row>
    <row r="43">
      <c r="B43" s="226" t="n">
        <v>5</v>
      </c>
      <c r="C43" s="281" t="inlineStr">
        <is>
          <t>2239 − 2667</t>
        </is>
      </c>
      <c r="D43" s="187"/>
      <c r="E43" s="226" t="n">
        <v>1107</v>
      </c>
      <c r="F43" s="251" t="n">
        <v>22.1</v>
      </c>
      <c r="G43" s="281" t="inlineStr">
        <is>
          <t>██████████████████████</t>
        </is>
      </c>
      <c r="H43" s="186"/>
      <c r="I43" s="187"/>
    </row>
    <row r="44">
      <c r="B44" s="205" t="n">
        <v>6</v>
      </c>
      <c r="C44" s="206" t="inlineStr">
        <is>
          <t>2667 − 3095</t>
        </is>
      </c>
      <c r="D44" s="187"/>
      <c r="E44" s="205" t="n">
        <v>522</v>
      </c>
      <c r="F44" s="236" t="n">
        <v>10.4</v>
      </c>
      <c r="G44" s="206" t="inlineStr">
        <is>
          <t>██████████</t>
        </is>
      </c>
      <c r="H44" s="186"/>
      <c r="I44" s="187"/>
    </row>
    <row r="45">
      <c r="B45" s="205" t="n">
        <v>7</v>
      </c>
      <c r="C45" s="206" t="inlineStr">
        <is>
          <t>3095 − 3523</t>
        </is>
      </c>
      <c r="D45" s="187"/>
      <c r="E45" s="205" t="n">
        <v>200</v>
      </c>
      <c r="F45" s="236" t="n">
        <v>4</v>
      </c>
      <c r="G45" s="206" t="inlineStr">
        <is>
          <t>████</t>
        </is>
      </c>
      <c r="H45" s="186"/>
      <c r="I45" s="187"/>
    </row>
    <row r="46">
      <c r="B46" s="205" t="n">
        <v>8</v>
      </c>
      <c r="C46" s="206" t="inlineStr">
        <is>
          <t>3523 − 3952</t>
        </is>
      </c>
      <c r="D46" s="187"/>
      <c r="E46" s="205" t="n">
        <v>58</v>
      </c>
      <c r="F46" s="236" t="n">
        <v>1.2</v>
      </c>
      <c r="G46" s="206" t="inlineStr">
        <is>
          <t>█</t>
        </is>
      </c>
      <c r="H46" s="186"/>
      <c r="I46" s="187"/>
    </row>
    <row r="47">
      <c r="B47" s="205" t="n">
        <v>9</v>
      </c>
      <c r="C47" s="206" t="inlineStr">
        <is>
          <t>3952 − 4380</t>
        </is>
      </c>
      <c r="D47" s="187"/>
      <c r="E47" s="205" t="n">
        <v>11</v>
      </c>
      <c r="F47" s="236" t="n">
        <v>0.2</v>
      </c>
      <c r="G47" s="206" t="inlineStr">
        <is>
          <t>█</t>
        </is>
      </c>
      <c r="H47" s="186"/>
      <c r="I47" s="187"/>
    </row>
    <row r="48">
      <c r="B48" s="205" t="n">
        <v>10</v>
      </c>
      <c r="C48" s="206" t="inlineStr">
        <is>
          <t>4380 − 4808</t>
        </is>
      </c>
      <c r="D48" s="187"/>
      <c r="E48" s="205" t="n">
        <v>5</v>
      </c>
      <c r="F48" s="236" t="n">
        <v>0.1</v>
      </c>
      <c r="G48" s="206" t="inlineStr">
        <is>
          <t>█</t>
        </is>
      </c>
      <c r="H48" s="186"/>
      <c r="I48" s="187"/>
    </row>
    <row r="51">
      <c r="B51" s="577" t="inlineStr">
        <is>
          <t>V. СЕТКА ЧУВСТВИТЕЛЬНОСТИ — ВАРИАЦИИ A+C (W₅ V-D фикс.)</t>
        </is>
      </c>
    </row>
    <row r="53"/>
    <row r="54">
      <c r="B54" t="n">
        <v>1</v>
      </c>
      <c r="C54" t="inlineStr">
        <is>
          <t>Slow A (Медленный А) (28/50/9/13)</t>
        </is>
      </c>
      <c r="E54" t="n">
        <v>28</v>
      </c>
      <c r="F54" t="n">
        <v>50</v>
      </c>
      <c r="G54" t="n">
        <v>9</v>
      </c>
      <c r="H54" t="n">
        <v>13</v>
      </c>
      <c r="I54" t="n">
        <v>24.26</v>
      </c>
      <c r="J54" t="n">
        <v>2.126</v>
      </c>
      <c r="K54" t="inlineStr">
        <is>
          <t>-0.49пп</t>
        </is>
      </c>
    </row>
    <row r="55">
      <c r="B55" t="n">
        <v>2</v>
      </c>
      <c r="C55" t="inlineStr">
        <is>
          <t>Slow B (Медленный Б) (30/47/10/13)</t>
        </is>
      </c>
      <c r="E55" t="n">
        <v>30</v>
      </c>
      <c r="F55" t="n">
        <v>47</v>
      </c>
      <c r="G55" t="n">
        <v>10</v>
      </c>
      <c r="H55" t="n">
        <v>13</v>
      </c>
      <c r="I55" t="n">
        <v>24.4</v>
      </c>
      <c r="J55" t="n">
        <v>2.126</v>
      </c>
      <c r="K55" t="inlineStr">
        <is>
          <t>-0.35пп</t>
        </is>
      </c>
    </row>
    <row r="56">
      <c r="B56" s="588" t="n">
        <v>3</v>
      </c>
      <c r="E56" s="588" t="n">
        <v>33</v>
      </c>
      <c r="F56" s="588" t="n">
        <v>45</v>
      </c>
      <c r="G56" s="588" t="n">
        <v>9</v>
      </c>
      <c r="H56" s="588" t="n">
        <v>13</v>
      </c>
      <c r="I56" s="588" t="n">
        <v>24.75</v>
      </c>
      <c r="J56" s="588" t="n">
        <v>2.126</v>
      </c>
    </row>
    <row r="57">
      <c r="B57" t="n">
        <v>4</v>
      </c>
      <c r="C57" t="inlineStr">
        <is>
          <t>Fast (Быстрый) (38/40/10/12)</t>
        </is>
      </c>
      <c r="E57" t="n">
        <v>38</v>
      </c>
      <c r="F57" t="n">
        <v>40</v>
      </c>
      <c r="G57" t="n">
        <v>10</v>
      </c>
      <c r="H57" t="n">
        <v>12</v>
      </c>
      <c r="I57" t="n">
        <v>25.29</v>
      </c>
      <c r="J57" t="n">
        <v>2.126</v>
      </c>
      <c r="K57" t="inlineStr">
        <is>
          <t>+0.54пп</t>
        </is>
      </c>
    </row>
    <row r="58">
      <c r="B58" t="n">
        <v>5</v>
      </c>
      <c r="C58" t="inlineStr">
        <is>
          <t>Aggressive (Агрессивный) (43/37/8/12)</t>
        </is>
      </c>
      <c r="E58" t="n">
        <v>43</v>
      </c>
      <c r="F58" t="n">
        <v>37</v>
      </c>
      <c r="G58" t="n">
        <v>8</v>
      </c>
      <c r="H58" t="n">
        <v>12</v>
      </c>
      <c r="I58" t="n">
        <v>25.93</v>
      </c>
      <c r="J58" t="n">
        <v>2.126</v>
      </c>
      <c r="K58" t="inlineStr">
        <is>
          <t>+1.18пп</t>
        </is>
      </c>
    </row>
    <row r="60">
      <c r="B60" s="571" t="inlineStr">
        <is>
          <t>V.b W₅ PARAMS GRID (catch-up × carry, base NDP (чистые распределяемые поступления)=3000)</t>
        </is>
      </c>
    </row>
    <row r="61"/>
    <row r="62">
      <c r="D62" t="inlineStr">
        <is>
          <t>23.6% / 2.05×</t>
        </is>
      </c>
      <c r="E62" t="inlineStr">
        <is>
          <t>23.8% / 2.06×</t>
        </is>
      </c>
      <c r="F62" t="inlineStr">
        <is>
          <t>24.0% / 2.08×</t>
        </is>
      </c>
      <c r="G62" t="inlineStr">
        <is>
          <t>24.2% / 2.10×</t>
        </is>
      </c>
      <c r="H62" t="inlineStr">
        <is>
          <t>24.4% / 2.11×</t>
        </is>
      </c>
    </row>
    <row r="63">
      <c r="D63" t="inlineStr">
        <is>
          <t>24.0% / 2.07×</t>
        </is>
      </c>
      <c r="E63" t="inlineStr">
        <is>
          <t>24.2% / 2.09×</t>
        </is>
      </c>
      <c r="F63" t="inlineStr">
        <is>
          <t>24.4% / 2.10×</t>
        </is>
      </c>
      <c r="G63" t="inlineStr">
        <is>
          <t>24.6% / 2.12×</t>
        </is>
      </c>
      <c r="H63" t="inlineStr">
        <is>
          <t>24.8% / 2.14×</t>
        </is>
      </c>
    </row>
    <row r="64">
      <c r="D64" t="inlineStr">
        <is>
          <t>24.4% / 2.09×</t>
        </is>
      </c>
      <c r="E64" t="inlineStr">
        <is>
          <t>24.6% / 2.11×</t>
        </is>
      </c>
      <c r="G64" t="inlineStr">
        <is>
          <t>24.9% / 2.14×</t>
        </is>
      </c>
      <c r="H64" t="inlineStr">
        <is>
          <t>25.1% / 2.16×</t>
        </is>
      </c>
    </row>
    <row r="65">
      <c r="D65" t="inlineStr">
        <is>
          <t>24.7% / 2.11×</t>
        </is>
      </c>
      <c r="E65" t="inlineStr">
        <is>
          <t>24.9% / 2.13×</t>
        </is>
      </c>
      <c r="F65" t="inlineStr">
        <is>
          <t>25.1% / 2.15×</t>
        </is>
      </c>
      <c r="G65" t="inlineStr">
        <is>
          <t>25.3% / 2.17×</t>
        </is>
      </c>
      <c r="H65" t="inlineStr">
        <is>
          <t>25.5% / 2.18×</t>
        </is>
      </c>
    </row>
    <row r="66">
      <c r="D66" t="inlineStr">
        <is>
          <t>25.1% / 2.14×</t>
        </is>
      </c>
      <c r="E66" t="inlineStr">
        <is>
          <t>25.3% / 2.15×</t>
        </is>
      </c>
      <c r="F66" t="inlineStr">
        <is>
          <t>25.5% / 2.17×</t>
        </is>
      </c>
      <c r="G66" t="inlineStr">
        <is>
          <t>25.6% / 2.19×</t>
        </is>
      </c>
      <c r="H66" t="inlineStr">
        <is>
          <t>25.8% / 2.21×</t>
        </is>
      </c>
    </row>
    <row r="68">
      <c r="B68" s="569" t="inlineStr">
        <is>
          <t>VI. СТАТИСТИКА W₅ V-D — уверенность и калибровка</t>
        </is>
      </c>
    </row>
    <row r="70">
      <c r="B70" s="357" t="inlineStr">
        <is>
          <t>P(LP (ограниченный партнёр) IRR (внутренняя норма доходности) &gt; 18% hurdle (порог))</t>
        </is>
      </c>
      <c r="I70" s="574" t="inlineStr">
        <is>
          <t>Под W₃ было ~49%, под W₅ V-D</t>
        </is>
      </c>
    </row>
    <row r="71">
      <c r="B71" s="357" t="inlineStr">
        <is>
          <t>P(LP (ограниченный партнёр) IRR (внутренняя норма доходности) &gt; 24.75% base)</t>
        </is>
      </c>
      <c r="I71" s="574" t="inlineStr">
        <is>
          <t>Probability of beating Base (Базовый) case</t>
        </is>
      </c>
    </row>
    <row r="72">
      <c r="B72" s="357" t="inlineStr">
        <is>
          <t>P(LP (ограниченный партнёр) MoIC &gt; 2.13× base)</t>
        </is>
      </c>
      <c r="I72" s="574" t="inlineStr">
        <is>
          <t>Probability of beating Base (Базовый) MoIC</t>
        </is>
      </c>
    </row>
    <row r="73">
      <c r="B73" s="357" t="inlineStr">
        <is>
          <t>P(LP (ограниченный партнёр) MoIC &gt; 2.5× upside)</t>
        </is>
      </c>
      <c r="I73" s="574" t="inlineStr">
        <is>
          <t>Bull (Оптимистичный)-case probability</t>
        </is>
      </c>
    </row>
    <row r="74">
      <c r="B74" s="357" t="inlineStr">
        <is>
          <t>Median LP (ограниченный партнёр) IRR (внутренняя норма доходности)</t>
        </is>
      </c>
      <c r="I74" s="574" t="inlineStr">
        <is>
          <t>P50 percentile (перцентиль)</t>
        </is>
      </c>
    </row>
    <row r="75">
      <c r="B75" s="357" t="inlineStr">
        <is>
          <t>Mean LP (ограниченный партнёр) IRR (внутренняя норма доходности) (computed)</t>
        </is>
      </c>
      <c r="I75" s="574" t="inlineStr">
        <is>
          <t>vs deterministic (детерминированный) 24,75%</t>
        </is>
      </c>
    </row>
    <row r="76">
      <c r="B76" s="357" t="inlineStr">
        <is>
          <t>LP (ограниченный партнёр) IRR (внутренняя норма доходности) StDev</t>
        </is>
      </c>
      <c r="I76" s="574" t="inlineStr">
        <is>
          <t>Risk (Риск) dispersion</t>
        </is>
      </c>
    </row>
    <row r="77">
      <c r="B77" s="357" t="inlineStr">
        <is>
          <t>Producer (Продюсер) Mean Share (Доля)</t>
        </is>
      </c>
      <c r="I77" s="574" t="inlineStr">
        <is>
          <t>Avg producer payout (Ср. выплата продюсеру)</t>
        </is>
      </c>
    </row>
    <row r="78">
      <c r="B78" s="571" t="inlineStr">
        <is>
          <t>ПОЯСНЕНИЕ: разница MC mean (13.95%) vs Base (Базовый) deterministic (24.75%)</t>
        </is>
      </c>
    </row>
    <row r="79" ht="60" customHeight="1">
      <c r="B79" s="587" t="inlineStr">
        <is>
          <t>Base (Базовый) 24.75% = «если всё пойдёт по плану» (NDP (чистые распределяемые поступления)=3000, все 7 проектов хиты, exit ×5). MC mean 13.95% = «честный прогноз с учётом рисков»: hit_rate ~ Bin(12, 0.7)/12 даёт в среднем 8.4 хита из 12, rev_mult Triangular (Треугольное)(0.6/1.0/1.4), CAPEX (Капзатраты) overrun, EBITDA (прибыль до вычетов) shock. Mean NDP (чистые распределяемые поступления) падает 3000→2104. Median MC IRR (внутренняя норма доходности) = 14.80% ближе к реалистичному ожиданию для инвестора. P(IRR &gt; 18% hurdle (порог)) = 32.7% — честный ответ на вопрос «какова вероятность побить hurdle».</t>
        </is>
      </c>
    </row>
    <row r="80"/>
  </sheetData>
  <mergeCells count="82">
    <mergeCell ref="G38:I38"/>
    <mergeCell ref="H10:I10"/>
    <mergeCell ref="B25:F25"/>
    <mergeCell ref="B71:F71"/>
    <mergeCell ref="H9:I9"/>
    <mergeCell ref="B27:F27"/>
    <mergeCell ref="B21:C21"/>
    <mergeCell ref="C41:D41"/>
    <mergeCell ref="G26:I26"/>
    <mergeCell ref="C43:D43"/>
    <mergeCell ref="B34:F34"/>
    <mergeCell ref="B78:L78"/>
    <mergeCell ref="B28:F28"/>
    <mergeCell ref="I76:L76"/>
    <mergeCell ref="B30:F30"/>
    <mergeCell ref="G42:I42"/>
    <mergeCell ref="B51:L51"/>
    <mergeCell ref="B16:C16"/>
    <mergeCell ref="G28:I28"/>
    <mergeCell ref="B72:F72"/>
    <mergeCell ref="C45:D45"/>
    <mergeCell ref="B18:C18"/>
    <mergeCell ref="G30:I30"/>
    <mergeCell ref="B70:F70"/>
    <mergeCell ref="C47:D47"/>
    <mergeCell ref="I77:L77"/>
    <mergeCell ref="C40:D40"/>
    <mergeCell ref="H11:I11"/>
    <mergeCell ref="G32:I32"/>
    <mergeCell ref="I70:L70"/>
    <mergeCell ref="G41:I41"/>
    <mergeCell ref="I72:L72"/>
    <mergeCell ref="G43:I43"/>
    <mergeCell ref="B74:F74"/>
    <mergeCell ref="H12:I12"/>
    <mergeCell ref="I71:L71"/>
    <mergeCell ref="G27:I27"/>
    <mergeCell ref="B51:I51"/>
    <mergeCell ref="B2:I3"/>
    <mergeCell ref="B76:F76"/>
    <mergeCell ref="B79:L79"/>
    <mergeCell ref="B75:F75"/>
    <mergeCell ref="B31:F31"/>
    <mergeCell ref="G34:I34"/>
    <mergeCell ref="I74:L74"/>
    <mergeCell ref="G45:I45"/>
    <mergeCell ref="C44:D44"/>
    <mergeCell ref="B17:C17"/>
    <mergeCell ref="B60:L60"/>
    <mergeCell ref="G29:I29"/>
    <mergeCell ref="G47:I47"/>
    <mergeCell ref="B73:F73"/>
    <mergeCell ref="C46:D46"/>
    <mergeCell ref="G44:I44"/>
    <mergeCell ref="B19:C19"/>
    <mergeCell ref="G31:I31"/>
    <mergeCell ref="G46:I46"/>
    <mergeCell ref="G40:I40"/>
    <mergeCell ref="C48:D48"/>
    <mergeCell ref="C38:D38"/>
    <mergeCell ref="B15:I15"/>
    <mergeCell ref="B24:I24"/>
    <mergeCell ref="B20:C20"/>
    <mergeCell ref="C42:D42"/>
    <mergeCell ref="I73:L73"/>
    <mergeCell ref="G33:I33"/>
    <mergeCell ref="B77:F77"/>
    <mergeCell ref="G25:I25"/>
    <mergeCell ref="B29:F29"/>
    <mergeCell ref="H7:I7"/>
    <mergeCell ref="B37:I37"/>
    <mergeCell ref="C39:D39"/>
    <mergeCell ref="I75:L75"/>
    <mergeCell ref="B68:L68"/>
    <mergeCell ref="B6:I6"/>
    <mergeCell ref="B33:F3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K9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2" max="2"/>
    <col width="14" customWidth="1" min="3" max="3"/>
    <col width="50" customWidth="1" min="4" max="4"/>
    <col width="8" customWidth="1" min="5" max="5"/>
    <col width="8" customWidth="1" min="6" max="6"/>
    <col width="8" customWidth="1" min="7" max="7"/>
    <col width="11" customWidth="1" min="8" max="8"/>
    <col width="50" customWidth="1" min="9" max="9"/>
    <col width="16" customWidth="1" min="10" max="10"/>
    <col width="10" customWidth="1" min="11" max="11"/>
  </cols>
  <sheetData>
    <row r="2">
      <c r="B2" s="318" t="inlineStr">
        <is>
          <t>РЕЕСТР РИСКОВ — 30 РИСКОВ В 5 КАТЕГОРИЯХ</t>
        </is>
      </c>
    </row>
    <row r="4">
      <c r="B4" s="319" t="inlineStr">
        <is>
          <t>Severity (Серьёзность) × Likelihood (Вероятность) → Risk (Риск) Score (Балл) (1-25), Mitigation (Меры снижения), Owner, Residual (Остаток) risk. Heat map 5×5.</t>
        </is>
      </c>
    </row>
    <row r="6">
      <c r="B6" s="320" t="inlineStr">
        <is>
          <t>I. РЕЕСТР РИСКОВ (30 рисков)</t>
        </is>
      </c>
    </row>
    <row r="7">
      <c r="B7" s="321" t="inlineStr">
        <is>
          <t>ID</t>
        </is>
      </c>
      <c r="C7" s="321" t="inlineStr">
        <is>
          <t>Категория</t>
        </is>
      </c>
      <c r="D7" s="321" t="inlineStr">
        <is>
          <t>Риск</t>
        </is>
      </c>
      <c r="E7" s="321" t="inlineStr">
        <is>
          <t>Сер. (1-5)</t>
        </is>
      </c>
      <c r="F7" s="321" t="inlineStr">
        <is>
          <t>Вер. (1-5)</t>
        </is>
      </c>
      <c r="G7" s="321" t="inlineStr">
        <is>
          <t>Score (Балл)</t>
        </is>
      </c>
      <c r="H7" s="321" t="inlineStr">
        <is>
          <t>Level (Уровень)</t>
        </is>
      </c>
      <c r="I7" s="321" t="inlineStr">
        <is>
          <t>Mitigation (Меры снижения)</t>
        </is>
      </c>
      <c r="J7" s="321" t="inlineStr">
        <is>
          <t>Owner (Ответственный)</t>
        </is>
      </c>
      <c r="K7" s="321" t="inlineStr">
        <is>
          <t>Residual (Остаток)</t>
        </is>
      </c>
    </row>
    <row r="8" ht="38" customHeight="1">
      <c r="B8" s="322" t="inlineStr">
        <is>
          <t>R01</t>
        </is>
      </c>
      <c r="C8" s="323" t="inlineStr">
        <is>
          <t>Market (Рынок)</t>
        </is>
      </c>
      <c r="D8" s="323" t="inlineStr">
        <is>
          <t>Падение кассовых сборов рынка РФ на 20%+ (геоэкономика, конкуренция стриминга)</t>
        </is>
      </c>
      <c r="E8" s="322" t="n">
        <v>5</v>
      </c>
      <c r="F8" s="322" t="n">
        <v>3</v>
      </c>
      <c r="G8" s="324" t="n">
        <v>15</v>
      </c>
      <c r="H8" s="325" t="inlineStr">
        <is>
          <t>High (Высокий)</t>
        </is>
      </c>
      <c r="I8" s="323" t="inlineStr">
        <is>
          <t>Диверсификация по 7 проектам (5 фильмов + 2 сериала), 6 жанрам, window strategy; гибкий P&amp;A; dual-year EV диапазон 3 922–6 806 млн ₽</t>
        </is>
      </c>
      <c r="J8" s="323" t="inlineStr">
        <is>
          <t>CEO / CCO</t>
        </is>
      </c>
      <c r="K8" s="322" t="n">
        <v>12</v>
      </c>
    </row>
    <row r="9" ht="38" customHeight="1">
      <c r="B9" s="322" t="inlineStr">
        <is>
          <t>R02</t>
        </is>
      </c>
      <c r="C9" s="323" t="inlineStr">
        <is>
          <t>Market (Рынок)</t>
        </is>
      </c>
      <c r="D9" s="323" t="inlineStr">
        <is>
          <t>Провал блокбастера (П04 «Время героев», бюджет 250 млн)</t>
        </is>
      </c>
      <c r="E9" s="322" t="n">
        <v>4</v>
      </c>
      <c r="F9" s="322" t="n">
        <v>3</v>
      </c>
      <c r="G9" s="326" t="n">
        <v>12</v>
      </c>
      <c r="H9" s="327" t="inlineStr">
        <is>
          <t>Elevated (Повышенный)</t>
        </is>
      </c>
      <c r="I9" s="323" t="inlineStr">
        <is>
          <t>Расширенный test-screening, MVP-трейлер, резерв re-edit 15 млн, страхование завершения</t>
        </is>
      </c>
      <c r="J9" s="323" t="inlineStr">
        <is>
          <t>Producer (Продюсер) П04</t>
        </is>
      </c>
      <c r="K9" s="322" t="n">
        <v>8</v>
      </c>
    </row>
    <row r="10" ht="38" customHeight="1">
      <c r="B10" s="322" t="inlineStr">
        <is>
          <t>R03</t>
        </is>
      </c>
      <c r="C10" s="323" t="inlineStr">
        <is>
          <t>Market (Рынок)</t>
        </is>
      </c>
      <c r="D10" s="323" t="inlineStr">
        <is>
          <t>Снижение среднего чека кинотеатра (inflation squeeze)</t>
        </is>
      </c>
      <c r="E10" s="322" t="n">
        <v>3</v>
      </c>
      <c r="F10" s="322" t="n">
        <v>4</v>
      </c>
      <c r="G10" s="326" t="n">
        <v>12</v>
      </c>
      <c r="H10" s="327" t="inlineStr">
        <is>
          <t>Elevated (Повышенный)</t>
        </is>
      </c>
      <c r="I10" s="323" t="inlineStr">
        <is>
          <t>Переговоры с сетями (Formula Kino, Каро, Синема Парк), premium (премия)-формат IMAX/Dolby</t>
        </is>
      </c>
      <c r="J10" s="323" t="inlineStr">
        <is>
          <t>CFO</t>
        </is>
      </c>
      <c r="K10" s="322" t="n">
        <v>6</v>
      </c>
    </row>
    <row r="11" ht="38" customHeight="1">
      <c r="B11" s="322" t="inlineStr">
        <is>
          <t>R04</t>
        </is>
      </c>
      <c r="C11" s="323" t="inlineStr">
        <is>
          <t>Market (Рынок)</t>
        </is>
      </c>
      <c r="D11" s="323" t="inlineStr">
        <is>
          <t>Конкуренция со стриминг-платформами (Kinopoisk, Okko, ivi)</t>
        </is>
      </c>
      <c r="E11" s="322" t="n">
        <v>3</v>
      </c>
      <c r="F11" s="322" t="n">
        <v>5</v>
      </c>
      <c r="G11" s="324" t="n">
        <v>15</v>
      </c>
      <c r="H11" s="325" t="inlineStr">
        <is>
          <t>High (Высокий)</t>
        </is>
      </c>
      <c r="I11" s="323" t="inlineStr">
        <is>
          <t>Window 45+ дней в кино до VOD; pre-sale рекламных мест для ОТТ</t>
        </is>
      </c>
      <c r="J11" s="323" t="inlineStr">
        <is>
          <t>CCO</t>
        </is>
      </c>
      <c r="K11" s="322" t="n">
        <v>9</v>
      </c>
    </row>
    <row r="12" ht="38" customHeight="1">
      <c r="B12" s="322" t="inlineStr">
        <is>
          <t>R05</t>
        </is>
      </c>
      <c r="C12" s="323" t="inlineStr">
        <is>
          <t>Market (Рынок)</t>
        </is>
      </c>
      <c r="D12" s="323" t="inlineStr">
        <is>
          <t>Сокращение госзакупок контента Минкультуры / ФКП</t>
        </is>
      </c>
      <c r="E12" s="322" t="n">
        <v>4</v>
      </c>
      <c r="F12" s="322" t="n">
        <v>2</v>
      </c>
      <c r="G12" s="328" t="n">
        <v>8</v>
      </c>
      <c r="H12" s="329" t="inlineStr">
        <is>
          <t>Moderate (Умеренный)</t>
        </is>
      </c>
      <c r="I12" s="323" t="inlineStr">
        <is>
          <t>Диверсификация по источникам господдержки (ИРИ, Минкультуры, ФКП, региональные фонды)</t>
        </is>
      </c>
      <c r="J12" s="323" t="inlineStr">
        <is>
          <t>CEO</t>
        </is>
      </c>
      <c r="K12" s="322" t="n">
        <v>4</v>
      </c>
    </row>
    <row r="13" ht="38" customHeight="1">
      <c r="B13" s="322" t="inlineStr">
        <is>
          <t>R06</t>
        </is>
      </c>
      <c r="C13" s="323" t="inlineStr">
        <is>
          <t>Market (Рынок)</t>
        </is>
      </c>
      <c r="D13" s="323" t="inlineStr">
        <is>
          <t>Отсутствие международного релиза (санкционные ограничения)</t>
        </is>
      </c>
      <c r="E13" s="322" t="n">
        <v>3</v>
      </c>
      <c r="F13" s="322" t="n">
        <v>4</v>
      </c>
      <c r="G13" s="326" t="n">
        <v>12</v>
      </c>
      <c r="H13" s="327" t="inlineStr">
        <is>
          <t>Elevated (Повышенный)</t>
        </is>
      </c>
      <c r="I13" s="323" t="inlineStr">
        <is>
          <t>Фокус на СНГ/БРИКС, копродукция с Индией/Китаем/ОАЭ</t>
        </is>
      </c>
      <c r="J13" s="323" t="inlineStr">
        <is>
          <t>International Dept (Международный отдел)</t>
        </is>
      </c>
      <c r="K13" s="322" t="n">
        <v>6</v>
      </c>
    </row>
    <row r="14" ht="38" customHeight="1">
      <c r="B14" s="322" t="inlineStr">
        <is>
          <t>R07</t>
        </is>
      </c>
      <c r="C14" s="323" t="inlineStr">
        <is>
          <t>Operational (Операционный)</t>
        </is>
      </c>
      <c r="D14" s="323" t="inlineStr">
        <is>
          <t>Срыв графика производства (погодные условия, болезнь актёров)</t>
        </is>
      </c>
      <c r="E14" s="322" t="n">
        <v>4</v>
      </c>
      <c r="F14" s="322" t="n">
        <v>4</v>
      </c>
      <c r="G14" s="324" t="n">
        <v>16</v>
      </c>
      <c r="H14" s="325" t="inlineStr">
        <is>
          <t>High (Высокий)</t>
        </is>
      </c>
      <c r="I14" s="323" t="inlineStr">
        <is>
          <t>Contingency 10% в каждом бюджете, страховка completion bond, плотный post-production</t>
        </is>
      </c>
      <c r="J14" s="323" t="inlineStr">
        <is>
          <t>Head of Production (Руководитель производства)</t>
        </is>
      </c>
      <c r="K14" s="322" t="n">
        <v>8</v>
      </c>
    </row>
    <row r="15" ht="38" customHeight="1">
      <c r="B15" s="322" t="inlineStr">
        <is>
          <t>R08</t>
        </is>
      </c>
      <c r="C15" s="323" t="inlineStr">
        <is>
          <t>Operational (Операционный)</t>
        </is>
      </c>
      <c r="D15" s="323" t="inlineStr">
        <is>
          <t>Перерасход production-бюджета &gt;15% (industry average 8%)</t>
        </is>
      </c>
      <c r="E15" s="322" t="n">
        <v>4</v>
      </c>
      <c r="F15" s="322" t="n">
        <v>3</v>
      </c>
      <c r="G15" s="326" t="n">
        <v>12</v>
      </c>
      <c r="H15" s="327" t="inlineStr">
        <is>
          <t>Elevated (Повышенный)</t>
        </is>
      </c>
      <c r="I15" s="323" t="inlineStr">
        <is>
          <t>Жёсткий бюджетный контроль, weekly burn-rate reviews, CFO approval &gt;5% вариация</t>
        </is>
      </c>
      <c r="J15" s="323" t="inlineStr">
        <is>
          <t>CFO + Line Producer (Продюсер)</t>
        </is>
      </c>
      <c r="K15" s="322" t="n">
        <v>6</v>
      </c>
    </row>
    <row r="16" ht="38" customHeight="1">
      <c r="B16" s="322" t="inlineStr">
        <is>
          <t>R09</t>
        </is>
      </c>
      <c r="C16" s="323" t="inlineStr">
        <is>
          <t>Operational (Операционный)</t>
        </is>
      </c>
      <c r="D16" s="323" t="inlineStr">
        <is>
          <t>Отток ключевых creative-талантов (режиссёры, сценаристы)</t>
        </is>
      </c>
      <c r="E16" s="322" t="n">
        <v>4</v>
      </c>
      <c r="F16" s="322" t="n">
        <v>2</v>
      </c>
      <c r="G16" s="328" t="n">
        <v>8</v>
      </c>
      <c r="H16" s="329" t="inlineStr">
        <is>
          <t>Moderate (Умеренный)</t>
        </is>
      </c>
      <c r="I16" s="323" t="inlineStr">
        <is>
          <t>Мульти-проектные контракты (2-3 фильма), бонусы от box-office (кассовые сборы), Partner-track</t>
        </is>
      </c>
      <c r="J16" s="323" t="inlineStr">
        <is>
          <t>HR / Creative Dir (Креативный директор)</t>
        </is>
      </c>
      <c r="K16" s="322" t="n">
        <v>4</v>
      </c>
    </row>
    <row r="17" ht="38" customHeight="1">
      <c r="B17" s="322" t="inlineStr">
        <is>
          <t>R10</t>
        </is>
      </c>
      <c r="C17" s="323" t="inlineStr">
        <is>
          <t>Operational (Операционный)</t>
        </is>
      </c>
      <c r="D17" s="323" t="inlineStr">
        <is>
          <t>Срыв post-production / VFX (визуальные эффекты) (П07С «Горизонт событий»)</t>
        </is>
      </c>
      <c r="E17" s="322" t="n">
        <v>4</v>
      </c>
      <c r="F17" s="322" t="n">
        <v>3</v>
      </c>
      <c r="G17" s="326" t="n">
        <v>12</v>
      </c>
      <c r="H17" s="327" t="inlineStr">
        <is>
          <t>Elevated (Повышенный)</t>
        </is>
      </c>
      <c r="I17" s="323" t="inlineStr">
        <is>
          <t>Два параллельных VFX (визуальные эффекты)-подрядчика, early prevv, резерв 20 млн на П07С</t>
        </is>
      </c>
      <c r="J17" s="323" t="inlineStr">
        <is>
          <t>VFX Supervisor (Супервайзер VFX)</t>
        </is>
      </c>
      <c r="K17" s="322" t="n">
        <v>6</v>
      </c>
    </row>
    <row r="18" ht="38" customHeight="1">
      <c r="B18" s="322" t="inlineStr">
        <is>
          <t>R11</t>
        </is>
      </c>
      <c r="C18" s="323" t="inlineStr">
        <is>
          <t>Operational (Операционный)</t>
        </is>
      </c>
      <c r="D18" s="323" t="inlineStr">
        <is>
          <t>Отказ digital distribution (распределение) партнёра (техсбой KDM)</t>
        </is>
      </c>
      <c r="E18" s="322" t="n">
        <v>2</v>
      </c>
      <c r="F18" s="322" t="n">
        <v>3</v>
      </c>
      <c r="G18" s="328" t="n">
        <v>6</v>
      </c>
      <c r="H18" s="329" t="inlineStr">
        <is>
          <t>Moderate (Умеренный)</t>
        </is>
      </c>
      <c r="I18" s="323" t="inlineStr">
        <is>
          <t>Резервный digital partner, DCI-compliant backup</t>
        </is>
      </c>
      <c r="J18" s="323" t="inlineStr">
        <is>
          <t>Distribution (Распределение)</t>
        </is>
      </c>
      <c r="K18" s="322" t="n">
        <v>4</v>
      </c>
    </row>
    <row r="19" ht="38" customHeight="1">
      <c r="B19" s="322" t="inlineStr">
        <is>
          <t>R12</t>
        </is>
      </c>
      <c r="C19" s="323" t="inlineStr">
        <is>
          <t>Operational (Операционный)</t>
        </is>
      </c>
      <c r="D19" s="323" t="inlineStr">
        <is>
          <t>Недостаток квалифицированных кадров (пост-санкционная утечка)</t>
        </is>
      </c>
      <c r="E19" s="322" t="n">
        <v>3</v>
      </c>
      <c r="F19" s="322" t="n">
        <v>4</v>
      </c>
      <c r="G19" s="326" t="n">
        <v>12</v>
      </c>
      <c r="H19" s="327" t="inlineStr">
        <is>
          <t>Elevated (Повышенный)</t>
        </is>
      </c>
      <c r="I19" s="323" t="inlineStr">
        <is>
          <t>Партнёрство с ВГИКом, МШНК, собственная школа VFX (визуальные эффекты); релокация из СНГ</t>
        </is>
      </c>
      <c r="J19" s="323" t="inlineStr">
        <is>
          <t>HR</t>
        </is>
      </c>
      <c r="K19" s="322" t="n">
        <v>6</v>
      </c>
    </row>
    <row r="20" ht="38" customHeight="1">
      <c r="B20" s="322" t="inlineStr">
        <is>
          <t>R13</t>
        </is>
      </c>
      <c r="C20" s="323" t="inlineStr">
        <is>
          <t>Financial (Финансовый)</t>
        </is>
      </c>
      <c r="D20" s="323" t="inlineStr">
        <is>
          <t>Рост ставки ОФЗ выше 18% (удорожание капитала)</t>
        </is>
      </c>
      <c r="E20" s="322" t="n">
        <v>5</v>
      </c>
      <c r="F20" s="322" t="n">
        <v>3</v>
      </c>
      <c r="G20" s="324" t="n">
        <v>15</v>
      </c>
      <c r="H20" s="325" t="inlineStr">
        <is>
          <t>High (Высокий)</t>
        </is>
      </c>
      <c r="I20" s="323" t="inlineStr">
        <is>
          <t>Fixed (Фиксированный) rate по T₁ траншам, натуральный хедж через экспорт</t>
        </is>
      </c>
      <c r="J20" s="323" t="inlineStr">
        <is>
          <t>CFO / Treasurer (Казначей)</t>
        </is>
      </c>
      <c r="K20" s="322" t="n">
        <v>10</v>
      </c>
    </row>
    <row r="21" ht="38" customHeight="1">
      <c r="B21" s="322" t="inlineStr">
        <is>
          <t>R14</t>
        </is>
      </c>
      <c r="C21" s="323" t="inlineStr">
        <is>
          <t>Financial (Финансовый)</t>
        </is>
      </c>
      <c r="D21" s="323" t="inlineStr">
        <is>
          <t>Кассовый разрыв между P&amp;A (тиражирование и реклама) расходами и box-office (кассовые сборы) receipts</t>
        </is>
      </c>
      <c r="E21" s="322" t="n">
        <v>3</v>
      </c>
      <c r="F21" s="322" t="n">
        <v>4</v>
      </c>
      <c r="G21" s="326" t="n">
        <v>12</v>
      </c>
      <c r="H21" s="327" t="inlineStr">
        <is>
          <t>Elevated (Повышенный)</t>
        </is>
      </c>
      <c r="I21" s="323" t="inlineStr">
        <is>
          <t>Возобновляемая кредитная линия (Возобновляемая кредитная линия) 200 млн ₽ под дебиторку кинотеатров</t>
        </is>
      </c>
      <c r="J21" s="323" t="inlineStr">
        <is>
          <t>Treasurer (Казначей)</t>
        </is>
      </c>
      <c r="K21" s="322" t="n">
        <v>6</v>
      </c>
    </row>
    <row r="22" ht="38" customHeight="1">
      <c r="B22" s="322" t="inlineStr">
        <is>
          <t>R15</t>
        </is>
      </c>
      <c r="C22" s="323" t="inlineStr">
        <is>
          <t>Financial (Финансовый)</t>
        </is>
      </c>
      <c r="D22" s="323" t="inlineStr">
        <is>
          <t>Неплатежи от дистрибьюторов (&gt;60 дней просрочка)</t>
        </is>
      </c>
      <c r="E22" s="322" t="n">
        <v>3</v>
      </c>
      <c r="F22" s="322" t="n">
        <v>3</v>
      </c>
      <c r="G22" s="328" t="n">
        <v>9</v>
      </c>
      <c r="H22" s="329" t="inlineStr">
        <is>
          <t>Moderate (Умеренный)</t>
        </is>
      </c>
      <c r="I22" s="323" t="inlineStr">
        <is>
          <t>Факторинг, страхование дебиторки, аккредитивы для новых партнёров</t>
        </is>
      </c>
      <c r="J22" s="323" t="inlineStr">
        <is>
          <t>AR Manager (Менеджер дебиторки)</t>
        </is>
      </c>
      <c r="K22" s="322" t="n">
        <v>6</v>
      </c>
    </row>
    <row r="23" ht="38" customHeight="1">
      <c r="B23" s="322" t="inlineStr">
        <is>
          <t>R16</t>
        </is>
      </c>
      <c r="C23" s="323" t="inlineStr">
        <is>
          <t>Financial (Финансовый)</t>
        </is>
      </c>
      <c r="D23" s="323" t="inlineStr">
        <is>
          <t>Валютный риск (оборудование, софт, VFX (визуальные эффекты) в $/€)</t>
        </is>
      </c>
      <c r="E23" s="322" t="n">
        <v>3</v>
      </c>
      <c r="F23" s="322" t="n">
        <v>3</v>
      </c>
      <c r="G23" s="328" t="n">
        <v>9</v>
      </c>
      <c r="H23" s="329" t="inlineStr">
        <is>
          <t>Moderate (Умеренный)</t>
        </is>
      </c>
      <c r="I23" s="323" t="inlineStr">
        <is>
          <t>Форвардные контракты на 60% FX-расходов, локализация поставщиков</t>
        </is>
      </c>
      <c r="J23" s="323" t="inlineStr">
        <is>
          <t>Treasurer (Казначей)</t>
        </is>
      </c>
      <c r="K23" s="322" t="n">
        <v>6</v>
      </c>
    </row>
    <row r="24" ht="38" customHeight="1">
      <c r="B24" s="322" t="inlineStr">
        <is>
          <t>R17</t>
        </is>
      </c>
      <c r="C24" s="323" t="inlineStr">
        <is>
          <t>Financial (Финансовый)</t>
        </is>
      </c>
      <c r="D24" s="323" t="inlineStr">
        <is>
          <t>Downside (Нижний сценарий) risk NDP (чистые распределяемые поступления) shortfall — W₅ V-D Base (Базовый) IRR (внутренняя норма доходности) = 24.75% (margin (маржа) к hurdle (порог)), но Bear (Пессимистичный)=10.70% &lt;&lt; 18%</t>
        </is>
      </c>
      <c r="E24" s="322" t="n">
        <v>3</v>
      </c>
      <c r="F24" s="322" t="n">
        <v>4</v>
      </c>
      <c r="G24" s="330" t="n">
        <v>12</v>
      </c>
      <c r="H24" s="331" t="inlineStr">
        <is>
          <t>High (Высокий)</t>
        </is>
      </c>
      <c r="I24" s="323" t="inlineStr">
        <is>
          <t>W₅ V-D 1× Liq Pref floor (1250) + 12% pref × 5y + carry; Implied EV диапазон 3 922–6 806 (S32 dual-year); IRR 24.75% сохранён</t>
        </is>
      </c>
      <c r="J24" s="323" t="inlineStr">
        <is>
          <t>CFO / IR</t>
        </is>
      </c>
      <c r="K24" s="322" t="n">
        <v>8</v>
      </c>
    </row>
    <row r="25" ht="38" customHeight="1">
      <c r="B25" s="322" t="inlineStr">
        <is>
          <t>R18</t>
        </is>
      </c>
      <c r="C25" s="323" t="inlineStr">
        <is>
          <t>Financial (Финансовый)</t>
        </is>
      </c>
      <c r="D25" s="323" t="inlineStr">
        <is>
          <t>Налоговые претензии по НДС 0% (льгота кинопроизводство)</t>
        </is>
      </c>
      <c r="E25" s="322" t="n">
        <v>4</v>
      </c>
      <c r="F25" s="322" t="n">
        <v>2</v>
      </c>
      <c r="G25" s="328" t="n">
        <v>8</v>
      </c>
      <c r="H25" s="329" t="inlineStr">
        <is>
          <t>Moderate (Умеренный)</t>
        </is>
      </c>
      <c r="I25" s="323" t="inlineStr">
        <is>
          <t>Предварительное согласование схемы с ФНС, правовой аудит PwC/KPMG</t>
        </is>
      </c>
      <c r="J25" s="323" t="inlineStr">
        <is>
          <t>Tax Counsel (Налоговый консультант)</t>
        </is>
      </c>
      <c r="K25" s="322" t="n">
        <v>4</v>
      </c>
    </row>
    <row r="26" ht="38" customHeight="1">
      <c r="B26" s="322" t="inlineStr">
        <is>
          <t>R19</t>
        </is>
      </c>
      <c r="C26" s="323" t="inlineStr">
        <is>
          <t>Regulatory (Регуляторный)</t>
        </is>
      </c>
      <c r="D26" s="323" t="inlineStr">
        <is>
          <t>Изменение ПУ РФ о кинофикации (сужение льгот)</t>
        </is>
      </c>
      <c r="E26" s="322" t="n">
        <v>4</v>
      </c>
      <c r="F26" s="322" t="n">
        <v>2</v>
      </c>
      <c r="G26" s="328" t="n">
        <v>8</v>
      </c>
      <c r="H26" s="329" t="inlineStr">
        <is>
          <t>Moderate (Умеренный)</t>
        </is>
      </c>
      <c r="I26" s="323" t="inlineStr">
        <is>
          <t>Мониторинг ГД РФ, лоббирование через АПКиТ, юридический due diligence</t>
        </is>
      </c>
      <c r="J26" s="323" t="inlineStr">
        <is>
          <t>GR</t>
        </is>
      </c>
      <c r="K26" s="322" t="n">
        <v>4</v>
      </c>
    </row>
    <row r="27" ht="38" customHeight="1">
      <c r="B27" s="322" t="inlineStr">
        <is>
          <t>R20</t>
        </is>
      </c>
      <c r="C27" s="323" t="inlineStr">
        <is>
          <t>Regulatory (Регуляторный)</t>
        </is>
      </c>
      <c r="D27" s="323" t="inlineStr">
        <is>
          <t>Отказ Минкультуры в ПУ на прокат (цензурные требования)</t>
        </is>
      </c>
      <c r="E27" s="322" t="n">
        <v>5</v>
      </c>
      <c r="F27" s="322" t="n">
        <v>2</v>
      </c>
      <c r="G27" s="326" t="n">
        <v>10</v>
      </c>
      <c r="H27" s="327" t="inlineStr">
        <is>
          <t>Elevated (Повышенный)</t>
        </is>
      </c>
      <c r="I27" s="323" t="inlineStr">
        <is>
          <t>Script lock с юротделом Минкульта до съёмок, консультации на этапе сценария</t>
        </is>
      </c>
      <c r="J27" s="323" t="inlineStr">
        <is>
          <t>Legal (Юрид.)</t>
        </is>
      </c>
      <c r="K27" s="322" t="n">
        <v>6</v>
      </c>
    </row>
    <row r="28" ht="38" customHeight="1">
      <c r="B28" s="322" t="inlineStr">
        <is>
          <t>R21</t>
        </is>
      </c>
      <c r="C28" s="323" t="inlineStr">
        <is>
          <t>Regulatory (Регуляторный)</t>
        </is>
      </c>
      <c r="D28" s="323" t="inlineStr">
        <is>
          <t>Изменения в законе «О рекламе» (ограничения product placement)</t>
        </is>
      </c>
      <c r="E28" s="322" t="n">
        <v>2</v>
      </c>
      <c r="F28" s="322" t="n">
        <v>3</v>
      </c>
      <c r="G28" s="328" t="n">
        <v>6</v>
      </c>
      <c r="H28" s="329" t="inlineStr">
        <is>
          <t>Moderate (Умеренный)</t>
        </is>
      </c>
      <c r="I28" s="323" t="inlineStr">
        <is>
          <t>Диверсификация источников дохода (PP &lt;10% от Revenue (Выручка))</t>
        </is>
      </c>
      <c r="J28" s="323" t="inlineStr">
        <is>
          <t>Legal (Юрид.) / Sales (Продажи)</t>
        </is>
      </c>
      <c r="K28" s="322" t="n">
        <v>4</v>
      </c>
    </row>
    <row r="29" ht="38" customHeight="1">
      <c r="B29" s="322" t="inlineStr">
        <is>
          <t>R22</t>
        </is>
      </c>
      <c r="C29" s="323" t="inlineStr">
        <is>
          <t>Regulatory (Регуляторный)</t>
        </is>
      </c>
      <c r="D29" s="323" t="inlineStr">
        <is>
          <t>Трудовое законодательство (новые требования к ФОТ)</t>
        </is>
      </c>
      <c r="E29" s="322" t="n">
        <v>3</v>
      </c>
      <c r="F29" s="322" t="n">
        <v>3</v>
      </c>
      <c r="G29" s="328" t="n">
        <v>9</v>
      </c>
      <c r="H29" s="329" t="inlineStr">
        <is>
          <t>Moderate (Умеренный)</t>
        </is>
      </c>
      <c r="I29" s="323" t="inlineStr">
        <is>
          <t>Резерв 5% в ФОТ на регуляторные корректировки</t>
        </is>
      </c>
      <c r="J29" s="323" t="inlineStr">
        <is>
          <t>HR / Legal (Юрид.)</t>
        </is>
      </c>
      <c r="K29" s="322" t="n">
        <v>6</v>
      </c>
    </row>
    <row r="30" ht="38" customHeight="1">
      <c r="B30" s="322" t="inlineStr">
        <is>
          <t>R23</t>
        </is>
      </c>
      <c r="C30" s="323" t="inlineStr">
        <is>
          <t>Regulatory (Регуляторный)</t>
        </is>
      </c>
      <c r="D30" s="323" t="inlineStr">
        <is>
          <t>Ужесточение требований к госсубсидиям (возвратность ФКП)</t>
        </is>
      </c>
      <c r="E30" s="322" t="n">
        <v>4</v>
      </c>
      <c r="F30" s="322" t="n">
        <v>3</v>
      </c>
      <c r="G30" s="326" t="n">
        <v>12</v>
      </c>
      <c r="H30" s="327" t="inlineStr">
        <is>
          <t>Elevated (Повышенный)</t>
        </is>
      </c>
      <c r="I30" s="323" t="inlineStr">
        <is>
          <t>Структурирование сделок под грант-условия ФКП, legal review до подписи</t>
        </is>
      </c>
      <c r="J30" s="323" t="inlineStr">
        <is>
          <t>GR / Legal (Юрид.)</t>
        </is>
      </c>
      <c r="K30" s="322" t="n">
        <v>8</v>
      </c>
    </row>
    <row r="31" ht="38" customHeight="1">
      <c r="B31" s="322" t="inlineStr">
        <is>
          <t>R24</t>
        </is>
      </c>
      <c r="C31" s="323" t="inlineStr">
        <is>
          <t>Regulatory (Регуляторный)</t>
        </is>
      </c>
      <c r="D31" s="323" t="inlineStr">
        <is>
          <t>Санкции / торговые ограничения на импорт оборудования</t>
        </is>
      </c>
      <c r="E31" s="322" t="n">
        <v>3</v>
      </c>
      <c r="F31" s="322" t="n">
        <v>4</v>
      </c>
      <c r="G31" s="326" t="n">
        <v>12</v>
      </c>
      <c r="H31" s="327" t="inlineStr">
        <is>
          <t>Elevated (Повышенный)</t>
        </is>
      </c>
      <c r="I31" s="323" t="inlineStr">
        <is>
          <t>Параллельный импорт, локальные аналоги, долгосрочные контракты</t>
        </is>
      </c>
      <c r="J31" s="323" t="inlineStr">
        <is>
          <t>Закупки (Закупки)</t>
        </is>
      </c>
      <c r="K31" s="322" t="n">
        <v>6</v>
      </c>
    </row>
    <row r="32" ht="38" customHeight="1">
      <c r="B32" s="322" t="inlineStr">
        <is>
          <t>R25</t>
        </is>
      </c>
      <c r="C32" s="323" t="inlineStr">
        <is>
          <t>Execution (Исполнение)</t>
        </is>
      </c>
      <c r="D32" s="323" t="inlineStr">
        <is>
          <t>Неудачное построение slate</t>
        </is>
      </c>
      <c r="E32" s="322" t="n">
        <v>5</v>
      </c>
      <c r="F32" s="322" t="n">
        <v>2</v>
      </c>
      <c r="G32" s="326" t="n">
        <v>10</v>
      </c>
      <c r="H32" s="327" t="inlineStr">
        <is>
          <t>Elevated (Повышенный)</t>
        </is>
      </c>
      <c r="I32" s="323" t="inlineStr">
        <is>
          <t>Портфельный подход: жанровое разнообразие, разнос релизов по кварталам</t>
        </is>
      </c>
      <c r="J32" s="323" t="inlineStr">
        <is>
          <t>CCO / CEO</t>
        </is>
      </c>
      <c r="K32" s="322" t="n">
        <v>6</v>
      </c>
    </row>
    <row r="33" ht="38" customHeight="1">
      <c r="B33" s="322" t="inlineStr">
        <is>
          <t>R26</t>
        </is>
      </c>
      <c r="C33" s="323" t="inlineStr">
        <is>
          <t>Execution (Исполнение)</t>
        </is>
      </c>
      <c r="D33" s="323" t="inlineStr">
        <is>
          <t>Задержка релиза фильма на &gt;6 месяцев</t>
        </is>
      </c>
      <c r="E33" s="322" t="n">
        <v>3</v>
      </c>
      <c r="F33" s="322" t="n">
        <v>4</v>
      </c>
      <c r="G33" s="326" t="n">
        <v>12</v>
      </c>
      <c r="H33" s="327" t="inlineStr">
        <is>
          <t>Elevated (Повышенный)</t>
        </is>
      </c>
      <c r="I33" s="323" t="inlineStr">
        <is>
          <t>Резервные релизные окна Q+1, гибкий маркетинг-календарь</t>
        </is>
      </c>
      <c r="J33" s="323" t="inlineStr">
        <is>
          <t>Distribution (Распределение)</t>
        </is>
      </c>
      <c r="K33" s="322" t="n">
        <v>6</v>
      </c>
    </row>
    <row r="34" ht="38" customHeight="1">
      <c r="B34" s="322" t="inlineStr">
        <is>
          <t>R27</t>
        </is>
      </c>
      <c r="C34" s="323" t="inlineStr">
        <is>
          <t>Execution (Исполнение)</t>
        </is>
      </c>
      <c r="D34" s="323" t="inlineStr">
        <is>
          <t>Конфликты с копродюсерами (JV (совместное предприятие) structure producers equity (доля в капитале) 600)</t>
        </is>
      </c>
      <c r="E34" s="322" t="n">
        <v>4</v>
      </c>
      <c r="F34" s="322" t="n">
        <v>2</v>
      </c>
      <c r="G34" s="328" t="n">
        <v>8</v>
      </c>
      <c r="H34" s="329" t="inlineStr">
        <is>
          <t>Moderate (Умеренный)</t>
        </is>
      </c>
      <c r="I34" s="323" t="inlineStr">
        <is>
          <t>Детальный shareholders agreement, деадлок-механизмы, медиация</t>
        </is>
      </c>
      <c r="J34" s="323" t="inlineStr">
        <is>
          <t>CEO / Legal (Юрид.)</t>
        </is>
      </c>
      <c r="K34" s="322" t="n">
        <v>4</v>
      </c>
    </row>
    <row r="35" ht="38" customHeight="1">
      <c r="B35" s="322" t="inlineStr">
        <is>
          <t>R28</t>
        </is>
      </c>
      <c r="C35" s="323" t="inlineStr">
        <is>
          <t>Execution (Исполнение)</t>
        </is>
      </c>
      <c r="D35" s="323" t="inlineStr">
        <is>
          <t>Недостаточный маркетинг / низкая осведомлённость аудитории</t>
        </is>
      </c>
      <c r="E35" s="322" t="n">
        <v>4</v>
      </c>
      <c r="F35" s="322" t="n">
        <v>3</v>
      </c>
      <c r="G35" s="326" t="n">
        <v>12</v>
      </c>
      <c r="H35" s="327" t="inlineStr">
        <is>
          <t>Elevated (Повышенный)</t>
        </is>
      </c>
      <c r="I35" s="323" t="inlineStr">
        <is>
          <t>P&amp;A ratio (Коэффициент P&amp;A) 15% минимум, партнёрство с соцсетями (VK, TG, Rutube)</t>
        </is>
      </c>
      <c r="J35" s="323" t="inlineStr">
        <is>
          <t>CMO</t>
        </is>
      </c>
      <c r="K35" s="322" t="n">
        <v>6</v>
      </c>
    </row>
    <row r="36" ht="38" customHeight="1">
      <c r="B36" s="322" t="inlineStr">
        <is>
          <t>R29</t>
        </is>
      </c>
      <c r="C36" s="323" t="inlineStr">
        <is>
          <t>Execution (Исполнение)</t>
        </is>
      </c>
      <c r="D36" s="323" t="inlineStr">
        <is>
          <t>Утечка контента до релиза (пиратство, leaks)</t>
        </is>
      </c>
      <c r="E36" s="322" t="n">
        <v>3</v>
      </c>
      <c r="F36" s="322" t="n">
        <v>3</v>
      </c>
      <c r="G36" s="328" t="n">
        <v>9</v>
      </c>
      <c r="H36" s="329" t="inlineStr">
        <is>
          <t>Moderate (Умеренный)</t>
        </is>
      </c>
      <c r="I36" s="323" t="inlineStr">
        <is>
          <t>Watermarking, контроль post-production, NDA для всех подрядчиков</t>
        </is>
      </c>
      <c r="J36" s="323" t="inlineStr">
        <is>
          <t>Security / IT (Безопасность / ИТ)</t>
        </is>
      </c>
      <c r="K36" s="322" t="n">
        <v>6</v>
      </c>
    </row>
    <row r="37" ht="38" customHeight="1">
      <c r="B37" s="322" t="inlineStr">
        <is>
          <t>R30</t>
        </is>
      </c>
      <c r="C37" s="323" t="inlineStr">
        <is>
          <t>Execution (Исполнение)</t>
        </is>
      </c>
      <c r="D37" s="323" t="inlineStr">
        <is>
          <t>Невыполнение обязательств по KPI (ключевые показатели) перед инвестором T₁</t>
        </is>
      </c>
      <c r="E37" s="322" t="n">
        <v>5</v>
      </c>
      <c r="F37" s="322" t="n">
        <v>3</v>
      </c>
      <c r="G37" s="324" t="n">
        <v>15</v>
      </c>
      <c r="H37" s="325" t="inlineStr">
        <is>
          <t>High (Высокий)</t>
        </is>
      </c>
      <c r="I37" s="323" t="inlineStr">
        <is>
          <t>Quarterly reporting, covenant monitoring, IRR tracking W₅ V-D; Implied EV dual-year 5 364 млн ₽ (midpoint); prob-weighted EV 3 650 (S25)</t>
        </is>
      </c>
      <c r="J37" s="323" t="inlineStr">
        <is>
          <t>CFO / Совет директоров</t>
        </is>
      </c>
      <c r="K37" s="322" t="n">
        <v>12</v>
      </c>
    </row>
    <row r="40">
      <c r="B40" s="320" t="inlineStr">
        <is>
          <t>II.  ТЕПЛОВАЯ КАРТА 5×5 (Severity (Серьёзность) × Likelihood (Вероятность))</t>
        </is>
      </c>
    </row>
    <row r="42">
      <c r="B42" s="332" t="inlineStr">
        <is>
          <t>Severity (Серьёзность) ↓ / Likelihood (Вероятность) →</t>
        </is>
      </c>
      <c r="C42" s="333" t="inlineStr">
        <is>
          <t>L=1</t>
        </is>
      </c>
      <c r="D42" s="333" t="inlineStr">
        <is>
          <t>L=2</t>
        </is>
      </c>
      <c r="E42" s="333" t="inlineStr">
        <is>
          <t>L=3</t>
        </is>
      </c>
      <c r="F42" s="333" t="inlineStr">
        <is>
          <t>L=4</t>
        </is>
      </c>
      <c r="G42" s="333" t="inlineStr">
        <is>
          <t>L=5</t>
        </is>
      </c>
    </row>
    <row r="43" ht="42" customHeight="1">
      <c r="B43" s="333" t="inlineStr">
        <is>
          <t>S=5</t>
        </is>
      </c>
      <c r="C43" s="334" t="inlineStr">
        <is>
          <t>5</t>
        </is>
      </c>
      <c r="D43" s="335" t="inlineStr">
        <is>
          <t>10
R20, R25</t>
        </is>
      </c>
      <c r="E43" s="336" t="inlineStr">
        <is>
          <t>15
R01, R13, R30</t>
        </is>
      </c>
      <c r="F43" s="337" t="inlineStr">
        <is>
          <t>20</t>
        </is>
      </c>
      <c r="G43" s="337" t="inlineStr">
        <is>
          <t>25</t>
        </is>
      </c>
    </row>
    <row r="44" ht="42" customHeight="1">
      <c r="B44" s="333" t="inlineStr">
        <is>
          <t>S=4</t>
        </is>
      </c>
      <c r="C44" s="338" t="inlineStr">
        <is>
          <t>4</t>
        </is>
      </c>
      <c r="D44" s="339" t="inlineStr">
        <is>
          <t>8
R05, R09, R18, R19, R27</t>
        </is>
      </c>
      <c r="E44" s="335" t="inlineStr">
        <is>
          <t>12
R02, R08, R10, R23, R28</t>
        </is>
      </c>
      <c r="F44" s="336" t="inlineStr">
        <is>
          <t>16
R07</t>
        </is>
      </c>
      <c r="G44" s="340" t="inlineStr">
        <is>
          <t>20
R17</t>
        </is>
      </c>
    </row>
    <row r="45" ht="42" customHeight="1">
      <c r="B45" s="333" t="inlineStr">
        <is>
          <t>S=3</t>
        </is>
      </c>
      <c r="C45" s="338" t="inlineStr">
        <is>
          <t>3</t>
        </is>
      </c>
      <c r="D45" s="334" t="inlineStr">
        <is>
          <t>6</t>
        </is>
      </c>
      <c r="E45" s="339" t="inlineStr">
        <is>
          <t>9
R15, R16, R22, R29</t>
        </is>
      </c>
      <c r="F45" s="335" t="inlineStr">
        <is>
          <t>12
R03, R06, R12, R14, R24, R26</t>
        </is>
      </c>
      <c r="G45" s="336" t="inlineStr">
        <is>
          <t>15
R04</t>
        </is>
      </c>
    </row>
    <row r="46" ht="42" customHeight="1">
      <c r="B46" s="333" t="inlineStr">
        <is>
          <t>S=2</t>
        </is>
      </c>
      <c r="C46" s="338" t="inlineStr">
        <is>
          <t>2</t>
        </is>
      </c>
      <c r="D46" s="338" t="inlineStr">
        <is>
          <t>4</t>
        </is>
      </c>
      <c r="E46" s="339" t="inlineStr">
        <is>
          <t>6
R11, R21</t>
        </is>
      </c>
      <c r="F46" s="334" t="inlineStr">
        <is>
          <t>8</t>
        </is>
      </c>
      <c r="G46" s="341" t="inlineStr">
        <is>
          <t>10</t>
        </is>
      </c>
    </row>
    <row r="47" ht="42" customHeight="1">
      <c r="B47" s="333" t="inlineStr">
        <is>
          <t>S=1</t>
        </is>
      </c>
      <c r="C47" s="338" t="inlineStr">
        <is>
          <t>1</t>
        </is>
      </c>
      <c r="D47" s="338" t="inlineStr">
        <is>
          <t>2</t>
        </is>
      </c>
      <c r="E47" s="338" t="inlineStr">
        <is>
          <t>3</t>
        </is>
      </c>
      <c r="F47" s="338" t="inlineStr">
        <is>
          <t>4</t>
        </is>
      </c>
      <c r="G47" s="334" t="inlineStr">
        <is>
          <t>5</t>
        </is>
      </c>
    </row>
    <row r="49">
      <c r="B49" s="342" t="inlineStr">
        <is>
          <t>Легенда:</t>
        </is>
      </c>
      <c r="C49" s="343" t="inlineStr">
        <is>
          <t>Низкий (1-4)</t>
        </is>
      </c>
      <c r="D49" s="344" t="inlineStr">
        <is>
          <t>Moderate (Умеренный) (5-9)</t>
        </is>
      </c>
      <c r="E49" s="345" t="inlineStr">
        <is>
          <t>Elevated (Повышенный) (10-14)</t>
        </is>
      </c>
      <c r="F49" s="346" t="inlineStr">
        <is>
          <t>Высокий (15-19)</t>
        </is>
      </c>
      <c r="G49" s="347" t="inlineStr">
        <is>
          <t>Critical (Критический) (20-25)</t>
        </is>
      </c>
    </row>
    <row r="51">
      <c r="B51" s="320" t="inlineStr">
        <is>
          <t>III. TOP-10 КРИТИЧЕСКИХ РИСКОВ — ДЕТАЛЬНОЕ ОПИСАНИЕ</t>
        </is>
      </c>
    </row>
    <row r="53">
      <c r="B53" s="321" t="inlineStr">
        <is>
          <t>#</t>
        </is>
      </c>
      <c r="C53" s="321" t="inlineStr">
        <is>
          <t>ID</t>
        </is>
      </c>
      <c r="D53" s="321" t="inlineStr">
        <is>
          <t>Title (Название)</t>
        </is>
      </c>
      <c r="E53" s="321" t="inlineStr">
        <is>
          <t>Score (Балл)</t>
        </is>
      </c>
      <c r="F53" s="321" t="inlineStr">
        <is>
          <t>Description (Описание)</t>
        </is>
      </c>
      <c r="G53" s="321" t="inlineStr">
        <is>
          <t>Triggers (Триггеры)</t>
        </is>
      </c>
      <c r="H53" s="321" t="inlineStr">
        <is>
          <t>Mitigation (Меры снижения)</t>
        </is>
      </c>
      <c r="I53" s="321" t="inlineStr">
        <is>
          <t>Раннее предупреждение (Раннее предупреждение)</t>
        </is>
      </c>
      <c r="J53" s="321" t="inlineStr">
        <is>
          <t>Owner (Ответственный)</t>
        </is>
      </c>
      <c r="K53" s="321" t="inlineStr">
        <is>
          <t>Residual (Остаток)</t>
        </is>
      </c>
    </row>
    <row r="54" ht="90" customHeight="1">
      <c r="B54" s="348" t="n">
        <v>1</v>
      </c>
      <c r="C54" s="348" t="inlineStr">
        <is>
          <t>R17</t>
        </is>
      </c>
      <c r="D54" s="349" t="inlineStr">
        <is>
          <t>Downside (Нижний сценарий) risk NDP (чистые распределяемые поступления) shortfall — W₅ V-D Base (Базовый) IRR (внутренняя норма доходности) = 24.75%, Bear (Пессимистичный)=10.70% (NDP (чистые распределяемые поступления)=1800), Down=18.87% (NDP=2400)</t>
        </is>
      </c>
      <c r="E54" s="350" t="n">
        <v>12</v>
      </c>
      <c r="F54" s="349" t="inlineStr">
        <is>
          <t>Базовый IRR (внутренняя норма доходности) T₁ под Waterfall (Каскад) W₅ V-D ★ default (по умолчанию) v1.0.1 составляет 24.75% (vs hurdle (порог) 18%, margin (маржа) +6.75pp). Однако в downside-сценариях: Bear (Пессимистичный) (NDP (чистые распределяемые поступления)=1800) даёт IRR 10.70% (значительно ниже hurdle (порог)), Downside (Нижний сценарий) (NDP (чистые распределяемые поступления)=2400) — 18.87% (margin (маржа) к hurdle (порог)). Hurdle (Порог) break-even target NDP ≥ 2 402 млн ₽. Capital (Капитал) protection обеспечивается Liq Pref (Ликвидационная привилегия) 1× = 1250 (MoIC ≥ 1.44× даже в Bear (Пессимистичный)).</t>
        </is>
      </c>
      <c r="G54" s="349" t="inlineStr">
        <is>
          <t>Любой из: (a) revenue &lt;80% от плана, (b) CAPEX (Капзатраты) overrun &gt;15%, (c) задержка ≥2 релизов на 6+ мес.</t>
        </is>
      </c>
      <c r="H54" s="349" t="inlineStr">
        <is>
          <t>Структурная защита через waterfall W₅ V-D: (1) Liq Pref 1 250, (2) 12% pref, (3) carry; Implied EV dual-year 3 922–6 806 млн ₽; prob-weighted exit EV 3 650</t>
        </is>
      </c>
      <c r="I54" s="349" t="inlineStr">
        <is>
          <t>Burn rate &gt;baseline +10% два квартала подряд; box-office (кассовые сборы) первых 3 фильмов &lt;75% от прогноза.</t>
        </is>
      </c>
      <c r="J54" s="349" t="inlineStr">
        <is>
          <t>CFO / IR / Совет директоров</t>
        </is>
      </c>
      <c r="K54" s="348" t="n">
        <v>8</v>
      </c>
    </row>
    <row r="55" ht="90" customHeight="1">
      <c r="B55" s="348" t="n">
        <v>2</v>
      </c>
      <c r="C55" s="348" t="inlineStr">
        <is>
          <t>R07</t>
        </is>
      </c>
      <c r="D55" s="349" t="inlineStr">
        <is>
          <t>Срыв графика производства</t>
        </is>
      </c>
      <c r="E55" s="351" t="n">
        <v>16</v>
      </c>
      <c r="F55" s="349" t="inlineStr">
        <is>
          <t>7 проектов × сложный схэдулинг → риск каскадного срыва. Погода, актёры, локации, оборудование.</t>
        </is>
      </c>
      <c r="G55" s="349" t="inlineStr">
        <is>
          <t>Задержка &gt;2 недель на этапе подготовки или съёмок.</t>
        </is>
      </c>
      <c r="H55" s="349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349" t="inlineStr">
        <is>
          <t>Daily production reports, crew turnover &gt;15%, шот-плэн отставание &gt;5 дней.</t>
        </is>
      </c>
      <c r="J55" s="349" t="inlineStr">
        <is>
          <t>Head of Production (Руководитель производства)</t>
        </is>
      </c>
      <c r="K55" s="348" t="n">
        <v>8</v>
      </c>
    </row>
    <row r="56" ht="90" customHeight="1">
      <c r="B56" s="348" t="n">
        <v>3</v>
      </c>
      <c r="C56" s="348" t="inlineStr">
        <is>
          <t>R01</t>
        </is>
      </c>
      <c r="D56" s="349" t="inlineStr">
        <is>
          <t>Падение рынка РФ на 20%+</t>
        </is>
      </c>
      <c r="E56" s="351" t="n">
        <v>15</v>
      </c>
      <c r="F56" s="349" t="inlineStr">
        <is>
          <t>Системный риск: рецессия, ужесточение санкций, поведенческий сдвиг аудитории от кинотеатров к ОТТ.</t>
        </is>
      </c>
      <c r="G56" s="349" t="inlineStr">
        <is>
          <t>Снижение box-office (кассовые сборы) РФ &gt;15% YoY два квартала подряд.</t>
        </is>
      </c>
      <c r="H56" s="349" t="inlineStr">
        <is>
          <t>Диверсификация портфеля (7 проектов, 6 жанров, 3 бюджетных класса); гибкий window strategy; hedging revenue через pre-sale ОТТ-прав; ускоренный Trade Sale exit.</t>
        </is>
      </c>
      <c r="I56" s="349" t="inlineStr">
        <is>
          <t>Росстат: disposable income &lt;−3%; индекс цен на досуг &gt;+8% YoY; доля ОТТ-подписок &gt;45% домохозяйств.</t>
        </is>
      </c>
      <c r="J56" s="349" t="inlineStr">
        <is>
          <t>CEO / CCO / Совет директоров</t>
        </is>
      </c>
      <c r="K56" s="348" t="n">
        <v>12</v>
      </c>
    </row>
    <row r="57" ht="90" customHeight="1">
      <c r="B57" s="348" t="n">
        <v>4</v>
      </c>
      <c r="C57" s="348" t="inlineStr">
        <is>
          <t>R13</t>
        </is>
      </c>
      <c r="D57" s="349" t="inlineStr">
        <is>
          <t>Рост ставки ОФЗ выше 18%</t>
        </is>
      </c>
      <c r="E57" s="351" t="n">
        <v>15</v>
      </c>
      <c r="F57" s="349" t="inlineStr">
        <is>
          <t>Ключевая ставка ЦБ влияет на alternative cost и discount rate; рост удорожает T₁-транши и усложняет refinance.</t>
        </is>
      </c>
      <c r="G57" s="349" t="inlineStr">
        <is>
          <t>Ключевая ставка &gt;16% два заседания ЦБ подряд; ОФЗ 10Y yield &gt;17%.</t>
        </is>
      </c>
      <c r="H57" s="349" t="inlineStr">
        <is>
          <t>Fixed (Фиксированный) rate lock на T₁ tranches (транши) до 2028; revolving credit line с процентным cap; валютная диверсификация; структура с equity (доля в капитале) floor.</t>
        </is>
      </c>
      <c r="I57" s="349" t="inlineStr">
        <is>
          <t>Инфляция CPI &gt;7% ежемесячно; ЦБ hawkish guidance; yield curve steepening.</t>
        </is>
      </c>
      <c r="J57" s="349" t="inlineStr">
        <is>
          <t>CFO / Treasurer (Казначей)</t>
        </is>
      </c>
      <c r="K57" s="348" t="n">
        <v>10</v>
      </c>
    </row>
    <row r="58" ht="90" customHeight="1">
      <c r="B58" s="348" t="n">
        <v>5</v>
      </c>
      <c r="C58" s="348" t="inlineStr">
        <is>
          <t>R30</t>
        </is>
      </c>
      <c r="D58" s="349" t="inlineStr">
        <is>
          <t>Невыполнение KPI (ключевые показатели) перед инвестором T₁</t>
        </is>
      </c>
      <c r="E58" s="351" t="n">
        <v>15</v>
      </c>
      <c r="F58" s="349" t="inlineStr">
        <is>
          <t>Covenant breach по Revenue (Выручка), EBITDA (прибыль до вычетов) margin (маржа) или film release schedule может триггерить досрочное погашение или W₅ V-D activation.</t>
        </is>
      </c>
      <c r="G58" s="349" t="inlineStr">
        <is>
          <t>EBITDA (прибыль до вычетов) &lt;80% от плана квартал подряд; задержка &gt;2 фильмов; CAPEX (Капзатраты) overrun &gt;20%.</t>
        </is>
      </c>
      <c r="H58" s="349" t="inlineStr">
        <is>
          <t>Monthly MI reporting, quarterly covenant testing, board observer seat, cure period 90 дней, escalation procedure.</t>
        </is>
      </c>
      <c r="I58" s="349" t="inlineStr">
        <is>
          <t>Monthly burn-rate deviation &gt;+10%; RAG flags в cash-flow forecast; variance &gt;15% в production milestones.</t>
        </is>
      </c>
      <c r="J58" s="349" t="inlineStr">
        <is>
          <t>CFO / Совет директоров</t>
        </is>
      </c>
      <c r="K58" s="348" t="n">
        <v>12</v>
      </c>
    </row>
    <row r="59" ht="90" customHeight="1">
      <c r="B59" s="348" t="n">
        <v>6</v>
      </c>
      <c r="C59" s="348" t="inlineStr">
        <is>
          <t>R04</t>
        </is>
      </c>
      <c r="D59" s="349" t="inlineStr">
        <is>
          <t>Конкуренция со стриминг-платформами</t>
        </is>
      </c>
      <c r="E59" s="351" t="n">
        <v>15</v>
      </c>
      <c r="F59" s="349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349" t="inlineStr">
        <is>
          <t>Длительность кино-window &lt;30 дней у конкурентов; пиратский релиз раньше прогноза.</t>
        </is>
      </c>
      <c r="H59" s="349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349" t="inlineStr">
        <is>
          <t>Падение box-office (кассовые сборы) share (доля) традиционных сетей &gt;10% YoY; агрессивное снижение subscription price ОТТ.</t>
        </is>
      </c>
      <c r="J59" s="349" t="inlineStr">
        <is>
          <t>CCO / Distribution (Распределение)</t>
        </is>
      </c>
      <c r="K59" s="348" t="n">
        <v>9</v>
      </c>
    </row>
    <row r="60" ht="90" customHeight="1">
      <c r="B60" s="348" t="n">
        <v>7</v>
      </c>
      <c r="C60" s="348" t="inlineStr">
        <is>
          <t>R02</t>
        </is>
      </c>
      <c r="D60" s="349" t="inlineStr">
        <is>
          <t>Провал блокбастера П04 «Время героев» (бюджет 250 млн)</t>
        </is>
      </c>
      <c r="E60" s="352" t="n">
        <v>12</v>
      </c>
      <c r="F60" s="349" t="inlineStr">
        <is>
          <t>П04 — самый дорогой фильм slate (250 млн ₽, 13.5% total CAPEX (Капзатраты)). Провал = потеря 350+ млн NDP (чистые распределяемые поступления), корреляционный удар по маркетинг-бренду.</t>
        </is>
      </c>
      <c r="G60" s="349" t="inlineStr">
        <is>
          <t>Test-screening NPS &lt;40; первый weekend box-office (кассовые сборы) &lt;50% от прогноза.</t>
        </is>
      </c>
      <c r="H60" s="349" t="inlineStr">
        <is>
          <t>Расширенный test-screening (3 waves), резерв 15 млн ₽ на re-edit, PR recovery plan, быстрый VOD pivot, страховка completion bond.</t>
        </is>
      </c>
      <c r="I60" s="349" t="inlineStr">
        <is>
          <t>Review-agregator score &lt;6.0 на pre-release screening; negative sentiment &gt;40% в социальных сетях.</t>
        </is>
      </c>
      <c r="J60" s="349" t="inlineStr">
        <is>
          <t>Producer (Продюсер) П04 / CCO</t>
        </is>
      </c>
      <c r="K60" s="348" t="n">
        <v>8</v>
      </c>
    </row>
    <row r="61" ht="90" customHeight="1">
      <c r="B61" s="348" t="n">
        <v>8</v>
      </c>
      <c r="C61" s="348" t="inlineStr">
        <is>
          <t>R23</t>
        </is>
      </c>
      <c r="D61" s="349" t="inlineStr">
        <is>
          <t>Ужесточение требований ФКП (возвратность госсубсидий)</t>
        </is>
      </c>
      <c r="E61" s="352" t="n">
        <v>12</v>
      </c>
      <c r="F61" s="349" t="inlineStr">
        <is>
          <t>Фонд кино может ужесточить условия возвратности, что затронет ~300 млн ₽ subsidy stream в модели.</t>
        </is>
      </c>
      <c r="G61" s="349" t="inlineStr">
        <is>
          <t>Постановление Правительства РФ об изменении 1215/2013; поправки в ФЗ о господдержке кинематографии.</t>
        </is>
      </c>
      <c r="H61" s="349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349" t="inlineStr">
        <is>
          <t>Изменение риторики Минкульта, публичные обсуждения поправок.</t>
        </is>
      </c>
      <c r="J61" s="349" t="inlineStr">
        <is>
          <t>GR / Legal (Юрид.)</t>
        </is>
      </c>
      <c r="K61" s="348" t="n">
        <v>8</v>
      </c>
    </row>
    <row r="62" ht="90" customHeight="1">
      <c r="B62" s="348" t="n">
        <v>9</v>
      </c>
      <c r="C62" s="348" t="inlineStr">
        <is>
          <t>R28</t>
        </is>
      </c>
      <c r="D62" s="349" t="inlineStr">
        <is>
          <t>Недостаточный маркетинг / слабая осведомлённость</t>
        </is>
      </c>
      <c r="E62" s="352" t="n">
        <v>12</v>
      </c>
      <c r="F62" s="349" t="inlineStr">
        <is>
          <t>P&amp;A (тиражирование и реклама) 277.5 млн ₽ (15% от CAPEX (Капзатраты)) — медианный уровень; при росте стоимости медиаразмещения эффективность может упасть.</t>
        </is>
      </c>
      <c r="G62" s="349" t="inlineStr">
        <is>
          <t>CPM &gt;150% от бенчмарка; organic reach &lt;60% от прогноза.</t>
        </is>
      </c>
      <c r="H62" s="349" t="inlineStr">
        <is>
          <t>Diversified media mix (VK 30%, TG 20%, Rutube 15%, outdoor 20%, TV (телевидение) 15%); influencer partnerships; UGC кампании; сквозная аналитика CPA.</t>
        </is>
      </c>
      <c r="I62" s="349" t="inlineStr">
        <is>
          <t>Ad recall &lt;25% за 2 недели до релиза; Google Trends index &lt; baseline.</t>
        </is>
      </c>
      <c r="J62" s="349" t="inlineStr">
        <is>
          <t>CMO</t>
        </is>
      </c>
      <c r="K62" s="348" t="n">
        <v>6</v>
      </c>
    </row>
    <row r="63" ht="90" customHeight="1">
      <c r="B63" s="348" t="n">
        <v>10</v>
      </c>
      <c r="C63" s="348" t="inlineStr">
        <is>
          <t>R08</t>
        </is>
      </c>
      <c r="D63" s="349" t="inlineStr">
        <is>
          <t>Перерасход production-бюджета &gt;15%</t>
        </is>
      </c>
      <c r="E63" s="352" t="n">
        <v>12</v>
      </c>
      <c r="F63" s="349" t="inlineStr">
        <is>
          <t>Industry average 8%, но сложные VFX (визуальные эффекты)-проекты (П04, П07С) могут превысить 20%. На slate — риск потери 200+ млн ₽.</t>
        </is>
      </c>
      <c r="G63" s="349" t="inlineStr">
        <is>
          <t>Weekly burn-rate &gt;+10% от бюджета; &gt;5% вариация в любой бюджетной строке.</t>
        </is>
      </c>
      <c r="H63" s="349" t="inlineStr">
        <is>
          <t>CFO approval &gt;5% variance; weekly production controller reports; fixed-price contracts где возможно; completion bond; резерв 10% в каждом бюджете.</t>
        </is>
      </c>
      <c r="I63" s="349" t="inlineStr">
        <is>
          <t>Crew inflation &gt;+5% от плана; overtime hours &gt;15%; equipment rent &gt;budget (бюджет) +10%.</t>
        </is>
      </c>
      <c r="J63" s="349" t="inlineStr">
        <is>
          <t>CFO / Line Producer (Продюсер)</t>
        </is>
      </c>
      <c r="K63" s="348" t="n">
        <v>6</v>
      </c>
    </row>
    <row r="66">
      <c r="B66" s="320" t="inlineStr">
        <is>
          <t>IV.  СВОДНАЯ СТАТИСТИКА (СВОДНАЯ СТАТИСТИКА)</t>
        </is>
      </c>
    </row>
    <row r="68">
      <c r="B68" s="333" t="inlineStr">
        <is>
          <t>Category (Категория)</t>
        </is>
      </c>
      <c r="C68" s="333" t="inlineStr">
        <is>
          <t># Рисков</t>
        </is>
      </c>
      <c r="D68" s="333" t="inlineStr">
        <is>
          <t>Total (Итого) Score (Балл)</t>
        </is>
      </c>
      <c r="E68" s="333" t="inlineStr">
        <is>
          <t>Avg Score (Средний балл)</t>
        </is>
      </c>
      <c r="F68" s="333" t="inlineStr">
        <is>
          <t>Max Score (Макс. балл)</t>
        </is>
      </c>
      <c r="G68" s="333" t="inlineStr">
        <is>
          <t>Share (Доля)</t>
        </is>
      </c>
    </row>
    <row r="69">
      <c r="B69" s="353" t="inlineStr">
        <is>
          <t>Market (Рынок)</t>
        </is>
      </c>
      <c r="C69" s="354" t="n">
        <v>6</v>
      </c>
      <c r="D69" s="354" t="n">
        <v>74</v>
      </c>
      <c r="E69" s="354" t="n">
        <v>12.3</v>
      </c>
      <c r="F69" s="354" t="n">
        <v>15</v>
      </c>
      <c r="G69" s="354" t="inlineStr">
        <is>
          <t>22.0%</t>
        </is>
      </c>
    </row>
    <row r="70">
      <c r="B70" s="353" t="inlineStr">
        <is>
          <t>Operational (Операционный)</t>
        </is>
      </c>
      <c r="C70" s="354" t="n">
        <v>6</v>
      </c>
      <c r="D70" s="354" t="n">
        <v>66</v>
      </c>
      <c r="E70" s="354" t="n">
        <v>11</v>
      </c>
      <c r="F70" s="354" t="n">
        <v>16</v>
      </c>
      <c r="G70" s="354" t="inlineStr">
        <is>
          <t>19.6%</t>
        </is>
      </c>
    </row>
    <row r="71">
      <c r="B71" s="353" t="inlineStr">
        <is>
          <t>Financial (Финансовый)</t>
        </is>
      </c>
      <c r="C71" s="354" t="n">
        <v>6</v>
      </c>
      <c r="D71" s="354" t="n">
        <v>73</v>
      </c>
      <c r="E71" s="354" t="n">
        <v>12.2</v>
      </c>
      <c r="F71" s="354" t="n">
        <v>20</v>
      </c>
      <c r="G71" s="354" t="inlineStr">
        <is>
          <t>21.7%</t>
        </is>
      </c>
    </row>
    <row r="72">
      <c r="B72" s="353" t="inlineStr">
        <is>
          <t>Regulatory (Регуляторный)</t>
        </is>
      </c>
      <c r="C72" s="354" t="n">
        <v>6</v>
      </c>
      <c r="D72" s="354" t="n">
        <v>57</v>
      </c>
      <c r="E72" s="354" t="n">
        <v>9.5</v>
      </c>
      <c r="F72" s="354" t="n">
        <v>12</v>
      </c>
      <c r="G72" s="354" t="inlineStr">
        <is>
          <t>17.0%</t>
        </is>
      </c>
    </row>
    <row r="73">
      <c r="B73" s="353" t="inlineStr">
        <is>
          <t>Execution (Исполнение)</t>
        </is>
      </c>
      <c r="C73" s="354" t="n">
        <v>6</v>
      </c>
      <c r="D73" s="354" t="n">
        <v>66</v>
      </c>
      <c r="E73" s="354" t="n">
        <v>11</v>
      </c>
      <c r="F73" s="354" t="n">
        <v>15</v>
      </c>
      <c r="G73" s="354" t="inlineStr">
        <is>
          <t>19.6%</t>
        </is>
      </c>
    </row>
    <row r="74">
      <c r="B74" s="355" t="inlineStr">
        <is>
          <t>ИТОГО</t>
        </is>
      </c>
      <c r="C74" s="356" t="n">
        <v>30</v>
      </c>
      <c r="D74" s="356" t="n">
        <v>336</v>
      </c>
      <c r="E74" s="356" t="n">
        <v>11.2</v>
      </c>
      <c r="F74" s="356" t="n">
        <v>20</v>
      </c>
      <c r="G74" s="356" t="inlineStr">
        <is>
          <t>100.0%</t>
        </is>
      </c>
    </row>
    <row r="76">
      <c r="B76" s="357" t="inlineStr">
        <is>
          <t>Распределение по уровням:</t>
        </is>
      </c>
    </row>
    <row r="77">
      <c r="B77" s="358" t="inlineStr">
        <is>
          <t>Low</t>
        </is>
      </c>
      <c r="C77" s="343" t="n">
        <v>0</v>
      </c>
      <c r="D77" s="343" t="inlineStr">
        <is>
          <t>0.0%</t>
        </is>
      </c>
    </row>
    <row r="78">
      <c r="B78" s="359" t="inlineStr">
        <is>
          <t>Moderate (Умеренный)</t>
        </is>
      </c>
      <c r="C78" s="344" t="n">
        <v>11</v>
      </c>
      <c r="D78" s="344" t="inlineStr">
        <is>
          <t>36.7%</t>
        </is>
      </c>
    </row>
    <row r="79">
      <c r="B79" s="360" t="inlineStr">
        <is>
          <t>Elevated (Повышенный)</t>
        </is>
      </c>
      <c r="C79" s="345" t="n">
        <v>13</v>
      </c>
      <c r="D79" s="345" t="inlineStr">
        <is>
          <t>43.3%</t>
        </is>
      </c>
    </row>
    <row r="80">
      <c r="B80" s="361" t="inlineStr">
        <is>
          <t>High (Высокий)</t>
        </is>
      </c>
      <c r="C80" s="346" t="n">
        <v>5</v>
      </c>
      <c r="D80" s="346" t="inlineStr">
        <is>
          <t>16.7%</t>
        </is>
      </c>
    </row>
    <row r="81">
      <c r="B81" s="362" t="inlineStr">
        <is>
          <t>Critical (Критический)</t>
        </is>
      </c>
      <c r="C81" s="347" t="n">
        <v>1</v>
      </c>
      <c r="D81" s="347" t="inlineStr">
        <is>
          <t>3.3%</t>
        </is>
      </c>
    </row>
    <row r="84">
      <c r="B84" s="320" t="inlineStr">
        <is>
          <t>V. KEY TAKEAWAYS ДЛЯ ИНВЕСТОРА</t>
        </is>
      </c>
    </row>
    <row r="85" ht="22" customHeight="1">
      <c r="B85" s="363" t="inlineStr">
        <is>
          <t>1. ТОП-риск — R17 пересмотрен в v1.0.1 с Critical (Критический) на High (score 12): C-02 структурный bug фиксирован через переход на W₅ V-D ★ default (по умолчанию). Базовый IRR (внутренняя норма доходности) T₁ W₅ V-D = 24.75% (margin (маржа) +6.75pp к hurdle (порог)), но Bear (Пессимистичный)=10.70% (NDP (чистые распределяемые поступления)=1800) остаётся структурным риском. Legacy (Базовый вариант) W₃ default (по умолчанию) = 18.04% ровно на hurdle (порог) 18%, downside защищён через 1× Liq Pref (Ликвидационная привилегия) floor + 8% coupon (купон). Премиум-опция W₄ даёт 19.73% IRR (внутренняя норма доходности) и 2.12× MOIC (мультипликатор вложенного капитала) для LP (ограниченный партнёр) с enhanced requirements.</t>
        </is>
      </c>
    </row>
    <row r="86" ht="22" customHeight="1">
      <c r="B86" s="363" t="inlineStr">
        <is>
          <t>2. 3 риска уровня «Critical (Критический)» (20-25): R17, R01, R13 — требуют board-level мониторинга и квартальных обновлений.</t>
        </is>
      </c>
    </row>
    <row r="87" ht="22" customHeight="1">
      <c r="B87" s="363" t="inlineStr">
        <is>
          <t>3. Наибольший вес — Financial (Финансовый) + Market (≈50% total score): макро-чувствительность модели.</t>
        </is>
      </c>
    </row>
    <row r="88" ht="22" customHeight="1">
      <c r="B88" s="363" t="inlineStr">
        <is>
          <t>4. Operational (Операционный) риски (R07, R08) — купируются 10% contingency + completion bond в каждом бюджете.</t>
        </is>
      </c>
    </row>
    <row r="89" ht="22" customHeight="1">
      <c r="B89" s="363" t="inlineStr">
        <is>
          <t>5. Residual (Остаток) risk после mitigation в среднем снижается на 30-40% → система защит работает.</t>
        </is>
      </c>
    </row>
    <row r="90" ht="22" customHeight="1">
      <c r="B90" s="363" t="inlineStr">
        <is>
          <t>6. Regulatory (Регуляторный) cluster (R18-R24) — низкая likelihood, но высокий severity: legal watch + GR budget (бюджет) 20 млн ₽/год.</t>
        </is>
      </c>
    </row>
    <row r="91" ht="22" customHeight="1">
      <c r="B91" s="363" t="inlineStr">
        <is>
          <t>7. Execution (Исполнение) риски покрыты процессами: daily reports, weekly reviews, monthly boards, quarterly covenant testing.</t>
        </is>
      </c>
    </row>
    <row r="94">
      <c r="B94" s="364" t="inlineStr">
        <is>
          <t>Reviewed: quarterly by Совет директоров | Owner: CFO / Risk (Риск) Committee | Version (Версия): v1.0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P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8" customWidth="1" min="3" max="3"/>
    <col width="70" customWidth="1" min="4" max="4"/>
    <col width="12" customWidth="1" min="5" max="5"/>
    <col width="30" customWidth="1" min="6" max="6"/>
    <col width="3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</cols>
  <sheetData>
    <row r="2">
      <c r="B2" s="318" t="inlineStr">
        <is>
          <t>АНАЛИЗ РЫНКА — РЫНОК КИНОИНДУСТРИИ РФ 2020–2032</t>
        </is>
      </c>
    </row>
    <row r="4">
      <c r="B4" s="319" t="inlineStr">
        <is>
          <t>Объём рынка, сегменты, прогноз, конкуренты, TAM/SAM/SOM, мотиваторы роста</t>
        </is>
      </c>
    </row>
    <row r="6">
      <c r="B6" s="320" t="inlineStr">
        <is>
          <t>I. ОБЪЁМ РЫНКА КИНОИНДУСТРИИ РФ (млрд ₽, оценка на базе АЕК/Фонд кино/НМГ)</t>
        </is>
      </c>
    </row>
    <row r="8">
      <c r="B8" s="321" t="inlineStr">
        <is>
          <t>Сегмент</t>
        </is>
      </c>
      <c r="C8" s="321" t="n">
        <v>2020</v>
      </c>
      <c r="D8" s="321" t="n">
        <v>2021</v>
      </c>
      <c r="E8" s="321" t="n">
        <v>2022</v>
      </c>
      <c r="F8" s="321" t="n">
        <v>2023</v>
      </c>
      <c r="G8" s="321" t="n">
        <v>2024</v>
      </c>
      <c r="H8" s="321" t="n">
        <v>2025</v>
      </c>
      <c r="I8" s="321" t="n">
        <v>2026</v>
      </c>
      <c r="J8" s="321" t="n">
        <v>2027</v>
      </c>
      <c r="K8" s="321" t="n">
        <v>2028</v>
      </c>
      <c r="L8" s="321" t="n">
        <v>2029</v>
      </c>
      <c r="M8" s="321" t="n">
        <v>2030</v>
      </c>
      <c r="N8" s="321" t="n">
        <v>2031</v>
      </c>
      <c r="O8" s="321" t="n">
        <v>2032</v>
      </c>
      <c r="P8" s="321" t="inlineStr">
        <is>
          <t>CAGR (среднегодовой темп роста) 26-32</t>
        </is>
      </c>
    </row>
    <row r="9">
      <c r="B9" s="365" t="inlineStr">
        <is>
          <t>Box-office (кассовые сборы)</t>
        </is>
      </c>
      <c r="C9" s="366" t="n">
        <v>13.1</v>
      </c>
      <c r="D9" s="366" t="n">
        <v>40.8</v>
      </c>
      <c r="E9" s="366" t="n">
        <v>24</v>
      </c>
      <c r="F9" s="366" t="n">
        <v>41.5</v>
      </c>
      <c r="G9" s="366" t="n">
        <v>42</v>
      </c>
      <c r="H9" s="366" t="n">
        <v>44</v>
      </c>
      <c r="I9" s="366" t="n">
        <v>48</v>
      </c>
      <c r="J9" s="366" t="n">
        <v>52</v>
      </c>
      <c r="K9" s="366" t="n">
        <v>56</v>
      </c>
      <c r="L9" s="366" t="n">
        <v>60</v>
      </c>
      <c r="M9" s="366" t="n">
        <v>64</v>
      </c>
      <c r="N9" s="366" t="n">
        <v>68</v>
      </c>
      <c r="O9" s="366" t="n">
        <v>72</v>
      </c>
      <c r="P9" s="367" t="n">
        <v>0.06991319393366302</v>
      </c>
    </row>
    <row r="10">
      <c r="B10" s="368" t="inlineStr">
        <is>
          <t>SVOD (подписной стриминг)</t>
        </is>
      </c>
      <c r="C10" s="366" t="n">
        <v>24.5</v>
      </c>
      <c r="D10" s="366" t="n">
        <v>38.3</v>
      </c>
      <c r="E10" s="366" t="n">
        <v>55</v>
      </c>
      <c r="F10" s="366" t="n">
        <v>77</v>
      </c>
      <c r="G10" s="366" t="n">
        <v>95</v>
      </c>
      <c r="H10" s="366" t="n">
        <v>110</v>
      </c>
      <c r="I10" s="366" t="n">
        <v>125</v>
      </c>
      <c r="J10" s="366" t="n">
        <v>140</v>
      </c>
      <c r="K10" s="366" t="n">
        <v>155</v>
      </c>
      <c r="L10" s="366" t="n">
        <v>168</v>
      </c>
      <c r="M10" s="366" t="n">
        <v>180</v>
      </c>
      <c r="N10" s="366" t="n">
        <v>192</v>
      </c>
      <c r="O10" s="366" t="n">
        <v>205</v>
      </c>
      <c r="P10" s="367" t="n">
        <v>0.08594369467025009</v>
      </c>
    </row>
    <row r="11">
      <c r="B11" s="369" t="inlineStr">
        <is>
          <t>AVOD (рекламный стриминг)</t>
        </is>
      </c>
      <c r="C11" s="366" t="n">
        <v>12</v>
      </c>
      <c r="D11" s="366" t="n">
        <v>17.5</v>
      </c>
      <c r="E11" s="366" t="n">
        <v>22</v>
      </c>
      <c r="F11" s="366" t="n">
        <v>29</v>
      </c>
      <c r="G11" s="366" t="n">
        <v>35</v>
      </c>
      <c r="H11" s="366" t="n">
        <v>41</v>
      </c>
      <c r="I11" s="366" t="n">
        <v>47</v>
      </c>
      <c r="J11" s="366" t="n">
        <v>53</v>
      </c>
      <c r="K11" s="366" t="n">
        <v>59</v>
      </c>
      <c r="L11" s="366" t="n">
        <v>64</v>
      </c>
      <c r="M11" s="366" t="n">
        <v>69</v>
      </c>
      <c r="N11" s="366" t="n">
        <v>74</v>
      </c>
      <c r="O11" s="366" t="n">
        <v>79</v>
      </c>
      <c r="P11" s="367" t="n">
        <v>0.09040593222027282</v>
      </c>
    </row>
    <row r="12">
      <c r="B12" s="370" t="inlineStr">
        <is>
          <t>TV (телевидение) rights</t>
        </is>
      </c>
      <c r="C12" s="366" t="n">
        <v>8.5</v>
      </c>
      <c r="D12" s="366" t="n">
        <v>9</v>
      </c>
      <c r="E12" s="366" t="n">
        <v>9.5</v>
      </c>
      <c r="F12" s="366" t="n">
        <v>10.5</v>
      </c>
      <c r="G12" s="366" t="n">
        <v>11</v>
      </c>
      <c r="H12" s="366" t="n">
        <v>11.5</v>
      </c>
      <c r="I12" s="366" t="n">
        <v>12</v>
      </c>
      <c r="J12" s="366" t="n">
        <v>12.5</v>
      </c>
      <c r="K12" s="366" t="n">
        <v>13</v>
      </c>
      <c r="L12" s="366" t="n">
        <v>13.5</v>
      </c>
      <c r="M12" s="366" t="n">
        <v>14</v>
      </c>
      <c r="N12" s="366" t="n">
        <v>14.5</v>
      </c>
      <c r="O12" s="366" t="n">
        <v>15</v>
      </c>
      <c r="P12" s="367" t="n">
        <v>0.03789081555621343</v>
      </c>
    </row>
    <row r="13">
      <c r="B13" s="371" t="inlineStr">
        <is>
          <t>Library (Библиотека)</t>
        </is>
      </c>
      <c r="C13" s="366" t="n">
        <v>2</v>
      </c>
      <c r="D13" s="366" t="n">
        <v>2.3</v>
      </c>
      <c r="E13" s="366" t="n">
        <v>2.8</v>
      </c>
      <c r="F13" s="366" t="n">
        <v>3.5</v>
      </c>
      <c r="G13" s="366" t="n">
        <v>4</v>
      </c>
      <c r="H13" s="366" t="n">
        <v>4.6</v>
      </c>
      <c r="I13" s="366" t="n">
        <v>5.3</v>
      </c>
      <c r="J13" s="366" t="n">
        <v>6</v>
      </c>
      <c r="K13" s="366" t="n">
        <v>6.8</v>
      </c>
      <c r="L13" s="366" t="n">
        <v>7.5</v>
      </c>
      <c r="M13" s="366" t="n">
        <v>8.300000000000001</v>
      </c>
      <c r="N13" s="366" t="n">
        <v>9.1</v>
      </c>
      <c r="O13" s="366" t="n">
        <v>10</v>
      </c>
      <c r="P13" s="367" t="n">
        <v>0.1116140357280022</v>
      </c>
    </row>
    <row r="14">
      <c r="B14" s="372" t="inlineStr">
        <is>
          <t>ИТОГО РЫНОК (TAM)</t>
        </is>
      </c>
      <c r="C14" s="373" t="n">
        <v>60.1</v>
      </c>
      <c r="D14" s="373" t="n">
        <v>107.9</v>
      </c>
      <c r="E14" s="373" t="n">
        <v>113.3</v>
      </c>
      <c r="F14" s="373" t="n">
        <v>161.5</v>
      </c>
      <c r="G14" s="373" t="n">
        <v>187</v>
      </c>
      <c r="H14" s="373" t="n">
        <v>211.1</v>
      </c>
      <c r="I14" s="373" t="n">
        <v>237.3</v>
      </c>
      <c r="J14" s="373" t="n">
        <v>263.5</v>
      </c>
      <c r="K14" s="373" t="n">
        <v>289.8</v>
      </c>
      <c r="L14" s="373" t="n">
        <v>313</v>
      </c>
      <c r="M14" s="373" t="n">
        <v>335.3</v>
      </c>
      <c r="N14" s="373" t="n">
        <v>357.6</v>
      </c>
      <c r="O14" s="373" t="n">
        <v>381</v>
      </c>
      <c r="P14" s="374" t="n">
        <v>0.08210949116095656</v>
      </c>
    </row>
    <row r="16">
      <c r="B16" s="320" t="inlineStr">
        <is>
          <t>II. СТРУКТУРА РЫНКА 2028 (прогноз)</t>
        </is>
      </c>
    </row>
    <row r="18">
      <c r="B18" s="321" t="inlineStr">
        <is>
          <t>Сегмент</t>
        </is>
      </c>
      <c r="C18" s="321" t="inlineStr">
        <is>
          <t>2028 млрд ₽</t>
        </is>
      </c>
      <c r="D18" s="321" t="inlineStr">
        <is>
          <t>Доля 2028</t>
        </is>
      </c>
      <c r="E18" s="321" t="inlineStr">
        <is>
          <t>CAGR (среднегодовой темп роста) 2026–2032</t>
        </is>
      </c>
      <c r="F18" s="321" t="inlineStr">
        <is>
          <t>Драйверы роста</t>
        </is>
      </c>
    </row>
    <row r="19">
      <c r="B19" s="375" t="inlineStr">
        <is>
          <t>Box-office (кассовые сборы)</t>
        </is>
      </c>
      <c r="C19" s="376" t="n">
        <v>56</v>
      </c>
      <c r="D19" s="377" t="n">
        <v>0.1932367149758454</v>
      </c>
      <c r="E19" s="377" t="n">
        <v>0.06991319393366302</v>
      </c>
      <c r="F19" s="375" t="inlineStr">
        <is>
          <t>Восстановление после 2022, IMAX/Dolby, блокбастеры</t>
        </is>
      </c>
    </row>
    <row r="20">
      <c r="B20" s="378" t="inlineStr">
        <is>
          <t>SVOD (подписной стриминг)</t>
        </is>
      </c>
      <c r="C20" s="379" t="n">
        <v>155</v>
      </c>
      <c r="D20" s="380" t="n">
        <v>0.5348516218081435</v>
      </c>
      <c r="E20" s="380" t="n">
        <v>0.08594369467025009</v>
      </c>
      <c r="F20" s="378" t="inlineStr">
        <is>
          <t>Рост подписок, оригинальный контент, LTV</t>
        </is>
      </c>
    </row>
    <row r="21">
      <c r="B21" s="381" t="inlineStr">
        <is>
          <t>AVOD (рекламный стриминг)</t>
        </is>
      </c>
      <c r="C21" s="382" t="n">
        <v>59</v>
      </c>
      <c r="D21" s="383" t="n">
        <v>0.2035886818495514</v>
      </c>
      <c r="E21" s="383" t="n">
        <v>0.09040593222027282</v>
      </c>
      <c r="F21" s="381" t="inlineStr">
        <is>
          <t>Миграция рекламных бюджетов, UGC + professional</t>
        </is>
      </c>
    </row>
    <row r="22">
      <c r="B22" s="384" t="inlineStr">
        <is>
          <t>TV (телевидение) rights</t>
        </is>
      </c>
      <c r="C22" s="385" t="n">
        <v>13</v>
      </c>
      <c r="D22" s="386" t="n">
        <v>0.04485852311939268</v>
      </c>
      <c r="E22" s="386" t="n">
        <v>0.03789081555621343</v>
      </c>
      <c r="F22" s="384" t="inlineStr">
        <is>
          <t>Стабильный спрос, госканалы + региональные</t>
        </is>
      </c>
    </row>
    <row r="23">
      <c r="B23" s="387" t="inlineStr">
        <is>
          <t>Library (Библиотека)</t>
        </is>
      </c>
      <c r="C23" s="388" t="n">
        <v>6.8</v>
      </c>
      <c r="D23" s="389" t="n">
        <v>0.02346445824706694</v>
      </c>
      <c r="E23" s="389" t="n">
        <v>0.1116140357280022</v>
      </c>
      <c r="F23" s="387" t="inlineStr">
        <is>
          <t>Монетизация библиотеки, международная копродукция</t>
        </is>
      </c>
    </row>
    <row r="24">
      <c r="B24" s="365" t="inlineStr">
        <is>
          <t>ИТОГО</t>
        </is>
      </c>
      <c r="C24" s="373" t="n">
        <v>289.8</v>
      </c>
      <c r="D24" s="374" t="n">
        <v>1</v>
      </c>
      <c r="E24" s="374" t="n">
        <v>0.08210949116095656</v>
      </c>
      <c r="F24" s="375"/>
    </row>
    <row r="26">
      <c r="B26" s="320" t="inlineStr">
        <is>
          <t>III. TAM / SAM / SOM для ТрендСтудио</t>
        </is>
      </c>
    </row>
    <row r="28">
      <c r="B28" s="321" t="inlineStr">
        <is>
          <t>Уровень</t>
        </is>
      </c>
      <c r="C28" s="321" t="inlineStr">
        <is>
          <t>2028 млрд ₽</t>
        </is>
      </c>
      <c r="D28" s="321" t="inlineStr">
        <is>
          <t>Доля от TAM</t>
        </is>
      </c>
      <c r="E28" s="321" t="inlineStr">
        <is>
          <t>Описание</t>
        </is>
      </c>
    </row>
    <row r="29">
      <c r="B29" s="375" t="inlineStr">
        <is>
          <t>TAM (Total (Итого) Addressable Market)</t>
        </is>
      </c>
      <c r="C29" s="390" t="n">
        <v>289.8</v>
      </c>
      <c r="D29" s="391" t="n">
        <v>1</v>
      </c>
      <c r="E29" s="375" t="inlineStr">
        <is>
          <t>Весь рынок кино+OTT (онлайн-платформа)+TV+library РФ 2028</t>
        </is>
      </c>
    </row>
    <row r="30">
      <c r="B30" s="378" t="inlineStr">
        <is>
          <t>SAM (Достижимый целевой рынок)</t>
        </is>
      </c>
      <c r="C30" s="392" t="n">
        <v>118</v>
      </c>
      <c r="D30" s="393" t="n">
        <v>0.4071773636991028</v>
      </c>
      <c r="E30" s="378" t="inlineStr">
        <is>
          <t>Box-office (кассовые сборы) + 40% SVOD (подписной стриминг)</t>
        </is>
      </c>
    </row>
    <row r="31">
      <c r="B31" s="381" t="inlineStr">
        <is>
          <t>SOM (Реально достижимый рынок)</t>
        </is>
      </c>
      <c r="C31" s="394" t="n">
        <v>4.545</v>
      </c>
      <c r="D31" s="395" t="n">
        <v>0.01568322981366459</v>
      </c>
      <c r="E31" s="381" t="inlineStr">
        <is>
          <t>Фактическая 3Y доля ТрендСтудио (2026-2028)</t>
        </is>
      </c>
    </row>
    <row r="34">
      <c r="B34" s="320" t="inlineStr">
        <is>
          <t>IV. КОНКУРЕНТНЫЙ ЛАНДШАФТ (7 игроков)</t>
        </is>
      </c>
    </row>
    <row r="36">
      <c r="B36" s="321" t="inlineStr">
        <is>
          <t>Игрок</t>
        </is>
      </c>
      <c r="C36" s="321" t="inlineStr">
        <is>
          <t>Тип</t>
        </is>
      </c>
      <c r="D36" s="321" t="inlineStr">
        <is>
          <t>Revenue (Выручка) 2024 (млрд ₽)</t>
        </is>
      </c>
      <c r="E36" s="321" t="inlineStr">
        <is>
          <t>Market share (доля)</t>
        </is>
      </c>
      <c r="F36" s="321" t="inlineStr">
        <is>
          <t>Сильные стороны</t>
        </is>
      </c>
      <c r="G36" s="321" t="inlineStr">
        <is>
          <t>Слабые стороны</t>
        </is>
      </c>
    </row>
    <row r="37" ht="38" customHeight="1">
      <c r="B37" s="396" t="inlineStr">
        <is>
          <t>Kinopoisk</t>
        </is>
      </c>
      <c r="C37" s="323" t="inlineStr">
        <is>
          <t>SVOD (подписной стриминг) + кинопроизводство</t>
        </is>
      </c>
      <c r="D37" s="397" t="n">
        <v>35</v>
      </c>
      <c r="E37" s="322" t="inlineStr">
        <is>
          <t>22.1%</t>
        </is>
      </c>
      <c r="F37" s="323" t="inlineStr">
        <is>
          <t>Мощный бренд, подписочная база 15М, AI-рекомендации</t>
        </is>
      </c>
      <c r="G37" s="323" t="inlineStr">
        <is>
          <t>Зависимость от Яндекс экосистемы, лимит контента</t>
        </is>
      </c>
    </row>
    <row r="38" ht="38" customHeight="1">
      <c r="B38" s="396" t="inlineStr">
        <is>
          <t>Okko (Rambler → Сбер)</t>
        </is>
      </c>
      <c r="C38" s="323" t="inlineStr">
        <is>
          <t>SVOD (подписной стриминг) + копродукция</t>
        </is>
      </c>
      <c r="D38" s="397" t="n">
        <v>22</v>
      </c>
      <c r="E38" s="322" t="inlineStr">
        <is>
          <t>13.9%</t>
        </is>
      </c>
      <c r="F38" s="323" t="inlineStr">
        <is>
          <t>Sber экосистема, эксклюзивы, HBO/Disney библиотека</t>
        </is>
      </c>
      <c r="G38" s="323" t="inlineStr">
        <is>
          <t>Высокие затраты на контент, churn rate</t>
        </is>
      </c>
    </row>
    <row r="39" ht="38" customHeight="1">
      <c r="B39" s="396" t="inlineStr">
        <is>
          <t>ivi</t>
        </is>
      </c>
      <c r="C39" s="323" t="inlineStr">
        <is>
          <t>SVOD (подписной стриминг) + AVOD (рекламный стриминг)</t>
        </is>
      </c>
      <c r="D39" s="397" t="n">
        <v>18.5</v>
      </c>
      <c r="E39" s="322" t="inlineStr">
        <is>
          <t>11.7%</t>
        </is>
      </c>
      <c r="F39" s="323" t="inlineStr">
        <is>
          <t>Большая библиотека, AVOD (рекламный стриминг)-модель, регионы</t>
        </is>
      </c>
      <c r="G39" s="323" t="inlineStr">
        <is>
          <t>Слабый оригинальный контент</t>
        </is>
      </c>
    </row>
    <row r="40" ht="38" customHeight="1">
      <c r="B40" s="396" t="inlineStr">
        <is>
          <t>START (СТАРТ)</t>
        </is>
      </c>
      <c r="C40" s="323" t="inlineStr">
        <is>
          <t>SVOD (подписной стриминг) + производство</t>
        </is>
      </c>
      <c r="D40" s="397" t="n">
        <v>8.5</v>
      </c>
      <c r="E40" s="322" t="inlineStr">
        <is>
          <t>5.4%</t>
        </is>
      </c>
      <c r="F40" s="323" t="inlineStr">
        <is>
          <t>Сильный оригинальный контент, сериалы-хиты</t>
        </is>
      </c>
      <c r="G40" s="323" t="inlineStr">
        <is>
          <t>Нишевый охват, ограниченный P&amp;A (тиражирование и реклама)</t>
        </is>
      </c>
    </row>
    <row r="41" ht="38" customHeight="1">
      <c r="B41" s="396" t="inlineStr">
        <is>
          <t>Premier (Премьера)</t>
        </is>
      </c>
      <c r="C41" s="323" t="inlineStr">
        <is>
          <t>SVOD (подписной стриминг) + производство</t>
        </is>
      </c>
      <c r="D41" s="397" t="n">
        <v>7</v>
      </c>
      <c r="E41" s="322" t="inlineStr">
        <is>
          <t>4.4%</t>
        </is>
      </c>
      <c r="F41" s="323" t="inlineStr">
        <is>
          <t>Контент ТНТ/ТВ-3, молодёжная аудитория</t>
        </is>
      </c>
      <c r="G41" s="323" t="inlineStr">
        <is>
          <t>Зависимость от материнской группы</t>
        </is>
      </c>
    </row>
    <row r="42" ht="38" customHeight="1">
      <c r="B42" s="396" t="inlineStr">
        <is>
          <t>Мосфильм</t>
        </is>
      </c>
      <c r="C42" s="323" t="inlineStr">
        <is>
          <t>Производство + library</t>
        </is>
      </c>
      <c r="D42" s="397" t="n">
        <v>5.5</v>
      </c>
      <c r="E42" s="322" t="inlineStr">
        <is>
          <t>3.5%</t>
        </is>
      </c>
      <c r="F42" s="323" t="inlineStr">
        <is>
          <t>Госресурс, историческая библиотека, студии</t>
        </is>
      </c>
      <c r="G42" s="323" t="inlineStr">
        <is>
          <t>Устаревшие процессы, slow-go</t>
        </is>
      </c>
    </row>
    <row r="43" ht="38" customHeight="1">
      <c r="B43" s="369" t="inlineStr">
        <is>
          <t>ТрендСтудио (наша)</t>
        </is>
      </c>
      <c r="C43" s="381" t="inlineStr">
        <is>
          <t>Производство + JV (совместное предприятие)</t>
        </is>
      </c>
      <c r="D43" s="398" t="n">
        <v>1.5</v>
      </c>
      <c r="E43" s="399" t="inlineStr">
        <is>
          <t>0.9%</t>
        </is>
      </c>
      <c r="F43" s="381" t="inlineStr">
        <is>
          <t>Pre-IPO (первичное размещение) структура, slate 7 проектов, Waterfall (Каскад)</t>
        </is>
      </c>
      <c r="G43" s="381" t="inlineStr">
        <is>
          <t>Pre-revenue, execution risk, первый институциональный раунд; Implied EV 3.9–6.8 млрд ₽ (dual-year S32)</t>
        </is>
      </c>
    </row>
    <row r="46">
      <c r="B46" s="320" t="inlineStr">
        <is>
          <t>V. КЛЮЧЕВЫЕ ДРАЙВЕРЫ РОСТА 2026–2032</t>
        </is>
      </c>
    </row>
    <row r="48">
      <c r="B48" s="321" t="inlineStr">
        <is>
          <t>#</t>
        </is>
      </c>
      <c r="C48" s="321" t="inlineStr">
        <is>
          <t>Драйвер</t>
        </is>
      </c>
      <c r="D48" s="321" t="inlineStr">
        <is>
          <t>Описание / эффект</t>
        </is>
      </c>
    </row>
    <row r="49">
      <c r="B49" s="400" t="n">
        <v>1</v>
      </c>
      <c r="C49" s="396" t="inlineStr">
        <is>
          <t>Импортозамещение контента</t>
        </is>
      </c>
      <c r="D49" s="323" t="inlineStr">
        <is>
          <t>Уход голливудских мейджоров → окно для российских продюсеров 400+ млрд ₽</t>
        </is>
      </c>
    </row>
    <row r="50">
      <c r="B50" s="400" t="n">
        <v>2</v>
      </c>
      <c r="C50" s="396" t="inlineStr">
        <is>
          <t>Госполитика и ФКП</t>
        </is>
      </c>
      <c r="D50" s="323" t="inlineStr">
        <is>
          <t>Минкультуры + Фонд кино: субсидии ~15 млрд ₽/год, НДС 0%, гранты</t>
        </is>
      </c>
    </row>
    <row r="51">
      <c r="B51" s="400" t="n">
        <v>3</v>
      </c>
      <c r="C51" s="396" t="inlineStr">
        <is>
          <t>Premium (Премия)-форматы</t>
        </is>
      </c>
      <c r="D51" s="323" t="inlineStr">
        <is>
          <t>IMAX/Dolby Atmos/Laser — рост ARPU в 1.8-2.5×</t>
        </is>
      </c>
    </row>
    <row r="52">
      <c r="B52" s="400" t="n">
        <v>4</v>
      </c>
      <c r="C52" s="396" t="inlineStr">
        <is>
          <t>Рост SVOD (подписной стриминг)-подписок</t>
        </is>
      </c>
      <c r="D52" s="323" t="inlineStr">
        <is>
          <t>Подписочная база: 25М (2024) → 45М (2032), CAGR (среднегодовой темп роста) 7.5%</t>
        </is>
      </c>
    </row>
    <row r="53">
      <c r="B53" s="400" t="n">
        <v>5</v>
      </c>
      <c r="C53" s="396" t="inlineStr">
        <is>
          <t>Международная копродукция</t>
        </is>
      </c>
      <c r="D53" s="323" t="inlineStr">
        <is>
          <t>Партнёрство СНГ/БРИКС/ОАЭ/Индия — новые окна монетизации</t>
        </is>
      </c>
    </row>
    <row r="54">
      <c r="B54" s="400" t="n">
        <v>6</v>
      </c>
      <c r="C54" s="396" t="inlineStr">
        <is>
          <t>Франшизы и спин-оффы</t>
        </is>
      </c>
      <c r="D54" s="323" t="inlineStr">
        <is>
          <t>Развитие IP, мерч, theme park, education — рост library×2.5</t>
        </is>
      </c>
    </row>
    <row r="55">
      <c r="B55" s="400" t="n">
        <v>7</v>
      </c>
      <c r="C55" s="396" t="inlineStr">
        <is>
          <t>Игровой кросс-медиа</t>
        </is>
      </c>
      <c r="D55" s="323" t="inlineStr">
        <is>
          <t>Синергия с gaming (VK Games, Lesta), кроссворки</t>
        </is>
      </c>
    </row>
    <row r="58">
      <c r="B58" s="401" t="inlineStr">
        <is>
          <t>VI. ИСТОЧНИКИ</t>
        </is>
      </c>
    </row>
    <row r="60">
      <c r="B60" s="323" t="inlineStr">
        <is>
          <t>• Ассоциация Европейского Кинобизнеса (АЕК), годовые отчёты 2020-2024</t>
        </is>
      </c>
      <c r="C60" s="186"/>
      <c r="D60" s="186"/>
      <c r="E60" s="186"/>
      <c r="F60" s="186"/>
      <c r="G60" s="186"/>
      <c r="H60" s="186"/>
      <c r="I60" s="186"/>
      <c r="J60" s="186"/>
      <c r="K60" s="186"/>
      <c r="L60" s="187"/>
    </row>
    <row r="61">
      <c r="B61" s="323" t="inlineStr">
        <is>
          <t>• Фонд кино / Минкультуры РФ — статистика проката и господдержки</t>
        </is>
      </c>
      <c r="C61" s="186"/>
      <c r="D61" s="186"/>
      <c r="E61" s="186"/>
      <c r="F61" s="186"/>
      <c r="G61" s="186"/>
      <c r="H61" s="186"/>
      <c r="I61" s="186"/>
      <c r="J61" s="186"/>
      <c r="K61" s="186"/>
      <c r="L61" s="187"/>
    </row>
    <row r="62">
      <c r="B62" s="323" t="inlineStr">
        <is>
          <t>• НМГ Research — аналитика SVOD (подписной стриминг)/AVOD (рекламный стриминг) рынка РФ</t>
        </is>
      </c>
      <c r="C62" s="186"/>
      <c r="D62" s="186"/>
      <c r="E62" s="186"/>
      <c r="F62" s="186"/>
      <c r="G62" s="186"/>
      <c r="H62" s="186"/>
      <c r="I62" s="186"/>
      <c r="J62" s="186"/>
      <c r="K62" s="186"/>
      <c r="L62" s="187"/>
    </row>
    <row r="63">
      <c r="B63" s="323" t="inlineStr">
        <is>
          <t>• ТАСС, Коммерсант, Ведомости — публичные данные по сделкам</t>
        </is>
      </c>
      <c r="C63" s="186"/>
      <c r="D63" s="186"/>
      <c r="E63" s="186"/>
      <c r="F63" s="186"/>
      <c r="G63" s="186"/>
      <c r="H63" s="186"/>
      <c r="I63" s="186"/>
      <c r="J63" s="186"/>
      <c r="K63" s="186"/>
      <c r="L63" s="187"/>
    </row>
    <row r="64">
      <c r="B64" s="323" t="inlineStr">
        <is>
          <t>• Публичные отчёты Kinopoisk, Okko, ivi, START, Premier (Премьера)</t>
        </is>
      </c>
      <c r="C64" s="186"/>
      <c r="D64" s="186"/>
      <c r="E64" s="186"/>
      <c r="F64" s="186"/>
      <c r="G64" s="186"/>
      <c r="H64" s="186"/>
      <c r="I64" s="186"/>
      <c r="J64" s="186"/>
      <c r="K64" s="186"/>
      <c r="L64" s="187"/>
    </row>
    <row r="65">
      <c r="B65" s="323" t="inlineStr">
        <is>
          <t>• Официальные данные Росстат и ЦБ РФ (demografic, inflation)</t>
        </is>
      </c>
      <c r="C65" s="186"/>
      <c r="D65" s="186"/>
      <c r="E65" s="186"/>
      <c r="F65" s="186"/>
      <c r="G65" s="186"/>
      <c r="H65" s="186"/>
      <c r="I65" s="186"/>
      <c r="J65" s="186"/>
      <c r="K65" s="186"/>
      <c r="L65" s="187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J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4" customWidth="1" min="3" max="3"/>
    <col width="16" customWidth="1" min="4" max="4"/>
    <col width="16" customWidth="1" min="5" max="5"/>
    <col width="14" customWidth="1" min="6" max="6"/>
    <col width="45" customWidth="1" min="7" max="7"/>
    <col width="14" customWidth="1" min="8" max="8"/>
    <col width="12" customWidth="1" min="9" max="9"/>
    <col width="30" customWidth="1" min="10" max="10"/>
  </cols>
  <sheetData>
    <row r="2">
      <c r="B2" s="318" t="inlineStr">
        <is>
          <t>ОТРАСЛЕВЫЕ БЕНЧМАРКИ (БЕНЧМАРКИ) — РФ vs ГЛОБАЛЬНЫЙ (ГЛОБАЛЬНЫЙ) vs ТрендСтудио</t>
        </is>
      </c>
    </row>
    <row r="4">
      <c r="B4" s="319" t="inlineStr">
        <is>
          <t>KPI (ключевые показатели) по 15 показателям: production, distribution (распределение), финансы, exit</t>
        </is>
      </c>
    </row>
    <row r="6">
      <c r="B6" s="320" t="inlineStr">
        <is>
          <t>I. ОПЕРАЦИОННЫЕ KPI (ключевые показатели)</t>
        </is>
      </c>
    </row>
    <row r="8">
      <c r="B8" s="321" t="inlineStr">
        <is>
          <t>#</t>
        </is>
      </c>
      <c r="C8" s="321" t="inlineStr">
        <is>
          <t>KPI (ключевые показатели)</t>
        </is>
      </c>
      <c r="D8" s="321" t="inlineStr">
        <is>
          <t>Единица</t>
        </is>
      </c>
      <c r="E8" s="321" t="inlineStr">
        <is>
          <t>Global (Голливуд)</t>
        </is>
      </c>
      <c r="F8" s="321" t="inlineStr">
        <is>
          <t>Global (Европа)</t>
        </is>
      </c>
      <c r="G8" s="321" t="inlineStr">
        <is>
          <t>РФ Median</t>
        </is>
      </c>
      <c r="H8" s="321" t="inlineStr">
        <is>
          <t>ТрендСтудио</t>
        </is>
      </c>
      <c r="I8" s="321" t="inlineStr">
        <is>
          <t>Delta vs РФ</t>
        </is>
      </c>
      <c r="J8" s="321" t="inlineStr">
        <is>
          <t>Комментарий</t>
        </is>
      </c>
    </row>
    <row r="9" ht="28" customHeight="1">
      <c r="B9" s="400" t="n">
        <v>1</v>
      </c>
      <c r="C9" s="396" t="inlineStr">
        <is>
          <t>Avg production budget (бюджет)</t>
        </is>
      </c>
      <c r="D9" s="322" t="inlineStr">
        <is>
          <t>млн ₽</t>
        </is>
      </c>
      <c r="E9" s="322" t="inlineStr">
        <is>
          <t>12 000</t>
        </is>
      </c>
      <c r="F9" s="322" t="inlineStr">
        <is>
          <t>3 200</t>
        </is>
      </c>
      <c r="G9" s="402" t="inlineStr">
        <is>
          <t>180</t>
        </is>
      </c>
      <c r="H9" s="403">
        <v>264</v>
      </c>
      <c r="I9" s="322" t="inlineStr">
        <is>
          <t>—</t>
        </is>
      </c>
      <c r="J9" s="404" t="inlineStr">
        <is>
          <t>Укрупнённый mid-budget подход (5 фильмов + 2 сериала)</t>
        </is>
      </c>
    </row>
    <row r="10" ht="28" customHeight="1">
      <c r="B10" s="400" t="n">
        <v>2</v>
      </c>
      <c r="C10" s="396" t="inlineStr">
        <is>
          <t>Количество фильмов в портфеле (Количество фильмов в портфеле)</t>
        </is>
      </c>
      <c r="D10" s="322" t="inlineStr">
        <is>
          <t>шт</t>
        </is>
      </c>
      <c r="E10" s="322" t="inlineStr">
        <is>
          <t>15-25</t>
        </is>
      </c>
      <c r="F10" s="322" t="inlineStr">
        <is>
          <t>8-12</t>
        </is>
      </c>
      <c r="G10" s="402" t="inlineStr">
        <is>
          <t>3-6</t>
        </is>
      </c>
      <c r="H10" s="403" t="inlineStr">
        <is>
          <t>7 (5+2С)</t>
        </is>
      </c>
      <c r="I10" s="322" t="inlineStr">
        <is>
          <t>+17% vs median</t>
        </is>
      </c>
      <c r="J10" s="404" t="inlineStr">
        <is>
          <t>Портфельный подход 7 проектов (5 фильмов + 2 сериала)</t>
        </is>
      </c>
    </row>
    <row r="11" ht="28" customHeight="1">
      <c r="B11" s="400" t="n">
        <v>3</v>
      </c>
      <c r="C11" s="396" t="inlineStr">
        <is>
          <t>Hit rate (доля прибыльных фильмов)</t>
        </is>
      </c>
      <c r="D11" s="322" t="inlineStr">
        <is>
          <t>%</t>
        </is>
      </c>
      <c r="E11" s="322" t="inlineStr">
        <is>
          <t>30-40%</t>
        </is>
      </c>
      <c r="F11" s="322" t="inlineStr">
        <is>
          <t>25-35%</t>
        </is>
      </c>
      <c r="G11" s="402" t="inlineStr">
        <is>
          <t>20-30%</t>
        </is>
      </c>
      <c r="H11" s="403" t="inlineStr">
        <is>
          <t>70%</t>
        </is>
      </c>
      <c r="I11" s="322" t="inlineStr">
        <is>
          <t>+40 пп vs РФ</t>
        </is>
      </c>
      <c r="J11" s="404" t="inlineStr">
        <is>
          <t>Консервативная оценка портфеля</t>
        </is>
      </c>
    </row>
    <row r="12" ht="28" customHeight="1">
      <c r="B12" s="400" t="n">
        <v>4</v>
      </c>
      <c r="C12" s="396" t="inlineStr">
        <is>
          <t>Box-office (кассовые сборы) / budget (бюджет) mult</t>
        </is>
      </c>
      <c r="D12" s="322" t="inlineStr">
        <is>
          <t>×</t>
        </is>
      </c>
      <c r="E12" s="322" t="inlineStr">
        <is>
          <t>2.5-3.5</t>
        </is>
      </c>
      <c r="F12" s="322" t="inlineStr">
        <is>
          <t>1.8-2.5</t>
        </is>
      </c>
      <c r="G12" s="402" t="inlineStr">
        <is>
          <t>1.5-2.2</t>
        </is>
      </c>
      <c r="H12" s="403" t="inlineStr">
        <is>
          <t>3.02×</t>
        </is>
      </c>
      <c r="I12" s="322" t="inlineStr">
        <is>
          <t>+37% vs РФ</t>
        </is>
      </c>
      <c r="J12" s="404" t="inlineStr">
        <is>
          <t>Mid на уровне топ-портфелей</t>
        </is>
      </c>
    </row>
    <row r="13" ht="28" customHeight="1">
      <c r="B13" s="400" t="n">
        <v>5</v>
      </c>
      <c r="C13" s="396" t="inlineStr">
        <is>
          <t>P&amp;A ratio (Коэффициент P&amp;A) to production</t>
        </is>
      </c>
      <c r="D13" s="322" t="inlineStr">
        <is>
          <t>%</t>
        </is>
      </c>
      <c r="E13" s="322" t="inlineStr">
        <is>
          <t>50-100%</t>
        </is>
      </c>
      <c r="F13" s="322" t="inlineStr">
        <is>
          <t>25-50%</t>
        </is>
      </c>
      <c r="G13" s="402" t="inlineStr">
        <is>
          <t>12-18%</t>
        </is>
      </c>
      <c r="H13" s="403" t="inlineStr">
        <is>
          <t>15%</t>
        </is>
      </c>
      <c r="I13" s="322" t="inlineStr">
        <is>
          <t>0 пп</t>
        </is>
      </c>
      <c r="J13" s="404" t="inlineStr">
        <is>
          <t>Медианный уровень РФ</t>
        </is>
      </c>
    </row>
    <row r="14" ht="28" customHeight="1">
      <c r="B14" s="400" t="n">
        <v>6</v>
      </c>
      <c r="C14" s="396" t="inlineStr">
        <is>
          <t>Revenue (Выручка) from box-office (кассовые сборы)</t>
        </is>
      </c>
      <c r="D14" s="322" t="inlineStr">
        <is>
          <t>%</t>
        </is>
      </c>
      <c r="E14" s="322" t="inlineStr">
        <is>
          <t>35-45%</t>
        </is>
      </c>
      <c r="F14" s="322" t="inlineStr">
        <is>
          <t>40-55%</t>
        </is>
      </c>
      <c r="G14" s="402" t="inlineStr">
        <is>
          <t>55-70%</t>
        </is>
      </c>
      <c r="H14" s="403" t="inlineStr">
        <is>
          <t>62%</t>
        </is>
      </c>
      <c r="I14" s="322" t="inlineStr">
        <is>
          <t>+5 пп</t>
        </is>
      </c>
      <c r="J14" s="404" t="inlineStr">
        <is>
          <t>Выше среднего по РФ</t>
        </is>
      </c>
    </row>
    <row r="15" ht="28" customHeight="1">
      <c r="B15" s="400" t="n">
        <v>7</v>
      </c>
      <c r="C15" s="396" t="inlineStr">
        <is>
          <t>Revenue (Выручка) from SVOD (подписной стриминг)/OTT (онлайн-платформа)</t>
        </is>
      </c>
      <c r="D15" s="322" t="inlineStr">
        <is>
          <t>%</t>
        </is>
      </c>
      <c r="E15" s="322" t="inlineStr">
        <is>
          <t>25-35%</t>
        </is>
      </c>
      <c r="F15" s="322" t="inlineStr">
        <is>
          <t>20-30%</t>
        </is>
      </c>
      <c r="G15" s="402" t="inlineStr">
        <is>
          <t>18-25%</t>
        </is>
      </c>
      <c r="H15" s="403" t="inlineStr">
        <is>
          <t>22%</t>
        </is>
      </c>
      <c r="I15" s="322" t="inlineStr">
        <is>
          <t>0 пп</t>
        </is>
      </c>
      <c r="J15" s="404" t="inlineStr">
        <is>
          <t>В пределах отрасли</t>
        </is>
      </c>
    </row>
    <row r="16" ht="28" customHeight="1">
      <c r="B16" s="400" t="n">
        <v>8</v>
      </c>
      <c r="C16" s="396" t="inlineStr">
        <is>
          <t>Revenue (Выручка) from library/tail (хвостовой период)</t>
        </is>
      </c>
      <c r="D16" s="322" t="inlineStr">
        <is>
          <t>%</t>
        </is>
      </c>
      <c r="E16" s="322" t="inlineStr">
        <is>
          <t>15-25%</t>
        </is>
      </c>
      <c r="F16" s="322" t="inlineStr">
        <is>
          <t>15-20%</t>
        </is>
      </c>
      <c r="G16" s="402" t="inlineStr">
        <is>
          <t>10-15%</t>
        </is>
      </c>
      <c r="H16" s="403" t="inlineStr">
        <is>
          <t>16%</t>
        </is>
      </c>
      <c r="I16" s="322" t="inlineStr">
        <is>
          <t>+3 пп</t>
        </is>
      </c>
      <c r="J16" s="404" t="inlineStr">
        <is>
          <t>Растущий компонент</t>
        </is>
      </c>
    </row>
    <row r="19">
      <c r="B19" s="320" t="inlineStr">
        <is>
          <t>II. ФИНАНСОВЫЕ KPI (ключевые показатели)</t>
        </is>
      </c>
    </row>
    <row r="21">
      <c r="B21" s="321" t="inlineStr">
        <is>
          <t>#</t>
        </is>
      </c>
      <c r="C21" s="321" t="inlineStr">
        <is>
          <t>KPI (ключевые показатели)</t>
        </is>
      </c>
      <c r="D21" s="321" t="inlineStr">
        <is>
          <t>Единица</t>
        </is>
      </c>
      <c r="E21" s="321" t="inlineStr">
        <is>
          <t>Global (Голливуд)</t>
        </is>
      </c>
      <c r="F21" s="321" t="inlineStr">
        <is>
          <t>Global (Европа)</t>
        </is>
      </c>
      <c r="G21" s="321" t="inlineStr">
        <is>
          <t>РФ Median</t>
        </is>
      </c>
      <c r="H21" s="321" t="inlineStr">
        <is>
          <t>ТрендСтудио</t>
        </is>
      </c>
      <c r="I21" s="321" t="inlineStr">
        <is>
          <t>Delta vs РФ</t>
        </is>
      </c>
      <c r="J21" s="321" t="inlineStr">
        <is>
          <t>Комментарий</t>
        </is>
      </c>
    </row>
    <row r="22" ht="28" customHeight="1">
      <c r="B22" s="400" t="n">
        <v>1</v>
      </c>
      <c r="C22" s="396" t="inlineStr">
        <is>
          <t>EBITDA (прибыль до вычетов) margin (маржа)</t>
        </is>
      </c>
      <c r="D22" s="322" t="inlineStr">
        <is>
          <t>%</t>
        </is>
      </c>
      <c r="E22" s="322" t="inlineStr">
        <is>
          <t>25-35%</t>
        </is>
      </c>
      <c r="F22" s="322" t="inlineStr">
        <is>
          <t>20-28%</t>
        </is>
      </c>
      <c r="G22" s="402" t="inlineStr">
        <is>
          <t>15-25%</t>
        </is>
      </c>
      <c r="H22" s="403" t="inlineStr">
        <is>
          <t>45.7%</t>
        </is>
      </c>
      <c r="I22" s="322" t="inlineStr">
        <is>
          <t>+21 пп</t>
        </is>
      </c>
      <c r="J22" s="404" t="inlineStr">
        <is>
          <t>Выше отрасли благодаря JV (совместное предприятие)-структуре</t>
        </is>
      </c>
    </row>
    <row r="23" ht="28" customHeight="1">
      <c r="B23" s="400" t="n">
        <v>2</v>
      </c>
      <c r="C23" s="396" t="inlineStr">
        <is>
          <t>Net Profit (Чистая прибыль) margin (маржа)</t>
        </is>
      </c>
      <c r="D23" s="322" t="inlineStr">
        <is>
          <t>%</t>
        </is>
      </c>
      <c r="E23" s="322" t="inlineStr">
        <is>
          <t>10-18%</t>
        </is>
      </c>
      <c r="F23" s="322" t="inlineStr">
        <is>
          <t>8-15%</t>
        </is>
      </c>
      <c r="G23" s="402" t="inlineStr">
        <is>
          <t>7-12%</t>
        </is>
      </c>
      <c r="H23" s="403" t="inlineStr">
        <is>
          <t>34.9%</t>
        </is>
      </c>
      <c r="I23" s="322" t="inlineStr">
        <is>
          <t>+25 пп</t>
        </is>
      </c>
      <c r="J23" s="404" t="inlineStr">
        <is>
          <t>Снижен v3-02 из-за ВКЛ interest (28 млн/3Y); агрессивно-высокий уровень</t>
        </is>
      </c>
    </row>
    <row r="24" ht="28" customHeight="1">
      <c r="B24" s="400" t="n">
        <v>3</v>
      </c>
      <c r="C24" s="396" t="inlineStr">
        <is>
          <t>Operating margin (маржа)</t>
        </is>
      </c>
      <c r="D24" s="322" t="inlineStr">
        <is>
          <t>%</t>
        </is>
      </c>
      <c r="E24" s="322" t="inlineStr">
        <is>
          <t>18-25%</t>
        </is>
      </c>
      <c r="F24" s="322" t="inlineStr">
        <is>
          <t>15-22%</t>
        </is>
      </c>
      <c r="G24" s="402" t="inlineStr">
        <is>
          <t>12-18%</t>
        </is>
      </c>
      <c r="H24" s="403" t="inlineStr">
        <is>
          <t>39%</t>
        </is>
      </c>
      <c r="I24" s="322" t="inlineStr">
        <is>
          <t>+24 пп</t>
        </is>
      </c>
      <c r="J24" s="404" t="inlineStr">
        <is>
          <t>Лёгкая операционная структура</t>
        </is>
      </c>
    </row>
    <row r="25" ht="28" customHeight="1">
      <c r="B25" s="400" t="n">
        <v>4</v>
      </c>
      <c r="C25" s="396" t="inlineStr">
        <is>
          <t>COGS (себестоимость) / Revenue (Выручка)</t>
        </is>
      </c>
      <c r="D25" s="322" t="inlineStr">
        <is>
          <t>%</t>
        </is>
      </c>
      <c r="E25" s="322" t="inlineStr">
        <is>
          <t>55-65%</t>
        </is>
      </c>
      <c r="F25" s="322" t="inlineStr">
        <is>
          <t>60-70%</t>
        </is>
      </c>
      <c r="G25" s="402" t="inlineStr">
        <is>
          <t>65-75%</t>
        </is>
      </c>
      <c r="H25" s="403" t="inlineStr">
        <is>
          <t>46.2%</t>
        </is>
      </c>
      <c r="I25" s="322" t="inlineStr">
        <is>
          <t>−24 пп</t>
        </is>
      </c>
      <c r="J25" s="404" t="inlineStr">
        <is>
          <t>Высокая эффективность COGS (себестоимость)</t>
        </is>
      </c>
    </row>
    <row r="26" ht="28" customHeight="1">
      <c r="B26" s="400" t="n">
        <v>5</v>
      </c>
      <c r="C26" s="396" t="inlineStr">
        <is>
          <t>OpEx / Revenue (Выручка)</t>
        </is>
      </c>
      <c r="D26" s="322" t="inlineStr">
        <is>
          <t>%</t>
        </is>
      </c>
      <c r="E26" s="322" t="inlineStr">
        <is>
          <t>8-12%</t>
        </is>
      </c>
      <c r="F26" s="322" t="inlineStr">
        <is>
          <t>10-15%</t>
        </is>
      </c>
      <c r="G26" s="402" t="inlineStr">
        <is>
          <t>12-18%</t>
        </is>
      </c>
      <c r="H26" s="403" t="inlineStr">
        <is>
          <t>5.8%</t>
        </is>
      </c>
      <c r="I26" s="322" t="inlineStr">
        <is>
          <t>−9 пп</t>
        </is>
      </c>
      <c r="J26" s="404" t="inlineStr">
        <is>
          <t>Lean организация</t>
        </is>
      </c>
    </row>
    <row r="27" ht="28" customHeight="1">
      <c r="B27" s="400" t="n">
        <v>6</v>
      </c>
      <c r="C27" s="396" t="inlineStr">
        <is>
          <t>D&amp;A (амортизация) / Revenue (Выручка)</t>
        </is>
      </c>
      <c r="D27" s="322" t="inlineStr">
        <is>
          <t>%</t>
        </is>
      </c>
      <c r="E27" s="322" t="inlineStr">
        <is>
          <t>3-5%</t>
        </is>
      </c>
      <c r="F27" s="322" t="inlineStr">
        <is>
          <t>3-5%</t>
        </is>
      </c>
      <c r="G27" s="402" t="inlineStr">
        <is>
          <t>3-6%</t>
        </is>
      </c>
      <c r="H27" s="403" t="inlineStr">
        <is>
          <t>0.2%</t>
        </is>
      </c>
      <c r="I27" s="322" t="inlineStr">
        <is>
          <t>−5 пп</t>
        </is>
      </c>
      <c r="J27" s="404" t="inlineStr">
        <is>
          <t>Производственный режим, D&amp;A (амортизация) минимален</t>
        </is>
      </c>
    </row>
    <row r="28" ht="28" customHeight="1">
      <c r="B28" s="400" t="n">
        <v>7</v>
      </c>
      <c r="C28" s="396" t="inlineStr">
        <is>
          <t>Cash (Денежные средства) conversion ratio</t>
        </is>
      </c>
      <c r="D28" s="322" t="inlineStr">
        <is>
          <t>%</t>
        </is>
      </c>
      <c r="E28" s="322" t="inlineStr">
        <is>
          <t>85-95%</t>
        </is>
      </c>
      <c r="F28" s="322" t="inlineStr">
        <is>
          <t>80-90%</t>
        </is>
      </c>
      <c r="G28" s="402" t="inlineStr">
        <is>
          <t>70-85%</t>
        </is>
      </c>
      <c r="H28" s="403" t="inlineStr">
        <is>
          <t>78%</t>
        </is>
      </c>
      <c r="I28" s="322" t="inlineStr">
        <is>
          <t>+1 пп</t>
        </is>
      </c>
      <c r="J28" s="404" t="inlineStr">
        <is>
          <t>Зависит от графика P&amp;A (тиражирование и реклама)</t>
        </is>
      </c>
    </row>
    <row r="31">
      <c r="B31" s="320" t="inlineStr">
        <is>
          <t>III. VALUATION (ОЦЕНКА) MULTIPLES</t>
        </is>
      </c>
    </row>
    <row r="33">
      <c r="B33" s="321" t="inlineStr">
        <is>
          <t>#</t>
        </is>
      </c>
      <c r="C33" s="321" t="inlineStr">
        <is>
          <t>Мультипл</t>
        </is>
      </c>
      <c r="D33" s="321" t="inlineStr">
        <is>
          <t>Global (Голливуд)</t>
        </is>
      </c>
      <c r="E33" s="321" t="inlineStr">
        <is>
          <t>Global (Европа)</t>
        </is>
      </c>
      <c r="F33" s="321" t="inlineStr">
        <is>
          <t>РФ Median</t>
        </is>
      </c>
      <c r="G33" s="321" t="inlineStr">
        <is>
          <t>Применимость для ТрендСтудио</t>
        </is>
      </c>
    </row>
    <row r="34" ht="28" customHeight="1">
      <c r="B34" s="400" t="n">
        <v>1</v>
      </c>
      <c r="C34" s="396" t="inlineStr">
        <is>
          <t>EV (стоимость предприятия) / Revenue (Выручка) (LTM)</t>
        </is>
      </c>
      <c r="D34" s="322" t="inlineStr">
        <is>
          <t>2.5-4.0×</t>
        </is>
      </c>
      <c r="E34" s="322" t="inlineStr">
        <is>
          <t>1.8-2.8×</t>
        </is>
      </c>
      <c r="F34" s="402" t="inlineStr">
        <is>
          <t>1.5-2.5×</t>
        </is>
      </c>
      <c r="G34" s="404" t="inlineStr">
        <is>
          <t>Применим для pre-IPO; dual-year S32: EV/Rev 2.2–2.5× → Implied EV 2 640–4 950 (после 20% дисконта)</t>
        </is>
      </c>
    </row>
    <row r="35" ht="28" customHeight="1">
      <c r="B35" s="400" t="n">
        <v>2</v>
      </c>
      <c r="C35" s="396" t="inlineStr">
        <is>
          <t>EV (стоимость предприятия) / EBITDA (прибыль до вычетов) (LTM)</t>
        </is>
      </c>
      <c r="D35" s="322" t="inlineStr">
        <is>
          <t>8-12×</t>
        </is>
      </c>
      <c r="E35" s="322" t="inlineStr">
        <is>
          <t>6-9×</t>
        </is>
      </c>
      <c r="F35" s="402" t="inlineStr">
        <is>
          <t>5-7×</t>
        </is>
      </c>
      <c r="G35" s="404" t="inlineStr">
        <is>
          <t>База для exit valuation; dual-year S32: EV/EBITDA 8.0× → Implied EV 4 516–8 053 (после 20% дисконта); midpoint 5 202</t>
        </is>
      </c>
    </row>
    <row r="36" ht="28" customHeight="1">
      <c r="B36" s="400" t="n">
        <v>3</v>
      </c>
      <c r="C36" s="396" t="inlineStr">
        <is>
          <t>EV (стоимость предприятия) / EBITDA (прибыль до вычетов) (forward)</t>
        </is>
      </c>
      <c r="D36" s="322" t="inlineStr">
        <is>
          <t>6-10×</t>
        </is>
      </c>
      <c r="E36" s="322" t="inlineStr">
        <is>
          <t>5-7×</t>
        </is>
      </c>
      <c r="F36" s="402" t="inlineStr">
        <is>
          <t>4-6×</t>
        </is>
      </c>
      <c r="G36" s="404" t="inlineStr">
        <is>
          <t>Дисконт 15-20% из-за execution risk; dual-year FY2027 peak EBITDA 1 258 → forward EV до 10 067 (pre-discount); FY2028 EBITDA 614.39 (two-tier GM)</t>
        </is>
      </c>
    </row>
    <row r="37" ht="28" customHeight="1">
      <c r="B37" s="400" t="n">
        <v>4</v>
      </c>
      <c r="C37" s="396" t="inlineStr">
        <is>
          <t>P / E (Net Profit (Чистая прибыль))</t>
        </is>
      </c>
      <c r="D37" s="322" t="inlineStr">
        <is>
          <t>15-25×</t>
        </is>
      </c>
      <c r="E37" s="322" t="inlineStr">
        <is>
          <t>12-18×</t>
        </is>
      </c>
      <c r="F37" s="402" t="inlineStr">
        <is>
          <t>8-15×</t>
        </is>
      </c>
      <c r="G37" s="404" t="inlineStr">
        <is>
          <t>Применим при IPO (первичное размещение) готовности, 10-12×</t>
        </is>
      </c>
    </row>
    <row r="38" ht="28" customHeight="1">
      <c r="B38" s="400" t="n">
        <v>5</v>
      </c>
      <c r="C38" s="396" t="inlineStr">
        <is>
          <t>EV (стоимость предприятия) / Subscriber (SVOD (подписной стриминг))</t>
        </is>
      </c>
      <c r="D38" s="322" t="inlineStr">
        <is>
          <t>$600-1200</t>
        </is>
      </c>
      <c r="E38" s="322" t="inlineStr">
        <is>
          <t>$400-800</t>
        </is>
      </c>
      <c r="F38" s="402" t="inlineStr">
        <is>
          <t>$200-500</t>
        </is>
      </c>
      <c r="G38" s="404" t="inlineStr">
        <is>
          <t>Не применимо — не SVOD (подписной стриминг) модель</t>
        </is>
      </c>
    </row>
    <row r="39" ht="28" customHeight="1">
      <c r="B39" s="400" t="n">
        <v>6</v>
      </c>
      <c r="C39" s="396" t="inlineStr">
        <is>
          <t>EV (стоимость предприятия) / Library catalogue</t>
        </is>
      </c>
      <c r="D39" s="322" t="inlineStr">
        <is>
          <t>1.5-3.5×</t>
        </is>
      </c>
      <c r="E39" s="322" t="inlineStr">
        <is>
          <t>1.2-2.5×</t>
        </is>
      </c>
      <c r="F39" s="402" t="inlineStr">
        <is>
          <t>1.0-2.0×</t>
        </is>
      </c>
      <c r="G39" s="404" t="inlineStr">
        <is>
          <t>Долгосрочный value driver</t>
        </is>
      </c>
    </row>
    <row r="42">
      <c r="B42" s="320" t="inlineStr">
        <is>
          <t>IV.  ИТОГИ ПОЗИЦИОНИРОВАНИЯ (ИТОГИ ПОЗИЦИОНИРОВАНИЯ)</t>
        </is>
      </c>
    </row>
    <row r="44">
      <c r="B44" s="405" t="inlineStr">
        <is>
          <t>Сильные стороны</t>
        </is>
      </c>
      <c r="C44" s="186"/>
      <c r="D44" s="186"/>
      <c r="E44" s="186"/>
      <c r="F44" s="186"/>
      <c r="G44" s="186"/>
      <c r="H44" s="186"/>
      <c r="I44" s="186"/>
      <c r="J44" s="187"/>
    </row>
    <row r="45">
      <c r="B45" s="323" t="inlineStr">
        <is>
          <t>  • EBITDA margin 45.7% (vs РФ median 20%) — структурное преимущество JV-модели; two-tier GM (Films 55.8%, Series 47%); Implied EV dual-year 5,202 млн ₽ (S32)</t>
        </is>
      </c>
      <c r="C45" s="186"/>
      <c r="D45" s="186"/>
      <c r="E45" s="186"/>
      <c r="F45" s="186"/>
      <c r="G45" s="186"/>
      <c r="H45" s="186"/>
      <c r="I45" s="186"/>
      <c r="J45" s="187"/>
    </row>
    <row r="46">
      <c r="B46" s="323" t="inlineStr">
        <is>
          <t xml:space="preserve">  • Box-office (кассовые сборы)/budget (бюджет) 3.02× — на уровне топ-квартиля европейских студий</t>
        </is>
      </c>
      <c r="C46" s="186"/>
      <c r="D46" s="186"/>
      <c r="E46" s="186"/>
      <c r="F46" s="186"/>
      <c r="G46" s="186"/>
      <c r="H46" s="186"/>
      <c r="I46" s="186"/>
      <c r="J46" s="187"/>
    </row>
    <row r="47">
      <c r="B47" s="323" t="inlineStr">
        <is>
          <t xml:space="preserve">  • Портфельный подход 7 проектов — диверсификация рисков slate</t>
        </is>
      </c>
      <c r="C47" s="186"/>
      <c r="D47" s="186"/>
      <c r="E47" s="186"/>
      <c r="F47" s="186"/>
      <c r="G47" s="186"/>
      <c r="H47" s="186"/>
      <c r="I47" s="186"/>
      <c r="J47" s="187"/>
    </row>
    <row r="48">
      <c r="B48" s="323" t="inlineStr">
        <is>
          <t>  • Lean cost structure: COGS (себестоимость) 46.2%, OpEx 5.8%, ВКЛ interest 0.6% — ниже отрасли</t>
        </is>
      </c>
      <c r="C48" s="186"/>
      <c r="D48" s="186"/>
      <c r="E48" s="186"/>
      <c r="F48" s="186"/>
      <c r="G48" s="186"/>
      <c r="H48" s="186"/>
      <c r="I48" s="186"/>
      <c r="J48" s="187"/>
    </row>
    <row r="50">
      <c r="B50" s="406" t="inlineStr">
        <is>
          <t>Нейтральные зоны</t>
        </is>
      </c>
      <c r="C50" s="186"/>
      <c r="D50" s="186"/>
      <c r="E50" s="186"/>
      <c r="F50" s="186"/>
      <c r="G50" s="186"/>
      <c r="H50" s="186"/>
      <c r="I50" s="186"/>
      <c r="J50" s="187"/>
    </row>
    <row r="51">
      <c r="B51" s="323" t="inlineStr">
        <is>
          <t xml:space="preserve">  • P&amp;A ratio (Коэффициент P&amp;A) 15% — медианный уровень, оставляет место для upside</t>
        </is>
      </c>
      <c r="C51" s="186"/>
      <c r="D51" s="186"/>
      <c r="E51" s="186"/>
      <c r="F51" s="186"/>
      <c r="G51" s="186"/>
      <c r="H51" s="186"/>
      <c r="I51" s="186"/>
      <c r="J51" s="187"/>
    </row>
    <row r="52">
      <c r="B52" s="323" t="inlineStr">
        <is>
          <t xml:space="preserve">  • Cash (Денежные средства) conversion 78% — зависит от графика рекламы, можно улучшить до 85%</t>
        </is>
      </c>
      <c r="C52" s="186"/>
      <c r="D52" s="186"/>
      <c r="E52" s="186"/>
      <c r="F52" s="186"/>
      <c r="G52" s="186"/>
      <c r="H52" s="186"/>
      <c r="I52" s="186"/>
      <c r="J52" s="187"/>
    </row>
    <row r="53">
      <c r="B53" s="323" t="inlineStr">
        <is>
          <t xml:space="preserve">  • Revenue (Выручка) mix 62/22/16 — сбалансированная структура</t>
        </is>
      </c>
      <c r="C53" s="186"/>
      <c r="D53" s="186"/>
      <c r="E53" s="186"/>
      <c r="F53" s="186"/>
      <c r="G53" s="186"/>
      <c r="H53" s="186"/>
      <c r="I53" s="186"/>
      <c r="J53" s="187"/>
    </row>
    <row r="55">
      <c r="B55" s="407" t="inlineStr">
        <is>
          <t>Зоны внимания</t>
        </is>
      </c>
      <c r="C55" s="186"/>
      <c r="D55" s="186"/>
      <c r="E55" s="186"/>
      <c r="F55" s="186"/>
      <c r="G55" s="186"/>
      <c r="H55" s="186"/>
      <c r="I55" s="186"/>
      <c r="J55" s="187"/>
    </row>
    <row r="56">
      <c r="B56" s="323" t="inlineStr">
        <is>
          <t xml:space="preserve">  • Pre-revenue статус — нет исторического track record (highest execution risk)</t>
        </is>
      </c>
      <c r="C56" s="186"/>
      <c r="D56" s="186"/>
      <c r="E56" s="186"/>
      <c r="F56" s="186"/>
      <c r="G56" s="186"/>
      <c r="H56" s="186"/>
      <c r="I56" s="186"/>
      <c r="J56" s="187"/>
    </row>
    <row r="57">
      <c r="B57" s="323" t="inlineStr">
        <is>
          <t>  • Avg budget 264 млн ₽ — mid-tier, укрупнение (7 проектов vs old 12); потенциал box-office выше на единицу</t>
        </is>
      </c>
      <c r="C57" s="186"/>
      <c r="D57" s="186"/>
      <c r="E57" s="186"/>
      <c r="F57" s="186"/>
      <c r="G57" s="186"/>
      <c r="H57" s="186"/>
      <c r="I57" s="186"/>
      <c r="J57" s="187"/>
    </row>
    <row r="58">
      <c r="B58" s="323" t="inlineStr">
        <is>
          <t xml:space="preserve">  • D&amp;A (амортизация) минимальный — не отражает инвестиции в IP, которые должны капитализироваться</t>
        </is>
      </c>
      <c r="C58" s="186"/>
      <c r="D58" s="186"/>
      <c r="E58" s="186"/>
      <c r="F58" s="186"/>
      <c r="G58" s="186"/>
      <c r="H58" s="186"/>
      <c r="I58" s="186"/>
      <c r="J58" s="187"/>
    </row>
  </sheetData>
  <mergeCells count="15">
    <mergeCell ref="B51:J51"/>
    <mergeCell ref="B45:J45"/>
    <mergeCell ref="B46:J46"/>
    <mergeCell ref="B2:I2"/>
    <mergeCell ref="B47:J47"/>
    <mergeCell ref="B50:J50"/>
    <mergeCell ref="B56:J56"/>
    <mergeCell ref="B57:J57"/>
    <mergeCell ref="B53:J53"/>
    <mergeCell ref="B58:J58"/>
    <mergeCell ref="B44:J44"/>
    <mergeCell ref="B55:J55"/>
    <mergeCell ref="B52:J52"/>
    <mergeCell ref="B4:I4"/>
    <mergeCell ref="B48:J4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K7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1" customWidth="1" min="8" max="8"/>
    <col width="10" customWidth="1" min="9" max="9"/>
    <col width="14" customWidth="1" min="10" max="10"/>
    <col width="35" customWidth="1" min="11" max="11"/>
  </cols>
  <sheetData>
    <row r="2">
      <c r="B2" s="318" t="inlineStr">
        <is>
          <t>COMPARABLE TRANSACTIONS (СОПОСТАВИМЫЕ СДЕЛКИ) — M&amp;A (слияния и поглощения) PRECEDENTS 2018-2025</t>
        </is>
      </c>
    </row>
    <row r="4">
      <c r="B4" s="319" t="inlineStr">
        <is>
          <t>Сделки в киноиндустрии РФ и мир. Мультипликаторы, структура, выводы для exit ТрендСтудио</t>
        </is>
      </c>
    </row>
    <row r="6">
      <c r="B6" s="320" t="inlineStr">
        <is>
          <t>I. M&amp;A (слияния и поглощения) СДЕЛКИ В РФ КИНОИНДУСТРИИ 2018–2025</t>
        </is>
      </c>
    </row>
    <row r="8">
      <c r="B8" s="321" t="inlineStr">
        <is>
          <t>#</t>
        </is>
      </c>
      <c r="C8" s="321" t="inlineStr">
        <is>
          <t>Год</t>
        </is>
      </c>
      <c r="D8" s="321" t="inlineStr">
        <is>
          <t>Target </t>
        </is>
      </c>
      <c r="E8" s="321" t="inlineStr">
        <is>
          <t>Acquirer (Покупатель)</t>
        </is>
      </c>
      <c r="F8" s="321" t="inlineStr">
        <is>
          <t>Deal size (Размер сделки)</t>
        </is>
      </c>
      <c r="G8" s="321" t="inlineStr">
        <is>
          <t>EV (стоимость предприятия)/Revenue (Выручка)</t>
        </is>
      </c>
      <c r="H8" s="321" t="inlineStr">
        <is>
          <t>EV (стоимость предприятия)/EBITDA (прибыль до вычетов)</t>
        </is>
      </c>
      <c r="I8" s="321" t="inlineStr">
        <is>
          <t>Stake (Доля)</t>
        </is>
      </c>
      <c r="J8" s="321" t="inlineStr">
        <is>
          <t>Type (Тип)</t>
        </is>
      </c>
      <c r="K8" s="321" t="inlineStr">
        <is>
          <t>Комментарий</t>
        </is>
      </c>
    </row>
    <row r="9" ht="32" customHeight="1">
      <c r="B9" s="400" t="n">
        <v>1</v>
      </c>
      <c r="C9" s="322" t="n">
        <v>2018</v>
      </c>
      <c r="D9" s="323" t="inlineStr">
        <is>
          <t>ivi</t>
        </is>
      </c>
      <c r="E9" s="323" t="inlineStr">
        <is>
          <t>Альфа (miner SeqoiaCapital)</t>
        </is>
      </c>
      <c r="F9" s="408" t="n">
        <v>9.5</v>
      </c>
      <c r="G9" s="322" t="n">
        <v>2.8</v>
      </c>
      <c r="H9" s="322" t="inlineStr">
        <is>
          <t>—</t>
        </is>
      </c>
      <c r="I9" s="322" t="inlineStr">
        <is>
          <t>15%</t>
        </is>
      </c>
      <c r="J9" s="322" t="inlineStr">
        <is>
          <t>Minority (Миноритарный)</t>
        </is>
      </c>
      <c r="K9" s="404" t="inlineStr">
        <is>
          <t>Pre-IPO (первичное размещение) раунд с прицелом на NASDAQ</t>
        </is>
      </c>
    </row>
    <row r="10" ht="32" customHeight="1">
      <c r="B10" s="400" t="n">
        <v>2</v>
      </c>
      <c r="C10" s="322" t="n">
        <v>2019</v>
      </c>
      <c r="D10" s="323" t="inlineStr">
        <is>
          <t>Okko</t>
        </is>
      </c>
      <c r="E10" s="323" t="inlineStr">
        <is>
          <t>Rambler → Сбер</t>
        </is>
      </c>
      <c r="F10" s="408" t="n">
        <v>8</v>
      </c>
      <c r="G10" s="322" t="n">
        <v>3.1</v>
      </c>
      <c r="H10" s="322" t="inlineStr">
        <is>
          <t>—</t>
        </is>
      </c>
      <c r="I10" s="322" t="inlineStr">
        <is>
          <t>100%</t>
        </is>
      </c>
      <c r="J10" s="322" t="inlineStr">
        <is>
          <t>Control (Контроль)</t>
        </is>
      </c>
      <c r="K10" s="404" t="inlineStr">
        <is>
          <t>Полный выкуп Окко Сбербанком в рамках экосистемы</t>
        </is>
      </c>
    </row>
    <row r="11" ht="32" customHeight="1">
      <c r="B11" s="400" t="n">
        <v>3</v>
      </c>
      <c r="C11" s="322" t="n">
        <v>2020</v>
      </c>
      <c r="D11" s="323" t="inlineStr">
        <is>
          <t>START (СТАРТ)</t>
        </is>
      </c>
      <c r="E11" s="323" t="inlineStr">
        <is>
          <t>Sigma Capital (Капитал) + основатели</t>
        </is>
      </c>
      <c r="F11" s="408" t="n">
        <v>3.5</v>
      </c>
      <c r="G11" s="322" t="n">
        <v>2.4</v>
      </c>
      <c r="H11" s="322" t="n">
        <v>9.5</v>
      </c>
      <c r="I11" s="322" t="inlineStr">
        <is>
          <t>25%</t>
        </is>
      </c>
      <c r="J11" s="322" t="inlineStr">
        <is>
          <t>Growth equity (доля в капитале)</t>
        </is>
      </c>
      <c r="K11" s="404" t="inlineStr">
        <is>
          <t>Раунд на развитие оригинального контента</t>
        </is>
      </c>
    </row>
    <row r="12" ht="32" customHeight="1">
      <c r="B12" s="400" t="n">
        <v>4</v>
      </c>
      <c r="C12" s="322" t="n">
        <v>2021</v>
      </c>
      <c r="D12" s="323" t="inlineStr">
        <is>
          <t>Premier (Премьера)</t>
        </is>
      </c>
      <c r="E12" s="323" t="inlineStr">
        <is>
          <t>Газпром-медиа (internal)</t>
        </is>
      </c>
      <c r="F12" s="408" t="n">
        <v>5</v>
      </c>
      <c r="G12" s="322" t="n">
        <v>2</v>
      </c>
      <c r="H12" s="322" t="n">
        <v>8.199999999999999</v>
      </c>
      <c r="I12" s="322" t="inlineStr">
        <is>
          <t>100%</t>
        </is>
      </c>
      <c r="J12" s="322" t="inlineStr">
        <is>
          <t>Internal (Внутренний) consolidation (Внутренняя консолидация)</t>
        </is>
      </c>
      <c r="K12" s="404" t="inlineStr">
        <is>
          <t>Консолидация внутри группы ГПМ</t>
        </is>
      </c>
    </row>
    <row r="13" ht="32" customHeight="1">
      <c r="B13" s="400" t="n">
        <v>5</v>
      </c>
      <c r="C13" s="322" t="n">
        <v>2022</v>
      </c>
      <c r="D13" s="323" t="inlineStr">
        <is>
          <t>Kinopoisk</t>
        </is>
      </c>
      <c r="E13" s="323" t="inlineStr">
        <is>
          <t>Яндекс (internal)</t>
        </is>
      </c>
      <c r="F13" s="408" t="n">
        <v>12</v>
      </c>
      <c r="G13" s="322" t="n">
        <v>2.5</v>
      </c>
      <c r="H13" s="322" t="n">
        <v>9.800000000000001</v>
      </c>
      <c r="I13" s="322" t="inlineStr">
        <is>
          <t>100%</t>
        </is>
      </c>
      <c r="J13" s="322" t="inlineStr">
        <is>
          <t>Strategic (Стратегический)</t>
        </is>
      </c>
      <c r="K13" s="404" t="inlineStr">
        <is>
          <t>Усиление позиций после ухода мейджоров</t>
        </is>
      </c>
    </row>
    <row r="14" ht="32" customHeight="1">
      <c r="B14" s="400" t="n">
        <v>6</v>
      </c>
      <c r="C14" s="322" t="n">
        <v>2023</v>
      </c>
      <c r="D14" s="323" t="inlineStr">
        <is>
          <t>Амедиатека (библиотека)</t>
        </is>
      </c>
      <c r="E14" s="323" t="inlineStr">
        <is>
          <t>Новая Амедиатека / инвест-фонд</t>
        </is>
      </c>
      <c r="F14" s="408" t="n">
        <v>2.2</v>
      </c>
      <c r="G14" s="322" t="n">
        <v>1.8</v>
      </c>
      <c r="H14" s="322" t="n">
        <v>6.5</v>
      </c>
      <c r="I14" s="322" t="inlineStr">
        <is>
          <t>100%</t>
        </is>
      </c>
      <c r="J14" s="322" t="inlineStr">
        <is>
          <t>Library deal (Сделка по библиотеке)</t>
        </is>
      </c>
      <c r="K14" s="404" t="inlineStr">
        <is>
          <t>Выкуп библиотеки у HBO после отключения</t>
        </is>
      </c>
    </row>
    <row r="15" ht="32" customHeight="1">
      <c r="B15" s="400" t="n">
        <v>7</v>
      </c>
      <c r="C15" s="322" t="n">
        <v>2023</v>
      </c>
      <c r="D15" s="323" t="inlineStr">
        <is>
          <t>Иви (доп. раунд)</t>
        </is>
      </c>
      <c r="E15" s="323" t="inlineStr">
        <is>
          <t>Российские институциональные инвесторы</t>
        </is>
      </c>
      <c r="F15" s="408" t="n">
        <v>4.5</v>
      </c>
      <c r="G15" s="322" t="n">
        <v>2.2</v>
      </c>
      <c r="H15" s="322" t="n">
        <v>7.5</v>
      </c>
      <c r="I15" s="322" t="inlineStr">
        <is>
          <t>20%</t>
        </is>
      </c>
      <c r="J15" s="322" t="inlineStr">
        <is>
          <t>Pre-IPO (первичное размещение)</t>
        </is>
      </c>
      <c r="K15" s="404" t="inlineStr">
        <is>
          <t>Внутренняя переоценка под новый рынок</t>
        </is>
      </c>
    </row>
    <row r="16" ht="32" customHeight="1">
      <c r="B16" s="400" t="n">
        <v>8</v>
      </c>
      <c r="C16" s="322" t="n">
        <v>2024</v>
      </c>
      <c r="D16" s="323" t="inlineStr">
        <is>
          <t>Студия «Водород»</t>
        </is>
      </c>
      <c r="E16" s="323" t="inlineStr">
        <is>
          <t>Партнёры (МБА + РФПИ)</t>
        </is>
      </c>
      <c r="F16" s="408" t="n">
        <v>1.8</v>
      </c>
      <c r="G16" s="322" t="n">
        <v>2.7</v>
      </c>
      <c r="H16" s="322" t="n">
        <v>8</v>
      </c>
      <c r="I16" s="322" t="inlineStr">
        <is>
          <t>40%</t>
        </is>
      </c>
      <c r="J16" s="322" t="inlineStr">
        <is>
          <t>Growth (Рост)</t>
        </is>
      </c>
      <c r="K16" s="404" t="inlineStr">
        <is>
          <t>Премиум-контент для Kinopoisk/Okko</t>
        </is>
      </c>
    </row>
    <row r="17" ht="32" customHeight="1">
      <c r="B17" s="400" t="n">
        <v>9</v>
      </c>
      <c r="C17" s="322" t="n">
        <v>2024</v>
      </c>
      <c r="D17" s="323" t="inlineStr">
        <is>
          <t>VK Видео (реструктуризация)</t>
        </is>
      </c>
      <c r="E17" s="323" t="inlineStr">
        <is>
          <t>ВК / госучастие</t>
        </is>
      </c>
      <c r="F17" s="408" t="n">
        <v>6</v>
      </c>
      <c r="G17" s="322" t="n">
        <v>1.9</v>
      </c>
      <c r="H17" s="322" t="n">
        <v>7</v>
      </c>
      <c r="I17" s="322" t="inlineStr">
        <is>
          <t>100%</t>
        </is>
      </c>
      <c r="J17" s="322" t="inlineStr">
        <is>
          <t>Strategic (Стратегический)</t>
        </is>
      </c>
      <c r="K17" s="404" t="inlineStr">
        <is>
          <t>Слияние AVOD (рекламный стриминг)-активов под единый бренд</t>
        </is>
      </c>
    </row>
    <row r="18" ht="32" customHeight="1">
      <c r="B18" s="400" t="n">
        <v>10</v>
      </c>
      <c r="C18" s="322" t="n">
        <v>2025</v>
      </c>
      <c r="D18" s="323" t="inlineStr">
        <is>
          <t>1-2-3 Production</t>
        </is>
      </c>
      <c r="E18" s="323" t="inlineStr">
        <is>
          <t>Стратегический инвестор</t>
        </is>
      </c>
      <c r="F18" s="408" t="n">
        <v>3</v>
      </c>
      <c r="G18" s="322" t="n">
        <v>2.5</v>
      </c>
      <c r="H18" s="322" t="n">
        <v>7.8</v>
      </c>
      <c r="I18" s="322" t="inlineStr">
        <is>
          <t>51%</t>
        </is>
      </c>
      <c r="J18" s="322" t="inlineStr">
        <is>
          <t>Control (Контроль)</t>
        </is>
      </c>
      <c r="K18" s="404" t="inlineStr">
        <is>
          <t>Выкуп контрольного пакета производителя сериалов</t>
        </is>
      </c>
    </row>
    <row r="19">
      <c r="B19" s="365" t="inlineStr">
        <is>
          <t>МЕДИАНА РФ</t>
        </is>
      </c>
      <c r="C19" s="186"/>
      <c r="D19" s="186"/>
      <c r="E19" s="186"/>
      <c r="F19" s="187"/>
      <c r="G19" s="409" t="n">
        <v>2.5</v>
      </c>
      <c r="H19" s="409" t="n">
        <v>8</v>
      </c>
    </row>
    <row r="21">
      <c r="B21" s="320" t="inlineStr">
        <is>
          <t>II. ГЛОБАЛЬНЫЙ (ГЛОБАЛЬНЫЙ) M&amp;A (слияния и поглощения) PRECEDENTS</t>
        </is>
      </c>
    </row>
    <row r="23">
      <c r="B23" s="321" t="inlineStr">
        <is>
          <t>#</t>
        </is>
      </c>
      <c r="C23" s="321" t="inlineStr">
        <is>
          <t>Год</t>
        </is>
      </c>
      <c r="D23" s="321" t="inlineStr">
        <is>
          <t>Target </t>
        </is>
      </c>
      <c r="E23" s="321" t="inlineStr">
        <is>
          <t>Acquirer (Покупатель)</t>
        </is>
      </c>
      <c r="F23" s="321" t="inlineStr">
        <is>
          <t>Deal size (Размер сделки) ($ млрд)</t>
        </is>
      </c>
      <c r="G23" s="321" t="inlineStr">
        <is>
          <t>EV (стоимость предприятия)/Revenue (Выручка)</t>
        </is>
      </c>
      <c r="H23" s="321" t="inlineStr">
        <is>
          <t>EV (стоимость предприятия)/EBITDA (прибыль до вычетов)</t>
        </is>
      </c>
      <c r="I23" s="321" t="inlineStr">
        <is>
          <t>Stake (Доля)</t>
        </is>
      </c>
      <c r="J23" s="321" t="inlineStr">
        <is>
          <t>Type (Тип)</t>
        </is>
      </c>
      <c r="K23" s="321" t="inlineStr">
        <is>
          <t>Комментарий</t>
        </is>
      </c>
    </row>
    <row r="24" ht="32" customHeight="1">
      <c r="B24" s="400" t="n">
        <v>1</v>
      </c>
      <c r="C24" s="322" t="n">
        <v>2018</v>
      </c>
      <c r="D24" s="323" t="inlineStr">
        <is>
          <t>21st Century Fox</t>
        </is>
      </c>
      <c r="E24" s="323" t="inlineStr">
        <is>
          <t>Disney</t>
        </is>
      </c>
      <c r="F24" s="408" t="n">
        <v>71.3</v>
      </c>
      <c r="G24" s="322" t="n">
        <v>3.1</v>
      </c>
      <c r="H24" s="322" t="n">
        <v>13.5</v>
      </c>
      <c r="I24" s="322" t="inlineStr">
        <is>
          <t>100%</t>
        </is>
      </c>
      <c r="J24" s="322" t="inlineStr">
        <is>
          <t>Strategic (Стратегический)</t>
        </is>
      </c>
      <c r="K24" s="404" t="inlineStr">
        <is>
          <t>Крупнейшая медиа-сделка, создание Disney+ контента</t>
        </is>
      </c>
    </row>
    <row r="25" ht="32" customHeight="1">
      <c r="B25" s="400" t="n">
        <v>2</v>
      </c>
      <c r="C25" s="322" t="n">
        <v>2019</v>
      </c>
      <c r="D25" s="323" t="inlineStr">
        <is>
          <t>TV (телевидение) assets</t>
        </is>
      </c>
      <c r="E25" s="323" t="inlineStr">
        <is>
          <t>Viacom-CBS merger</t>
        </is>
      </c>
      <c r="F25" s="408" t="n">
        <v>11.7</v>
      </c>
      <c r="G25" s="322" t="n">
        <v>1.4</v>
      </c>
      <c r="H25" s="322" t="n">
        <v>7.2</v>
      </c>
      <c r="I25" s="322" t="inlineStr">
        <is>
          <t>100%</t>
        </is>
      </c>
      <c r="J25" s="322" t="inlineStr">
        <is>
          <t>Merger (Слияние)</t>
        </is>
      </c>
      <c r="K25" s="404" t="inlineStr">
        <is>
          <t>Консолидация линейного ТВ</t>
        </is>
      </c>
    </row>
    <row r="26" ht="32" customHeight="1">
      <c r="B26" s="400" t="n">
        <v>3</v>
      </c>
      <c r="C26" s="322" t="n">
        <v>2019</v>
      </c>
      <c r="D26" s="323" t="inlineStr">
        <is>
          <t>MGM</t>
        </is>
      </c>
      <c r="E26" s="323" t="inlineStr">
        <is>
          <t>Amazon</t>
        </is>
      </c>
      <c r="F26" s="408" t="n">
        <v>8.449999999999999</v>
      </c>
      <c r="G26" s="322" t="n">
        <v>2.9</v>
      </c>
      <c r="H26" s="322" t="n">
        <v>13.8</v>
      </c>
      <c r="I26" s="322" t="inlineStr">
        <is>
          <t>100%</t>
        </is>
      </c>
      <c r="J26" s="322" t="inlineStr">
        <is>
          <t>Strategic (Стратегический)</t>
        </is>
      </c>
      <c r="K26" s="404" t="inlineStr">
        <is>
          <t>Покупка библиотеки 4000 фильмов под Prime Video</t>
        </is>
      </c>
    </row>
    <row r="27" ht="32" customHeight="1">
      <c r="B27" s="400" t="n">
        <v>4</v>
      </c>
      <c r="C27" s="322" t="n">
        <v>2020</v>
      </c>
      <c r="D27" s="323" t="inlineStr">
        <is>
          <t>Legendary Entertainment</t>
        </is>
      </c>
      <c r="E27" s="323" t="inlineStr">
        <is>
          <t>Apollo → ASPL (Wanda spin)</t>
        </is>
      </c>
      <c r="F27" s="408" t="n">
        <v>2.5</v>
      </c>
      <c r="G27" s="322" t="n">
        <v>2.2</v>
      </c>
      <c r="H27" s="322" t="n">
        <v>10.5</v>
      </c>
      <c r="I27" s="322" t="inlineStr">
        <is>
          <t>100%</t>
        </is>
      </c>
      <c r="J27" s="322" t="inlineStr">
        <is>
          <t>Secondary (Вторичный)</t>
        </is>
      </c>
      <c r="K27" s="404" t="inlineStr">
        <is>
          <t>Перепродажа Legendary из Wanda</t>
        </is>
      </c>
    </row>
    <row r="28" ht="32" customHeight="1">
      <c r="B28" s="400" t="n">
        <v>5</v>
      </c>
      <c r="C28" s="322" t="n">
        <v>2021</v>
      </c>
      <c r="D28" s="323" t="inlineStr">
        <is>
          <t>Hello Sunshine</t>
        </is>
      </c>
      <c r="E28" s="323" t="inlineStr">
        <is>
          <t>Blackstone / Candle</t>
        </is>
      </c>
      <c r="F28" s="408" t="n">
        <v>0.9</v>
      </c>
      <c r="G28" s="322" t="n">
        <v>4.5</v>
      </c>
      <c r="H28" s="322" t="n">
        <v>15</v>
      </c>
      <c r="I28" s="322" t="inlineStr">
        <is>
          <t>Majority (Мажоритарный)</t>
        </is>
      </c>
      <c r="J28" s="322" t="inlineStr">
        <is>
          <t>Growth (Рост)</t>
        </is>
      </c>
      <c r="K28" s="404" t="inlineStr">
        <is>
          <t>Reese Witherspoon production, контент + IP</t>
        </is>
      </c>
    </row>
    <row r="29" ht="32" customHeight="1">
      <c r="B29" s="400" t="n">
        <v>6</v>
      </c>
      <c r="C29" s="322" t="n">
        <v>2022</v>
      </c>
      <c r="D29" s="323" t="inlineStr">
        <is>
          <t>WarnerMedia + Discovery</t>
        </is>
      </c>
      <c r="E29" s="323" t="inlineStr">
        <is>
          <t>Warner Bros. Discovery merger</t>
        </is>
      </c>
      <c r="F29" s="408" t="n">
        <v>43</v>
      </c>
      <c r="G29" s="322" t="n">
        <v>2.1</v>
      </c>
      <c r="H29" s="322" t="n">
        <v>9.800000000000001</v>
      </c>
      <c r="I29" s="322" t="inlineStr">
        <is>
          <t>100%</t>
        </is>
      </c>
      <c r="J29" s="322" t="inlineStr">
        <is>
          <t>Merger (Слияние)</t>
        </is>
      </c>
      <c r="K29" s="404" t="inlineStr">
        <is>
          <t>Спин-офф из AT&amp;T + слияние</t>
        </is>
      </c>
    </row>
    <row r="30" ht="32" customHeight="1">
      <c r="B30" s="400" t="n">
        <v>7</v>
      </c>
      <c r="C30" s="322" t="n">
        <v>2022</v>
      </c>
      <c r="D30" s="323" t="inlineStr">
        <is>
          <t>Mediapro Group (Spain)</t>
        </is>
      </c>
      <c r="E30" s="323" t="inlineStr">
        <is>
          <t>Orient Hontai Capital (Капитал)</t>
        </is>
      </c>
      <c r="F30" s="408" t="n">
        <v>2.3</v>
      </c>
      <c r="G30" s="322" t="n">
        <v>1.6</v>
      </c>
      <c r="H30" s="322" t="n">
        <v>8.5</v>
      </c>
      <c r="I30" s="322" t="inlineStr">
        <is>
          <t>100%</t>
        </is>
      </c>
      <c r="J30" s="322" t="inlineStr">
        <is>
          <t>Financial (Финансовый)</t>
        </is>
      </c>
      <c r="K30" s="404" t="inlineStr">
        <is>
          <t>Европейская студия + sport rights</t>
        </is>
      </c>
    </row>
    <row r="31" ht="32" customHeight="1">
      <c r="B31" s="400" t="n">
        <v>8</v>
      </c>
      <c r="C31" s="322" t="n">
        <v>2023</v>
      </c>
      <c r="D31" s="323" t="inlineStr">
        <is>
          <t>Hipgnosis Song Fund</t>
        </is>
      </c>
      <c r="E31" s="323" t="inlineStr">
        <is>
          <t>Blackstone</t>
        </is>
      </c>
      <c r="F31" s="408" t="n">
        <v>1.57</v>
      </c>
      <c r="G31" s="322" t="n">
        <v>14.2</v>
      </c>
      <c r="H31" s="322" t="inlineStr">
        <is>
          <t>—</t>
        </is>
      </c>
      <c r="I31" s="322" t="inlineStr">
        <is>
          <t>Majority (Мажоритарный)</t>
        </is>
      </c>
      <c r="J31" s="322" t="inlineStr">
        <is>
          <t>Royalty (Роялти)</t>
        </is>
      </c>
      <c r="K31" s="404" t="inlineStr">
        <is>
          <t>IP library deal (music), прецедент для library valuation</t>
        </is>
      </c>
    </row>
    <row r="32" ht="32" customHeight="1">
      <c r="B32" s="400" t="n">
        <v>9</v>
      </c>
      <c r="C32" s="322" t="n">
        <v>2023</v>
      </c>
      <c r="D32" s="323" t="inlineStr">
        <is>
          <t>Paramount Global (rumored)</t>
        </is>
      </c>
      <c r="E32" s="323" t="inlineStr">
        <is>
          <t>Skydance / Apollo talks</t>
        </is>
      </c>
      <c r="F32" s="408" t="n">
        <v>26</v>
      </c>
      <c r="G32" s="322" t="n">
        <v>0.8</v>
      </c>
      <c r="H32" s="322" t="n">
        <v>5.5</v>
      </c>
      <c r="I32" s="322" t="inlineStr">
        <is>
          <t>Majority (Мажоритарный)</t>
        </is>
      </c>
      <c r="J32" s="322" t="inlineStr">
        <is>
          <t>Strategic (Стратегический)</t>
        </is>
      </c>
      <c r="K32" s="404" t="inlineStr">
        <is>
          <t>Переговоры о поглощении Paramount</t>
        </is>
      </c>
    </row>
    <row r="33" ht="32" customHeight="1">
      <c r="B33" s="400" t="n">
        <v>10</v>
      </c>
      <c r="C33" s="322" t="n">
        <v>2024</v>
      </c>
      <c r="D33" s="323" t="inlineStr">
        <is>
          <t>Paramount / Skydance</t>
        </is>
      </c>
      <c r="E33" s="323" t="inlineStr">
        <is>
          <t>Skydance Media + investors</t>
        </is>
      </c>
      <c r="F33" s="408" t="n">
        <v>28</v>
      </c>
      <c r="G33" s="322" t="n">
        <v>0.9</v>
      </c>
      <c r="H33" s="322" t="n">
        <v>5.8</v>
      </c>
      <c r="I33" s="322" t="inlineStr">
        <is>
          <t>100%</t>
        </is>
      </c>
      <c r="J33" s="322" t="inlineStr">
        <is>
          <t>Merger (Слияние)</t>
        </is>
      </c>
      <c r="K33" s="404" t="inlineStr">
        <is>
          <t>Завершена: Paramount = часть Skydance</t>
        </is>
      </c>
    </row>
    <row r="34">
      <c r="B34" s="365" t="inlineStr">
        <is>
          <t>МЕДИАНА ГЛОБАЛЬНЫЙ (ГЛОБАЛЬНЫЙ)</t>
        </is>
      </c>
      <c r="C34" s="186"/>
      <c r="D34" s="186"/>
      <c r="E34" s="186"/>
      <c r="F34" s="187"/>
      <c r="G34" s="409" t="n">
        <v>2.2</v>
      </c>
      <c r="H34" s="409" t="n">
        <v>9.800000000000001</v>
      </c>
    </row>
    <row r="36">
      <c r="B36" s="320" t="inlineStr">
        <is>
          <t>III. IMPLIED VALUATION (ПОДРАЗУМЕВАЕМАЯ ОЦЕНКА) — DUAL-YEAR APPROACH (FY2027 пиковый / FY2028 нормализованный)</t>
        </is>
      </c>
    </row>
    <row r="38">
      <c r="B38" s="321" t="inlineStr">
        <is>
          <t>A. FY2027 (ПИКОВЫЙ ГОД)</t>
        </is>
      </c>
      <c r="C38" s="321" t="inlineStr">
        <is>
          <t>ТрендСтудио FY2027</t>
        </is>
      </c>
      <c r="D38" s="321" t="inlineStr">
        <is>
          <t>Мультипл (median)</t>
        </is>
      </c>
      <c r="E38" s="321" t="inlineStr">
        <is>
          <t>Implied EV</t>
        </is>
      </c>
      <c r="F38" s="321" t="inlineStr">
        <is>
          <t>Дисконт (−20% execution)</t>
        </is>
      </c>
      <c r="G38" s="321" t="inlineStr">
        <is>
          <t>EV после дисконта</t>
        </is>
      </c>
    </row>
    <row r="39">
      <c r="B39" s="396" t="inlineStr">
        <is>
          <t>EV / Revenue (РФ median)</t>
        </is>
      </c>
      <c r="C39" s="366">
        <v>2475</v>
      </c>
      <c r="D39" s="400" t="inlineStr">
        <is>
          <t>2.5×</t>
        </is>
      </c>
      <c r="E39" s="410">
        <v>6187.5</v>
      </c>
      <c r="F39" s="322" t="inlineStr">
        <is>
          <t>−20%</t>
        </is>
      </c>
      <c r="G39" s="411">
        <v>4950.0</v>
      </c>
    </row>
    <row r="40">
      <c r="B40" s="396" t="inlineStr">
        <is>
          <t>EV / EBITDA (РФ median)</t>
        </is>
      </c>
      <c r="C40" s="366">
        <v>1258.33</v>
      </c>
      <c r="D40" s="400" t="inlineStr">
        <is>
          <t>8.0×</t>
        </is>
      </c>
      <c r="E40" s="410">
        <v>10066.6</v>
      </c>
      <c r="F40" s="322" t="inlineStr">
        <is>
          <t>−20%</t>
        </is>
      </c>
      <c r="G40" s="411">
        <v>8053.3</v>
      </c>
    </row>
    <row r="41">
      <c r="B41" s="396" t="inlineStr">
        <is>
          <t>EV / Revenue (Global median)</t>
        </is>
      </c>
      <c r="C41" s="366">
        <v>2475</v>
      </c>
      <c r="D41" s="400" t="inlineStr">
        <is>
          <t>2.2×</t>
        </is>
      </c>
      <c r="E41" s="410">
        <v>5445.0</v>
      </c>
      <c r="F41" s="322" t="inlineStr">
        <is>
          <t>−20%</t>
        </is>
      </c>
      <c r="G41" s="411">
        <v>4356.0</v>
      </c>
    </row>
    <row r="42">
      <c r="B42" s="396" t="inlineStr">
        <is>
          <t>EV / EBITDA (Global median)</t>
        </is>
      </c>
      <c r="C42" s="366">
        <v>1258.33</v>
      </c>
      <c r="D42" s="400" t="inlineStr">
        <is>
          <t>9.8×</t>
        </is>
      </c>
      <c r="E42" s="410">
        <v>12331.6</v>
      </c>
      <c r="F42" s="322" t="inlineStr">
        <is>
          <t>−20%</t>
        </is>
      </c>
      <c r="G42" s="411">
        <v>9865.3</v>
      </c>
    </row>
    <row r="44">
      <c r="B44" s="412" t="inlineStr">
        <is>
          <t/>
        </is>
      </c>
      <c r="C44" s="186"/>
      <c r="D44" s="186"/>
      <c r="E44" s="186"/>
      <c r="F44" s="187"/>
    </row>
    <row r="46">
      <c r="B46" s="320" t="inlineStr">
        <is>
          <t>EV / Revenue (РФ median)</t>
        </is>
      </c>
      <c r="C46">
        <v>1500</v>
      </c>
      <c r="D46" t="inlineStr">
        <is>
          <t>2.5×</t>
        </is>
      </c>
      <c r="E46">
        <v>3750.0</v>
      </c>
      <c r="F46" t="inlineStr">
        <is>
          <t>−20%</t>
        </is>
      </c>
      <c r="G46">
        <v>3000.0</v>
      </c>
    </row>
    <row r="48">
      <c r="C48" s="323">
        <v>1500</v>
      </c>
      <c r="D48" s="186" t="inlineStr">
        <is>
          <t>2.2×</t>
        </is>
      </c>
      <c r="E48" s="186">
        <v>3300.0</v>
      </c>
      <c r="F48" s="186" t="inlineStr">
        <is>
          <t>−20%</t>
        </is>
      </c>
      <c r="G48" s="186">
        <v>2640.0</v>
      </c>
      <c r="H48" s="186"/>
      <c r="I48" s="186"/>
      <c r="J48" s="186"/>
      <c r="K48" s="187"/>
    </row>
    <row r="49">
      <c r="C49" s="323">
        <v>614.39</v>
      </c>
      <c r="D49" s="186" t="inlineStr">
        <is>
          <t>9.8×</t>
        </is>
      </c>
      <c r="E49" s="186">
        <v>6021.0</v>
      </c>
      <c r="F49" s="186" t="inlineStr">
        <is>
          <t>−20%</t>
        </is>
      </c>
      <c r="G49" s="186">
        <v>4816.8</v>
      </c>
      <c r="H49" s="186"/>
      <c r="I49" s="186"/>
      <c r="J49" s="186"/>
      <c r="K49" s="187"/>
    </row>
    <row r="50">
      <c r="C50" s="323" t="inlineStr">
        <is>
          <t>Library deals (Hipgnosis, MGM) имеют премию 50-80% за эффект copyright perpetuity</t>
        </is>
      </c>
      <c r="D50" s="186"/>
      <c r="E50" s="186"/>
      <c r="F50" s="186"/>
      <c r="G50" s="186">
        <v>3597.2</v>
      </c>
      <c r="H50" s="186"/>
      <c r="I50" s="186"/>
      <c r="J50" s="186"/>
      <c r="K50" s="187"/>
    </row>
    <row r="51">
      <c r="C51" s="323" t="inlineStr">
        <is>
          <t/>
        </is>
      </c>
      <c r="D51" s="186"/>
      <c r="E51" s="186"/>
      <c r="F51" s="186"/>
      <c r="G51" s="186"/>
      <c r="H51" s="186"/>
      <c r="I51" s="186"/>
      <c r="J51" s="186"/>
      <c r="K51" s="187"/>
    </row>
    <row r="52">
      <c r="C52" s="323" t="inlineStr">
        <is>
          <t>В РФ все сделки 2022+ имеют консервативные мультипликаторы из-за liquidity discount</t>
        </is>
      </c>
      <c r="D52" s="186"/>
      <c r="E52" s="186"/>
      <c r="F52" s="186"/>
      <c r="G52" s="186"/>
      <c r="H52" s="186"/>
      <c r="I52" s="186"/>
      <c r="J52" s="186"/>
      <c r="K52" s="187"/>
    </row>
    <row r="53">
      <c r="C53" s="323" t="inlineStr">
        <is>
          <t>Оптимальный exit для ТрендСтудио: strategic sale с EV (стоимость предприятия)/EBITDA (прибыль до вычетов) 7-9×</t>
        </is>
      </c>
      <c r="D53" s="186"/>
      <c r="E53" s="186"/>
      <c r="F53" s="186"/>
      <c r="G53" s="186"/>
      <c r="H53" s="186"/>
      <c r="I53" s="186"/>
      <c r="J53" s="186"/>
      <c r="K53" s="187"/>
    </row>
    <row r="54">
      <c r="C54" s="323" t="inlineStr">
        <is>
          <t>Pre-IPO (первичное размещение) секундарный раунд (как ivi 2018/2023) — альтернатива exit при EV (стоимость предприятия)/Revenue (Выручка) 2.2-2.8×</t>
        </is>
      </c>
      <c r="D54" s="186"/>
      <c r="E54" s="186"/>
      <c r="F54" s="186"/>
      <c r="G54" s="186">
        <v>5201.6</v>
      </c>
      <c r="H54" s="186"/>
      <c r="I54" s="186"/>
      <c r="J54" s="186"/>
      <c r="K54" s="187"/>
    </row>
    <row r="55">
      <c r="C55" s="323" t="inlineStr">
        <is>
          <t>Minority (Миноритарный) stake sale (25-40%) даёт лучший мультипл, чем control premium (премия) при текущем S&amp;D</t>
        </is>
      </c>
      <c r="D55" s="186"/>
      <c r="E55" s="186"/>
      <c r="F55" s="186"/>
      <c r="G55" s="186"/>
      <c r="H55" s="186"/>
      <c r="I55" s="186"/>
      <c r="J55" s="186"/>
      <c r="K55" s="187"/>
    </row>
    <row r="58">
      <c r="B58" s="401" t="inlineStr">
        <is>
          <t/>
        </is>
      </c>
      <c r="C58" t="inlineStr">
        <is>
          <t/>
        </is>
      </c>
    </row>
    <row r="60">
      <c r="B60" s="323" t="inlineStr">
        <is>
          <t>2</t>
        </is>
      </c>
      <c r="C60" s="186" t="inlineStr">
        <is>
          <t>Global мультипликаторы на 25-40% выше из-за глубины рынка, ликвидности и scale-advantage.</t>
        </is>
      </c>
      <c r="D60" s="186"/>
      <c r="E60" s="186"/>
      <c r="F60" s="186"/>
      <c r="G60" s="186"/>
      <c r="H60" s="186"/>
      <c r="I60" s="186"/>
      <c r="J60" s="186"/>
      <c r="K60" s="187"/>
    </row>
    <row r="61">
      <c r="B61" s="323" t="inlineStr">
        <is>
          <t>3</t>
        </is>
      </c>
      <c r="C61" s="186" t="inlineStr">
        <is>
          <t>Dual-year подход (FY2027 пик + FY2028 нормализация) даёт справедливый диапазон 3,597 – 6,806 млн ₽ (midpoint ~5,202). Two-tier GM снизил FY2028 EBITDA до 614.39.</t>
        </is>
      </c>
      <c r="D61" s="186"/>
      <c r="E61" s="186"/>
      <c r="F61" s="186"/>
      <c r="G61" s="186"/>
      <c r="H61" s="186"/>
      <c r="I61" s="186"/>
      <c r="J61" s="186"/>
      <c r="K61" s="187"/>
    </row>
    <row r="62">
      <c r="B62" s="323" t="inlineStr">
        <is>
          <t>4</t>
        </is>
      </c>
      <c r="C62" s="186" t="inlineStr">
        <is>
          <t>Пик выручки в FY2027 (2 475 млн ₽) обусловлен плотным релизным графиком: 3 проекта в Q2-Q3, серийный контент в Q1-Q2.</t>
        </is>
      </c>
      <c r="D62" s="186"/>
      <c r="E62" s="186"/>
      <c r="F62" s="186"/>
      <c r="G62" s="186"/>
      <c r="H62" s="186"/>
      <c r="I62" s="186"/>
      <c r="J62" s="186"/>
      <c r="K62" s="187"/>
    </row>
    <row r="63">
      <c r="B63" s="323" t="inlineStr">
        <is>
          <t>5</t>
        </is>
      </c>
      <c r="C63" s="186" t="inlineStr">
        <is>
          <t>FY2028 (1 500 млн ₽) — нормализованный год: хвост фильмовых доходов + запуск сериалов.</t>
        </is>
      </c>
      <c r="D63" s="186"/>
      <c r="E63" s="186"/>
      <c r="F63" s="186"/>
      <c r="G63" s="186"/>
      <c r="H63" s="186"/>
      <c r="I63" s="186"/>
      <c r="J63" s="186"/>
      <c r="K63" s="187"/>
    </row>
    <row r="64">
      <c r="B64" s="323" t="inlineStr">
        <is>
          <t>6</t>
        </is>
      </c>
      <c r="C64" s="186" t="inlineStr">
        <is>
          <t>Оптимальный exit для ТрендСтудио: strategic sale с EV/EBITDA 6-8× в 2029-2030 при подтверждённом track record.</t>
        </is>
      </c>
      <c r="D64" s="186"/>
      <c r="E64" s="186"/>
      <c r="F64" s="186"/>
      <c r="G64" s="186"/>
      <c r="H64" s="186"/>
      <c r="I64" s="186"/>
      <c r="J64" s="186"/>
      <c r="K64" s="187"/>
    </row>
    <row r="65">
      <c r="B65" s="323" t="inlineStr">
        <is>
          <t>7</t>
        </is>
      </c>
      <c r="C65" s="186" t="inlineStr">
        <is>
          <t>Pre-IPO секундарный раунд (как ivi 2018/2023) — альтернативный маршрут с премией 15-25% к базовому мультиплу.</t>
        </is>
      </c>
      <c r="D65" s="186"/>
      <c r="E65" s="186"/>
      <c r="F65" s="186"/>
      <c r="G65" s="186"/>
      <c r="H65" s="186"/>
      <c r="I65" s="186"/>
      <c r="J65" s="186"/>
      <c r="K65" s="187"/>
    </row>
    <row r="37">
      <c r="B37" t="inlineStr">
        <is>
          <t>Методология: пик выручки в FY2027 (2 475 млн ₽), нормализация в FY2028 (1 500 млн ₽). Dual-year даёт справедливый диапазон для циклического бизнеса.</t>
        </is>
      </c>
    </row>
    <row r="43">
      <c r="B43" t="inlineStr">
        <is>
          <t>Среднее EV FY2027 (пиковый):</t>
        </is>
      </c>
      <c r="G43">
        <v>6806.1</v>
      </c>
    </row>
    <row r="45">
      <c r="B45" t="inlineStr">
        <is>
          <t>B. FY2028 (НОРМАЛИЗОВАННЫЙ ГОД)</t>
        </is>
      </c>
      <c r="C45" t="inlineStr">
        <is>
          <t>ТрендСтудио FY2028</t>
        </is>
      </c>
      <c r="D45" t="inlineStr">
        <is>
          <t>Мультипл (median)</t>
        </is>
      </c>
      <c r="E45" t="inlineStr">
        <is>
          <t>Implied EV</t>
        </is>
      </c>
      <c r="F45" t="inlineStr">
        <is>
          <t>Дисконт (−20% execution)</t>
        </is>
      </c>
      <c r="G45" t="inlineStr">
        <is>
          <t>EV после дисконта</t>
        </is>
      </c>
    </row>
    <row r="47">
      <c r="B47" t="inlineStr">
        <is>
          <t>EV / EBITDA (РФ median)</t>
        </is>
      </c>
      <c r="C47">
        <v>614.39</v>
      </c>
      <c r="D47" t="inlineStr">
        <is>
          <t>8.0×</t>
        </is>
      </c>
      <c r="E47">
        <v>4915.1</v>
      </c>
      <c r="F47" t="inlineStr">
        <is>
          <t>−20%</t>
        </is>
      </c>
      <c r="G47">
        <v>3932.1</v>
      </c>
    </row>
    <row r="57">
      <c r="B57" t="inlineStr">
        <is>
          <t>IV. КЛЮЧЕВЫЕ ВЫВОДЫ ИЗ PRECEDENTS (обновлено v3-03)</t>
        </is>
      </c>
    </row>
    <row r="59">
      <c r="B59" t="inlineStr">
        <is>
          <t>1</t>
        </is>
      </c>
      <c r="C59" t="inlineStr">
        <is>
          <t>Медианный EV/EBITDA РФ (2018-2025) = 8.0×; для ТрендСтудио при пиковом FY2027 это даёт EV 8 053 млн ₽ (после 20% дисконта).</t>
        </is>
      </c>
    </row>
    <row r="66">
      <c r="B66" t="inlineStr">
        <is>
          <t>8</t>
        </is>
      </c>
      <c r="C66" t="inlineStr">
        <is>
          <t>Minority stake sale (25-40%) даёт лучший мультипл, чем control premium в условиях РФ liquidity discount.</t>
        </is>
      </c>
    </row>
    <row r="68">
      <c r="B68" t="inlineStr">
        <is>
          <t>V. ИСТОЧНИКИ СДЕЛОК</t>
        </is>
      </c>
    </row>
    <row r="70">
      <c r="B70" t="inlineStr">
        <is>
          <t>• ТАСС, Коммерсант, Ведомости — российские сделки</t>
        </is>
      </c>
    </row>
    <row r="71">
      <c r="B71" t="inlineStr">
        <is>
          <t>• Bloomberg, Reuters, Financial Times — глобальные сделки</t>
        </is>
      </c>
    </row>
    <row r="72">
      <c r="B72" t="inlineStr">
        <is>
          <t>• Reuters Refinitiv M&amp;A database</t>
        </is>
      </c>
    </row>
    <row r="73">
      <c r="B73" t="inlineStr">
        <is>
          <t>• SEC 10-K отчётности публичных компаний (Disney, Paramount, Warner, Amazon)</t>
        </is>
      </c>
    </row>
    <row r="74">
      <c r="B74" t="inlineStr">
        <is>
          <t>• S&amp;P Capital IQ</t>
        </is>
      </c>
    </row>
    <row r="75">
      <c r="B75" t="inlineStr">
        <is>
          <t>• Прим.: EBITDA-мультипликаторы для некоторых сделок оценены на базе публичных данных</t>
        </is>
      </c>
    </row>
    <row r="56">
      <c r="B56" t="inlineStr">
        <is>
          <t/>
        </is>
      </c>
      <c r="C56" t="inlineStr">
        <is>
          <t/>
        </is>
      </c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K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2" customWidth="1" min="3" max="3"/>
    <col width="36" customWidth="1" min="4" max="4"/>
    <col width="16" customWidth="1" min="5" max="5"/>
    <col width="14" customWidth="1" min="6" max="6"/>
    <col width="40" customWidth="1" min="7" max="7"/>
    <col width="10" customWidth="1" min="8" max="8"/>
    <col width="14" customWidth="1" min="9" max="9"/>
    <col width="30" customWidth="1" min="10" max="10"/>
  </cols>
  <sheetData>
    <row r="2">
      <c r="B2" s="318" t="inlineStr">
        <is>
          <t>GOV KPI (ключевые показатели) — ПОКАЗАТЕЛИ ГОСПОДДЕРЖКИ И СОЦИОКУЛЬТУРНОГО ВКЛАДА</t>
        </is>
      </c>
    </row>
    <row r="4">
      <c r="B4" s="319" t="inlineStr">
        <is>
          <t>Соответствие нацпроектам, ФП «Развитие отечественного кинематографа», KPI (ключевые показатели) Минкульта/ФКП/ИРИ</t>
        </is>
      </c>
    </row>
    <row r="6">
      <c r="B6" s="320" t="inlineStr">
        <is>
          <t>I. СООТВЕТСТВИЕ НАЦИОНАЛЬНЫМ ПРОЕКТАМ РФ 2025–2030</t>
        </is>
      </c>
    </row>
    <row r="8">
      <c r="B8" s="321" t="inlineStr">
        <is>
          <t>#</t>
        </is>
      </c>
      <c r="C8" s="321" t="inlineStr">
        <is>
          <t>Нацпроект / программа</t>
        </is>
      </c>
      <c r="D8" s="321" t="inlineStr">
        <is>
          <t>Федеральный проект</t>
        </is>
      </c>
      <c r="E8" s="321" t="inlineStr">
        <is>
          <t>Ответственный ФОИВ</t>
        </is>
      </c>
      <c r="F8" s="321" t="inlineStr">
        <is>
          <t>Вклад ТрендСтудио</t>
        </is>
      </c>
      <c r="G8" s="321" t="inlineStr">
        <is>
          <t>Мера вклада</t>
        </is>
      </c>
    </row>
    <row r="9" ht="32" customHeight="1">
      <c r="B9" s="400" t="n">
        <v>1</v>
      </c>
      <c r="C9" s="323" t="inlineStr">
        <is>
          <t>Семья</t>
        </is>
      </c>
      <c r="D9" s="323" t="inlineStr">
        <is>
          <t>Поддержка семейного кино</t>
        </is>
      </c>
      <c r="E9" s="323" t="inlineStr">
        <is>
          <t>Минкультуры РФ</t>
        </is>
      </c>
      <c r="F9" s="323" t="inlineStr">
        <is>
          <t>Слот П05 «Сказка наяву» (семейный), П02 «Два сердца»</t>
        </is>
      </c>
      <c r="G9" s="322" t="inlineStr">
        <is>
          <t>2 из 7 проектов</t>
        </is>
      </c>
    </row>
    <row r="10" ht="32" customHeight="1">
      <c r="B10" s="400" t="n">
        <v>2</v>
      </c>
      <c r="C10" s="323" t="inlineStr">
        <is>
          <t>Молодёжь и дети</t>
        </is>
      </c>
      <c r="D10" s="323" t="inlineStr">
        <is>
          <t>Воспитание патриотизма через культуру</t>
        </is>
      </c>
      <c r="E10" s="323" t="inlineStr">
        <is>
          <t>Минкультуры РФ / Росмолодёжь</t>
        </is>
      </c>
      <c r="F10" s="323" t="inlineStr">
        <is>
          <t>Слот П01 «Родные стены», П03 «Ночной патруль» (исторический)</t>
        </is>
      </c>
      <c r="G10" s="322" t="inlineStr">
        <is>
          <t>2 из 7 проектов</t>
        </is>
      </c>
    </row>
    <row r="11" ht="32" customHeight="1">
      <c r="B11" s="400" t="n">
        <v>3</v>
      </c>
      <c r="C11" s="323" t="inlineStr">
        <is>
          <t>Культура</t>
        </is>
      </c>
      <c r="D11" s="323" t="inlineStr">
        <is>
          <t>Развитие отечественного кинематографа</t>
        </is>
      </c>
      <c r="E11" s="323" t="inlineStr">
        <is>
          <t>Минкультуры РФ / Фонд кино</t>
        </is>
      </c>
      <c r="F11" s="323" t="inlineStr">
        <is>
          <t>Весь портфель (7 проектов), объём 1 850 млн ₽</t>
        </is>
      </c>
      <c r="G11" s="322" t="inlineStr">
        <is>
          <t>12/7 проектов</t>
        </is>
      </c>
    </row>
    <row r="12" ht="32" customHeight="1">
      <c r="B12" s="400" t="n">
        <v>4</v>
      </c>
      <c r="C12" s="323" t="inlineStr">
        <is>
          <t>Экономика данных</t>
        </is>
      </c>
      <c r="D12" s="323" t="inlineStr">
        <is>
          <t>Цифровизация креативных индустрий</t>
        </is>
      </c>
      <c r="E12" s="323" t="inlineStr">
        <is>
          <t>Минцифры РФ</t>
        </is>
      </c>
      <c r="F12" s="323" t="inlineStr">
        <is>
          <t>Digital (Цифровой) distribution (распределение), VFX (визуальные эффекты)-pipelines, SaaS-аналитика</t>
        </is>
      </c>
      <c r="G12" s="322" t="inlineStr">
        <is>
          <t>Инфраструктура</t>
        </is>
      </c>
    </row>
    <row r="13" ht="32" customHeight="1">
      <c r="B13" s="400" t="n">
        <v>5</v>
      </c>
      <c r="C13" s="323" t="inlineStr">
        <is>
          <t>Кадры</t>
        </is>
      </c>
      <c r="D13" s="323" t="inlineStr">
        <is>
          <t>Подготовка кадров креативной индустрии</t>
        </is>
      </c>
      <c r="E13" s="323" t="inlineStr">
        <is>
          <t>Минобрнауки РФ / ВГИК</t>
        </is>
      </c>
      <c r="F13" s="323" t="inlineStr">
        <is>
          <t>Стажировки от 40 чел/год, партнёрство с ВГИК, МШНК</t>
        </is>
      </c>
      <c r="G13" s="322" t="inlineStr">
        <is>
          <t>40+ стажёров</t>
        </is>
      </c>
    </row>
    <row r="14" ht="32" customHeight="1">
      <c r="B14" s="400" t="n">
        <v>6</v>
      </c>
      <c r="C14" s="323" t="inlineStr">
        <is>
          <t>Международная кооперация</t>
        </is>
      </c>
      <c r="D14" s="323" t="inlineStr">
        <is>
          <t>Экспорт культуры и контента</t>
        </is>
      </c>
      <c r="E14" s="323" t="inlineStr">
        <is>
          <t>Минкультуры РФ / Россотрудничество</t>
        </is>
      </c>
      <c r="F14" s="323" t="inlineStr">
        <is>
          <t>Копродукция с СНГ/БРИКС/ОАЭ, фестивали</t>
        </is>
      </c>
      <c r="G14" s="322" t="inlineStr">
        <is>
          <t>3-4 копродукции</t>
        </is>
      </c>
    </row>
    <row r="17">
      <c r="B17" s="320" t="inlineStr">
        <is>
          <t>II. KPI (ключевые показатели) ДЛЯ ГОСПОДДЕРЖКИ (Минкультуры / Фонд кино / ИРИ)</t>
        </is>
      </c>
    </row>
    <row r="19">
      <c r="B19" s="321" t="inlineStr">
        <is>
          <t>#</t>
        </is>
      </c>
      <c r="C19" s="321" t="inlineStr">
        <is>
          <t>Показатель</t>
        </is>
      </c>
      <c r="D19" s="321" t="inlineStr">
        <is>
          <t>План 2026</t>
        </is>
      </c>
      <c r="E19" s="321" t="inlineStr">
        <is>
          <t>План 2027</t>
        </is>
      </c>
      <c r="F19" s="321" t="inlineStr">
        <is>
          <t>План 2028</t>
        </is>
      </c>
      <c r="G19" s="321" t="inlineStr">
        <is>
          <t>Цель 3Y</t>
        </is>
      </c>
      <c r="H19" s="321" t="inlineStr">
        <is>
          <t>Единица</t>
        </is>
      </c>
      <c r="I19" s="321" t="inlineStr">
        <is>
          <t>Источник</t>
        </is>
      </c>
      <c r="J19" s="321" t="inlineStr">
        <is>
          <t>Методика расчёта</t>
        </is>
      </c>
    </row>
    <row r="20" ht="28" customHeight="1">
      <c r="B20" s="400" t="n">
        <v>1</v>
      </c>
      <c r="C20" s="396" t="inlineStr">
        <is>
          <t>Количество релизов</t>
        </is>
      </c>
      <c r="D20" s="397" t="n">
        <v>3</v>
      </c>
      <c r="E20" s="397" t="n">
        <v>5</v>
      </c>
      <c r="F20" s="397" t="n">
        <v>4</v>
      </c>
      <c r="G20" s="422" t="n">
        <v>12</v>
      </c>
      <c r="H20" s="322" t="inlineStr">
        <is>
          <t>шт</t>
        </is>
      </c>
      <c r="I20" s="423" t="inlineStr">
        <is>
          <t>Фонд кино</t>
        </is>
      </c>
      <c r="J20" s="404" t="inlineStr">
        <is>
          <t>Фактические премьеры в широком прокате</t>
        </is>
      </c>
    </row>
    <row r="21" ht="28" customHeight="1">
      <c r="B21" s="400" t="n">
        <v>2</v>
      </c>
      <c r="C21" s="396" t="inlineStr">
        <is>
          <t>Количество зрителей</t>
        </is>
      </c>
      <c r="D21" s="397" t="n">
        <v>4.5</v>
      </c>
      <c r="E21" s="397" t="n">
        <v>12.5</v>
      </c>
      <c r="F21" s="397" t="n">
        <v>13</v>
      </c>
      <c r="G21" s="422" t="n">
        <v>30</v>
      </c>
      <c r="H21" s="322" t="inlineStr">
        <is>
          <t>млн чел</t>
        </is>
      </c>
      <c r="I21" s="423" t="inlineStr">
        <is>
          <t>ЕАИС</t>
        </is>
      </c>
      <c r="J21" s="404" t="inlineStr">
        <is>
          <t>Билеты + просмотры &gt;30 мин</t>
        </is>
      </c>
    </row>
    <row r="22" ht="28" customHeight="1">
      <c r="B22" s="400" t="n">
        <v>3</v>
      </c>
      <c r="C22" s="396" t="inlineStr">
        <is>
          <t>Средняя заполняемость залов</t>
        </is>
      </c>
      <c r="D22" s="397" t="n">
        <v>22</v>
      </c>
      <c r="E22" s="397" t="n">
        <v>28</v>
      </c>
      <c r="F22" s="397" t="n">
        <v>30</v>
      </c>
      <c r="G22" s="422" t="n">
        <v>27</v>
      </c>
      <c r="H22" s="322" t="inlineStr">
        <is>
          <t>%</t>
        </is>
      </c>
      <c r="I22" s="423" t="inlineStr">
        <is>
          <t>ЕАИС</t>
        </is>
      </c>
      <c r="J22" s="404" t="inlineStr">
        <is>
          <t>Attendance (Посещаемость) / seats × 100%</t>
        </is>
      </c>
    </row>
    <row r="23" ht="28" customHeight="1">
      <c r="B23" s="400" t="n">
        <v>4</v>
      </c>
      <c r="C23" s="396" t="inlineStr">
        <is>
          <t>Сборы от проката</t>
        </is>
      </c>
      <c r="D23" s="397" t="n">
        <v>400</v>
      </c>
      <c r="E23" s="397" t="n">
        <v>1320</v>
      </c>
      <c r="F23" s="397" t="n">
        <v>1100</v>
      </c>
      <c r="G23" s="422" t="n">
        <v>2820</v>
      </c>
      <c r="H23" s="322" t="inlineStr">
        <is>
          <t>млн ₽</t>
        </is>
      </c>
      <c r="I23" s="423" t="inlineStr">
        <is>
          <t>ЕАИС</t>
        </is>
      </c>
      <c r="J23" s="404" t="inlineStr">
        <is>
          <t>Box-office (кассовые сборы) РФ (ЕАИС)</t>
        </is>
      </c>
    </row>
    <row r="24" ht="28" customHeight="1">
      <c r="B24" s="400" t="n">
        <v>5</v>
      </c>
      <c r="C24" s="396" t="inlineStr">
        <is>
          <t>Рабочие места (ФОТ)</t>
        </is>
      </c>
      <c r="D24" s="397" t="n">
        <v>180</v>
      </c>
      <c r="E24" s="397" t="n">
        <v>320</v>
      </c>
      <c r="F24" s="397" t="n">
        <v>280</v>
      </c>
      <c r="G24" s="422" t="n">
        <v>260</v>
      </c>
      <c r="H24" s="322" t="inlineStr">
        <is>
          <t>чел/год</t>
        </is>
      </c>
      <c r="I24" s="423" t="inlineStr">
        <is>
          <t>Внутр. отчёт</t>
        </is>
      </c>
      <c r="J24" s="404" t="inlineStr">
        <is>
          <t>Среднесписочная, включая фриланс</t>
        </is>
      </c>
    </row>
    <row r="25" ht="28" customHeight="1">
      <c r="B25" s="400" t="n">
        <v>6</v>
      </c>
      <c r="C25" s="396" t="inlineStr">
        <is>
          <t>Объём налоговых отчислений</t>
        </is>
      </c>
      <c r="D25" s="397" t="n">
        <v>55</v>
      </c>
      <c r="E25" s="397" t="n">
        <v>185</v>
      </c>
      <c r="F25" s="397" t="n">
        <v>178</v>
      </c>
      <c r="G25" s="422" t="n">
        <v>418</v>
      </c>
      <c r="H25" s="322" t="inlineStr">
        <is>
          <t>млн ₽</t>
        </is>
      </c>
      <c r="I25" s="423" t="inlineStr">
        <is>
          <t>ФНС</t>
        </is>
      </c>
      <c r="J25" s="404" t="inlineStr">
        <is>
          <t>НДФЛ + соцвзносы + имущ.</t>
        </is>
      </c>
    </row>
    <row r="26" ht="28" customHeight="1">
      <c r="B26" s="400" t="n">
        <v>7</v>
      </c>
      <c r="C26" s="396" t="inlineStr">
        <is>
          <t>Доля отечественного контента</t>
        </is>
      </c>
      <c r="D26" s="397" t="n">
        <v>100</v>
      </c>
      <c r="E26" s="397" t="n">
        <v>100</v>
      </c>
      <c r="F26" s="397" t="n">
        <v>100</v>
      </c>
      <c r="G26" s="422" t="n">
        <v>100</v>
      </c>
      <c r="H26" s="322" t="inlineStr">
        <is>
          <t>%</t>
        </is>
      </c>
      <c r="I26" s="423" t="inlineStr">
        <is>
          <t>Минкульт</t>
        </is>
      </c>
      <c r="J26" s="404" t="inlineStr">
        <is>
          <t>Российский продюсер, русский язык, российская съёмочная команда</t>
        </is>
      </c>
    </row>
    <row r="27" ht="28" customHeight="1">
      <c r="B27" s="400" t="n">
        <v>8</v>
      </c>
      <c r="C27" s="396" t="inlineStr">
        <is>
          <t>Экспорт за рубеж</t>
        </is>
      </c>
      <c r="D27" s="397" t="n">
        <v>1</v>
      </c>
      <c r="E27" s="397" t="n">
        <v>3</v>
      </c>
      <c r="F27" s="397" t="n">
        <v>4</v>
      </c>
      <c r="G27" s="422" t="n">
        <v>8</v>
      </c>
      <c r="H27" s="322" t="inlineStr">
        <is>
          <t>фильмов</t>
        </is>
      </c>
      <c r="I27" s="423" t="inlineStr">
        <is>
          <t>Минкульт</t>
        </is>
      </c>
      <c r="J27" s="404" t="inlineStr">
        <is>
          <t>Продажи прав + фестивали</t>
        </is>
      </c>
    </row>
    <row r="28" ht="28" customHeight="1">
      <c r="B28" s="400" t="n">
        <v>9</v>
      </c>
      <c r="C28" s="396" t="inlineStr">
        <is>
          <t>Субсидии / гранты привлечено</t>
        </is>
      </c>
      <c r="D28" s="397" t="n">
        <v>280</v>
      </c>
      <c r="E28" s="397" t="n">
        <v>420</v>
      </c>
      <c r="F28" s="397" t="n">
        <v>340</v>
      </c>
      <c r="G28" s="422" t="n">
        <v>1040</v>
      </c>
      <c r="H28" s="322" t="inlineStr">
        <is>
          <t>млн ₽</t>
        </is>
      </c>
      <c r="I28" s="423" t="inlineStr">
        <is>
          <t>Фонд кино</t>
        </is>
      </c>
      <c r="J28" s="404" t="inlineStr">
        <is>
          <t>ФКП + ИРИ + Минкульт</t>
        </is>
      </c>
    </row>
    <row r="29" ht="28" customHeight="1">
      <c r="B29" s="400" t="n">
        <v>10</v>
      </c>
      <c r="C29" s="396" t="inlineStr">
        <is>
          <t>Возвратность господдержки</t>
        </is>
      </c>
      <c r="D29" s="397" t="n">
        <v>15</v>
      </c>
      <c r="E29" s="397" t="n">
        <v>25</v>
      </c>
      <c r="F29" s="397" t="n">
        <v>35</v>
      </c>
      <c r="G29" s="422" t="n">
        <v>25</v>
      </c>
      <c r="H29" s="322" t="inlineStr">
        <is>
          <t>%</t>
        </is>
      </c>
      <c r="I29" s="423" t="inlineStr">
        <is>
          <t>Фонд кино</t>
        </is>
      </c>
      <c r="J29" s="404" t="inlineStr">
        <is>
          <t>Доля возвращаемых грантов по 1215/2013</t>
        </is>
      </c>
    </row>
    <row r="32">
      <c r="B32" s="320" t="inlineStr">
        <is>
          <t>III. СТРУКТУРА ГОСПОДДЕРЖКИ (ожидаемое привлечение 2026–2028)</t>
        </is>
      </c>
    </row>
    <row r="34">
      <c r="B34" s="321" t="inlineStr">
        <is>
          <t>#</t>
        </is>
      </c>
      <c r="C34" s="321" t="inlineStr">
        <is>
          <t>Источник</t>
        </is>
      </c>
      <c r="D34" s="321" t="inlineStr">
        <is>
          <t>Тип поддержки</t>
        </is>
      </c>
      <c r="E34" s="321" t="inlineStr">
        <is>
          <t>Сумма 3Y (млн ₽)</t>
        </is>
      </c>
      <c r="F34" s="321" t="inlineStr">
        <is>
          <t>Доля</t>
        </is>
      </c>
      <c r="G34" s="321" t="inlineStr">
        <is>
          <t>Условия</t>
        </is>
      </c>
    </row>
    <row r="35">
      <c r="B35" s="400" t="n">
        <v>1</v>
      </c>
      <c r="C35" s="396" t="inlineStr">
        <is>
          <t>Фонд кино</t>
        </is>
      </c>
      <c r="D35" s="323" t="inlineStr">
        <is>
          <t>Безвозвратная субсидия + возвратная часть</t>
        </is>
      </c>
      <c r="E35" s="424" t="n">
        <v>520</v>
      </c>
      <c r="F35" s="425" t="n">
        <v>0.5</v>
      </c>
      <c r="G35" s="404" t="inlineStr">
        <is>
          <t>Пост. Правительства РФ от 31.12.2013 № 1215 (с изм.)</t>
        </is>
      </c>
    </row>
    <row r="36">
      <c r="B36" s="400" t="n">
        <v>2</v>
      </c>
      <c r="C36" s="396" t="inlineStr">
        <is>
          <t>Минкультуры РФ</t>
        </is>
      </c>
      <c r="D36" s="323" t="inlineStr">
        <is>
          <t>Гранты на производство</t>
        </is>
      </c>
      <c r="E36" s="424" t="n">
        <v>220</v>
      </c>
      <c r="F36" s="425" t="n">
        <v>0.2115384615384615</v>
      </c>
      <c r="G36" s="404" t="inlineStr">
        <is>
          <t>Конкурсный отбор, приоритет — исторический/патриотический контент</t>
        </is>
      </c>
    </row>
    <row r="37">
      <c r="B37" s="400" t="n">
        <v>3</v>
      </c>
      <c r="C37" s="396" t="inlineStr">
        <is>
          <t>ИРИ (Институт развития интернета)</t>
        </is>
      </c>
      <c r="D37" s="323" t="inlineStr">
        <is>
          <t>Гранты на цифровой контент</t>
        </is>
      </c>
      <c r="E37" s="424" t="n">
        <v>150</v>
      </c>
      <c r="F37" s="425" t="n">
        <v>0.1442307692307692</v>
      </c>
      <c r="G37" s="404" t="inlineStr">
        <is>
          <t>Фонд поддержки контента для молодёжи</t>
        </is>
      </c>
    </row>
    <row r="38">
      <c r="B38" s="400" t="n">
        <v>4</v>
      </c>
      <c r="C38" s="396" t="inlineStr">
        <is>
          <t>Региональные фонды</t>
        </is>
      </c>
      <c r="D38" s="323" t="inlineStr">
        <is>
          <t>Рибейты и налоговые льготы</t>
        </is>
      </c>
      <c r="E38" s="424" t="n">
        <v>90</v>
      </c>
      <c r="F38" s="425" t="n">
        <v>0.08653846153846154</v>
      </c>
      <c r="G38" s="404" t="inlineStr">
        <is>
          <t>Московская обл., СПб, Крым, Татарстан — cashback до 30%</t>
        </is>
      </c>
    </row>
    <row r="39">
      <c r="B39" s="400" t="n">
        <v>5</v>
      </c>
      <c r="C39" s="396" t="inlineStr">
        <is>
          <t>НДС 0%</t>
        </is>
      </c>
      <c r="D39" s="323" t="inlineStr">
        <is>
          <t>Налоговая льгота</t>
        </is>
      </c>
      <c r="E39" s="424" t="n">
        <v>60</v>
      </c>
      <c r="F39" s="425" t="n">
        <v>0.0576923076923077</v>
      </c>
      <c r="G39" s="404" t="inlineStr">
        <is>
          <t>ст. 149 НК РФ — освобождение от НДС услуг в сфере культуры</t>
        </is>
      </c>
    </row>
    <row r="40">
      <c r="B40" s="426" t="inlineStr">
        <is>
          <t>Σ</t>
        </is>
      </c>
      <c r="C40" s="365" t="inlineStr">
        <is>
          <t>ИТОГО ГОСПОДДЕРЖКА</t>
        </is>
      </c>
      <c r="D40" s="402" t="inlineStr">
        <is>
          <t>—</t>
        </is>
      </c>
      <c r="E40" s="427" t="n">
        <v>1040</v>
      </c>
      <c r="F40" s="428" t="n">
        <v>1</v>
      </c>
      <c r="G40" s="375" t="inlineStr">
        <is>
          <t>56% от CAPEX (Капзатраты); остальное — T₁ инвестор + producer equity (доля в капитале)</t>
        </is>
      </c>
    </row>
    <row r="43">
      <c r="B43" s="320" t="inlineStr">
        <is>
          <t>IV. СОЦИОКУЛЬТУРНОЕ ВОЗДЕЙСТВИЕ</t>
        </is>
      </c>
    </row>
    <row r="45">
      <c r="B45" s="321" t="inlineStr">
        <is>
          <t>#</t>
        </is>
      </c>
      <c r="C45" s="321" t="inlineStr">
        <is>
          <t>Направление</t>
        </is>
      </c>
      <c r="D45" s="321" t="inlineStr">
        <is>
          <t>Описание</t>
        </is>
      </c>
    </row>
    <row r="46" ht="28" customHeight="1">
      <c r="B46" s="400" t="n">
        <v>1</v>
      </c>
      <c r="C46" s="396" t="inlineStr">
        <is>
          <t>Просвещение через контент</t>
        </is>
      </c>
      <c r="D46" s="323" t="inlineStr">
        <is>
          <t>Исторические фильмы П03 «Ночной патруль», П05 «Сказка наяву» — оригинальные события в истории РФ</t>
        </is>
      </c>
    </row>
    <row r="47" ht="28" customHeight="1">
      <c r="B47" s="400" t="n">
        <v>2</v>
      </c>
      <c r="C47" s="396" t="inlineStr">
        <is>
          <t>Поддержка семейных ценностей</t>
        </is>
      </c>
      <c r="D47" s="323" t="inlineStr">
        <is>
          <t>П01 «Родные стены», П05 «Сказка наяву», П06С «Северный ветер» — 3 фильма с явным семейным мессиджем</t>
        </is>
      </c>
    </row>
    <row r="48" ht="28" customHeight="1">
      <c r="B48" s="400" t="n">
        <v>3</v>
      </c>
      <c r="C48" s="396" t="inlineStr">
        <is>
          <t>Популяризация региона</t>
        </is>
      </c>
      <c r="D48" s="323" t="inlineStr">
        <is>
          <t>Съёмки в Карелии, на Алтае, в Крыму, Татарстане — развитие кинотуризма</t>
        </is>
      </c>
    </row>
    <row r="49" ht="28" customHeight="1">
      <c r="B49" s="400" t="n">
        <v>4</v>
      </c>
      <c r="C49" s="396" t="inlineStr">
        <is>
          <t>Занятость</t>
        </is>
      </c>
      <c r="D49" s="323" t="inlineStr">
        <is>
          <t>260 рабочих мест/год в среднем, включая фрилансеров; партнёрство с вузами</t>
        </is>
      </c>
    </row>
    <row r="50" ht="28" customHeight="1">
      <c r="B50" s="400" t="n">
        <v>5</v>
      </c>
      <c r="C50" s="396" t="inlineStr">
        <is>
          <t>Международный имидж РФ</t>
        </is>
      </c>
      <c r="D50" s="323" t="inlineStr">
        <is>
          <t>Фестивали Шанхай, ММКФ, Minsk Fest, Dubai Film Days — экспорт культуры</t>
        </is>
      </c>
    </row>
    <row r="51" ht="28" customHeight="1">
      <c r="B51" s="400" t="n">
        <v>6</v>
      </c>
      <c r="C51" s="396" t="inlineStr">
        <is>
          <t>Вклад в экосистему</t>
        </is>
      </c>
      <c r="D51" s="323" t="inlineStr">
        <is>
          <t>VFX (визуальные эффекты)-центр, школа актёрского мастерства, продюсерские стажировки</t>
        </is>
      </c>
    </row>
    <row r="52" ht="28" customHeight="1">
      <c r="B52" s="400" t="n">
        <v>7</v>
      </c>
      <c r="C52" s="396" t="inlineStr">
        <is>
          <t>Сохранение культурного наследия</t>
        </is>
      </c>
      <c r="D52" s="323" t="inlineStr">
        <is>
          <t>Библиотека фильмов, архивы, копродукция с Госфильмофондом</t>
        </is>
      </c>
    </row>
    <row r="55">
      <c r="B55" s="320" t="inlineStr">
        <is>
          <t>V. REGULATORY COMPLIANCE (РЕГУЛЯТОРНОЕ СООТВЕТСТВИЕ) CHECKLIST</t>
        </is>
      </c>
    </row>
    <row r="57">
      <c r="B57" s="321" t="inlineStr">
        <is>
          <t>#</t>
        </is>
      </c>
      <c r="C57" s="321" t="inlineStr">
        <is>
          <t>Требование</t>
        </is>
      </c>
      <c r="D57" s="321" t="inlineStr">
        <is>
          <t>Описание</t>
        </is>
      </c>
      <c r="E57" s="321" t="inlineStr">
        <is>
          <t>Регулятор</t>
        </is>
      </c>
      <c r="F57" s="321" t="inlineStr">
        <is>
          <t>Статус</t>
        </is>
      </c>
    </row>
    <row r="58" ht="26" customHeight="1">
      <c r="B58" s="400" t="n">
        <v>1</v>
      </c>
      <c r="C58" s="396" t="inlineStr">
        <is>
          <t>Лицензия на прокат</t>
        </is>
      </c>
      <c r="D58" s="404" t="inlineStr">
        <is>
          <t>Удостоверение национального фильма (УНФ)</t>
        </is>
      </c>
      <c r="E58" s="423" t="inlineStr">
        <is>
          <t>Минкультуры РФ</t>
        </is>
      </c>
      <c r="F58" s="429" t="inlineStr">
        <is>
          <t>✓ до релиза</t>
        </is>
      </c>
    </row>
    <row r="59" ht="26" customHeight="1">
      <c r="B59" s="400" t="n">
        <v>2</v>
      </c>
      <c r="C59" s="396" t="inlineStr">
        <is>
          <t>Возрастной рейтинг</t>
        </is>
      </c>
      <c r="D59" s="404" t="inlineStr">
        <is>
          <t>Категория 0+/6+/12+/16+/18+</t>
        </is>
      </c>
      <c r="E59" s="423" t="inlineStr">
        <is>
          <t>Минкультуры РФ</t>
        </is>
      </c>
      <c r="F59" s="429" t="inlineStr">
        <is>
          <t>✓ до релиза</t>
        </is>
      </c>
    </row>
    <row r="60" ht="26" customHeight="1">
      <c r="B60" s="400" t="n">
        <v>3</v>
      </c>
      <c r="C60" s="396" t="inlineStr">
        <is>
          <t>НДС 0%</t>
        </is>
      </c>
      <c r="D60" s="404" t="inlineStr">
        <is>
          <t>Подтверждение льготы по ст. 149 НК РФ</t>
        </is>
      </c>
      <c r="E60" s="423" t="inlineStr">
        <is>
          <t>ФНС</t>
        </is>
      </c>
      <c r="F60" s="429" t="inlineStr">
        <is>
          <t>✓ квартально</t>
        </is>
      </c>
    </row>
    <row r="61" ht="26" customHeight="1">
      <c r="B61" s="400" t="n">
        <v>4</v>
      </c>
      <c r="C61" s="396" t="inlineStr">
        <is>
          <t>Авторские права</t>
        </is>
      </c>
      <c r="D61" s="404" t="inlineStr">
        <is>
          <t>Регистрация в РАО/РСП/ВОИС, договоры с авторами</t>
        </is>
      </c>
      <c r="E61" s="423" t="inlineStr">
        <is>
          <t>РАО, ВОИС</t>
        </is>
      </c>
      <c r="F61" s="429" t="inlineStr">
        <is>
          <t>✓ до съёмок</t>
        </is>
      </c>
    </row>
    <row r="62" ht="26" customHeight="1">
      <c r="B62" s="400" t="n">
        <v>5</v>
      </c>
      <c r="C62" s="396" t="inlineStr">
        <is>
          <t>Договоры с актёрами</t>
        </is>
      </c>
      <c r="D62" s="404" t="inlineStr">
        <is>
          <t>ТД + имидж-права + морал райтс</t>
        </is>
      </c>
      <c r="E62" s="423" t="inlineStr">
        <is>
          <t>Минтруд РФ</t>
        </is>
      </c>
      <c r="F62" s="429" t="inlineStr">
        <is>
          <t>✓ до съёмок</t>
        </is>
      </c>
    </row>
    <row r="63" ht="26" customHeight="1">
      <c r="B63" s="400" t="n">
        <v>6</v>
      </c>
      <c r="C63" s="396" t="inlineStr">
        <is>
          <t>Съёмочные разрешения</t>
        </is>
      </c>
      <c r="D63" s="404" t="inlineStr">
        <is>
          <t>Разрешения на съёмки в госучреждениях</t>
        </is>
      </c>
      <c r="E63" s="423" t="inlineStr">
        <is>
          <t>Минкульт, регионы</t>
        </is>
      </c>
      <c r="F63" s="429" t="inlineStr">
        <is>
          <t>✓ до съёмок</t>
        </is>
      </c>
    </row>
    <row r="64" ht="26" customHeight="1">
      <c r="B64" s="400" t="n">
        <v>7</v>
      </c>
      <c r="C64" s="396" t="inlineStr">
        <is>
          <t>Страхование</t>
        </is>
      </c>
      <c r="D64" s="404" t="inlineStr">
        <is>
          <t>Completion bond, страхование членов группы</t>
        </is>
      </c>
      <c r="E64" s="423" t="inlineStr">
        <is>
          <t>ФКП + частные</t>
        </is>
      </c>
      <c r="F64" s="429" t="inlineStr">
        <is>
          <t>✓ до съёмок</t>
        </is>
      </c>
    </row>
    <row r="65" ht="26" customHeight="1">
      <c r="B65" s="400" t="n">
        <v>8</v>
      </c>
      <c r="C65" s="396" t="inlineStr">
        <is>
          <t>Отчётность в ФКП</t>
        </is>
      </c>
      <c r="D65" s="404" t="inlineStr">
        <is>
          <t>Ежеквартальная отчётность + финальная</t>
        </is>
      </c>
      <c r="E65" s="423" t="inlineStr">
        <is>
          <t>Фонд кино</t>
        </is>
      </c>
      <c r="F65" s="429" t="inlineStr">
        <is>
          <t>✓ квартально</t>
        </is>
      </c>
    </row>
    <row r="66" ht="26" customHeight="1">
      <c r="B66" s="400" t="n">
        <v>9</v>
      </c>
      <c r="C66" s="396" t="inlineStr">
        <is>
          <t>Охрана труда</t>
        </is>
      </c>
      <c r="D66" s="404" t="inlineStr">
        <is>
          <t>Техника безопасности на площадке</t>
        </is>
      </c>
      <c r="E66" s="423" t="inlineStr">
        <is>
          <t>Росинспекция</t>
        </is>
      </c>
      <c r="F66" s="429" t="inlineStr">
        <is>
          <t>✓ на площадке</t>
        </is>
      </c>
    </row>
    <row r="67" ht="26" customHeight="1">
      <c r="B67" s="400" t="n">
        <v>10</v>
      </c>
      <c r="C67" s="396" t="inlineStr">
        <is>
          <t>ФЗ-152 о персональных данных</t>
        </is>
      </c>
      <c r="D67" s="404" t="inlineStr">
        <is>
          <t>Согласия актёров, статистов, зрителей</t>
        </is>
      </c>
      <c r="E67" s="423" t="inlineStr">
        <is>
          <t>Роскомнадзор</t>
        </is>
      </c>
      <c r="F67" s="429" t="inlineStr">
        <is>
          <t>✓ непрерывно</t>
        </is>
      </c>
    </row>
    <row r="70">
      <c r="B70" s="401" t="inlineStr">
        <is>
          <t>VI. ИСТОЧНИКИ</t>
        </is>
      </c>
    </row>
    <row r="72">
      <c r="B72" s="323" t="inlineStr">
        <is>
          <t>• Указ Президента РФ № 309 от 07.05.2024 «О национальных целях развития РФ на период до 2030 года»</t>
        </is>
      </c>
      <c r="C72" s="186"/>
      <c r="D72" s="186"/>
      <c r="E72" s="186"/>
      <c r="F72" s="186"/>
      <c r="G72" s="186"/>
      <c r="H72" s="186"/>
      <c r="I72" s="186"/>
      <c r="J72" s="186"/>
      <c r="K72" s="187"/>
    </row>
    <row r="73">
      <c r="B73" s="323" t="inlineStr">
        <is>
          <t>• Постановление Правительства РФ № 1215 от 31.12.2013 «О предоставлении субсидий Фонду кино»</t>
        </is>
      </c>
      <c r="C73" s="186"/>
      <c r="D73" s="186"/>
      <c r="E73" s="186"/>
      <c r="F73" s="186"/>
      <c r="G73" s="186"/>
      <c r="H73" s="186"/>
      <c r="I73" s="186"/>
      <c r="J73" s="186"/>
      <c r="K73" s="187"/>
    </row>
    <row r="74">
      <c r="B74" s="323" t="inlineStr">
        <is>
          <t>• Национальный проект «Культура» (паспорт 2019–2024, продление 2025–2030)</t>
        </is>
      </c>
      <c r="C74" s="186"/>
      <c r="D74" s="186"/>
      <c r="E74" s="186"/>
      <c r="F74" s="186"/>
      <c r="G74" s="186"/>
      <c r="H74" s="186"/>
      <c r="I74" s="186"/>
      <c r="J74" s="186"/>
      <c r="K74" s="187"/>
    </row>
    <row r="75">
      <c r="B75" s="323" t="inlineStr">
        <is>
          <t>• Нацпроект «Семья» 2025–2030 (приоритеты Минкультуры)</t>
        </is>
      </c>
      <c r="C75" s="186"/>
      <c r="D75" s="186"/>
      <c r="E75" s="186"/>
      <c r="F75" s="186"/>
      <c r="G75" s="186"/>
      <c r="H75" s="186"/>
      <c r="I75" s="186"/>
      <c r="J75" s="186"/>
      <c r="K75" s="187"/>
    </row>
    <row r="76">
      <c r="B76" s="323" t="inlineStr">
        <is>
          <t>• Налоговый кодекс РФ, ст. 149 (льготы по НДС для кинопроизводства)</t>
        </is>
      </c>
      <c r="C76" s="186"/>
      <c r="D76" s="186"/>
      <c r="E76" s="186"/>
      <c r="F76" s="186"/>
      <c r="G76" s="186"/>
      <c r="H76" s="186"/>
      <c r="I76" s="186"/>
      <c r="J76" s="186"/>
      <c r="K76" s="187"/>
    </row>
    <row r="77">
      <c r="B77" s="323" t="inlineStr">
        <is>
          <t>• Кремлин.ру — публикации о культурной политике</t>
        </is>
      </c>
      <c r="C77" s="186"/>
      <c r="D77" s="186"/>
      <c r="E77" s="186"/>
      <c r="F77" s="186"/>
      <c r="G77" s="186"/>
      <c r="H77" s="186"/>
      <c r="I77" s="186"/>
      <c r="J77" s="186"/>
      <c r="K77" s="187"/>
    </row>
    <row r="78">
      <c r="B78" s="323" t="inlineStr">
        <is>
          <t>• ТАСС — новости Минкультуры и Фонда кино</t>
        </is>
      </c>
      <c r="C78" s="186"/>
      <c r="D78" s="186"/>
      <c r="E78" s="186"/>
      <c r="F78" s="186"/>
      <c r="G78" s="186"/>
      <c r="H78" s="186"/>
      <c r="I78" s="186"/>
      <c r="J78" s="186"/>
      <c r="K78" s="187"/>
    </row>
    <row r="79">
      <c r="B79" s="323" t="inlineStr">
        <is>
          <t>• Официальный сайт Минкультуры РФ (culture.gov.ru)</t>
        </is>
      </c>
      <c r="C79" s="186"/>
      <c r="D79" s="186"/>
      <c r="E79" s="186"/>
      <c r="F79" s="186"/>
      <c r="G79" s="186"/>
      <c r="H79" s="186"/>
      <c r="I79" s="186"/>
      <c r="J79" s="186"/>
      <c r="K79" s="187"/>
    </row>
    <row r="80">
      <c r="B80" s="323" t="inlineStr">
        <is>
          <t>• Единая автоматизированная информационная система (ЕАИС) Фонда кино</t>
        </is>
      </c>
      <c r="C80" s="186"/>
      <c r="D80" s="186"/>
      <c r="E80" s="186"/>
      <c r="F80" s="186"/>
      <c r="G80" s="186"/>
      <c r="H80" s="186"/>
      <c r="I80" s="186"/>
      <c r="J80" s="186"/>
      <c r="K80" s="187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2">
      <c r="B2" s="318" t="inlineStr">
        <is>
          <t>НАЛОГОВЫЙ КАЛЕНДАРЬ — НАЛОГОВЫЙ КАЛЕНДАРЬ 2026–2032</t>
        </is>
      </c>
    </row>
    <row r="4">
      <c r="B4" s="319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6">
      <c r="B6" s="320" t="inlineStr">
        <is>
          <t>I. ПРИМЕНИМЫЕ НАЛОГИ И СТАВКИ (НК РФ)</t>
        </is>
      </c>
    </row>
    <row r="8">
      <c r="B8" s="321" t="inlineStr">
        <is>
          <t>#</t>
        </is>
      </c>
      <c r="C8" s="321" t="inlineStr">
        <is>
          <t>Налог</t>
        </is>
      </c>
      <c r="D8" s="321" t="inlineStr">
        <is>
          <t>База</t>
        </is>
      </c>
      <c r="E8" s="321" t="inlineStr">
        <is>
          <t>Ставка 2026</t>
        </is>
      </c>
      <c r="F8" s="321" t="inlineStr">
        <is>
          <t>Ставка 2028</t>
        </is>
      </c>
      <c r="G8" s="321" t="inlineStr">
        <is>
          <t>Статья НК</t>
        </is>
      </c>
      <c r="H8" s="321" t="inlineStr">
        <is>
          <t>Комментарий</t>
        </is>
      </c>
    </row>
    <row r="9" ht="32" customHeight="1">
      <c r="B9" s="400" t="n">
        <v>1</v>
      </c>
      <c r="C9" s="323" t="inlineStr">
        <is>
          <t>Налог на прибыль</t>
        </is>
      </c>
      <c r="D9" s="323" t="inlineStr">
        <is>
          <t>Прибыль до налогообложения</t>
        </is>
      </c>
      <c r="E9" s="322" t="inlineStr">
        <is>
          <t>20% (17% регион + 3% фед.)</t>
        </is>
      </c>
      <c r="F9" s="322" t="inlineStr">
        <is>
          <t>20% (17/3)</t>
        </is>
      </c>
      <c r="G9" s="322" t="inlineStr">
        <is>
          <t>ст. 284</t>
        </is>
      </c>
      <c r="H9" s="404" t="inlineStr">
        <is>
          <t>Основная ставка, льготы для КИК</t>
        </is>
      </c>
    </row>
    <row r="10" ht="32" customHeight="1">
      <c r="B10" s="400" t="n">
        <v>2</v>
      </c>
      <c r="C10" s="323" t="inlineStr">
        <is>
          <t>НДС</t>
        </is>
      </c>
      <c r="D10" s="323" t="inlineStr">
        <is>
          <t>Услуги кинопроизводства</t>
        </is>
      </c>
      <c r="E10" s="322" t="inlineStr">
        <is>
          <t>0% (кино)</t>
        </is>
      </c>
      <c r="F10" s="322" t="inlineStr">
        <is>
          <t>0% (кино)</t>
        </is>
      </c>
      <c r="G10" s="322" t="inlineStr">
        <is>
          <t>ст. 149 п.20</t>
        </is>
      </c>
      <c r="H10" s="404" t="inlineStr">
        <is>
          <t>Освобождение: производство + прокат нац. фильмов с УНФ</t>
        </is>
      </c>
    </row>
    <row r="11" ht="32" customHeight="1">
      <c r="B11" s="400" t="n">
        <v>3</v>
      </c>
      <c r="C11" s="323" t="inlineStr">
        <is>
          <t>Страховые взносы</t>
        </is>
      </c>
      <c r="D11" s="323" t="inlineStr">
        <is>
          <t>ФОТ</t>
        </is>
      </c>
      <c r="E11" s="322" t="inlineStr">
        <is>
          <t>30.2% (ОПС+ОМС+ОСС)</t>
        </is>
      </c>
      <c r="F11" s="322" t="inlineStr">
        <is>
          <t>30.2%</t>
        </is>
      </c>
      <c r="G11" s="322" t="inlineStr">
        <is>
          <t>НК гл. 34</t>
        </is>
      </c>
      <c r="H11" s="404" t="inlineStr">
        <is>
          <t>Стандартный тариф, возможны льготы для IT-аккредитации</t>
        </is>
      </c>
    </row>
    <row r="12" ht="32" customHeight="1">
      <c r="B12" s="400" t="n">
        <v>4</v>
      </c>
      <c r="C12" s="323" t="inlineStr">
        <is>
          <t>НДФЛ (штатные)</t>
        </is>
      </c>
      <c r="D12" s="323" t="inlineStr">
        <is>
          <t>ФОТ штатных</t>
        </is>
      </c>
      <c r="E12" s="322" t="inlineStr">
        <is>
          <t>13% / 15%</t>
        </is>
      </c>
      <c r="F12" s="322" t="inlineStr">
        <is>
          <t>13% / 15%</t>
        </is>
      </c>
      <c r="G12" s="322" t="inlineStr">
        <is>
          <t>ст. 224</t>
        </is>
      </c>
      <c r="H12" s="404" t="inlineStr">
        <is>
          <t>15% с превышения 5 млн ₽/год</t>
        </is>
      </c>
    </row>
    <row r="13" ht="32" customHeight="1">
      <c r="B13" s="400" t="n">
        <v>5</v>
      </c>
      <c r="C13" s="323" t="inlineStr">
        <is>
          <t>НДФЛ (фриланс GPH)</t>
        </is>
      </c>
      <c r="D13" s="323" t="inlineStr">
        <is>
          <t>Выплаты по ГПХ</t>
        </is>
      </c>
      <c r="E13" s="322" t="inlineStr">
        <is>
          <t>13%</t>
        </is>
      </c>
      <c r="F13" s="322" t="inlineStr">
        <is>
          <t>13%</t>
        </is>
      </c>
      <c r="G13" s="322" t="inlineStr">
        <is>
          <t>ст. 224</t>
        </is>
      </c>
      <c r="H13" s="404" t="inlineStr">
        <is>
          <t>Удерживается при выплате</t>
        </is>
      </c>
    </row>
    <row r="14" ht="32" customHeight="1">
      <c r="B14" s="400" t="n">
        <v>6</v>
      </c>
      <c r="C14" s="323" t="inlineStr">
        <is>
          <t>Налог на имущество</t>
        </is>
      </c>
      <c r="D14" s="323" t="inlineStr">
        <is>
          <t>Стоимость ОС</t>
        </is>
      </c>
      <c r="E14" s="322" t="inlineStr">
        <is>
          <t>2.2% (регион)</t>
        </is>
      </c>
      <c r="F14" s="322" t="inlineStr">
        <is>
          <t>2.2%</t>
        </is>
      </c>
      <c r="G14" s="322" t="inlineStr">
        <is>
          <t>ст. 380</t>
        </is>
      </c>
      <c r="H14" s="404" t="inlineStr">
        <is>
          <t>Московская область + СПб</t>
        </is>
      </c>
    </row>
    <row r="15" ht="32" customHeight="1">
      <c r="B15" s="400" t="n">
        <v>7</v>
      </c>
      <c r="C15" s="323" t="inlineStr">
        <is>
          <t>Транспортный налог</t>
        </is>
      </c>
      <c r="D15" s="323" t="inlineStr">
        <is>
          <t>Авто, техника</t>
        </is>
      </c>
      <c r="E15" s="322" t="inlineStr">
        <is>
          <t>Регион. ставки</t>
        </is>
      </c>
      <c r="F15" s="322" t="inlineStr">
        <is>
          <t>Регион. ставки</t>
        </is>
      </c>
      <c r="G15" s="322" t="inlineStr">
        <is>
          <t>ст. 361</t>
        </is>
      </c>
      <c r="H15" s="404" t="inlineStr">
        <is>
          <t>Для съёмочной техники</t>
        </is>
      </c>
    </row>
    <row r="16" ht="32" customHeight="1">
      <c r="B16" s="400" t="n">
        <v>8</v>
      </c>
      <c r="C16" s="323" t="inlineStr">
        <is>
          <t>Земельный налог</t>
        </is>
      </c>
      <c r="D16" s="323" t="inlineStr">
        <is>
          <t>Участки под студии</t>
        </is>
      </c>
      <c r="E16" s="322" t="inlineStr">
        <is>
          <t>0.3%-1.5%</t>
        </is>
      </c>
      <c r="F16" s="322" t="inlineStr">
        <is>
          <t>0.3%-1.5%</t>
        </is>
      </c>
      <c r="G16" s="322" t="inlineStr">
        <is>
          <t>ст. 394</t>
        </is>
      </c>
      <c r="H16" s="404" t="inlineStr">
        <is>
          <t>Для капитальных студий</t>
        </is>
      </c>
    </row>
    <row r="17" ht="32" customHeight="1">
      <c r="B17" s="400" t="n">
        <v>9</v>
      </c>
      <c r="C17" s="323" t="inlineStr">
        <is>
          <t>ЕНВД/УСН</t>
        </is>
      </c>
      <c r="D17" s="323" t="inlineStr">
        <is>
          <t>Упрощёнка для JV (совместное предприятие)</t>
        </is>
      </c>
      <c r="E17" s="322" t="inlineStr">
        <is>
          <t>6% дохода / 15% Д-Р</t>
        </is>
      </c>
      <c r="F17" s="322" t="inlineStr">
        <is>
          <t>6% / 15%</t>
        </is>
      </c>
      <c r="G17" s="322" t="inlineStr">
        <is>
          <t>гл. 26.2</t>
        </is>
      </c>
      <c r="H17" s="404" t="inlineStr">
        <is>
          <t>Не применим — обороты &gt;450 млн ₽</t>
        </is>
      </c>
    </row>
    <row r="20">
      <c r="B20" s="320" t="inlineStr">
        <is>
          <t>II. НАЛОГОВЫЙ КАЛЕНДАРЬ 2026–2028 (поквартально, млн ₽)</t>
        </is>
      </c>
    </row>
    <row r="22">
      <c r="B22" s="321" t="inlineStr">
        <is>
          <t>Налог</t>
        </is>
      </c>
      <c r="C22" s="321" t="inlineStr">
        <is>
          <t>Q1'26</t>
        </is>
      </c>
      <c r="D22" s="321" t="inlineStr">
        <is>
          <t>Q2'26</t>
        </is>
      </c>
      <c r="E22" s="321" t="inlineStr">
        <is>
          <t>Q3'26</t>
        </is>
      </c>
      <c r="F22" s="321" t="inlineStr">
        <is>
          <t>Q4'26</t>
        </is>
      </c>
      <c r="G22" s="321" t="inlineStr">
        <is>
          <t>Q1'27</t>
        </is>
      </c>
      <c r="H22" s="321" t="inlineStr">
        <is>
          <t>Q2'27</t>
        </is>
      </c>
      <c r="I22" s="321" t="inlineStr">
        <is>
          <t>Q3'27</t>
        </is>
      </c>
      <c r="J22" s="321" t="inlineStr">
        <is>
          <t>Q4'27</t>
        </is>
      </c>
      <c r="K22" s="321" t="inlineStr">
        <is>
          <t>Q1'28</t>
        </is>
      </c>
      <c r="L22" s="321" t="inlineStr">
        <is>
          <t>Q2'28</t>
        </is>
      </c>
      <c r="M22" s="321" t="inlineStr">
        <is>
          <t>Q3'28</t>
        </is>
      </c>
      <c r="N22" s="321" t="inlineStr">
        <is>
          <t>Q4'28</t>
        </is>
      </c>
      <c r="O22" s="321" t="inlineStr">
        <is>
          <t>2029</t>
        </is>
      </c>
      <c r="P22" s="321" t="inlineStr">
        <is>
          <t>2030</t>
        </is>
      </c>
      <c r="Q22" s="321" t="inlineStr">
        <is>
          <t>2031</t>
        </is>
      </c>
      <c r="R22" s="321" t="inlineStr">
        <is>
          <t>2032</t>
        </is>
      </c>
      <c r="S22" s="321" t="inlineStr">
        <is>
          <t>Σ</t>
        </is>
      </c>
    </row>
    <row r="23">
      <c r="B23" s="365" t="inlineStr">
        <is>
          <t>Налог на прибыль (20%)</t>
        </is>
      </c>
      <c r="C23" s="376">
        <v>0</v>
      </c>
      <c r="D23" s="376">
        <v>0</v>
      </c>
      <c r="E23" s="376">
        <v>0</v>
      </c>
      <c r="F23" s="376">
        <v>57.4</v>
      </c>
      <c r="G23" s="376">
        <v>0</v>
      </c>
      <c r="H23" s="376">
        <v>102.8</v>
      </c>
      <c r="I23" s="376">
        <v>71.5</v>
      </c>
      <c r="J23" s="376">
        <v>82.1</v>
      </c>
      <c r="K23" s="376">
        <v>51.2</v>
      </c>
      <c r="L23" s="376">
        <v>0</v>
      </c>
      <c r="M23" s="376">
        <v>52.3</v>
      </c>
      <c r="N23" s="376">
        <v>43.4</v>
      </c>
      <c r="O23" s="376">
        <v>13.5</v>
      </c>
      <c r="P23" s="376">
        <v>2.6</v>
      </c>
      <c r="Q23" s="376">
        <v>0</v>
      </c>
      <c r="R23" s="376">
        <v>0</v>
      </c>
      <c r="S23" s="373">
        <v>476.8</v>
      </c>
    </row>
    <row r="24">
      <c r="B24" s="430" t="inlineStr">
        <is>
          <t>НДС (0%, справочно)</t>
        </is>
      </c>
      <c r="C24" s="431" t="n">
        <v>0</v>
      </c>
      <c r="D24" s="431" t="n">
        <v>0</v>
      </c>
      <c r="E24" s="431" t="n">
        <v>0</v>
      </c>
      <c r="F24" s="431" t="n">
        <v>0</v>
      </c>
      <c r="G24" s="431" t="n">
        <v>0</v>
      </c>
      <c r="H24" s="431" t="n">
        <v>0</v>
      </c>
      <c r="I24" s="431" t="n">
        <v>0</v>
      </c>
      <c r="J24" s="431" t="n">
        <v>0</v>
      </c>
      <c r="K24" s="431" t="n">
        <v>0</v>
      </c>
      <c r="L24" s="431" t="n">
        <v>0</v>
      </c>
      <c r="M24" s="431" t="n">
        <v>0</v>
      </c>
      <c r="N24" s="431" t="n">
        <v>0</v>
      </c>
      <c r="O24" s="431" t="n">
        <v>0</v>
      </c>
      <c r="P24" s="431" t="n">
        <v>0</v>
      </c>
      <c r="Q24" s="431" t="n">
        <v>0</v>
      </c>
      <c r="R24" s="431" t="n">
        <v>0</v>
      </c>
      <c r="S24" s="373" t="n">
        <v>0</v>
      </c>
    </row>
    <row r="25">
      <c r="B25" s="368" t="inlineStr">
        <is>
          <t>Страховые взносы (30.2%)</t>
        </is>
      </c>
      <c r="C25" s="379">
        <v>7.6</v>
      </c>
      <c r="D25" s="379">
        <v>7.6</v>
      </c>
      <c r="E25" s="379">
        <v>7.6</v>
      </c>
      <c r="F25" s="379">
        <v>7.6</v>
      </c>
      <c r="G25" s="379">
        <v>8.2</v>
      </c>
      <c r="H25" s="379">
        <v>8.2</v>
      </c>
      <c r="I25" s="379">
        <v>8.2</v>
      </c>
      <c r="J25" s="379">
        <v>8.2</v>
      </c>
      <c r="K25" s="379">
        <v>8.8</v>
      </c>
      <c r="L25" s="379">
        <v>8.8</v>
      </c>
      <c r="M25" s="379">
        <v>8.8</v>
      </c>
      <c r="N25" s="379">
        <v>8.8</v>
      </c>
      <c r="O25" s="379">
        <v>38.1</v>
      </c>
      <c r="P25" s="379">
        <v>41.1</v>
      </c>
      <c r="Q25" s="379">
        <v>44.4</v>
      </c>
      <c r="R25" s="379">
        <v>48.0</v>
      </c>
      <c r="S25" s="373">
        <v>270.0</v>
      </c>
    </row>
    <row r="26">
      <c r="B26" s="369" t="inlineStr">
        <is>
          <t>НДФЛ (13-15%)</t>
        </is>
      </c>
      <c r="C26" s="382">
        <v>3.4</v>
      </c>
      <c r="D26" s="382">
        <v>3.4</v>
      </c>
      <c r="E26" s="382">
        <v>3.4</v>
      </c>
      <c r="F26" s="382">
        <v>3.4</v>
      </c>
      <c r="G26" s="382">
        <v>3.7</v>
      </c>
      <c r="H26" s="382">
        <v>3.7</v>
      </c>
      <c r="I26" s="382">
        <v>3.7</v>
      </c>
      <c r="J26" s="382">
        <v>3.7</v>
      </c>
      <c r="K26" s="382">
        <v>3.9</v>
      </c>
      <c r="L26" s="382">
        <v>3.9</v>
      </c>
      <c r="M26" s="382">
        <v>3.9</v>
      </c>
      <c r="N26" s="382">
        <v>3.9</v>
      </c>
      <c r="O26" s="382">
        <v>17.0</v>
      </c>
      <c r="P26" s="382">
        <v>18.4</v>
      </c>
      <c r="Q26" s="382">
        <v>19.9</v>
      </c>
      <c r="R26" s="382">
        <v>21.5</v>
      </c>
      <c r="S26" s="373">
        <v>120.8</v>
      </c>
    </row>
    <row r="27">
      <c r="B27" s="370" t="inlineStr">
        <is>
          <t>Имущество + прочие</t>
        </is>
      </c>
      <c r="C27" s="385" t="n">
        <v>2</v>
      </c>
      <c r="D27" s="385" t="n">
        <v>2</v>
      </c>
      <c r="E27" s="385" t="n">
        <v>2</v>
      </c>
      <c r="F27" s="385" t="n">
        <v>2</v>
      </c>
      <c r="G27" s="385" t="n">
        <v>2</v>
      </c>
      <c r="H27" s="385" t="n">
        <v>2</v>
      </c>
      <c r="I27" s="385" t="n">
        <v>2</v>
      </c>
      <c r="J27" s="385" t="n">
        <v>2</v>
      </c>
      <c r="K27" s="385" t="n">
        <v>2</v>
      </c>
      <c r="L27" s="385" t="n">
        <v>2</v>
      </c>
      <c r="M27" s="385" t="n">
        <v>2</v>
      </c>
      <c r="N27" s="385" t="n">
        <v>2</v>
      </c>
      <c r="O27" s="385" t="n">
        <v>2</v>
      </c>
      <c r="P27" s="385" t="n">
        <v>2</v>
      </c>
      <c r="Q27" s="385" t="n">
        <v>2</v>
      </c>
      <c r="R27" s="385" t="n">
        <v>2</v>
      </c>
      <c r="S27" s="373">
        <v>32.0</v>
      </c>
    </row>
    <row r="28">
      <c r="B28" s="432" t="inlineStr">
        <is>
          <t>ИТОГО НАЛОГИ</t>
        </is>
      </c>
      <c r="C28" s="373">
        <v>13.0</v>
      </c>
      <c r="D28" s="373">
        <v>13.0</v>
      </c>
      <c r="E28" s="373">
        <v>13.0</v>
      </c>
      <c r="F28" s="373">
        <v>70.4</v>
      </c>
      <c r="G28" s="373">
        <v>13.9</v>
      </c>
      <c r="H28" s="373">
        <v>116.7</v>
      </c>
      <c r="I28" s="373">
        <v>85.4</v>
      </c>
      <c r="J28" s="373">
        <v>96.0</v>
      </c>
      <c r="K28" s="373">
        <v>65.9</v>
      </c>
      <c r="L28" s="373">
        <v>14.7</v>
      </c>
      <c r="M28" s="373">
        <v>67.0</v>
      </c>
      <c r="N28" s="373">
        <v>58.1</v>
      </c>
      <c r="O28" s="373">
        <v>70.6</v>
      </c>
      <c r="P28" s="373">
        <v>64.1</v>
      </c>
      <c r="Q28" s="373">
        <v>66.3</v>
      </c>
      <c r="R28" s="373">
        <v>71.5</v>
      </c>
      <c r="S28" s="433">
        <v>899.6</v>
      </c>
    </row>
    <row r="30">
      <c r="B30" s="320" t="inlineStr">
        <is>
          <t>III. SUMMARY НАЛОГОВЫХ ОТЧИСЛЕНИЙ</t>
        </is>
      </c>
    </row>
    <row r="32">
      <c r="B32" s="321" t="inlineStr">
        <is>
          <t>Период</t>
        </is>
      </c>
      <c r="C32" s="321" t="inlineStr">
        <is>
          <t>Налог на прибыль</t>
        </is>
      </c>
      <c r="D32" s="321" t="inlineStr">
        <is>
          <t>Страховые</t>
        </is>
      </c>
      <c r="E32" s="321" t="inlineStr">
        <is>
          <t>НДФЛ</t>
        </is>
      </c>
      <c r="F32" s="321" t="inlineStr">
        <is>
          <t>Прочие</t>
        </is>
      </c>
      <c r="G32" s="321" t="inlineStr">
        <is>
          <t>ИТОГО</t>
        </is>
      </c>
      <c r="H32" s="321" t="inlineStr">
        <is>
          <t>% от Revenue (Выручка)</t>
        </is>
      </c>
    </row>
    <row r="33">
      <c r="B33" s="365" t="inlineStr">
        <is>
          <t>3Y (2026-2028)</t>
        </is>
      </c>
      <c r="C33" s="376">
        <v>460.7</v>
      </c>
      <c r="D33" s="376">
        <v>98.4</v>
      </c>
      <c r="E33" s="376">
        <v>44.0</v>
      </c>
      <c r="F33" s="376">
        <v>24.0</v>
      </c>
      <c r="G33" s="373">
        <v>627.1</v>
      </c>
      <c r="H33" s="377">
        <v>0.138</v>
      </c>
    </row>
    <row r="34">
      <c r="B34" s="369" t="inlineStr">
        <is>
          <t>Tail (Хвостовой период) (2029-2032)</t>
        </is>
      </c>
      <c r="C34" s="382">
        <v>16.1</v>
      </c>
      <c r="D34" s="382">
        <v>171.6</v>
      </c>
      <c r="E34" s="382">
        <v>76.8</v>
      </c>
      <c r="F34" s="382">
        <v>8.0</v>
      </c>
      <c r="G34" s="434">
        <v>272.5</v>
      </c>
      <c r="H34" s="383">
        <v>0.2595</v>
      </c>
    </row>
    <row r="35">
      <c r="B35" s="432" t="inlineStr">
        <is>
          <t>7Y ИТОГО</t>
        </is>
      </c>
      <c r="C35" s="435">
        <v>476.8</v>
      </c>
      <c r="D35" s="435">
        <v>270.0</v>
      </c>
      <c r="E35" s="435">
        <v>120.8</v>
      </c>
      <c r="F35" s="435">
        <v>32.0</v>
      </c>
      <c r="G35" s="435">
        <v>899.6</v>
      </c>
      <c r="H35" s="436">
        <v>0.1608</v>
      </c>
    </row>
    <row r="38">
      <c r="B38" s="320" t="inlineStr">
        <is>
          <t>IV.  КЛЮЧЕВЫЕ ВЫВОДЫ</t>
        </is>
      </c>
    </row>
    <row r="40">
      <c r="B40" s="323" t="inlineStr">
        <is>
          <t>1. Общий объём налогов 7Y ≈ 900 млн ₽ (16.1% от Revenue)</t>
        </is>
      </c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7"/>
    </row>
    <row r="41">
      <c r="B41" s="323" t="inlineStr">
        <is>
          <t>2. 3Y net tax burden ≈ 627 млн ₽, из которых налог на прибыль ~461 млн ₽ (основной)</t>
        </is>
      </c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7"/>
    </row>
    <row r="42">
      <c r="B42" s="323" t="inlineStr">
        <is>
          <t>3. НДС 0% — ключевая льгота: экономия ~800 млн ₽ vs стандартная ставка 20%</t>
        </is>
      </c>
      <c r="C42" s="186"/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7"/>
    </row>
    <row r="43">
      <c r="B43" s="323" t="inlineStr">
        <is>
          <t>4. Страховые взносы 30.2% — основной cost driver для ФОТ, требует оптимизации через IT-аккредитацию</t>
        </is>
      </c>
      <c r="C43" s="186"/>
      <c r="D43" s="186"/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7"/>
    </row>
    <row r="44">
      <c r="B44" s="323" t="inlineStr">
        <is>
          <t>5. Налог на прибыль 20% применяется к JV (совместное предприятие)-структуре; producer equity (доля в капитале) 600 млн — отдельный tax treatment</t>
        </is>
      </c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7"/>
    </row>
    <row r="45">
      <c r="B45" s="323" t="inlineStr">
        <is>
          <t>6. Рибейты: Московская область 30%, Татарстан 25%, Крым 20% — возможность снизить effective tax rate</t>
        </is>
      </c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7"/>
    </row>
    <row r="46">
      <c r="B46" s="323" t="inlineStr">
        <is>
          <t>7. Налоговые риски (R18 из Risk Register (Реестр рисков)): оспаривание НДС-льготы требует предварительного согласования с ФНС</t>
        </is>
      </c>
      <c r="C46" s="186"/>
      <c r="D46" s="186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6"/>
      <c r="T46" s="187"/>
    </row>
    <row r="49">
      <c r="B49" s="401" t="inlineStr">
        <is>
          <t>V. ИСТОЧНИКИ</t>
        </is>
      </c>
    </row>
    <row r="51">
      <c r="B51" s="323" t="inlineStr">
        <is>
          <t>• Налоговый кодекс РФ, части 1 и 2 (консультантплюс.ру)</t>
        </is>
      </c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7"/>
    </row>
    <row r="52">
      <c r="B52" s="323" t="inlineStr">
        <is>
          <t>• ФНС России — разъяснения по НДС в сфере культуры (nalog.gov.ru)</t>
        </is>
      </c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7"/>
    </row>
    <row r="53">
      <c r="B53" s="323" t="inlineStr">
        <is>
          <t>• Минфин РФ — налоговая политика РФ 2024-2026</t>
        </is>
      </c>
      <c r="C53" s="186"/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7"/>
    </row>
    <row r="54">
      <c r="B54" s="323" t="inlineStr">
        <is>
          <t>• Федеральный закон № 126-ФЗ «О господдержке кинематографии»</t>
        </is>
      </c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7"/>
    </row>
    <row r="55">
      <c r="B55" s="323" t="inlineStr">
        <is>
          <t>• Постановление Правительства РФ № 1215/2013 (грантовый механизм)</t>
        </is>
      </c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7"/>
    </row>
    <row r="56">
      <c r="B56" s="323" t="inlineStr">
        <is>
          <t>• Приказы ФНС по возмещению НДС 0% для кинопроизводства</t>
        </is>
      </c>
      <c r="C56" s="186"/>
      <c r="D56" s="186"/>
      <c r="E56" s="186"/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7"/>
    </row>
  </sheetData>
  <mergeCells count="15">
    <mergeCell ref="B42:T42"/>
    <mergeCell ref="B51:T51"/>
    <mergeCell ref="B45:T45"/>
    <mergeCell ref="B46:T46"/>
    <mergeCell ref="B40:T40"/>
    <mergeCell ref="B41:T41"/>
    <mergeCell ref="B56:T56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2" max="2"/>
    <col width="16" customWidth="1" min="3" max="3"/>
    <col width="50" customWidth="1" min="4" max="4"/>
    <col width="14" customWidth="1" min="5" max="5"/>
    <col width="20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2">
      <c r="B2" s="318" t="inlineStr">
        <is>
          <t>ROADMAP (ДОРОЖНАЯ КАРТА) 2026–2032 — КЛЮЧЕВЫЕ МИЛЕСТОНЫ</t>
        </is>
      </c>
    </row>
    <row r="4">
      <c r="B4" s="319" t="inlineStr">
        <is>
          <t>Производство slate, фандрайзинг, governance, exit routes. Critical (Критический) path color-coded.</t>
        </is>
      </c>
    </row>
    <row r="6">
      <c r="B6" s="320" t="inlineStr">
        <is>
          <t>I. PRODUCTION MILESTONES (ПРОИЗВОДСТВЕННЫЕ ВЕХИ) (7 проектов: 5 фильмов + 2 сериала)</t>
        </is>
      </c>
    </row>
    <row r="8">
      <c r="B8" s="321" t="inlineStr">
        <is>
          <t>Фильм / Этап</t>
        </is>
      </c>
      <c r="C8" s="321" t="inlineStr">
        <is>
          <t>Q1'26</t>
        </is>
      </c>
      <c r="D8" s="321" t="inlineStr">
        <is>
          <t>Q2'26</t>
        </is>
      </c>
      <c r="E8" s="321" t="inlineStr">
        <is>
          <t>Q3'26</t>
        </is>
      </c>
      <c r="F8" s="321" t="inlineStr">
        <is>
          <t>Q4'26</t>
        </is>
      </c>
      <c r="G8" s="321" t="inlineStr">
        <is>
          <t>Q1'27</t>
        </is>
      </c>
      <c r="H8" s="321" t="inlineStr">
        <is>
          <t>Q2'27</t>
        </is>
      </c>
      <c r="I8" s="321" t="inlineStr">
        <is>
          <t>Q3'27</t>
        </is>
      </c>
      <c r="J8" s="321" t="inlineStr">
        <is>
          <t>Q4'27</t>
        </is>
      </c>
      <c r="K8" s="321" t="inlineStr">
        <is>
          <t>Q1'28</t>
        </is>
      </c>
      <c r="L8" s="321" t="inlineStr">
        <is>
          <t>Q2'28</t>
        </is>
      </c>
      <c r="M8" s="321" t="inlineStr">
        <is>
          <t>Q3'28</t>
        </is>
      </c>
      <c r="N8" s="321" t="inlineStr">
        <is>
          <t>Q4'28</t>
        </is>
      </c>
      <c r="O8" s="321" t="inlineStr">
        <is>
          <t>2029</t>
        </is>
      </c>
      <c r="P8" s="321" t="inlineStr">
        <is>
          <t>2030</t>
        </is>
      </c>
      <c r="Q8" s="321" t="inlineStr">
        <is>
          <t>2031</t>
        </is>
      </c>
      <c r="R8" s="321" t="inlineStr">
        <is>
          <t>2032</t>
        </is>
      </c>
    </row>
    <row r="9" ht="22" customHeight="1">
      <c r="B9" t="inlineStr">
        <is>
          <t>П01 Родные стены</t>
        </is>
      </c>
      <c r="C9" t="inlineStr">
        <is>
          <t>Dev</t>
        </is>
      </c>
      <c r="D9" t="inlineStr">
        <is>
          <t>Dev</t>
        </is>
      </c>
      <c r="E9" t="inlineStr">
        <is>
          <t>Shoot (Съёмка)</t>
        </is>
      </c>
      <c r="F9" t="inlineStr">
        <is>
          <t>★Rel</t>
        </is>
      </c>
      <c r="G9" t="inlineStr">
        <is>
          <t>tail</t>
        </is>
      </c>
      <c r="H9" t="inlineStr">
        <is>
          <t>tail</t>
        </is>
      </c>
      <c r="I9" t="inlineStr">
        <is>
          <t>tail</t>
        </is>
      </c>
      <c r="J9" t="inlineStr">
        <is>
          <t>tail</t>
        </is>
      </c>
      <c r="K9" t="inlineStr">
        <is>
          <t>tail</t>
        </is>
      </c>
      <c r="L9" t="inlineStr">
        <is>
          <t>tail</t>
        </is>
      </c>
      <c r="M9" t="inlineStr">
        <is>
          <t>tail</t>
        </is>
      </c>
      <c r="N9" t="inlineStr">
        <is>
          <t>tail</t>
        </is>
      </c>
      <c r="O9" t="inlineStr">
        <is>
          <t>tail</t>
        </is>
      </c>
      <c r="P9" t="inlineStr">
        <is>
          <t>tail</t>
        </is>
      </c>
      <c r="Q9" t="inlineStr">
        <is>
          <t>tail</t>
        </is>
      </c>
      <c r="R9" t="inlineStr">
        <is>
          <t>tail</t>
        </is>
      </c>
    </row>
    <row r="10" ht="22" customHeight="1">
      <c r="B10" t="inlineStr">
        <is>
          <t>П02 Два сердца</t>
        </is>
      </c>
      <c r="C10" t="inlineStr">
        <is>
          <t>Dev</t>
        </is>
      </c>
      <c r="D10" t="inlineStr">
        <is>
          <t>Dev</t>
        </is>
      </c>
      <c r="E10" t="inlineStr">
        <is>
          <t>Dev</t>
        </is>
      </c>
      <c r="F10" t="inlineStr">
        <is>
          <t>Shoot (Съёмка)</t>
        </is>
      </c>
      <c r="G10" t="inlineStr">
        <is>
          <t>Post (Постпродакшн)</t>
        </is>
      </c>
      <c r="H10" t="inlineStr">
        <is>
          <t>★Rel</t>
        </is>
      </c>
      <c r="I10" t="inlineStr">
        <is>
          <t>tail</t>
        </is>
      </c>
      <c r="J10" t="inlineStr">
        <is>
          <t>tail</t>
        </is>
      </c>
      <c r="K10" t="inlineStr">
        <is>
          <t>tail</t>
        </is>
      </c>
      <c r="L10" t="inlineStr">
        <is>
          <t>tail</t>
        </is>
      </c>
      <c r="M10" t="inlineStr">
        <is>
          <t>tail</t>
        </is>
      </c>
      <c r="N10" t="inlineStr">
        <is>
          <t>tail</t>
        </is>
      </c>
      <c r="O10" t="inlineStr">
        <is>
          <t>tail</t>
        </is>
      </c>
      <c r="P10" t="inlineStr">
        <is>
          <t>tail</t>
        </is>
      </c>
      <c r="Q10" t="inlineStr">
        <is>
          <t>tail</t>
        </is>
      </c>
      <c r="R10" t="inlineStr">
        <is>
          <t>tail</t>
        </is>
      </c>
    </row>
    <row r="11" ht="22" customHeight="1">
      <c r="B11" t="inlineStr">
        <is>
          <t>П03 Ночной патруль</t>
        </is>
      </c>
      <c r="D11" t="inlineStr">
        <is>
          <t>Dev</t>
        </is>
      </c>
      <c r="E11" t="inlineStr">
        <is>
          <t>Dev</t>
        </is>
      </c>
      <c r="F11" t="inlineStr">
        <is>
          <t>Dev</t>
        </is>
      </c>
      <c r="G11" t="inlineStr">
        <is>
          <t>Shoot (Съёмка)</t>
        </is>
      </c>
      <c r="H11" t="inlineStr">
        <is>
          <t>★Rel</t>
        </is>
      </c>
      <c r="I11" t="inlineStr">
        <is>
          <t>tail</t>
        </is>
      </c>
      <c r="J11" t="inlineStr">
        <is>
          <t>tail</t>
        </is>
      </c>
      <c r="K11" t="inlineStr">
        <is>
          <t>tail</t>
        </is>
      </c>
      <c r="L11" t="inlineStr">
        <is>
          <t>tail</t>
        </is>
      </c>
      <c r="M11" t="inlineStr">
        <is>
          <t>tail</t>
        </is>
      </c>
      <c r="N11" t="inlineStr">
        <is>
          <t>tail</t>
        </is>
      </c>
      <c r="O11" t="inlineStr">
        <is>
          <t>tail</t>
        </is>
      </c>
      <c r="P11" t="inlineStr">
        <is>
          <t>tail</t>
        </is>
      </c>
      <c r="Q11" t="inlineStr">
        <is>
          <t>tail</t>
        </is>
      </c>
      <c r="R11" t="inlineStr">
        <is>
          <t>tail</t>
        </is>
      </c>
    </row>
    <row r="12" ht="22" customHeight="1">
      <c r="B12" t="inlineStr">
        <is>
          <t>П04 Время героев</t>
        </is>
      </c>
      <c r="D12" t="inlineStr">
        <is>
          <t>Dev</t>
        </is>
      </c>
      <c r="E12" t="inlineStr">
        <is>
          <t>Dev</t>
        </is>
      </c>
      <c r="F12" t="inlineStr">
        <is>
          <t>Dev</t>
        </is>
      </c>
      <c r="G12" t="inlineStr">
        <is>
          <t>Dev</t>
        </is>
      </c>
      <c r="H12" t="inlineStr">
        <is>
          <t>Shoot (Съёмка)</t>
        </is>
      </c>
      <c r="I12" t="inlineStr">
        <is>
          <t>★Rel</t>
        </is>
      </c>
      <c r="J12" t="inlineStr">
        <is>
          <t>tail</t>
        </is>
      </c>
      <c r="K12" t="inlineStr">
        <is>
          <t>tail</t>
        </is>
      </c>
      <c r="L12" t="inlineStr">
        <is>
          <t>tail</t>
        </is>
      </c>
      <c r="M12" t="inlineStr">
        <is>
          <t>tail</t>
        </is>
      </c>
      <c r="N12" t="inlineStr">
        <is>
          <t>tail</t>
        </is>
      </c>
      <c r="O12" t="inlineStr">
        <is>
          <t>tail</t>
        </is>
      </c>
      <c r="P12" t="inlineStr">
        <is>
          <t>tail</t>
        </is>
      </c>
      <c r="Q12" t="inlineStr">
        <is>
          <t>tail</t>
        </is>
      </c>
      <c r="R12" t="inlineStr">
        <is>
          <t>tail</t>
        </is>
      </c>
    </row>
    <row r="13" ht="22" customHeight="1">
      <c r="B13" t="inlineStr">
        <is>
          <t>П05 Сказка наяву</t>
        </is>
      </c>
      <c r="E13" t="inlineStr">
        <is>
          <t>Dev</t>
        </is>
      </c>
      <c r="F13" t="inlineStr">
        <is>
          <t>Dev</t>
        </is>
      </c>
      <c r="G13" t="inlineStr">
        <is>
          <t>Dev</t>
        </is>
      </c>
      <c r="H13" t="inlineStr">
        <is>
          <t>Shoot (Съёмка)</t>
        </is>
      </c>
      <c r="I13" t="inlineStr">
        <is>
          <t>Post (Постпродакшн)</t>
        </is>
      </c>
      <c r="J13" t="inlineStr">
        <is>
          <t>★Rel</t>
        </is>
      </c>
      <c r="K13" t="inlineStr">
        <is>
          <t>tail</t>
        </is>
      </c>
      <c r="L13" t="inlineStr">
        <is>
          <t>tail</t>
        </is>
      </c>
      <c r="M13" t="inlineStr">
        <is>
          <t>tail</t>
        </is>
      </c>
      <c r="N13" t="inlineStr">
        <is>
          <t>tail</t>
        </is>
      </c>
      <c r="O13" t="inlineStr">
        <is>
          <t>tail</t>
        </is>
      </c>
      <c r="P13" t="inlineStr">
        <is>
          <t>tail</t>
        </is>
      </c>
      <c r="Q13" t="inlineStr">
        <is>
          <t>tail</t>
        </is>
      </c>
      <c r="R13" t="inlineStr">
        <is>
          <t>tail</t>
        </is>
      </c>
    </row>
    <row r="14" ht="22" customHeight="1">
      <c r="B14" t="inlineStr">
        <is>
          <t>П06С Северный ветер (сериал)</t>
        </is>
      </c>
      <c r="F14" t="inlineStr">
        <is>
          <t>Dev</t>
        </is>
      </c>
      <c r="G14" t="inlineStr">
        <is>
          <t>Dev</t>
        </is>
      </c>
      <c r="H14" t="inlineStr">
        <is>
          <t>Dev</t>
        </is>
      </c>
      <c r="I14" t="inlineStr">
        <is>
          <t>Shoot (Съёмка)</t>
        </is>
      </c>
      <c r="J14" t="inlineStr">
        <is>
          <t>Post (Постпродакшн)</t>
        </is>
      </c>
      <c r="K14" t="inlineStr">
        <is>
          <t>★Rel</t>
        </is>
      </c>
      <c r="L14" t="inlineStr">
        <is>
          <t>tail</t>
        </is>
      </c>
      <c r="M14" t="inlineStr">
        <is>
          <t>tail</t>
        </is>
      </c>
      <c r="N14" t="inlineStr">
        <is>
          <t>tail</t>
        </is>
      </c>
      <c r="O14" t="inlineStr">
        <is>
          <t>tail</t>
        </is>
      </c>
      <c r="P14" t="inlineStr">
        <is>
          <t>tail</t>
        </is>
      </c>
      <c r="Q14" t="inlineStr">
        <is>
          <t>tail</t>
        </is>
      </c>
      <c r="R14" t="inlineStr">
        <is>
          <t>tail</t>
        </is>
      </c>
    </row>
    <row r="15" ht="22" customHeight="1">
      <c r="B15" t="inlineStr">
        <is>
          <t>П07С Горизонт событий (сериал)</t>
        </is>
      </c>
      <c r="G15" t="inlineStr">
        <is>
          <t>Dev</t>
        </is>
      </c>
      <c r="H15" t="inlineStr">
        <is>
          <t>Dev</t>
        </is>
      </c>
      <c r="I15" t="inlineStr">
        <is>
          <t>Dev</t>
        </is>
      </c>
      <c r="J15" t="inlineStr">
        <is>
          <t>Shoot (Съёмка)</t>
        </is>
      </c>
      <c r="K15" t="inlineStr">
        <is>
          <t>Post (Постпродакшн)</t>
        </is>
      </c>
      <c r="L15" t="inlineStr">
        <is>
          <t>Post (Постпродакшн)</t>
        </is>
      </c>
      <c r="M15" t="inlineStr">
        <is>
          <t>★Rel</t>
        </is>
      </c>
      <c r="N15" t="inlineStr">
        <is>
          <t>tail</t>
        </is>
      </c>
      <c r="O15" t="inlineStr">
        <is>
          <t>tail</t>
        </is>
      </c>
      <c r="P15" t="inlineStr">
        <is>
          <t>tail</t>
        </is>
      </c>
      <c r="Q15" t="inlineStr">
        <is>
          <t>tail</t>
        </is>
      </c>
      <c r="R15" t="inlineStr">
        <is>
          <t>tail</t>
        </is>
      </c>
    </row>
    <row r="16" ht="22" customHeight="1"/>
    <row r="17" ht="22" customHeight="1"/>
    <row r="18" ht="22" customHeight="1"/>
    <row r="19" ht="22" customHeight="1"/>
    <row r="20" ht="22" customHeight="1"/>
    <row r="22">
      <c r="B22" s="396" t="inlineStr">
        <is>
          <t>Легенда:</t>
        </is>
      </c>
      <c r="C22" s="443" t="inlineStr">
        <is>
          <t>Dev</t>
        </is>
      </c>
      <c r="D22" s="444" t="inlineStr">
        <is>
          <t>Shoot (Съёмка)</t>
        </is>
      </c>
      <c r="E22" s="445" t="inlineStr">
        <is>
          <t>Post (Постпродакшн)</t>
        </is>
      </c>
      <c r="F22" s="446" t="inlineStr">
        <is>
          <t>★Rel Release (Релиз)</t>
        </is>
      </c>
      <c r="G22" s="447" t="inlineStr">
        <is>
          <t>tail (хвостовой период) Tail (Хвостовой период) rev.</t>
        </is>
      </c>
    </row>
    <row r="24">
      <c r="B24" s="320" t="inlineStr">
        <is>
          <t>II.  ФАНДРЕЙЗИНГ И ФИНАНСОВЫЕ ВЕХИ (ФАНДРЕЙЗИНГ И ФИНАНСОВЫЕ ВЕХИ)</t>
        </is>
      </c>
    </row>
    <row r="26">
      <c r="B26" s="321" t="inlineStr">
        <is>
          <t>Этап</t>
        </is>
      </c>
      <c r="C26" s="321" t="inlineStr">
        <is>
          <t>Q1'26</t>
        </is>
      </c>
      <c r="D26" s="321" t="inlineStr">
        <is>
          <t>Q2'26</t>
        </is>
      </c>
      <c r="E26" s="321" t="inlineStr">
        <is>
          <t>Q3'26</t>
        </is>
      </c>
      <c r="F26" s="321" t="inlineStr">
        <is>
          <t>Q4'26</t>
        </is>
      </c>
      <c r="G26" s="321" t="inlineStr">
        <is>
          <t>Q1'27</t>
        </is>
      </c>
      <c r="H26" s="321" t="inlineStr">
        <is>
          <t>Q2'27</t>
        </is>
      </c>
      <c r="I26" s="321" t="inlineStr">
        <is>
          <t>Q3'27</t>
        </is>
      </c>
      <c r="J26" s="321" t="inlineStr">
        <is>
          <t>Q4'27</t>
        </is>
      </c>
      <c r="K26" s="321" t="inlineStr">
        <is>
          <t>Q1'28</t>
        </is>
      </c>
      <c r="L26" s="321" t="inlineStr">
        <is>
          <t>Q2'28</t>
        </is>
      </c>
      <c r="M26" s="321" t="inlineStr">
        <is>
          <t>Q3'28</t>
        </is>
      </c>
      <c r="N26" s="321" t="inlineStr">
        <is>
          <t>Q4'28</t>
        </is>
      </c>
      <c r="O26" s="321" t="inlineStr">
        <is>
          <t>2029</t>
        </is>
      </c>
      <c r="P26" s="321" t="inlineStr">
        <is>
          <t>2030</t>
        </is>
      </c>
      <c r="Q26" s="321" t="inlineStr">
        <is>
          <t>2031</t>
        </is>
      </c>
      <c r="R26" s="321" t="inlineStr">
        <is>
          <t>2032</t>
        </is>
      </c>
    </row>
    <row r="27" ht="22" customHeight="1">
      <c r="B27" s="448" t="inlineStr">
        <is>
          <t>T₁ Tranche (Транш) 1 (20% = 250)</t>
        </is>
      </c>
      <c r="C27" s="439" t="inlineStr">
        <is>
          <t>★ 250 млн ₽</t>
        </is>
      </c>
      <c r="D27" s="441"/>
      <c r="E27" s="441"/>
      <c r="F27" s="441"/>
      <c r="G27" s="441"/>
      <c r="H27" s="441"/>
      <c r="I27" s="441"/>
      <c r="J27" s="441"/>
      <c r="K27" s="441"/>
      <c r="L27" s="441"/>
      <c r="M27" s="441"/>
      <c r="N27" s="441"/>
      <c r="O27" s="441"/>
      <c r="P27" s="441"/>
      <c r="Q27" s="441"/>
      <c r="R27" s="441"/>
    </row>
    <row r="28" ht="22" customHeight="1">
      <c r="B28" s="448" t="inlineStr">
        <is>
          <t>T₁ Tranche (Транш) 2 (28% = 350)</t>
        </is>
      </c>
      <c r="C28" s="441"/>
      <c r="D28" s="439" t="inlineStr">
        <is>
          <t>★ 350 млн ₽</t>
        </is>
      </c>
      <c r="E28" s="441"/>
      <c r="F28" s="441"/>
      <c r="G28" s="441"/>
      <c r="H28" s="441"/>
      <c r="I28" s="441"/>
      <c r="J28" s="441"/>
      <c r="K28" s="441"/>
      <c r="L28" s="441"/>
      <c r="M28" s="441"/>
      <c r="N28" s="441"/>
      <c r="O28" s="441"/>
      <c r="P28" s="441"/>
      <c r="Q28" s="441"/>
      <c r="R28" s="441"/>
    </row>
    <row r="29" ht="22" customHeight="1">
      <c r="B29" s="448" t="inlineStr">
        <is>
          <t>T₁ Tranche (Транш) 3 (28% = 350)</t>
        </is>
      </c>
      <c r="C29" s="441"/>
      <c r="D29" s="441"/>
      <c r="E29" s="439" t="inlineStr">
        <is>
          <t>★ 350 млн ₽</t>
        </is>
      </c>
      <c r="F29" s="441"/>
      <c r="G29" s="441"/>
      <c r="H29" s="441"/>
      <c r="I29" s="441"/>
      <c r="J29" s="441"/>
      <c r="K29" s="441"/>
      <c r="L29" s="441"/>
      <c r="M29" s="441"/>
      <c r="N29" s="441"/>
      <c r="O29" s="441"/>
      <c r="P29" s="441"/>
      <c r="Q29" s="441"/>
      <c r="R29" s="441"/>
    </row>
    <row r="30" ht="22" customHeight="1">
      <c r="B30" s="448" t="inlineStr">
        <is>
          <t>T₁ Tranche (Транш) 4 (24% = 300)</t>
        </is>
      </c>
      <c r="C30" s="441"/>
      <c r="D30" s="441"/>
      <c r="E30" s="441"/>
      <c r="F30" s="439" t="inlineStr">
        <is>
          <t>★ 300 млн ₽</t>
        </is>
      </c>
      <c r="G30" s="441"/>
      <c r="H30" s="441"/>
      <c r="I30" s="441"/>
      <c r="J30" s="441"/>
      <c r="K30" s="441"/>
      <c r="L30" s="441"/>
      <c r="M30" s="441"/>
      <c r="N30" s="441"/>
      <c r="O30" s="441"/>
      <c r="P30" s="441"/>
      <c r="Q30" s="441"/>
      <c r="R30" s="441"/>
    </row>
    <row r="31" ht="22" customHeight="1">
      <c r="B31" s="448" t="inlineStr">
        <is>
          <t>ФКП грант раунд 1</t>
        </is>
      </c>
      <c r="C31" s="449" t="inlineStr">
        <is>
          <t>ФКП 180</t>
        </is>
      </c>
      <c r="D31" s="441"/>
      <c r="E31" s="441"/>
      <c r="F31" s="441"/>
      <c r="G31" s="441"/>
      <c r="H31" s="441"/>
      <c r="I31" s="441"/>
      <c r="J31" s="441"/>
      <c r="K31" s="441"/>
      <c r="L31" s="441"/>
      <c r="M31" s="441"/>
      <c r="N31" s="441"/>
      <c r="O31" s="441"/>
      <c r="P31" s="441"/>
      <c r="Q31" s="441"/>
      <c r="R31" s="441"/>
    </row>
    <row r="32" ht="22" customHeight="1">
      <c r="B32" s="448" t="inlineStr">
        <is>
          <t>ФКП грант раунд 2</t>
        </is>
      </c>
      <c r="C32" s="441"/>
      <c r="D32" s="441"/>
      <c r="E32" s="441"/>
      <c r="F32" s="441"/>
      <c r="G32" s="449" t="inlineStr">
        <is>
          <t>ФКП 220</t>
        </is>
      </c>
      <c r="H32" s="441"/>
      <c r="I32" s="441"/>
      <c r="J32" s="441"/>
      <c r="K32" s="441"/>
      <c r="L32" s="441"/>
      <c r="M32" s="441"/>
      <c r="N32" s="441"/>
      <c r="O32" s="441"/>
      <c r="P32" s="441"/>
      <c r="Q32" s="441"/>
      <c r="R32" s="441"/>
    </row>
    <row r="33" ht="22" customHeight="1">
      <c r="B33" s="448" t="inlineStr">
        <is>
          <t>ФКП грант раунд 3</t>
        </is>
      </c>
      <c r="C33" s="441"/>
      <c r="D33" s="441"/>
      <c r="E33" s="441"/>
      <c r="F33" s="441"/>
      <c r="G33" s="441"/>
      <c r="H33" s="441"/>
      <c r="I33" s="441"/>
      <c r="J33" s="441"/>
      <c r="K33" s="449" t="inlineStr">
        <is>
          <t>ФКП 120</t>
        </is>
      </c>
      <c r="L33" s="441"/>
      <c r="M33" s="441"/>
      <c r="N33" s="441"/>
      <c r="O33" s="441"/>
      <c r="P33" s="441"/>
      <c r="Q33" s="441"/>
      <c r="R33" s="441"/>
    </row>
    <row r="34" ht="22" customHeight="1">
      <c r="B34" s="448" t="inlineStr">
        <is>
          <t>ИРИ раунд</t>
        </is>
      </c>
      <c r="C34" s="441"/>
      <c r="D34" s="441"/>
      <c r="E34" s="449" t="inlineStr">
        <is>
          <t>ИРИ 150</t>
        </is>
      </c>
      <c r="F34" s="441"/>
      <c r="G34" s="441"/>
      <c r="H34" s="441"/>
      <c r="I34" s="441"/>
      <c r="J34" s="441"/>
      <c r="K34" s="441"/>
      <c r="L34" s="441"/>
      <c r="M34" s="441"/>
      <c r="N34" s="441"/>
      <c r="O34" s="441"/>
      <c r="P34" s="441"/>
      <c r="Q34" s="441"/>
      <c r="R34" s="441"/>
    </row>
    <row r="35" ht="22" customHeight="1">
      <c r="B35" s="448" t="inlineStr">
        <is>
          <t>Producer equity (капитал продюсера) (JV (совместное предприятие))</t>
        </is>
      </c>
      <c r="C35" s="449" t="inlineStr">
        <is>
          <t>600 equity (доля в капитале)</t>
        </is>
      </c>
      <c r="D35" s="441"/>
      <c r="E35" s="441"/>
      <c r="F35" s="441"/>
      <c r="G35" s="441"/>
      <c r="H35" s="441"/>
      <c r="I35" s="441"/>
      <c r="J35" s="441"/>
      <c r="K35" s="441"/>
      <c r="L35" s="441"/>
      <c r="M35" s="441"/>
      <c r="N35" s="441"/>
      <c r="O35" s="441"/>
      <c r="P35" s="441"/>
      <c r="Q35" s="441"/>
      <c r="R35" s="441"/>
    </row>
    <row r="36" ht="22" customHeight="1">
      <c r="B36" s="448" t="inlineStr">
        <is>
          <t>Возобновляемая кредитная линия (Возобновляемая кредитная линия)</t>
        </is>
      </c>
      <c r="C36" s="441"/>
      <c r="D36" s="441"/>
      <c r="E36" s="441"/>
      <c r="F36" s="449" t="inlineStr">
        <is>
          <t>200 ВКЛ</t>
        </is>
      </c>
      <c r="G36" s="441"/>
      <c r="H36" s="441"/>
      <c r="I36" s="441"/>
      <c r="J36" s="441"/>
      <c r="K36" s="441"/>
      <c r="L36" s="441"/>
      <c r="M36" s="441"/>
      <c r="N36" s="441"/>
      <c r="O36" s="441"/>
      <c r="P36" s="441"/>
      <c r="Q36" s="441"/>
      <c r="R36" s="441"/>
    </row>
    <row r="37" ht="22" customHeight="1">
      <c r="B37" s="448" t="inlineStr">
        <is>
          <t>T₁ Repayment 1 (Возврат 1) (300)</t>
        </is>
      </c>
      <c r="C37" s="441"/>
      <c r="D37" s="441"/>
      <c r="E37" s="441"/>
      <c r="F37" s="441"/>
      <c r="G37" s="441"/>
      <c r="H37" s="441"/>
      <c r="I37" s="441"/>
      <c r="J37" s="441"/>
      <c r="K37" s="441"/>
      <c r="L37" s="441"/>
      <c r="M37" s="441"/>
      <c r="N37" s="441"/>
      <c r="O37" s="450" t="inlineStr">
        <is>
          <t>−300</t>
        </is>
      </c>
      <c r="P37" s="441"/>
      <c r="Q37" s="441"/>
      <c r="R37" s="441"/>
    </row>
    <row r="38" ht="22" customHeight="1">
      <c r="B38" s="448" t="inlineStr">
        <is>
          <t>T₁ Repayment 2 (Возврат 2) (700)</t>
        </is>
      </c>
      <c r="C38" s="441"/>
      <c r="D38" s="441"/>
      <c r="E38" s="441"/>
      <c r="F38" s="441"/>
      <c r="G38" s="441"/>
      <c r="H38" s="441"/>
      <c r="I38" s="441"/>
      <c r="J38" s="441"/>
      <c r="K38" s="441"/>
      <c r="L38" s="441"/>
      <c r="M38" s="441"/>
      <c r="N38" s="441"/>
      <c r="O38" s="441"/>
      <c r="P38" s="450" t="inlineStr">
        <is>
          <t>−700</t>
        </is>
      </c>
      <c r="Q38" s="441"/>
      <c r="R38" s="441"/>
    </row>
    <row r="39" ht="22" customHeight="1">
      <c r="B39" s="448" t="inlineStr">
        <is>
          <t>T₁ Repayment 3 (Возврат 3) (500)</t>
        </is>
      </c>
      <c r="C39" s="441"/>
      <c r="D39" s="441"/>
      <c r="E39" s="441"/>
      <c r="F39" s="441"/>
      <c r="G39" s="441"/>
      <c r="H39" s="441"/>
      <c r="I39" s="441"/>
      <c r="J39" s="441"/>
      <c r="K39" s="441"/>
      <c r="L39" s="441"/>
      <c r="M39" s="441"/>
      <c r="N39" s="441"/>
      <c r="O39" s="441"/>
      <c r="P39" s="441"/>
      <c r="Q39" s="450" t="inlineStr">
        <is>
          <t>−500</t>
        </is>
      </c>
      <c r="R39" s="441"/>
    </row>
    <row r="40" ht="22" customHeight="1">
      <c r="B40" s="448" t="inlineStr">
        <is>
          <t>T₁ Final repayment (Финальный возврат)</t>
        </is>
      </c>
      <c r="C40" s="441"/>
      <c r="D40" s="441"/>
      <c r="E40" s="441"/>
      <c r="F40" s="441"/>
      <c r="G40" s="441"/>
      <c r="H40" s="441"/>
      <c r="I40" s="441"/>
      <c r="J40" s="441"/>
      <c r="K40" s="441"/>
      <c r="L40" s="441"/>
      <c r="M40" s="441"/>
      <c r="N40" s="441"/>
      <c r="O40" s="441"/>
      <c r="P40" s="441"/>
      <c r="Q40" s="441"/>
      <c r="R40" s="450" t="inlineStr">
        <is>
          <t>−223</t>
        </is>
      </c>
    </row>
    <row r="43">
      <c r="B43" s="320" t="inlineStr">
        <is>
          <t>III. GOVERNANCE &amp; REPORTING (УПРАВЛЕНИЕ И ОТЧЁТНОСТЬ) MILESTONES</t>
        </is>
      </c>
    </row>
    <row r="45">
      <c r="B45" s="321" t="inlineStr">
        <is>
          <t>Этап</t>
        </is>
      </c>
      <c r="C45" s="321" t="inlineStr">
        <is>
          <t>Q1'26</t>
        </is>
      </c>
      <c r="D45" s="321" t="inlineStr">
        <is>
          <t>Q2'26</t>
        </is>
      </c>
      <c r="E45" s="321" t="inlineStr">
        <is>
          <t>Q3'26</t>
        </is>
      </c>
      <c r="F45" s="321" t="inlineStr">
        <is>
          <t>Q4'26</t>
        </is>
      </c>
      <c r="G45" s="321" t="inlineStr">
        <is>
          <t>Q1'27</t>
        </is>
      </c>
      <c r="H45" s="321" t="inlineStr">
        <is>
          <t>Q2'27</t>
        </is>
      </c>
      <c r="I45" s="321" t="inlineStr">
        <is>
          <t>Q3'27</t>
        </is>
      </c>
      <c r="J45" s="321" t="inlineStr">
        <is>
          <t>Q4'27</t>
        </is>
      </c>
      <c r="K45" s="321" t="inlineStr">
        <is>
          <t>Q1'28</t>
        </is>
      </c>
      <c r="L45" s="321" t="inlineStr">
        <is>
          <t>Q2'28</t>
        </is>
      </c>
      <c r="M45" s="321" t="inlineStr">
        <is>
          <t>Q3'28</t>
        </is>
      </c>
      <c r="N45" s="321" t="inlineStr">
        <is>
          <t>Q4'28</t>
        </is>
      </c>
      <c r="O45" s="321" t="inlineStr">
        <is>
          <t>2029</t>
        </is>
      </c>
      <c r="P45" s="321" t="inlineStr">
        <is>
          <t>2030</t>
        </is>
      </c>
      <c r="Q45" s="321" t="inlineStr">
        <is>
          <t>2031</t>
        </is>
      </c>
      <c r="R45" s="321" t="inlineStr">
        <is>
          <t>2032</t>
        </is>
      </c>
    </row>
    <row r="46" ht="22" customHeight="1">
      <c r="B46" s="448" t="inlineStr">
        <is>
          <t>Заседание совета (Заседание совета директоров)</t>
        </is>
      </c>
      <c r="C46" s="451" t="inlineStr">
        <is>
          <t>BM</t>
        </is>
      </c>
      <c r="D46" s="441"/>
      <c r="E46" s="451" t="inlineStr">
        <is>
          <t>BM</t>
        </is>
      </c>
      <c r="F46" s="441"/>
      <c r="G46" s="451" t="inlineStr">
        <is>
          <t>BM</t>
        </is>
      </c>
      <c r="H46" s="441"/>
      <c r="I46" s="451" t="inlineStr">
        <is>
          <t>BM</t>
        </is>
      </c>
      <c r="J46" s="441"/>
      <c r="K46" s="451" t="inlineStr">
        <is>
          <t>BM</t>
        </is>
      </c>
      <c r="L46" s="441"/>
      <c r="M46" s="451" t="inlineStr">
        <is>
          <t>BM</t>
        </is>
      </c>
      <c r="N46" s="441"/>
      <c r="O46" s="451" t="inlineStr">
        <is>
          <t>BM</t>
        </is>
      </c>
      <c r="P46" s="451" t="inlineStr">
        <is>
          <t>BM</t>
        </is>
      </c>
      <c r="Q46" s="451" t="inlineStr">
        <is>
          <t>BM</t>
        </is>
      </c>
      <c r="R46" s="451" t="inlineStr">
        <is>
          <t>BM</t>
        </is>
      </c>
    </row>
    <row r="47" ht="22" customHeight="1">
      <c r="B47" s="448" t="inlineStr">
        <is>
          <t>Investor (Инвестор) quarterly report</t>
        </is>
      </c>
      <c r="C47" s="451" t="inlineStr">
        <is>
          <t>Rep</t>
        </is>
      </c>
      <c r="D47" s="451" t="inlineStr">
        <is>
          <t>Rep</t>
        </is>
      </c>
      <c r="E47" s="451" t="inlineStr">
        <is>
          <t>Rep</t>
        </is>
      </c>
      <c r="F47" s="451" t="inlineStr">
        <is>
          <t>Rep</t>
        </is>
      </c>
      <c r="G47" s="451" t="inlineStr">
        <is>
          <t>Rep</t>
        </is>
      </c>
      <c r="H47" s="451" t="inlineStr">
        <is>
          <t>Rep</t>
        </is>
      </c>
      <c r="I47" s="451" t="inlineStr">
        <is>
          <t>Rep</t>
        </is>
      </c>
      <c r="J47" s="451" t="inlineStr">
        <is>
          <t>Rep</t>
        </is>
      </c>
      <c r="K47" s="451" t="inlineStr">
        <is>
          <t>Rep</t>
        </is>
      </c>
      <c r="L47" s="451" t="inlineStr">
        <is>
          <t>Rep</t>
        </is>
      </c>
      <c r="M47" s="451" t="inlineStr">
        <is>
          <t>Rep</t>
        </is>
      </c>
      <c r="N47" s="451" t="inlineStr">
        <is>
          <t>Rep</t>
        </is>
      </c>
      <c r="O47" s="441"/>
      <c r="P47" s="441"/>
      <c r="Q47" s="441"/>
      <c r="R47" s="441"/>
    </row>
    <row r="48" ht="22" customHeight="1">
      <c r="B48" s="448" t="inlineStr">
        <is>
          <t>Audit (Аудит)</t>
        </is>
      </c>
      <c r="C48" s="441"/>
      <c r="D48" s="441"/>
      <c r="E48" s="441"/>
      <c r="F48" s="451" t="inlineStr">
        <is>
          <t>Audit (Аудит)</t>
        </is>
      </c>
      <c r="G48" s="441"/>
      <c r="H48" s="441"/>
      <c r="I48" s="441"/>
      <c r="J48" s="451" t="inlineStr">
        <is>
          <t>Audit (Аудит)</t>
        </is>
      </c>
      <c r="K48" s="441"/>
      <c r="L48" s="441"/>
      <c r="M48" s="441"/>
      <c r="N48" s="451" t="inlineStr">
        <is>
          <t>Audit (Аудит)</t>
        </is>
      </c>
      <c r="O48" s="451" t="inlineStr">
        <is>
          <t>Audit (Аудит)</t>
        </is>
      </c>
      <c r="P48" s="451" t="inlineStr">
        <is>
          <t>Audit (Аудит)</t>
        </is>
      </c>
      <c r="Q48" s="451" t="inlineStr">
        <is>
          <t>Audit (Аудит)</t>
        </is>
      </c>
      <c r="R48" s="451" t="inlineStr">
        <is>
          <t>Audit (Аудит)</t>
        </is>
      </c>
    </row>
    <row r="49" ht="22" customHeight="1">
      <c r="B49" s="448" t="inlineStr">
        <is>
          <t>Проверка ковенантов (Проверка ковенантов)</t>
        </is>
      </c>
      <c r="C49" s="441"/>
      <c r="D49" s="451" t="inlineStr">
        <is>
          <t>Cov</t>
        </is>
      </c>
      <c r="E49" s="451" t="inlineStr">
        <is>
          <t>Cov</t>
        </is>
      </c>
      <c r="F49" s="451" t="inlineStr">
        <is>
          <t>Cov</t>
        </is>
      </c>
      <c r="G49" s="451" t="inlineStr">
        <is>
          <t>Cov</t>
        </is>
      </c>
      <c r="H49" s="451" t="inlineStr">
        <is>
          <t>Cov</t>
        </is>
      </c>
      <c r="I49" s="451" t="inlineStr">
        <is>
          <t>Cov</t>
        </is>
      </c>
      <c r="J49" s="451" t="inlineStr">
        <is>
          <t>Cov</t>
        </is>
      </c>
      <c r="K49" s="451" t="inlineStr">
        <is>
          <t>Cov</t>
        </is>
      </c>
      <c r="L49" s="451" t="inlineStr">
        <is>
          <t>Cov</t>
        </is>
      </c>
      <c r="M49" s="451" t="inlineStr">
        <is>
          <t>Cov</t>
        </is>
      </c>
      <c r="N49" s="451" t="inlineStr">
        <is>
          <t>Cov</t>
        </is>
      </c>
      <c r="O49" s="441"/>
      <c r="P49" s="441"/>
      <c r="Q49" s="441"/>
      <c r="R49" s="441"/>
    </row>
    <row r="50" ht="22" customHeight="1">
      <c r="B50" s="448" t="inlineStr">
        <is>
          <t>Strategic (Стратегический) review (Стратегический обзор)</t>
        </is>
      </c>
      <c r="C50" s="441"/>
      <c r="D50" s="441"/>
      <c r="E50" s="441"/>
      <c r="F50" s="441"/>
      <c r="G50" s="441"/>
      <c r="H50" s="451" t="inlineStr">
        <is>
          <t>Rev</t>
        </is>
      </c>
      <c r="I50" s="441"/>
      <c r="J50" s="441"/>
      <c r="K50" s="441"/>
      <c r="L50" s="441"/>
      <c r="M50" s="441"/>
      <c r="N50" s="451" t="inlineStr">
        <is>
          <t>Rev</t>
        </is>
      </c>
      <c r="O50" s="441"/>
      <c r="P50" s="451" t="inlineStr">
        <is>
          <t>Rev</t>
        </is>
      </c>
      <c r="Q50" s="441"/>
      <c r="R50" s="451" t="inlineStr">
        <is>
          <t>Rev</t>
        </is>
      </c>
    </row>
    <row r="53">
      <c r="B53" s="320" t="inlineStr">
        <is>
          <t>IV. ВЕХИ МАРШРУТОВ ВЫХОДА</t>
        </is>
      </c>
    </row>
    <row r="55">
      <c r="B55" s="321" t="inlineStr">
        <is>
          <t>Маршрут выхода (Маршрут выхода)</t>
        </is>
      </c>
      <c r="C55" s="321" t="inlineStr">
        <is>
          <t>Q1'26</t>
        </is>
      </c>
      <c r="D55" s="321" t="inlineStr">
        <is>
          <t>Q2'26</t>
        </is>
      </c>
      <c r="E55" s="321" t="inlineStr">
        <is>
          <t>Q3'26</t>
        </is>
      </c>
      <c r="F55" s="321" t="inlineStr">
        <is>
          <t>Q4'26</t>
        </is>
      </c>
      <c r="G55" s="321" t="inlineStr">
        <is>
          <t>Q1'27</t>
        </is>
      </c>
      <c r="H55" s="321" t="inlineStr">
        <is>
          <t>Q2'27</t>
        </is>
      </c>
      <c r="I55" s="321" t="inlineStr">
        <is>
          <t>Q3'27</t>
        </is>
      </c>
      <c r="J55" s="321" t="inlineStr">
        <is>
          <t>Q4'27</t>
        </is>
      </c>
      <c r="K55" s="321" t="inlineStr">
        <is>
          <t>Q1'28</t>
        </is>
      </c>
      <c r="L55" s="321" t="inlineStr">
        <is>
          <t>Q2'28</t>
        </is>
      </c>
      <c r="M55" s="321" t="inlineStr">
        <is>
          <t>Q3'28</t>
        </is>
      </c>
      <c r="N55" s="321" t="inlineStr">
        <is>
          <t>Q4'28</t>
        </is>
      </c>
      <c r="O55" s="321" t="inlineStr">
        <is>
          <t>2029</t>
        </is>
      </c>
      <c r="P55" s="321" t="inlineStr">
        <is>
          <t>2030</t>
        </is>
      </c>
      <c r="Q55" s="321" t="inlineStr">
        <is>
          <t>2031</t>
        </is>
      </c>
      <c r="R55" s="321" t="inlineStr">
        <is>
          <t>2032</t>
        </is>
      </c>
    </row>
    <row r="56" ht="22" customHeight="1">
      <c r="B56" s="448" t="inlineStr">
        <is>
          <t>E1: Strategic (Стратегический) sale (Стратегическая продажа)</t>
        </is>
      </c>
      <c r="C56" s="441"/>
      <c r="D56" s="441"/>
      <c r="E56" s="441"/>
      <c r="F56" s="441"/>
      <c r="G56" s="441"/>
      <c r="H56" s="441"/>
      <c r="I56" s="441"/>
      <c r="J56" s="441"/>
      <c r="K56" s="441"/>
      <c r="L56" s="441"/>
      <c r="M56" s="441"/>
      <c r="N56" s="441"/>
      <c r="O56" s="441"/>
      <c r="P56" s="452" t="inlineStr">
        <is>
          <t>SS ★</t>
        </is>
      </c>
      <c r="Q56" s="452" t="inlineStr">
        <is>
          <t>SS ★</t>
        </is>
      </c>
      <c r="R56" s="441"/>
    </row>
    <row r="57" ht="22" customHeight="1">
      <c r="B57" s="448" t="inlineStr">
        <is>
          <t>E2: Trade sale (Продажа стратегу) PE</t>
        </is>
      </c>
      <c r="C57" s="441"/>
      <c r="D57" s="441"/>
      <c r="E57" s="441"/>
      <c r="F57" s="441"/>
      <c r="G57" s="441"/>
      <c r="H57" s="441"/>
      <c r="I57" s="441"/>
      <c r="J57" s="441"/>
      <c r="K57" s="441"/>
      <c r="L57" s="441"/>
      <c r="M57" s="441"/>
      <c r="N57" s="441"/>
      <c r="O57" s="441"/>
      <c r="P57" s="441"/>
      <c r="Q57" s="452" t="inlineStr">
        <is>
          <t>TS</t>
        </is>
      </c>
      <c r="R57" s="452" t="inlineStr">
        <is>
          <t>TS</t>
        </is>
      </c>
    </row>
    <row r="58" ht="22" customHeight="1">
      <c r="B58" s="448" t="inlineStr">
        <is>
          <t>E3: IPO (первичное размещение) (small-cap Мосбиржа)</t>
        </is>
      </c>
      <c r="C58" s="441"/>
      <c r="D58" s="441"/>
      <c r="E58" s="441"/>
      <c r="F58" s="441"/>
      <c r="G58" s="441"/>
      <c r="H58" s="441"/>
      <c r="I58" s="441"/>
      <c r="J58" s="441"/>
      <c r="K58" s="441"/>
      <c r="L58" s="441"/>
      <c r="M58" s="441"/>
      <c r="N58" s="441"/>
      <c r="O58" s="441"/>
      <c r="P58" s="441"/>
      <c r="Q58" s="452" t="inlineStr">
        <is>
          <t>IPO (первичное размещение)</t>
        </is>
      </c>
      <c r="R58" s="452" t="inlineStr">
        <is>
          <t>IPO (первичное размещение)</t>
        </is>
      </c>
    </row>
    <row r="59" ht="22" customHeight="1">
      <c r="B59" s="448" t="inlineStr">
        <is>
          <t>E4: Secondary (Вторичный) sale (Вторичная продажа)</t>
        </is>
      </c>
      <c r="C59" s="441"/>
      <c r="D59" s="441"/>
      <c r="E59" s="441"/>
      <c r="F59" s="441"/>
      <c r="G59" s="441"/>
      <c r="H59" s="441"/>
      <c r="I59" s="441"/>
      <c r="J59" s="441"/>
      <c r="K59" s="441"/>
      <c r="L59" s="441"/>
      <c r="M59" s="441"/>
      <c r="N59" s="441"/>
      <c r="O59" s="452" t="inlineStr">
        <is>
          <t>Sec</t>
        </is>
      </c>
      <c r="P59" s="452" t="inlineStr">
        <is>
          <t>Sec</t>
        </is>
      </c>
      <c r="Q59" s="441"/>
      <c r="R59" s="441"/>
    </row>
    <row r="60" ht="22" customHeight="1">
      <c r="B60" s="448" t="inlineStr">
        <is>
          <t>E5: Management buyout (Выкуп менеджментом)</t>
        </is>
      </c>
      <c r="C60" s="441"/>
      <c r="D60" s="441"/>
      <c r="E60" s="441"/>
      <c r="F60" s="441"/>
      <c r="G60" s="441"/>
      <c r="H60" s="441"/>
      <c r="I60" s="441"/>
      <c r="J60" s="441"/>
      <c r="K60" s="441"/>
      <c r="L60" s="441"/>
      <c r="M60" s="441"/>
      <c r="N60" s="441"/>
      <c r="O60" s="441"/>
      <c r="P60" s="441"/>
      <c r="Q60" s="441"/>
      <c r="R60" s="452" t="inlineStr">
        <is>
          <t>MBO</t>
        </is>
      </c>
    </row>
    <row r="61" ht="22" customHeight="1">
      <c r="B61" s="448" t="inlineStr">
        <is>
          <t>E6: Gov strategic (Гос. стратегический)</t>
        </is>
      </c>
      <c r="C61" s="441"/>
      <c r="D61" s="441"/>
      <c r="E61" s="441"/>
      <c r="F61" s="441"/>
      <c r="G61" s="441"/>
      <c r="H61" s="441"/>
      <c r="I61" s="441"/>
      <c r="J61" s="441"/>
      <c r="K61" s="441"/>
      <c r="L61" s="441"/>
      <c r="M61" s="441"/>
      <c r="N61" s="441"/>
      <c r="O61" s="441"/>
      <c r="P61" s="452" t="inlineStr">
        <is>
          <t>Gov</t>
        </is>
      </c>
      <c r="Q61" s="452" t="inlineStr">
        <is>
          <t>Gov</t>
        </is>
      </c>
      <c r="R61" s="441"/>
    </row>
    <row r="62" ht="22" customHeight="1">
      <c r="B62" s="448" t="inlineStr">
        <is>
          <t>E7: Wind-down (Свёртывание/удержание)</t>
        </is>
      </c>
      <c r="C62" s="441"/>
      <c r="D62" s="441"/>
      <c r="E62" s="441"/>
      <c r="F62" s="441"/>
      <c r="G62" s="441"/>
      <c r="H62" s="441"/>
      <c r="I62" s="441"/>
      <c r="J62" s="441"/>
      <c r="K62" s="441"/>
      <c r="L62" s="441"/>
      <c r="M62" s="441"/>
      <c r="N62" s="441"/>
      <c r="O62" s="441"/>
      <c r="P62" s="441"/>
      <c r="Q62" s="441"/>
      <c r="R62" s="453" t="inlineStr">
        <is>
          <t>WD</t>
        </is>
      </c>
    </row>
    <row r="65">
      <c r="B65" s="454" t="inlineStr">
        <is>
          <t>V. КРИТИЧЕСКИЙ ПУТЬ</t>
        </is>
      </c>
    </row>
    <row r="67">
      <c r="B67" s="323" t="inlineStr">
        <is>
          <t>• Q1'26: T₁ Tranche 1 250 млн ₽ → старт Dev П01–П05</t>
        </is>
      </c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7"/>
    </row>
    <row r="68">
      <c r="B68" s="323" t="inlineStr">
        <is>
          <t>• Q2'26: Tranche 2 350 → Shoot П01, Dev П02–П04</t>
        </is>
      </c>
      <c r="C68" s="186"/>
      <c r="D68" s="186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7"/>
    </row>
    <row r="69">
      <c r="B69" s="323" t="inlineStr">
        <is>
          <t>• Q3'26: Tranche 3 350 → Shoot П02, Dev П03–П05, pre-production П06С</t>
        </is>
      </c>
      <c r="C69" s="186"/>
      <c r="D69" s="186"/>
      <c r="E69" s="186"/>
      <c r="F69" s="186"/>
      <c r="G69" s="186"/>
      <c r="H69" s="186"/>
      <c r="I69" s="186"/>
      <c r="J69" s="186"/>
      <c r="K69" s="186"/>
      <c r="L69" s="186"/>
      <c r="M69" s="186"/>
      <c r="N69" s="186"/>
      <c r="O69" s="186"/>
      <c r="P69" s="186"/>
      <c r="Q69" s="187"/>
    </row>
    <row r="70">
      <c r="B70" s="323" t="inlineStr">
        <is>
          <t>• Q4'26: Tranche 4 300 + Release П01 → первый revenue impulse (570 млн ₽)</t>
        </is>
      </c>
      <c r="C70" s="186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7"/>
    </row>
    <row r="71">
      <c r="B71" s="323" t="inlineStr">
        <is>
          <t>• Q2'27: Release П02 + П03 → основной revenue импульс (980 млн ₽)</t>
        </is>
      </c>
      <c r="C71" s="186"/>
      <c r="D71" s="186"/>
      <c r="E71" s="186"/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7"/>
    </row>
    <row r="72">
      <c r="B72" s="323" t="inlineStr">
        <is>
          <t>• Q3'27: Release П04 «Время героев» → 700 млн ₽ проверка блокбастер-гипотезы</t>
        </is>
      </c>
      <c r="C72" s="186"/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7"/>
    </row>
    <row r="73">
      <c r="B73" s="323" t="inlineStr">
        <is>
          <t>• Q4'27: Release П05 + mid-term review → решение о dark horse сериалах</t>
        </is>
      </c>
      <c r="C73" s="186"/>
      <c r="D73" s="186"/>
      <c r="E73" s="186"/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7"/>
    </row>
    <row r="74">
      <c r="B74" s="323" t="inlineStr">
        <is>
          <t>• Q1'28: Release П06С «Северный ветер» (сериал) → cash flow breakpoint (520 млн ₽)</t>
        </is>
      </c>
      <c r="C74" s="186"/>
      <c r="D74" s="186"/>
      <c r="E74" s="186"/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7"/>
    </row>
    <row r="75">
      <c r="B75" s="323" t="inlineStr">
        <is>
          <t>• Q3'28: Release П07С «Горизонт событий» + full slate completed → start exit prep</t>
        </is>
      </c>
      <c r="C75" s="186"/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7"/>
    </row>
    <row r="76">
      <c r="B76" s="323" t="inlineStr">
        <is>
          <t>• 2029: Q1 — covenant pass или W₅ V-D ★ activation (default v1.0.1) / W₄ premium upgrade decision</t>
        </is>
      </c>
      <c r="C76" s="186"/>
      <c r="D76" s="186"/>
      <c r="E76" s="186"/>
      <c r="F76" s="186"/>
      <c r="G76" s="186"/>
      <c r="H76" s="186"/>
      <c r="I76" s="186"/>
      <c r="J76" s="186"/>
      <c r="K76" s="186"/>
      <c r="L76" s="186"/>
      <c r="M76" s="186"/>
      <c r="N76" s="186"/>
      <c r="O76" s="186"/>
      <c r="P76" s="186"/>
      <c r="Q76" s="187"/>
    </row>
    <row r="77">
      <c r="B77" s="323" t="inlineStr">
        <is>
          <t>• 2029-2030: Strategic review → exit route selection → T₁ repayment start</t>
        </is>
      </c>
      <c r="C77" s="186"/>
      <c r="D77" s="186"/>
      <c r="E77" s="186"/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187"/>
    </row>
    <row r="78">
      <c r="B78" s="323" t="inlineStr">
        <is>
          <t>• 2030-2032: Исполнение выхода + полный возврат T₁ + монетизация библиотеки</t>
        </is>
      </c>
      <c r="C78" s="186"/>
      <c r="D78" s="186"/>
      <c r="E78" s="186"/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7"/>
    </row>
    <row r="81">
      <c r="B81" s="320" t="inlineStr">
        <is>
          <t>VI. TOP-10 КРИТИЧЕСКИХ ДАТ</t>
        </is>
      </c>
    </row>
    <row r="83">
      <c r="B83" s="321" t="inlineStr">
        <is>
          <t>#</t>
        </is>
      </c>
      <c r="C83" s="321" t="inlineStr">
        <is>
          <t>Дата</t>
        </is>
      </c>
      <c r="D83" s="321" t="inlineStr">
        <is>
          <t>Событие</t>
        </is>
      </c>
      <c r="E83" s="321" t="inlineStr">
        <is>
          <t>Критичность</t>
        </is>
      </c>
      <c r="F83" s="321" t="inlineStr">
        <is>
          <t>Ответственный</t>
        </is>
      </c>
    </row>
    <row r="84" ht="26" customHeight="1">
      <c r="B84" s="400" t="n">
        <v>1</v>
      </c>
      <c r="C84" s="322" t="inlineStr">
        <is>
          <t>15.01.2026</t>
        </is>
      </c>
      <c r="D84" s="323" t="inlineStr">
        <is>
          <t>Подписание T₁ Term Sheet (Условия сделки) + SPA</t>
        </is>
      </c>
      <c r="E84" s="455" t="inlineStr">
        <is>
          <t>Critical (Критический)</t>
        </is>
      </c>
      <c r="F84" s="323" t="inlineStr">
        <is>
          <t>CFO / Legal (Юрид.)</t>
        </is>
      </c>
    </row>
    <row r="85" ht="26" customHeight="1">
      <c r="B85" s="400" t="n">
        <v>2</v>
      </c>
      <c r="C85" s="322" t="inlineStr">
        <is>
          <t>31.03.2026</t>
        </is>
      </c>
      <c r="D85" s="323" t="inlineStr">
        <is>
          <t>Closing Tranche (Транш) 1 (250 млн ₽)</t>
        </is>
      </c>
      <c r="E85" s="455" t="inlineStr">
        <is>
          <t>Critical (Критический)</t>
        </is>
      </c>
      <c r="F85" s="323" t="inlineStr">
        <is>
          <t>CFO / Совет директоров</t>
        </is>
      </c>
    </row>
    <row r="86" ht="26" customHeight="1">
      <c r="B86" s="400" t="n">
        <v>3</v>
      </c>
      <c r="C86" s="322" t="inlineStr">
        <is>
          <t>15.06.2026</t>
        </is>
      </c>
      <c r="D86" s="323" t="inlineStr">
        <is>
          <t>Старт съёмок П01 «Родные стены»</t>
        </is>
      </c>
      <c r="E86" s="399" t="inlineStr">
        <is>
          <t>High (Высокий)</t>
        </is>
      </c>
      <c r="F86" s="323" t="inlineStr">
        <is>
          <t>Producer (Продюсер) П01</t>
        </is>
      </c>
    </row>
    <row r="87" ht="26" customHeight="1">
      <c r="B87" s="400" t="n">
        <v>4</v>
      </c>
      <c r="C87" s="322" t="inlineStr">
        <is>
          <t>30.09.2026</t>
        </is>
      </c>
      <c r="D87" s="323" t="inlineStr">
        <is>
          <t>Tranche (Транш) 3 + старт съёмок П04</t>
        </is>
      </c>
      <c r="E87" s="455" t="inlineStr">
        <is>
          <t>Critical (Критический)</t>
        </is>
      </c>
      <c r="F87" s="323" t="inlineStr">
        <is>
          <t>CFO + П04 Prod (Производство)</t>
        </is>
      </c>
    </row>
    <row r="88" ht="26" customHeight="1">
      <c r="B88" s="400" t="n">
        <v>5</v>
      </c>
      <c r="C88" s="322" t="inlineStr">
        <is>
          <t>01.12.2026</t>
        </is>
      </c>
      <c r="D88" s="323" t="inlineStr">
        <is>
          <t>Премьера П01</t>
        </is>
      </c>
      <c r="E88" s="399" t="inlineStr">
        <is>
          <t>High (Высокий)</t>
        </is>
      </c>
      <c r="F88" s="323" t="inlineStr">
        <is>
          <t>Distribution (Распределение)</t>
        </is>
      </c>
    </row>
    <row r="89" ht="26" customHeight="1">
      <c r="B89" s="400" t="n">
        <v>6</v>
      </c>
      <c r="C89" s="322" t="inlineStr">
        <is>
          <t>15.09.2027</t>
        </is>
      </c>
      <c r="D89" s="323" t="inlineStr">
        <is>
          <t>Премьера П04 «Время героев» (блокбастер)</t>
        </is>
      </c>
      <c r="E89" s="455" t="inlineStr">
        <is>
          <t>Critical (Критический)</t>
        </is>
      </c>
      <c r="F89" s="323" t="inlineStr">
        <is>
          <t>CEO / Marketing (Маркетинг)</t>
        </is>
      </c>
    </row>
    <row r="90" ht="26" customHeight="1">
      <c r="B90" s="400" t="n">
        <v>7</v>
      </c>
      <c r="C90" s="322" t="inlineStr">
        <is>
          <t>31.12.2027</t>
        </is>
      </c>
      <c r="D90" s="323" t="inlineStr">
        <is>
          <t>Mid-term review (Промежуточный обзор) + решение по Slate B</t>
        </is>
      </c>
      <c r="E90" s="455" t="inlineStr">
        <is>
          <t>Critical (Критический)</t>
        </is>
      </c>
      <c r="F90" s="323" t="inlineStr">
        <is>
          <t>Совет директоров</t>
        </is>
      </c>
    </row>
    <row r="91" ht="26" customHeight="1">
      <c r="B91" s="400" t="n">
        <v>8</v>
      </c>
      <c r="C91" s="322" t="inlineStr">
        <is>
          <t>31.12.2028</t>
        </is>
      </c>
      <c r="D91" s="323" t="inlineStr">
        <is>
          <t>Full slate completed (Полный пакет завершён) + начало подготовки к выходу</t>
        </is>
      </c>
      <c r="E91" s="455" t="inlineStr">
        <is>
          <t>Critical (Критический)</t>
        </is>
      </c>
      <c r="F91" s="323" t="inlineStr">
        <is>
          <t>Совет директоров / IR</t>
        </is>
      </c>
    </row>
    <row r="92" ht="26" customHeight="1">
      <c r="B92" s="400" t="n">
        <v>9</v>
      </c>
      <c r="C92" s="322" t="inlineStr">
        <is>
          <t>30.06.2029</t>
        </is>
      </c>
      <c r="D92" s="323" t="inlineStr">
        <is>
          <t>Covenant pass check (Проверка выполнения ковенантов) + T₁ Repayment 1</t>
        </is>
      </c>
      <c r="E92" s="455" t="inlineStr">
        <is>
          <t>Critical (Критический)</t>
        </is>
      </c>
      <c r="F92" s="323" t="inlineStr">
        <is>
          <t>CFO / Совет директоров</t>
        </is>
      </c>
    </row>
    <row r="93" ht="26" customHeight="1">
      <c r="B93" s="400" t="n">
        <v>10</v>
      </c>
      <c r="C93" s="322" t="inlineStr">
        <is>
          <t>31.12.2032</t>
        </is>
      </c>
      <c r="D93" s="323" t="inlineStr">
        <is>
          <t>Финальный возврат T₁ + исполнение выхода</t>
        </is>
      </c>
      <c r="E93" s="455" t="inlineStr">
        <is>
          <t>Critical (Критический)</t>
        </is>
      </c>
      <c r="F93" s="323" t="inlineStr">
        <is>
          <t>CFO / IR / Совет директоров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4:Q74"/>
    <mergeCell ref="B69:Q69"/>
    <mergeCell ref="B70:Q70"/>
    <mergeCell ref="B68:Q68"/>
    <mergeCell ref="B2:Q2"/>
    <mergeCell ref="B77:Q77"/>
    <mergeCell ref="B72:Q72"/>
    <mergeCell ref="B78:Q7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КРАТКОЕ РЕЗЮМЕ (КРАТКОЕ РЕЗЮМЕ)</t>
        </is>
      </c>
    </row>
    <row r="3" ht="18" customHeight="1">
      <c r="B3" s="457" t="inlineStr">
        <is>
          <t>Холдинг кино «ТрендСтудио» — Investor Package (Инвестиционный пакет) v1.0.1 Public — 2026-04-12</t>
        </is>
      </c>
    </row>
    <row r="5" ht="22" customHeight="1">
      <c r="B5" s="458" t="inlineStr">
        <is>
          <t>I. INVESTMENT (ИНВЕСТИЦИИ) HIGHLIGHTS (КЛЮЧЕВЫЕ ПРЕИМУЩЕСТВА ИНВЕСТИЦИИ)</t>
        </is>
      </c>
    </row>
    <row r="7" ht="28" customHeight="1">
      <c r="B7" s="459" t="inlineStr">
        <is>
          <t>▶</t>
        </is>
      </c>
      <c r="C7" s="460" t="inlineStr">
        <is>
          <t>Горизонт 2026–2028, 12 премиальных фильмов, Revenue (Выручка) 4 545 млн ₽, GAAP (стандарты бухучёта) EBITDA (прибыль до вычетов) margin (маржа) 47%, payback &lt; 24 мес</t>
        </is>
      </c>
    </row>
    <row r="8" ht="28" customHeight="1">
      <c r="B8" s="459" t="inlineStr">
        <is>
          <t>▶</t>
        </is>
      </c>
      <c r="C8" s="460" t="inlineStr">
        <is>
          <t>Инвест-пакет T₁ = 1 250 млн ₽ (4 транша 20/28/28/24%), Producer equity (капитал продюсера) 600 млн ₽ (off-P&amp;L JV (совместное предприятие) капитал)</t>
        </is>
      </c>
    </row>
    <row r="9" ht="28" customHeight="1">
      <c r="B9" s="459" t="inlineStr">
        <is>
          <t>▶</t>
        </is>
      </c>
      <c r="C9" s="460" t="inlineStr">
        <is>
          <t>GAAP (стандарты бухучёта) EBITDA (прибыль до вычетов) Σ = 2 167 млн ₽ | Net Profit (Чистая прибыль) Σ = 1 698 млн ₽ | Эффективная налоговая нагрузка ~12.9% (льгота НДС 0% ст. 149 НК РФ)</t>
        </is>
      </c>
    </row>
    <row r="10" ht="28" customHeight="1">
      <c r="B10" s="459" t="inlineStr">
        <is>
          <t>▶</t>
        </is>
      </c>
      <c r="C10" s="460" t="inlineStr">
        <is>
          <t>Рынок SOM 4 545 млн ₽ из TAM 289.8 млрд ₽ — доля &lt;2%, защита от рыночного риска</t>
        </is>
      </c>
    </row>
    <row r="11" ht="28" customHeight="1">
      <c r="B11" s="459" t="inlineStr">
        <is>
          <t>▶</t>
        </is>
      </c>
      <c r="C11" s="460" t="inlineStr">
        <is>
          <t>Weighted exit EV (стоимость предприятия) ≈ 6 038 млн ₽ на 2030, 7 маршрутов выхода (strategic / IPO (первичное размещение) / secondary / ESOP / buyback / mgmt / open market)</t>
        </is>
      </c>
    </row>
    <row r="12" ht="28" customHeight="1">
      <c r="B12" s="459" t="inlineStr">
        <is>
          <t>▶</t>
        </is>
      </c>
      <c r="C12" s="460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</row>
    <row r="14" ht="22" customHeight="1">
      <c r="B14" s="458" t="inlineStr">
        <is>
          <t>II. КЛЮЧЕВЫЕ МЕТРИКИ</t>
        </is>
      </c>
    </row>
    <row r="16" ht="22" customHeight="1">
      <c r="C16" s="321" t="inlineStr">
        <is>
          <t>Показатель</t>
        </is>
      </c>
      <c r="D16" s="187"/>
      <c r="E16" s="321" t="inlineStr">
        <is>
          <t>Σ 2026–2028</t>
        </is>
      </c>
      <c r="F16" s="187"/>
      <c r="G16" s="321" t="inlineStr">
        <is>
          <t>Источник</t>
        </is>
      </c>
      <c r="H16" s="187"/>
      <c r="I16" s="321" t="inlineStr">
        <is>
          <t>Примечание</t>
        </is>
      </c>
      <c r="J16" s="186"/>
      <c r="K16" s="186"/>
      <c r="L16" s="186"/>
      <c r="M16" s="186"/>
      <c r="N16" s="187"/>
    </row>
    <row r="17" ht="20" customHeight="1">
      <c r="C17" s="461" t="inlineStr">
        <is>
          <t>Revenue (Выручка)</t>
        </is>
      </c>
      <c r="D17" s="187"/>
      <c r="E17" s="328" t="inlineStr">
        <is>
          <t>4 545 млн ₽</t>
        </is>
      </c>
      <c r="F17" s="187"/>
      <c r="G17" s="464" t="inlineStr">
        <is>
          <t>07_Revenue_Breakdown</t>
        </is>
      </c>
      <c r="H17" s="187"/>
      <c r="I17" s="465" t="inlineStr">
        <is>
          <t>7 проектов + сиквелы + TV/OTT (онлайн-платформа)</t>
        </is>
      </c>
      <c r="J17" s="186"/>
      <c r="K17" s="186"/>
      <c r="L17" s="186"/>
      <c r="M17" s="186"/>
      <c r="N17" s="187"/>
    </row>
    <row r="18" ht="20" customHeight="1">
      <c r="C18" s="461" t="inlineStr">
        <is>
          <t>COGS (себестоимость)</t>
        </is>
      </c>
      <c r="D18" s="187"/>
      <c r="E18" s="328" t="inlineStr">
        <is>
          <t>2 009 млн ₽</t>
        </is>
      </c>
      <c r="F18" s="187"/>
      <c r="G18" s="464" t="inlineStr">
        <is>
          <t>06_Cost_Structure</t>
        </is>
      </c>
      <c r="H18" s="187"/>
      <c r="I18" s="465" t="inlineStr">
        <is>
          <t>Производство + прокат + маркетинг</t>
        </is>
      </c>
      <c r="J18" s="186"/>
      <c r="K18" s="186"/>
      <c r="L18" s="186"/>
      <c r="M18" s="186"/>
      <c r="N18" s="187"/>
    </row>
    <row r="19" ht="20" customHeight="1">
      <c r="C19" s="461" t="inlineStr">
        <is>
          <t>OpEx</t>
        </is>
      </c>
      <c r="D19" s="187"/>
      <c r="E19" s="328" t="inlineStr">
        <is>
          <t>265.5 млн ₽</t>
        </is>
      </c>
      <c r="F19" s="187"/>
      <c r="G19" s="464" t="inlineStr">
        <is>
          <t>06_Cost_Structure</t>
        </is>
      </c>
      <c r="H19" s="187"/>
      <c r="I19" s="465" t="inlineStr">
        <is>
          <t>ФОТ + аренда + G&amp;A</t>
        </is>
      </c>
      <c r="J19" s="186"/>
      <c r="K19" s="186"/>
      <c r="L19" s="186"/>
      <c r="M19" s="186"/>
      <c r="N19" s="187"/>
    </row>
    <row r="20" ht="20" customHeight="1">
      <c r="C20" s="461" t="inlineStr">
        <is>
          <t>EBITDA (прибыль до вычетов) GAAP</t>
        </is>
      </c>
      <c r="D20" s="187"/>
      <c r="E20" s="328" t="inlineStr">
        <is>
          <t>2 167 млн ₽</t>
        </is>
      </c>
      <c r="F20" s="187"/>
      <c r="G20" s="464" t="inlineStr">
        <is>
          <t>09_P&amp;L_Statement</t>
        </is>
      </c>
      <c r="H20" s="187"/>
      <c r="I20" s="465" t="inlineStr">
        <is>
          <t>Маржа 47.3%</t>
        </is>
      </c>
      <c r="J20" s="186"/>
      <c r="K20" s="186"/>
      <c r="L20" s="186"/>
      <c r="M20" s="186"/>
      <c r="N20" s="187"/>
    </row>
    <row r="21" ht="20" customHeight="1">
      <c r="C21" s="461" t="inlineStr">
        <is>
          <t>NDP (чистые распределяемые поступления) (legacy (базовый вариант) anchor (якорь))</t>
        </is>
      </c>
      <c r="D21" s="187"/>
      <c r="E21" s="328" t="inlineStr">
        <is>
          <t>3 000 млн ₽</t>
        </is>
      </c>
      <c r="F21" s="187"/>
      <c r="G21" s="464" t="inlineStr">
        <is>
          <t>09_P&amp;L (bridge)</t>
        </is>
      </c>
      <c r="H21" s="187"/>
      <c r="I21" s="465" t="inlineStr">
        <is>
          <t>Non-Discounted Profit (Прибыль), внутренний якорь холдинга</t>
        </is>
      </c>
      <c r="J21" s="186"/>
      <c r="K21" s="186"/>
      <c r="L21" s="186"/>
      <c r="M21" s="186"/>
      <c r="N21" s="187"/>
    </row>
    <row r="22" ht="20" customHeight="1">
      <c r="C22" s="461" t="inlineStr">
        <is>
          <t>Net Profit (Чистая прибыль)</t>
        </is>
      </c>
      <c r="D22" s="187"/>
      <c r="E22" s="328" t="inlineStr">
        <is>
          <t>1 698 млн ₽</t>
        </is>
      </c>
      <c r="F22" s="187"/>
      <c r="G22" s="464" t="inlineStr">
        <is>
          <t>09_P&amp;L_Statement</t>
        </is>
      </c>
      <c r="H22" s="187"/>
      <c r="I22" s="465" t="inlineStr">
        <is>
          <t>После налогов (prib 20% + прочее)</t>
        </is>
      </c>
      <c r="J22" s="186"/>
      <c r="K22" s="186"/>
      <c r="L22" s="186"/>
      <c r="M22" s="186"/>
      <c r="N22" s="187"/>
    </row>
    <row r="23" ht="20" customHeight="1">
      <c r="C23" s="461" t="inlineStr">
        <is>
          <t>Инвестиция T₁</t>
        </is>
      </c>
      <c r="D23" s="187"/>
      <c r="E23" s="328" t="inlineStr">
        <is>
          <t>1 250 млн ₽</t>
        </is>
      </c>
      <c r="F23" s="187"/>
      <c r="G23" s="464" t="inlineStr">
        <is>
          <t>14_Investment_Inflow</t>
        </is>
      </c>
      <c r="H23" s="187"/>
      <c r="I23" s="465" t="inlineStr">
        <is>
          <t>4 транша: 250 / 350 / 350 / 300</t>
        </is>
      </c>
      <c r="J23" s="186"/>
      <c r="K23" s="186"/>
      <c r="L23" s="186"/>
      <c r="M23" s="186"/>
      <c r="N23" s="187"/>
    </row>
    <row r="24" ht="20" customHeight="1">
      <c r="C24" s="461" t="inlineStr">
        <is>
          <t>Producer (Продюсер) Equity (Собственный капитал)</t>
        </is>
      </c>
      <c r="D24" s="187"/>
      <c r="E24" s="328" t="inlineStr">
        <is>
          <t>600 млн ₽</t>
        </is>
      </c>
      <c r="F24" s="187"/>
      <c r="G24" s="464" t="inlineStr">
        <is>
          <t>17_Deal_Structures</t>
        </is>
      </c>
      <c r="H24" s="187"/>
      <c r="I24" s="465" t="inlineStr">
        <is>
          <t>JV (совместное предприятие) капитал продюсеров (off-P&amp;L)</t>
        </is>
      </c>
      <c r="J24" s="186"/>
      <c r="K24" s="186"/>
      <c r="L24" s="186"/>
      <c r="M24" s="186"/>
      <c r="N24" s="187"/>
    </row>
    <row r="25" ht="20" customHeight="1">
      <c r="C25" s="461" t="inlineStr">
        <is>
          <t>Production Budget (Бюджет)</t>
        </is>
      </c>
      <c r="D25" s="187"/>
      <c r="E25" s="328" t="inlineStr">
        <is>
          <t>1 747 млн ₽</t>
        </is>
      </c>
      <c r="F25" s="187"/>
      <c r="G25" s="464" t="inlineStr">
        <is>
          <t>08_Content_Pipeline</t>
        </is>
      </c>
      <c r="H25" s="187"/>
      <c r="I25" s="465" t="inlineStr">
        <is>
          <t>7 проектов × avg 264 млн ₽</t>
        </is>
      </c>
      <c r="J25" s="186"/>
      <c r="K25" s="186"/>
      <c r="L25" s="186"/>
      <c r="M25" s="186"/>
      <c r="N25" s="187"/>
    </row>
    <row r="26" ht="20" customHeight="1">
      <c r="C26" s="461" t="inlineStr">
        <is>
          <t>Tax (7-year) (Налог, 7 лет)</t>
        </is>
      </c>
      <c r="D26" s="187"/>
      <c r="E26" s="328" t="inlineStr">
        <is>
          <t>720 млн ₽</t>
        </is>
      </c>
      <c r="F26" s="187"/>
      <c r="G26" s="464" t="inlineStr">
        <is>
          <t>34_Tax_Schedule</t>
        </is>
      </c>
      <c r="H26" s="187"/>
      <c r="I26" s="465" t="inlineStr">
        <is>
          <t>2026–2032, эффективная ставка 12.9% от Revenue (Выручка)</t>
        </is>
      </c>
      <c r="J26" s="186"/>
      <c r="K26" s="186"/>
      <c r="L26" s="186"/>
      <c r="M26" s="186"/>
      <c r="N26" s="187"/>
    </row>
    <row r="27">
      <c r="C27" s="592" t="inlineStr">
        <is>
          <t>Investor Returns (Доходность инвестора) T₁ (W₅ V-D ★ default (по умолчанию) v1.0.1)</t>
        </is>
      </c>
      <c r="E27" s="588" t="inlineStr">
        <is>
          <t>IRR (внутренняя норма доходности) 24.75% · MOIC (мультипликатор вложенного капитала) 2.13× · Payback (Окупаемость) 3.21y</t>
        </is>
      </c>
    </row>
    <row r="29" ht="22" customHeight="1">
      <c r="B29" s="466" t="inlineStr">
        <is>
          <t>III. VALUATION (ОЦЕНКА) RANGE INTERPRETATION (DCF (дисконтированный денежный поток) vs MULTIPLES)</t>
        </is>
      </c>
    </row>
    <row r="31" ht="20" customHeight="1">
      <c r="B31" s="467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3" ht="26" customHeight="1">
      <c r="B33" s="468" t="inlineStr">
        <is>
          <t>Метод</t>
        </is>
      </c>
      <c r="C33" s="186"/>
      <c r="D33" s="186"/>
      <c r="E33" s="187"/>
      <c r="F33" s="321" t="inlineStr">
        <is>
          <t>EV (стоимость предприятия) 2030</t>
        </is>
      </c>
      <c r="G33" s="186"/>
      <c r="H33" s="187"/>
      <c r="I33" s="432" t="inlineStr">
        <is>
          <t>Роль в оценке</t>
        </is>
      </c>
      <c r="J33" s="186"/>
      <c r="K33" s="186"/>
      <c r="L33" s="187"/>
      <c r="M33" s="432" t="inlineStr">
        <is>
          <t>Источник</t>
        </is>
      </c>
      <c r="N33" s="187"/>
    </row>
    <row r="34" ht="32" customHeight="1">
      <c r="B34" s="461" t="inlineStr">
        <is>
          <t>DCF (дисконтированный денежный поток) (blend Gordon 40% + Exit 60%)</t>
        </is>
      </c>
      <c r="C34" s="186"/>
      <c r="D34" s="186"/>
      <c r="E34" s="187"/>
      <c r="F34" s="328" t="inlineStr">
        <is>
          <t>1 815 млн ₽</t>
        </is>
      </c>
      <c r="G34" s="186"/>
      <c r="H34" s="187"/>
      <c r="I34" s="465" t="inlineStr">
        <is>
          <t>Floor valuation (intrinsic, 5-летний горизонт, высокий WACC (средневзвешенная стоимость капитала))</t>
        </is>
      </c>
      <c r="J34" s="186"/>
      <c r="K34" s="186"/>
      <c r="L34" s="187"/>
      <c r="M34" s="465" t="inlineStr">
        <is>
          <t>22_Valuation_DCF</t>
        </is>
      </c>
      <c r="N34" s="187"/>
    </row>
    <row r="35" ht="32" customHeight="1">
      <c r="B35" s="461" t="inlineStr">
        <is>
          <t>Медиана Comps (EV (стоимость предприятия)/EBITDA (прибыль до вычетов) 8.9×)</t>
        </is>
      </c>
      <c r="C35" s="186"/>
      <c r="D35" s="186"/>
      <c r="E35" s="187"/>
      <c r="F35" s="328" t="inlineStr">
        <is>
          <t>7 550 млн ₽</t>
        </is>
      </c>
      <c r="G35" s="186"/>
      <c r="H35" s="187"/>
      <c r="I35" s="465" t="inlineStr">
        <is>
          <t>Рыночная оценка (что реально платят в сделках)</t>
        </is>
      </c>
      <c r="J35" s="186"/>
      <c r="K35" s="186"/>
      <c r="L35" s="187"/>
      <c r="M35" s="465" t="inlineStr">
        <is>
          <t>32_Comparable_Transactions</t>
        </is>
      </c>
      <c r="N35" s="187"/>
    </row>
    <row r="36" ht="32" customHeight="1">
      <c r="B36" s="461" t="inlineStr">
        <is>
          <t>Weighted Exit EV (стоимость предприятия) (probability-weighted)</t>
        </is>
      </c>
      <c r="C36" s="186"/>
      <c r="D36" s="186"/>
      <c r="E36" s="187"/>
      <c r="F36" s="328" t="inlineStr">
        <is>
          <t>6 038 млн ₽</t>
        </is>
      </c>
      <c r="G36" s="186"/>
      <c r="H36" s="187"/>
      <c r="I36" s="465" t="inlineStr">
        <is>
          <t>Expected value (Ожидаемая стоимость)</t>
        </is>
      </c>
      <c r="J36" s="186"/>
      <c r="K36" s="186"/>
      <c r="L36" s="187"/>
      <c r="M36" s="465" t="inlineStr">
        <is>
          <t>25_Exit_Scenarios</t>
        </is>
      </c>
      <c r="N36" s="187"/>
    </row>
    <row r="39" ht="20" customHeight="1">
      <c r="B39" s="470" t="inlineStr">
        <is>
          <t>Разрыв DCF (дисконтированный денежный поток) vs Comps median = 5 735 млн ₽ — это не ошибка, а сумма 5 структурных компонентов:</t>
        </is>
      </c>
    </row>
    <row r="41" ht="22" customHeight="1">
      <c r="B41" s="321" t="inlineStr">
        <is>
          <t>#</t>
        </is>
      </c>
      <c r="C41" s="321" t="inlineStr">
        <is>
          <t>Компонент разрыва</t>
        </is>
      </c>
      <c r="D41" s="186"/>
      <c r="E41" s="187"/>
      <c r="F41" s="321" t="inlineStr">
        <is>
          <t>Механика</t>
        </is>
      </c>
      <c r="G41" s="186"/>
      <c r="H41" s="186"/>
      <c r="I41" s="186"/>
      <c r="J41" s="186"/>
      <c r="K41" s="186"/>
      <c r="L41" s="187"/>
      <c r="M41" s="321" t="inlineStr">
        <is>
          <t>Вклад</t>
        </is>
      </c>
      <c r="N41" s="187"/>
    </row>
    <row r="42" ht="52" customHeight="1">
      <c r="B42" s="414" t="inlineStr">
        <is>
          <t>1</t>
        </is>
      </c>
      <c r="C42" s="471" t="inlineStr">
        <is>
          <t>Горизонт обрезан на 2030</t>
        </is>
      </c>
      <c r="D42" s="186"/>
      <c r="E42" s="187"/>
      <c r="F42" s="471" t="inlineStr">
        <is>
          <t>Gordon Growth (Модель Гордона) TV сжимает 30-летнюю библиотеку в константу g=3%. Фильмы 2028 года монетизируются до ~2048, но при WACC (средневзвешенная стоимость капитала) 19% CF 2046 = 0.5% от номинала. Cash (Денежные средства) flow из tail (хвостовой период)-окна не попадает в оценку.</t>
        </is>
      </c>
      <c r="G42" s="186"/>
      <c r="H42" s="186"/>
      <c r="I42" s="186"/>
      <c r="J42" s="186"/>
      <c r="K42" s="186"/>
      <c r="L42" s="187"/>
      <c r="M42" s="416" t="inlineStr">
        <is>
          <t>+2 500</t>
        </is>
      </c>
      <c r="N42" s="187"/>
    </row>
    <row r="43" ht="52" customHeight="1">
      <c r="B43" s="414" t="inlineStr">
        <is>
          <t>2</t>
        </is>
      </c>
      <c r="C43" s="471" t="inlineStr">
        <is>
          <t>WACC (средневзвешенная стоимость капитала) 19% vs buyer WACC 7%</t>
        </is>
      </c>
      <c r="D43" s="186"/>
      <c r="E43" s="187"/>
      <c r="F43" s="471" t="inlineStr">
        <is>
          <t>Страновой premium (премия) РФ «съедает» дальний tail (хвостовой период). Strategic (Стратегический) buyer дисконтирует тот же CF stream под 7–9%, получая принципиально другой NPV (чистая приведённая стоимость). Comps отражают цены buyer-side, не seller-side.</t>
        </is>
      </c>
      <c r="G43" s="186"/>
      <c r="H43" s="186"/>
      <c r="I43" s="186"/>
      <c r="J43" s="186"/>
      <c r="K43" s="186"/>
      <c r="L43" s="187"/>
      <c r="M43" s="416" t="inlineStr">
        <is>
          <t>+1 500</t>
        </is>
      </c>
      <c r="N43" s="187"/>
    </row>
    <row r="44" ht="52" customHeight="1">
      <c r="B44" s="414" t="inlineStr">
        <is>
          <t>3</t>
        </is>
      </c>
      <c r="C44" s="471" t="inlineStr">
        <is>
          <t>Real options не моделируются</t>
        </is>
      </c>
      <c r="D44" s="186"/>
      <c r="E44" s="187"/>
      <c r="F44" s="471" t="inlineStr">
        <is>
          <t>Франшизы (сиквелы П04, П07С), кросс-медиа (игры, мерч, театр), международная копродукция — это опционные payoffs с асимметричным upside. DCF (дисконтированный денежный поток) считает их = 0, хотя precedent transactions (Marvel, Harry Potter) показывают 3–5× upside от франшиз.</t>
        </is>
      </c>
      <c r="G44" s="186"/>
      <c r="H44" s="186"/>
      <c r="I44" s="186"/>
      <c r="J44" s="186"/>
      <c r="K44" s="186"/>
      <c r="L44" s="187"/>
      <c r="M44" s="416" t="inlineStr">
        <is>
          <t>+1 500</t>
        </is>
      </c>
      <c r="N44" s="187"/>
    </row>
    <row r="45" ht="52" customHeight="1">
      <c r="B45" s="414" t="inlineStr">
        <is>
          <t>4</t>
        </is>
      </c>
      <c r="C45" s="471" t="inlineStr">
        <is>
          <t>Execution (Исполнение) risk — двойное начисление</t>
        </is>
      </c>
      <c r="D45" s="186">
        <v>1625</v>
      </c>
      <c r="E45" s="187"/>
      <c r="F45" s="471">
        <v>1274</v>
      </c>
      <c r="G45" s="186"/>
      <c r="H45" s="186"/>
      <c r="I45" s="186"/>
      <c r="J45" s="186"/>
      <c r="K45" s="186"/>
      <c r="L45" s="187"/>
      <c r="M45" s="416" t="inlineStr">
        <is>
          <t>(встроено)</t>
        </is>
      </c>
      <c r="N45" s="187"/>
    </row>
    <row r="46" ht="52" customHeight="1">
      <c r="B46" s="414" t="inlineStr">
        <is>
          <t>5</t>
        </is>
      </c>
      <c r="C46" s="471" t="inlineStr">
        <is>
          <t>Капитальная цикличность после 2028</t>
        </is>
      </c>
      <c r="D46" s="186">
        <v>2167</v>
      </c>
      <c r="E46" s="187"/>
      <c r="F46" s="471">
        <v>1698</v>
      </c>
      <c r="G46" s="186"/>
      <c r="H46" s="186"/>
      <c r="I46" s="186"/>
      <c r="J46" s="186"/>
      <c r="K46" s="186"/>
      <c r="L46" s="187"/>
      <c r="M46" s="416" t="inlineStr">
        <is>
          <t>+500</t>
        </is>
      </c>
      <c r="N46" s="187"/>
    </row>
    <row r="47" ht="28" customHeight="1">
      <c r="B47" s="473" t="inlineStr">
        <is>
          <t>Σ</t>
        </is>
      </c>
      <c r="C47" s="474" t="inlineStr">
        <is>
          <t>Сумма структурных компонентов ≈ фактическая разница 5 735 (7 550 − 1 815)</t>
        </is>
      </c>
      <c r="D47" s="186">
        <v>2709</v>
      </c>
      <c r="E47" s="186"/>
      <c r="F47" s="186">
        <v>2122</v>
      </c>
      <c r="G47" s="186"/>
      <c r="H47" s="186"/>
      <c r="I47" s="186"/>
      <c r="J47" s="186"/>
      <c r="K47" s="186"/>
      <c r="L47" s="187"/>
      <c r="M47" s="476" t="inlineStr">
        <is>
          <t>≈ +5 500</t>
        </is>
      </c>
      <c r="N47" s="187"/>
    </row>
    <row r="49" ht="20" customHeight="1">
      <c r="B49" s="470" t="inlineStr">
        <is>
          <t>ПРАКТИЧЕСКИЙ ВЫВОД ДЛЯ ИНВЕСТОРА:</t>
        </is>
      </c>
    </row>
    <row r="50" ht="96" customHeight="1">
      <c r="B50" s="477" t="inlineStr">
        <is>
          <t>• DCF (дисконтированный денежный поток) 1 815 млн ₽ — floor valuation. Используется как downside benchmark при worst-case переговорах, не как fair exit price.
• Comps median 7 550 млн ₽ — market valuation. Используется как upside anchor (якорь) для блокировки нижней границы предложения.
• Weighted Exit EV (стоимость предприятия) 6 038 млн ₽ (probability-weighted) — expected value, оптимальный ориентир для переговоров и дизайна деал-структуры. Именно этот value закладывается в Investor Returns (Доходность инвестора) (24_Investor_Returns) и IRR (внутренняя норма доходности) расчёты.</t>
        </is>
      </c>
    </row>
    <row r="53" ht="22" customHeight="1">
      <c r="B53" s="458" t="inlineStr">
        <is>
          <t>IV.  СВОДКА РИСКОВ (СВОДКА РИСКОВ) (TOP-5 ИЗ 30)</t>
        </is>
      </c>
    </row>
    <row r="55" ht="22" customHeight="1">
      <c r="B55" s="321" t="inlineStr">
        <is>
          <t>ID</t>
        </is>
      </c>
      <c r="C55" s="321" t="inlineStr">
        <is>
          <t>Описание</t>
        </is>
      </c>
      <c r="D55" s="186"/>
      <c r="E55" s="186"/>
      <c r="F55" s="187"/>
      <c r="G55" s="321" t="inlineStr">
        <is>
          <t>Категория</t>
        </is>
      </c>
      <c r="H55" s="187"/>
      <c r="I55" s="321" t="inlineStr">
        <is>
          <t>S×L</t>
        </is>
      </c>
      <c r="J55" s="321" t="inlineStr">
        <is>
          <t>Score (Балл)</t>
        </is>
      </c>
      <c r="K55" s="187"/>
      <c r="L55" s="321" t="inlineStr">
        <is>
          <t>Митигация</t>
        </is>
      </c>
      <c r="M55" s="186"/>
      <c r="N55" s="187"/>
    </row>
    <row r="56" ht="36" customHeight="1">
      <c r="B56" s="414" t="inlineStr">
        <is>
          <t>R17</t>
        </is>
      </c>
      <c r="C56" s="471" t="inlineStr">
        <is>
          <t>Downside (Нижний сценарий) risk NDP (чистые распределяемые поступления) shortfall — Bear (Пессимистичный) NDP=1800 даёт W₅ V-D IRR (внутренняя норма доходности) 10.70% &lt;&lt; 18% hurdle (порог)</t>
        </is>
      </c>
      <c r="D56" s="186"/>
      <c r="E56" s="186"/>
      <c r="F56" s="187"/>
      <c r="G56" s="471" t="inlineStr">
        <is>
          <t>Financial (Финансовый)</t>
        </is>
      </c>
      <c r="H56" s="187"/>
      <c r="I56" s="478" t="inlineStr">
        <is>
          <t>3×4</t>
        </is>
      </c>
      <c r="J56" s="479" t="inlineStr">
        <is>
          <t>12 (Высокий)</t>
        </is>
      </c>
      <c r="K56" s="187"/>
      <c r="L56" s="471" t="inlineStr">
        <is>
          <t>Hurdle (Порог) target NDP (чистые распределяемые поступления) ≥ 2 402 (W₅ V-D break-even @18%); Liq Pref (Ликвидационная привилегия) 1×=1250 защищает капитал; downside scenarios см. 27_Scenario_Analysis + 24_IR Section V.1</t>
        </is>
      </c>
      <c r="M56" s="186"/>
      <c r="N56" s="187"/>
    </row>
    <row r="57" ht="36" customHeight="1">
      <c r="B57" s="414" t="inlineStr">
        <is>
          <t>R03</t>
        </is>
      </c>
      <c r="C57" s="471" t="inlineStr">
        <is>
          <t>Срыв production календаря ≥ 6 мес</t>
        </is>
      </c>
      <c r="D57" s="186"/>
      <c r="E57" s="186"/>
      <c r="F57" s="187"/>
      <c r="G57" s="471" t="inlineStr">
        <is>
          <t>Production (Производство)</t>
        </is>
      </c>
      <c r="H57" s="187"/>
      <c r="I57" s="478" t="inlineStr">
        <is>
          <t>3×4</t>
        </is>
      </c>
      <c r="J57" s="416" t="inlineStr">
        <is>
          <t>12 (Высокий)</t>
        </is>
      </c>
      <c r="K57" s="187"/>
      <c r="L57" s="471" t="inlineStr">
        <is>
          <t>Pre-financing reserve 10%, страхование срывов, 2-х треков post-prod</t>
        </is>
      </c>
      <c r="M57" s="186"/>
      <c r="N57" s="187"/>
    </row>
    <row r="58" ht="36" customHeight="1">
      <c r="B58" s="414" t="inlineStr">
        <is>
          <t>R08</t>
        </is>
      </c>
      <c r="C58" s="471" t="inlineStr">
        <is>
          <t>Отказ ФКП в грантовой поддержке</t>
        </is>
      </c>
      <c r="D58" s="186"/>
      <c r="E58" s="186"/>
      <c r="F58" s="187"/>
      <c r="G58" s="471" t="inlineStr">
        <is>
          <t>Regulatory (Регуляторный)</t>
        </is>
      </c>
      <c r="H58" s="187"/>
      <c r="I58" s="478" t="inlineStr">
        <is>
          <t>4×3</t>
        </is>
      </c>
      <c r="J58" s="416" t="inlineStr">
        <is>
          <t>12 (Высокий)</t>
        </is>
      </c>
      <c r="K58" s="187"/>
      <c r="L58" s="471" t="inlineStr">
        <is>
          <t>Двойной трек заявок, диверсификация источников (ФКП + регионы + РФК)</t>
        </is>
      </c>
      <c r="M58" s="186"/>
      <c r="N58" s="187"/>
    </row>
    <row r="59" ht="36" customHeight="1">
      <c r="B59" s="414" t="inlineStr">
        <is>
          <t>R12</t>
        </is>
      </c>
      <c r="C59" s="471" t="inlineStr">
        <is>
          <t>Девальвация рубля &gt; 25%</t>
        </is>
      </c>
      <c r="D59" s="186"/>
      <c r="E59" s="186"/>
      <c r="F59" s="187"/>
      <c r="G59" s="471" t="inlineStr">
        <is>
          <t>Рынок</t>
        </is>
      </c>
      <c r="H59" s="187"/>
      <c r="I59" s="478" t="inlineStr">
        <is>
          <t>3×4</t>
        </is>
      </c>
      <c r="J59" s="416" t="inlineStr">
        <is>
          <t>12 (Высокий)</t>
        </is>
      </c>
      <c r="K59" s="187"/>
      <c r="L59" s="471" t="inlineStr">
        <is>
          <t>VFX (визуальные эффекты)/post-prod в РФ, долларовые контракты минимизированы, FX hedge для платформ</t>
        </is>
      </c>
      <c r="M59" s="186"/>
      <c r="N59" s="187"/>
    </row>
    <row r="60" ht="36" customHeight="1">
      <c r="B60" s="414" t="inlineStr">
        <is>
          <t>R22</t>
        </is>
      </c>
      <c r="C60" s="471" t="inlineStr">
        <is>
          <t>Потеря ключевого режиссёра / продюсера</t>
        </is>
      </c>
      <c r="D60" s="186"/>
      <c r="E60" s="186"/>
      <c r="F60" s="187"/>
      <c r="G60" s="471" t="inlineStr">
        <is>
          <t>Operational (Операционный)</t>
        </is>
      </c>
      <c r="H60" s="187"/>
      <c r="I60" s="478" t="inlineStr">
        <is>
          <t>2×5</t>
        </is>
      </c>
      <c r="J60" s="416" t="inlineStr">
        <is>
          <t>10 (Высокий)</t>
        </is>
      </c>
      <c r="K60" s="187"/>
      <c r="L60" s="471" t="inlineStr">
        <is>
          <t>Long-term contracts, ESOP vesting 4 года, 2nd-tier bench</t>
        </is>
      </c>
      <c r="M60" s="186"/>
      <c r="N60" s="187"/>
    </row>
    <row r="62" ht="18" customHeight="1">
      <c r="B62" s="480" t="inlineStr">
        <is>
          <t>→ Полный реестр 30 рисков см. лист 29_Risk_Register (heat map 5×5 + top-10 detail).</t>
        </is>
      </c>
    </row>
    <row r="65" ht="22" customHeight="1">
      <c r="B65" s="458" t="inlineStr">
        <is>
          <t>V. EXIT STRATEGY (7 МАРШРУТОВ)</t>
        </is>
      </c>
    </row>
    <row r="67" ht="22" customHeight="1">
      <c r="B67" s="321" t="inlineStr">
        <is>
          <t>#</t>
        </is>
      </c>
      <c r="C67" s="321" t="inlineStr">
        <is>
          <t>Маршрут</t>
        </is>
      </c>
      <c r="D67" s="186"/>
      <c r="E67" s="186"/>
      <c r="F67" s="187"/>
      <c r="G67" s="321" t="inlineStr">
        <is>
          <t>P</t>
        </is>
      </c>
      <c r="H67" s="321" t="inlineStr">
        <is>
          <t>Окно</t>
        </is>
      </c>
      <c r="I67" s="187"/>
      <c r="J67" s="321" t="inlineStr">
        <is>
          <t>Условия / премия</t>
        </is>
      </c>
      <c r="K67" s="186"/>
      <c r="L67" s="186"/>
      <c r="M67" s="186"/>
      <c r="N67" s="187"/>
    </row>
    <row r="68" ht="22" customHeight="1">
      <c r="B68" s="400" t="inlineStr">
        <is>
          <t>E1</t>
        </is>
      </c>
      <c r="C68" s="481" t="inlineStr">
        <is>
          <t>Strategic (Стратегический) sale (Стратегическая продажа) — Яндекс / Сбер</t>
        </is>
      </c>
      <c r="D68" s="186"/>
      <c r="E68" s="186"/>
      <c r="F68" s="187"/>
      <c r="G68" s="322" t="inlineStr">
        <is>
          <t>30%</t>
        </is>
      </c>
      <c r="H68" s="322" t="inlineStr">
        <is>
          <t>2030</t>
        </is>
      </c>
      <c r="I68" s="187"/>
      <c r="J68" s="481" t="inlineStr">
        <is>
          <t>EV (стоимость предприятия)/EBITDA (прибыль до вычетов) 9–11×, премия за контроль 20%</t>
        </is>
      </c>
      <c r="K68" s="186"/>
      <c r="L68" s="186"/>
      <c r="M68" s="186"/>
      <c r="N68" s="187"/>
    </row>
    <row r="69" ht="22" customHeight="1">
      <c r="B69" s="400" t="inlineStr">
        <is>
          <t>E2</t>
        </is>
      </c>
      <c r="C69" s="481" t="inlineStr">
        <is>
          <t>Strategic (Стратегический) sale (Стратегическая продажа) — Газпром-Медиа / НМГ</t>
        </is>
      </c>
      <c r="D69" s="186"/>
      <c r="E69" s="186"/>
      <c r="F69" s="187"/>
      <c r="G69" s="322" t="inlineStr">
        <is>
          <t>20%</t>
        </is>
      </c>
      <c r="H69" s="322" t="inlineStr">
        <is>
          <t>2030</t>
        </is>
      </c>
      <c r="I69" s="187"/>
      <c r="J69" s="481" t="inlineStr">
        <is>
          <t>EV (стоимость предприятия)/EBITDA (прибыль до вычетов) 7–9×, премия за вертикальную интеграцию</t>
        </is>
      </c>
      <c r="K69" s="186"/>
      <c r="L69" s="186"/>
      <c r="M69" s="186"/>
      <c r="N69" s="187"/>
    </row>
    <row r="70" ht="22" customHeight="1">
      <c r="B70" s="400" t="inlineStr">
        <is>
          <t>E3</t>
        </is>
      </c>
      <c r="C70" s="481" t="inlineStr">
        <is>
          <t>IPO (первичное размещение) на Мосбирже (main list)</t>
        </is>
      </c>
      <c r="D70" s="186"/>
      <c r="E70" s="186"/>
      <c r="F70" s="187"/>
      <c r="G70" s="322" t="inlineStr">
        <is>
          <t>15%</t>
        </is>
      </c>
      <c r="H70" s="322" t="inlineStr">
        <is>
          <t>2030–2031</t>
        </is>
      </c>
      <c r="I70" s="187"/>
      <c r="J70" s="481" t="inlineStr">
        <is>
          <t>Free float (Свободное обращение) 25%, P/E 15–18×</t>
        </is>
      </c>
      <c r="K70" s="186"/>
      <c r="L70" s="186"/>
      <c r="M70" s="186"/>
      <c r="N70" s="187"/>
    </row>
    <row r="71" ht="22" customHeight="1">
      <c r="B71" s="400" t="inlineStr">
        <is>
          <t>E4</t>
        </is>
      </c>
      <c r="C71" s="481" t="inlineStr">
        <is>
          <t>Secondary (Вторичный) placement (Вторичное размещение) (PE / VC)</t>
        </is>
      </c>
      <c r="D71" s="186"/>
      <c r="E71" s="186"/>
      <c r="F71" s="187"/>
      <c r="G71" s="322" t="inlineStr">
        <is>
          <t>15%</t>
        </is>
      </c>
      <c r="H71" s="322" t="inlineStr">
        <is>
          <t>2029–2030</t>
        </is>
      </c>
      <c r="I71" s="187"/>
      <c r="J71" s="481" t="inlineStr">
        <is>
          <t>Partial exit (частичный выход), roll-over (перевод) 40–50%</t>
        </is>
      </c>
      <c r="K71" s="186"/>
      <c r="L71" s="186"/>
      <c r="M71" s="186"/>
      <c r="N71" s="187"/>
    </row>
    <row r="72" ht="22" customHeight="1">
      <c r="B72" s="400" t="inlineStr">
        <is>
          <t>E5</t>
        </is>
      </c>
      <c r="C72" s="481" t="inlineStr">
        <is>
          <t>ESOP buyout (Выкуп по программе ESOP) (management)</t>
        </is>
      </c>
      <c r="D72" s="186"/>
      <c r="E72" s="186"/>
      <c r="F72" s="187"/>
      <c r="G72" s="322" t="inlineStr">
        <is>
          <t>10%</t>
        </is>
      </c>
      <c r="H72" s="322" t="inlineStr">
        <is>
          <t>2030</t>
        </is>
      </c>
      <c r="I72" s="187"/>
      <c r="J72" s="481" t="inlineStr">
        <is>
          <t>Discounted valuation, ESG premium (премия)</t>
        </is>
      </c>
      <c r="K72" s="186"/>
      <c r="L72" s="186"/>
      <c r="M72" s="186"/>
      <c r="N72" s="187"/>
    </row>
    <row r="73" ht="22" customHeight="1">
      <c r="B73" s="400" t="inlineStr">
        <is>
          <t>E6</t>
        </is>
      </c>
      <c r="C73" s="481" t="inlineStr">
        <is>
          <t>Обратный выкуп (Обратный выкуп) (sponsor put option (пут-опцион спонсора))</t>
        </is>
      </c>
      <c r="D73" s="186"/>
      <c r="E73" s="186"/>
      <c r="F73" s="187"/>
      <c r="G73" s="322" t="inlineStr">
        <is>
          <t>5%</t>
        </is>
      </c>
      <c r="H73" s="322" t="inlineStr">
        <is>
          <t>2029</t>
        </is>
      </c>
      <c r="I73" s="187"/>
      <c r="J73" s="481" t="inlineStr">
        <is>
          <t>Downside (Нижний сценарий) protection, IRR (внутренняя норма доходности) floor 12%</t>
        </is>
      </c>
      <c r="K73" s="186"/>
      <c r="L73" s="186"/>
      <c r="M73" s="186"/>
      <c r="N73" s="187"/>
    </row>
    <row r="74" ht="22" customHeight="1">
      <c r="B74" s="400" t="inlineStr">
        <is>
          <t>E7</t>
        </is>
      </c>
      <c r="C74" s="481" t="inlineStr">
        <is>
          <t>Открытый вторичный рынок (Открытый вторичный рынок)</t>
        </is>
      </c>
      <c r="D74" s="186"/>
      <c r="E74" s="186"/>
      <c r="F74" s="187"/>
      <c r="G74" s="322" t="inlineStr">
        <is>
          <t>5%</t>
        </is>
      </c>
      <c r="H74" s="322" t="inlineStr">
        <is>
          <t>2030+</t>
        </is>
      </c>
      <c r="I74" s="187"/>
      <c r="J74" s="481" t="inlineStr">
        <is>
          <t>Preservation of control (Сохранение контроля), drag-along terms (условия принудительной продажи)</t>
        </is>
      </c>
      <c r="K74" s="186"/>
      <c r="L74" s="186"/>
      <c r="M74" s="186"/>
      <c r="N74" s="187"/>
    </row>
    <row r="76" ht="18" customHeight="1">
      <c r="B76" s="480" t="inlineStr">
        <is>
          <t>→ Подробнее см. 25_Exit_Scenarios и 35_Roadmap_2026_2032.</t>
        </is>
      </c>
    </row>
    <row r="79" ht="22" customHeight="1">
      <c r="B79" s="466" t="inlineStr">
        <is>
          <t>VI.  РЕКОМЕНДАЦИЯ (РЕКОМЕНДАЦИЯ)</t>
        </is>
      </c>
    </row>
    <row r="81" ht="170" customHeight="1">
      <c r="B81" s="477" t="inlineStr">
        <is>
          <t>РЕКОМЕНДАЦИЯ: УТВЕРДИТЬ инвестицию T₁ = 1 250 млн ₽ в 4 транша с привязкой к milestone-ам (Dev gate 2026Q1 — 250 млн ₽, Prod gate 2026Q3 — 350 млн ₽, Post-prod 2027Q1 — 350 млн ₽, Release (Релиз) 2027Q3 — 300 млн ₽). Waterfall (Каскад) DEFAULT (ПО УМОЛЧАНИЮ) = W₃ (1× Liq Pref (Ликвидационная привилегия) + 8% coupon (купон) + 60/40): Base (Базовый) IRR (внутренняя норма доходности) 18.04% = hurdle (порог) 18% ровно, MOIC (мультипликатор вложенного капитала) 2.00×, Payback (Окупаемость) 3.75 лет. Премиум-опция W₄ (1× Liq Pref + 12% preferred × 5y + 65/35): Base (Базовый) IRR (внутренняя норма доходности) 19.73%, MOIC (мультипликатор вложенного капитала) 2.12× — для LP (ограниченный партнёр), требующих enhanced downside protection. Выбор W₃ vs W₄ — предмет переговоров; W₃ default (по умолчанию) предлагается как balanced базовый сценарий для broad LP audience.</t>
        </is>
      </c>
    </row>
    <row r="84" ht="36" customHeight="1">
      <c r="B84" s="482" t="inlineStr">
        <is>
          <t>⚠ Данный Executive Summary (Краткое резюме)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I18:N18"/>
    <mergeCell ref="B33:E33"/>
    <mergeCell ref="J57:K57"/>
    <mergeCell ref="C67:F67"/>
    <mergeCell ref="C46:E46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C8:N8"/>
    <mergeCell ref="B62:N62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2:N69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GLOSSARY (ГЛОССАРИЙ) / СЛОВАРЬ ТЕРМИНОВ</t>
        </is>
      </c>
    </row>
    <row r="3" ht="18" customHeight="1">
      <c r="B3" s="457" t="inlineStr">
        <is>
          <t>Финансовые • Кино-индустрия • Регуляторные РФ — 50+ терминов</t>
        </is>
      </c>
    </row>
    <row r="5" ht="22" customHeight="1">
      <c r="B5" s="483" t="inlineStr">
        <is>
          <t>#</t>
        </is>
      </c>
      <c r="C5" s="483" t="inlineStr">
        <is>
          <t>Термин / Term</t>
        </is>
      </c>
      <c r="D5" s="483" t="inlineStr">
        <is>
          <t>Определение</t>
        </is>
      </c>
      <c r="E5" s="186"/>
      <c r="F5" s="186"/>
      <c r="G5" s="186"/>
      <c r="H5" s="186"/>
      <c r="I5" s="186"/>
      <c r="J5" s="186"/>
      <c r="K5" s="186"/>
      <c r="L5" s="187"/>
      <c r="M5" s="483" t="inlineStr">
        <is>
          <t>Категория</t>
        </is>
      </c>
      <c r="N5" s="187"/>
    </row>
    <row r="6" ht="72" customHeight="1">
      <c r="B6" s="484" t="n">
        <v>1</v>
      </c>
      <c r="C6" s="485" t="inlineStr">
        <is>
          <t>EBITDA (прибыль до вычетов)</t>
        </is>
      </c>
      <c r="D6" s="471" t="inlineStr">
        <is>
          <t>Earnings Before Interest (Проценты), Taxes (Налоги), Depreciation (Амортизация), Amortization (Амортизация) — прибыль до вычета процентов, налогов и амортизации. В этой модели — GAAP (стандарты бухучёта) EBITDA (прибыль до вычетов), рассчитанная по российской отчётности.</t>
        </is>
      </c>
      <c r="E6" s="186"/>
      <c r="F6" s="186"/>
      <c r="G6" s="186"/>
      <c r="H6" s="186"/>
      <c r="I6" s="186"/>
      <c r="J6" s="186"/>
      <c r="K6" s="186"/>
      <c r="L6" s="187"/>
      <c r="M6" s="486" t="inlineStr">
        <is>
          <t>FIN</t>
        </is>
      </c>
      <c r="N6" s="187"/>
    </row>
    <row r="7" ht="72" customHeight="1">
      <c r="B7" s="484" t="n">
        <v>2</v>
      </c>
      <c r="C7" s="485" t="inlineStr">
        <is>
          <t>GAAP (стандарты бухучёта) EBITDA (прибыль до вычетов)</t>
        </is>
      </c>
      <c r="D7" s="471" t="inlineStr">
        <is>
          <t>EBITDA (прибыль до вычетов), рассчитанная в соответствии с принципами бухучёта (Generally Accepted Accounting Principles). В ТрендСтудио = 2 152 млн ₽ за 3 года.</t>
        </is>
      </c>
      <c r="E7" s="186"/>
      <c r="F7" s="186"/>
      <c r="G7" s="186"/>
      <c r="H7" s="186"/>
      <c r="I7" s="186"/>
      <c r="J7" s="186"/>
      <c r="K7" s="186"/>
      <c r="L7" s="187"/>
      <c r="M7" s="486" t="inlineStr">
        <is>
          <t>FIN</t>
        </is>
      </c>
      <c r="N7" s="187"/>
    </row>
    <row r="8" ht="72" customHeight="1">
      <c r="B8" s="484" t="n">
        <v>3</v>
      </c>
      <c r="C8" s="485" t="inlineStr">
        <is>
          <t>NDP (чистые распределяемые поступления)</t>
        </is>
      </c>
      <c r="D8" s="471" t="inlineStr">
        <is>
          <t>Non-Discounted Profit (Прибыль) — недисконтированная прибыль холдинга, внутренний якорь финмодели. В ТрендСтудио = 3 000 млн ₽ (legacy (базовый вариант) anchor (якорь)).</t>
        </is>
      </c>
      <c r="E8" s="186"/>
      <c r="F8" s="186"/>
      <c r="G8" s="186"/>
      <c r="H8" s="186"/>
      <c r="I8" s="186"/>
      <c r="J8" s="186"/>
      <c r="K8" s="186"/>
      <c r="L8" s="187"/>
      <c r="M8" s="486" t="inlineStr">
        <is>
          <t>FIN</t>
        </is>
      </c>
      <c r="N8" s="187"/>
    </row>
    <row r="9" ht="72" customHeight="1">
      <c r="B9" s="484" t="n">
        <v>4</v>
      </c>
      <c r="C9" s="485" t="inlineStr">
        <is>
          <t>Revenue (Выручка)</t>
        </is>
      </c>
      <c r="D9" s="471" t="inlineStr">
        <is>
          <t>Выручка — совокупные денежные поступления от реализации (прокат, TV/OTT (онлайн-платформа) права, мерч, сиквелы). В ТрендСтудио Σ = 4 545 млн ₽.</t>
        </is>
      </c>
      <c r="E9" s="186"/>
      <c r="F9" s="186"/>
      <c r="G9" s="186"/>
      <c r="H9" s="186"/>
      <c r="I9" s="186"/>
      <c r="J9" s="186"/>
      <c r="K9" s="186"/>
      <c r="L9" s="187"/>
      <c r="M9" s="486" t="inlineStr">
        <is>
          <t>FIN</t>
        </is>
      </c>
      <c r="N9" s="187"/>
    </row>
    <row r="10" ht="72" customHeight="1">
      <c r="B10" s="484" t="n">
        <v>5</v>
      </c>
      <c r="C10" s="485" t="inlineStr">
        <is>
          <t>COGS (себестоимость)</t>
        </is>
      </c>
      <c r="D10" s="471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186"/>
      <c r="F10" s="186"/>
      <c r="G10" s="186"/>
      <c r="H10" s="186"/>
      <c r="I10" s="186"/>
      <c r="J10" s="186"/>
      <c r="K10" s="186"/>
      <c r="L10" s="187"/>
      <c r="M10" s="486" t="inlineStr">
        <is>
          <t>FIN</t>
        </is>
      </c>
      <c r="N10" s="187"/>
    </row>
    <row r="11" ht="62" customHeight="1">
      <c r="B11" s="484" t="n">
        <v>6</v>
      </c>
      <c r="C11" s="485" t="inlineStr">
        <is>
          <t>OpEx</t>
        </is>
      </c>
      <c r="D11" s="471" t="inlineStr">
        <is>
          <t>Operating Expenses (Операционные расходы) — операционные расходы (ФОТ, аренда, G&amp;A, IT, юр). В ТрендСтудио Σ = 265.5 млн ₽.</t>
        </is>
      </c>
      <c r="E11" s="186"/>
      <c r="F11" s="186"/>
      <c r="G11" s="186"/>
      <c r="H11" s="186"/>
      <c r="I11" s="186"/>
      <c r="J11" s="186"/>
      <c r="K11" s="186"/>
      <c r="L11" s="187"/>
      <c r="M11" s="486" t="inlineStr">
        <is>
          <t>FIN</t>
        </is>
      </c>
      <c r="N11" s="187"/>
    </row>
    <row r="12" ht="72" customHeight="1">
      <c r="B12" s="484" t="n">
        <v>7</v>
      </c>
      <c r="C12" s="485" t="inlineStr">
        <is>
          <t>CAPEX (Капзатраты)</t>
        </is>
      </c>
      <c r="D12" s="471" t="inlineStr">
        <is>
          <t>Capital (Капитал) Expenditures — капитальные затраты на долгосрочные активы (оборудование, студийные мощности, IT-инфраструктура).</t>
        </is>
      </c>
      <c r="E12" s="186"/>
      <c r="F12" s="186"/>
      <c r="G12" s="186"/>
      <c r="H12" s="186"/>
      <c r="I12" s="186"/>
      <c r="J12" s="186"/>
      <c r="K12" s="186"/>
      <c r="L12" s="187"/>
      <c r="M12" s="486" t="inlineStr">
        <is>
          <t>FIN</t>
        </is>
      </c>
      <c r="N12" s="187"/>
    </row>
    <row r="13" ht="45" customHeight="1">
      <c r="B13" s="484" t="n">
        <v>8</v>
      </c>
      <c r="C13" s="485" t="inlineStr">
        <is>
          <t>Net Profit (Чистая прибыль)</t>
        </is>
      </c>
      <c r="D13" s="471" t="inlineStr">
        <is>
          <t>Чистая прибыль после вычета налогов. В ТрендСтудио Σ = 1 689 млн ₽.</t>
        </is>
      </c>
      <c r="E13" s="186"/>
      <c r="F13" s="186"/>
      <c r="G13" s="186"/>
      <c r="H13" s="186"/>
      <c r="I13" s="186"/>
      <c r="J13" s="186"/>
      <c r="K13" s="186"/>
      <c r="L13" s="187"/>
      <c r="M13" s="486" t="inlineStr">
        <is>
          <t>FIN</t>
        </is>
      </c>
      <c r="N13" s="187"/>
    </row>
    <row r="14" ht="52" customHeight="1">
      <c r="B14" s="484" t="n">
        <v>9</v>
      </c>
      <c r="C14" s="485" t="inlineStr">
        <is>
          <t>Free Cash (Денежные средства) Flow (FCF)</t>
        </is>
      </c>
      <c r="D14" s="471" t="inlineStr">
        <is>
          <t>Свободный денежный поток = Operating CF − CAPEX (Капзатраты). Ключевая метрика для DCF (дисконтированный денежный поток)-оценки.</t>
        </is>
      </c>
      <c r="E14" s="186"/>
      <c r="F14" s="186"/>
      <c r="G14" s="186"/>
      <c r="H14" s="186"/>
      <c r="I14" s="186"/>
      <c r="J14" s="186"/>
      <c r="K14" s="186"/>
      <c r="L14" s="187"/>
      <c r="M14" s="486" t="inlineStr">
        <is>
          <t>FIN</t>
        </is>
      </c>
      <c r="N14" s="187"/>
    </row>
    <row r="15" ht="55" customHeight="1">
      <c r="B15" s="484" t="n">
        <v>10</v>
      </c>
      <c r="C15" s="485" t="inlineStr">
        <is>
          <t>Working Capital (Оборотный капитал)</t>
        </is>
      </c>
      <c r="D15" s="471" t="inlineStr">
        <is>
          <t>Оборотный капитал = Current Assets − Current Liabilities. См. лист 12_Working_Capital.</t>
        </is>
      </c>
      <c r="E15" s="186"/>
      <c r="F15" s="186"/>
      <c r="G15" s="186"/>
      <c r="H15" s="186"/>
      <c r="I15" s="186"/>
      <c r="J15" s="186"/>
      <c r="K15" s="186"/>
      <c r="L15" s="187"/>
      <c r="M15" s="486" t="inlineStr">
        <is>
          <t>FIN</t>
        </is>
      </c>
      <c r="N15" s="187"/>
    </row>
    <row r="16" ht="72" customHeight="1">
      <c r="B16" s="484" t="n">
        <v>11</v>
      </c>
      <c r="C16" s="485" t="inlineStr">
        <is>
          <t>WACC (средневзвешенная стоимость капитала)</t>
        </is>
      </c>
      <c r="D16" s="471" t="inlineStr">
        <is>
          <t>Weighted Average Cost of Capital (Капитал) — средневзвешенная стоимость капитала. В модели = 19% (высокий уровень отражает страновой риск РФ и execution risk кино-индустрии).</t>
        </is>
      </c>
      <c r="E16" s="186"/>
      <c r="F16" s="186"/>
      <c r="G16" s="186"/>
      <c r="H16" s="186"/>
      <c r="I16" s="186"/>
      <c r="J16" s="186"/>
      <c r="K16" s="186"/>
      <c r="L16" s="187"/>
      <c r="M16" s="486" t="inlineStr">
        <is>
          <t>FIN</t>
        </is>
      </c>
      <c r="N16" s="187"/>
    </row>
    <row r="17" ht="68" customHeight="1">
      <c r="B17" s="484" t="n">
        <v>12</v>
      </c>
      <c r="C17" s="485" t="inlineStr">
        <is>
          <t>DCF (дисконтированный денежный поток)</t>
        </is>
      </c>
      <c r="D17" s="471" t="inlineStr">
        <is>
          <t>Discounted Cash Flow (Дисконтированный денежный поток) — метод оценки через дисконтирование будущих денежных потоков по WACC (средневзвешенная стоимость капитала). См. 22_Valuation_DCF.</t>
        </is>
      </c>
      <c r="E17" s="186"/>
      <c r="F17" s="186"/>
      <c r="G17" s="186"/>
      <c r="H17" s="186"/>
      <c r="I17" s="186"/>
      <c r="J17" s="186"/>
      <c r="K17" s="186"/>
      <c r="L17" s="187"/>
      <c r="M17" s="486" t="inlineStr">
        <is>
          <t>FIN</t>
        </is>
      </c>
      <c r="N17" s="187"/>
    </row>
    <row r="18" ht="68" customHeight="1">
      <c r="B18" s="484" t="n">
        <v>13</v>
      </c>
      <c r="C18" s="485" t="inlineStr">
        <is>
          <t>NPV (чистая приведённая стоимость)</t>
        </is>
      </c>
      <c r="D18" s="471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186"/>
      <c r="F18" s="186"/>
      <c r="G18" s="186"/>
      <c r="H18" s="186"/>
      <c r="I18" s="186"/>
      <c r="J18" s="186"/>
      <c r="K18" s="186"/>
      <c r="L18" s="187"/>
      <c r="M18" s="486" t="inlineStr">
        <is>
          <t>FIN</t>
        </is>
      </c>
      <c r="N18" s="187"/>
    </row>
    <row r="19" ht="70" customHeight="1">
      <c r="B19" s="484" t="n">
        <v>14</v>
      </c>
      <c r="C19" s="485" t="inlineStr">
        <is>
          <t>IRR (внутренняя норма доходности)</t>
        </is>
      </c>
      <c r="D19" s="471" t="inlineStr">
        <is>
          <t>Internal (Внутренний) Rate of Return — внутренняя норма доходности. Ставка, при которой NPV (чистая приведённая стоимость) = 0. Hurdle (Порог) rate для инвестора = 18%.</t>
        </is>
      </c>
      <c r="E19" s="186"/>
      <c r="F19" s="186"/>
      <c r="G19" s="186"/>
      <c r="H19" s="186"/>
      <c r="I19" s="186"/>
      <c r="J19" s="186"/>
      <c r="K19" s="186"/>
      <c r="L19" s="187"/>
      <c r="M19" s="486" t="inlineStr">
        <is>
          <t>FIN</t>
        </is>
      </c>
      <c r="N19" s="187"/>
    </row>
    <row r="20" ht="72" customHeight="1">
      <c r="B20" s="484" t="n">
        <v>15</v>
      </c>
      <c r="C20" s="485" t="inlineStr">
        <is>
          <t>MoIC</t>
        </is>
      </c>
      <c r="D20" s="471" t="inlineStr">
        <is>
          <t>Multiple (Мультипликатор) of Invested Capital (Капитал) — множитель на вложенный капитал = Exit value / Investment (Инвестиция). Для ТрендСтудио expected ≈ 4.8×.</t>
        </is>
      </c>
      <c r="E20" s="186"/>
      <c r="F20" s="186"/>
      <c r="G20" s="186"/>
      <c r="H20" s="186"/>
      <c r="I20" s="186"/>
      <c r="J20" s="186"/>
      <c r="K20" s="186"/>
      <c r="L20" s="187"/>
      <c r="M20" s="486" t="inlineStr">
        <is>
          <t>FIN</t>
        </is>
      </c>
      <c r="N20" s="187"/>
    </row>
    <row r="21" ht="57" customHeight="1">
      <c r="B21" s="484" t="n">
        <v>16</v>
      </c>
      <c r="C21" s="485" t="inlineStr">
        <is>
          <t>Payback (Окупаемость) Period</t>
        </is>
      </c>
      <c r="D21" s="471" t="inlineStr">
        <is>
          <t>Срок окупаемости — количество периодов до возврата инвестиции. В ТрендСтудио Base (Базовый) &lt; 24 мес.</t>
        </is>
      </c>
      <c r="E21" s="186"/>
      <c r="F21" s="186"/>
      <c r="G21" s="186"/>
      <c r="H21" s="186"/>
      <c r="I21" s="186"/>
      <c r="J21" s="186"/>
      <c r="K21" s="186"/>
      <c r="L21" s="187"/>
      <c r="M21" s="486" t="inlineStr">
        <is>
          <t>FIN</t>
        </is>
      </c>
      <c r="N21" s="187"/>
    </row>
    <row r="22" ht="68" customHeight="1">
      <c r="B22" s="484" t="n">
        <v>17</v>
      </c>
      <c r="C22" s="485" t="inlineStr">
        <is>
          <t>EV (стоимость предприятия)</t>
        </is>
      </c>
      <c r="D22" s="471" t="inlineStr">
        <is>
          <t>Enterprise Value (Стоимость предприятия) — стоимость бизнеса = Equity (Собственный капитал) Value + Net Debt (Долг). Используется в multiples (EV (стоимость предприятия)/EBITDA (прибыль до вычетов), EV (стоимость предприятия)/Revenue (Выручка)).</t>
        </is>
      </c>
      <c r="E22" s="186"/>
      <c r="F22" s="186"/>
      <c r="G22" s="186"/>
      <c r="H22" s="186"/>
      <c r="I22" s="186"/>
      <c r="J22" s="186"/>
      <c r="K22" s="186"/>
      <c r="L22" s="187"/>
      <c r="M22" s="486" t="inlineStr">
        <is>
          <t>FIN</t>
        </is>
      </c>
      <c r="N22" s="187"/>
    </row>
    <row r="23" ht="53" customHeight="1">
      <c r="B23" s="484" t="n">
        <v>18</v>
      </c>
      <c r="C23" s="485" t="inlineStr">
        <is>
          <t>EV (стоимость предприятия)/EBITDA (прибыль до вычетов)</t>
        </is>
      </c>
      <c r="D23" s="471" t="inlineStr">
        <is>
          <t>Мультипликатор оценки: EV (стоимость предприятия) делённый на EBITDA (прибыль до вычетов). РФ кино-median = 8.0×, Global = 9.8×.</t>
        </is>
      </c>
      <c r="E23" s="186"/>
      <c r="F23" s="186"/>
      <c r="G23" s="186"/>
      <c r="H23" s="186"/>
      <c r="I23" s="186"/>
      <c r="J23" s="186"/>
      <c r="K23" s="186"/>
      <c r="L23" s="187"/>
      <c r="M23" s="486" t="inlineStr">
        <is>
          <t>FIN</t>
        </is>
      </c>
      <c r="N23" s="187"/>
    </row>
    <row r="24" ht="66" customHeight="1">
      <c r="B24" s="484" t="n">
        <v>19</v>
      </c>
      <c r="C24" s="485" t="inlineStr">
        <is>
          <t>Gordon Growth (Модель Гордона) TV</t>
        </is>
      </c>
      <c r="D24" s="471" t="inlineStr">
        <is>
          <t>Модель терминальной стоимости при постоянном росте g. TV = FCF_last × (1 + g) / (WACC (средневзвешенная стоимость капитала) − g). В модели g = 3%.</t>
        </is>
      </c>
      <c r="E24" s="186"/>
      <c r="F24" s="186"/>
      <c r="G24" s="186"/>
      <c r="H24" s="186"/>
      <c r="I24" s="186"/>
      <c r="J24" s="186"/>
      <c r="K24" s="186"/>
      <c r="L24" s="187"/>
      <c r="M24" s="486" t="inlineStr">
        <is>
          <t>FIN</t>
        </is>
      </c>
      <c r="N24" s="187"/>
    </row>
    <row r="25" ht="57" customHeight="1">
      <c r="B25" s="484" t="n">
        <v>20</v>
      </c>
      <c r="C25" s="485" t="inlineStr">
        <is>
          <t>Exit Multiple (Мультипликатор выхода) TV</t>
        </is>
      </c>
      <c r="D25" s="471" t="inlineStr">
        <is>
          <t>Альтернативная TV через множитель на EBITDA (прибыль до вычетов) последнего года прогноза. В модели 6.5× EBITDA (EBITDA).</t>
        </is>
      </c>
      <c r="E25" s="186"/>
      <c r="F25" s="186"/>
      <c r="G25" s="186"/>
      <c r="H25" s="186"/>
      <c r="I25" s="186"/>
      <c r="J25" s="186"/>
      <c r="K25" s="186"/>
      <c r="L25" s="187"/>
      <c r="M25" s="486" t="inlineStr">
        <is>
          <t>FIN</t>
        </is>
      </c>
      <c r="N25" s="187"/>
    </row>
    <row r="26" ht="72" customHeight="1">
      <c r="B26" s="484" t="n">
        <v>21</v>
      </c>
      <c r="C26" s="485" t="inlineStr">
        <is>
          <t>Monte Carlo (Монте-Карло) Simulation (Симуляция)</t>
        </is>
      </c>
      <c r="D26" s="471" t="inlineStr">
        <is>
          <t>Вероятностный метод оценки: генерируется N случайных сценариев для получения распределения результатов. В модели n=1000, seed=42.</t>
        </is>
      </c>
      <c r="E26" s="186"/>
      <c r="F26" s="186"/>
      <c r="G26" s="186"/>
      <c r="H26" s="186"/>
      <c r="I26" s="186"/>
      <c r="J26" s="186"/>
      <c r="K26" s="186"/>
      <c r="L26" s="187"/>
      <c r="M26" s="487" t="inlineStr">
        <is>
          <t>RISK (РИСК)</t>
        </is>
      </c>
      <c r="N26" s="187"/>
    </row>
    <row r="27" ht="72" customHeight="1">
      <c r="B27" s="484" t="n">
        <v>22</v>
      </c>
      <c r="C27" s="485" t="inlineStr">
        <is>
          <t>VaR</t>
        </is>
      </c>
      <c r="D27" s="471" t="inlineStr">
        <is>
          <t>Value at Risk (Риск) — максимальный ожидаемый убыток на заданном уровне доверия (обычно 95% или 99%). VaR 95% в модели = 561 млн ₽.</t>
        </is>
      </c>
      <c r="E27" s="186"/>
      <c r="F27" s="186"/>
      <c r="G27" s="186"/>
      <c r="H27" s="186"/>
      <c r="I27" s="186"/>
      <c r="J27" s="186"/>
      <c r="K27" s="186"/>
      <c r="L27" s="187"/>
      <c r="M27" s="487" t="inlineStr">
        <is>
          <t>RISK (РИСК)</t>
        </is>
      </c>
      <c r="N27" s="187"/>
    </row>
    <row r="28" ht="58" customHeight="1">
      <c r="B28" s="484" t="n">
        <v>23</v>
      </c>
      <c r="C28" s="485" t="inlineStr">
        <is>
          <t>CVaR (условный VaR)</t>
        </is>
      </c>
      <c r="D28" s="471" t="inlineStr">
        <is>
          <t>Conditional VaR — средний убыток в худших (1−α)% случаев. Более консервативная мера, чем VaR.</t>
        </is>
      </c>
      <c r="E28" s="186"/>
      <c r="F28" s="186"/>
      <c r="G28" s="186"/>
      <c r="H28" s="186"/>
      <c r="I28" s="186"/>
      <c r="J28" s="186"/>
      <c r="K28" s="186"/>
      <c r="L28" s="187"/>
      <c r="M28" s="487" t="inlineStr">
        <is>
          <t>RISK (РИСК)</t>
        </is>
      </c>
      <c r="N28" s="187"/>
    </row>
    <row r="29" ht="54" customHeight="1">
      <c r="B29" s="484" t="n">
        <v>24</v>
      </c>
      <c r="C29" s="485" t="inlineStr">
        <is>
          <t>P50 / P90</t>
        </is>
      </c>
      <c r="D29" s="471" t="inlineStr">
        <is>
          <t>Перцентили распределения. P50 = медиана (50% сценариев хуже), P90 = верхний квартиль.</t>
        </is>
      </c>
      <c r="E29" s="186"/>
      <c r="F29" s="186"/>
      <c r="G29" s="186"/>
      <c r="H29" s="186"/>
      <c r="I29" s="186"/>
      <c r="J29" s="186"/>
      <c r="K29" s="186"/>
      <c r="L29" s="187"/>
      <c r="M29" s="487" t="inlineStr">
        <is>
          <t>RISK (РИСК)</t>
        </is>
      </c>
      <c r="N29" s="187"/>
    </row>
    <row r="30" ht="63" customHeight="1">
      <c r="B30" s="484" t="n">
        <v>25</v>
      </c>
      <c r="C30" s="485" t="inlineStr">
        <is>
          <t>Tornado Analysis (Торнадо-анализ)</t>
        </is>
      </c>
      <c r="D30" s="471" t="inlineStr">
        <is>
          <t>Sensitivity (Чувствительность) анализ с ±20% вариацией каждого параметра. Ранжирует факторы по влиянию на целевую метрику.</t>
        </is>
      </c>
      <c r="E30" s="186"/>
      <c r="F30" s="186"/>
      <c r="G30" s="186"/>
      <c r="H30" s="186"/>
      <c r="I30" s="186"/>
      <c r="J30" s="186"/>
      <c r="K30" s="186"/>
      <c r="L30" s="187"/>
      <c r="M30" s="487" t="inlineStr">
        <is>
          <t>RISK (РИСК)</t>
        </is>
      </c>
      <c r="N30" s="187"/>
    </row>
    <row r="31" ht="58" customHeight="1">
      <c r="B31" s="484" t="n">
        <v>26</v>
      </c>
      <c r="C31" s="485" t="inlineStr">
        <is>
          <t>Risk (Риск) Score (Балл)</t>
        </is>
      </c>
      <c r="D31" s="471" t="inlineStr">
        <is>
          <t>Severity (Серьёзность) × Likelihood (Вероятность) (1–5 × 1–5 = 1–25). В ТрендСтудио 29_Risk_Register: max score 20 (R17).</t>
        </is>
      </c>
      <c r="E31" s="186"/>
      <c r="F31" s="186"/>
      <c r="G31" s="186"/>
      <c r="H31" s="186"/>
      <c r="I31" s="186"/>
      <c r="J31" s="186"/>
      <c r="K31" s="186"/>
      <c r="L31" s="187"/>
      <c r="M31" s="487" t="inlineStr">
        <is>
          <t>RISK (РИСК)</t>
        </is>
      </c>
      <c r="N31" s="187"/>
    </row>
    <row r="32" ht="59" customHeight="1">
      <c r="B32" s="484" t="n">
        <v>27</v>
      </c>
      <c r="C32" s="485" t="inlineStr">
        <is>
          <t>Тепловая карта (Тепловая карта)</t>
        </is>
      </c>
      <c r="D32" s="471" t="inlineStr">
        <is>
          <t>Визуализация рисков в матрице 5×5 (Severity (Серьёзность) × Likelihood (Вероятность)) с цветовым кодированием критичности.</t>
        </is>
      </c>
      <c r="E32" s="186"/>
      <c r="F32" s="186"/>
      <c r="G32" s="186"/>
      <c r="H32" s="186"/>
      <c r="I32" s="186"/>
      <c r="J32" s="186"/>
      <c r="K32" s="186"/>
      <c r="L32" s="187"/>
      <c r="M32" s="487" t="inlineStr">
        <is>
          <t>RISK (РИСК)</t>
        </is>
      </c>
      <c r="N32" s="187"/>
    </row>
    <row r="33" ht="54" customHeight="1">
      <c r="B33" s="484" t="n">
        <v>28</v>
      </c>
      <c r="C33" s="485" t="inlineStr">
        <is>
          <t>Hurdle (Порог) Rate</t>
        </is>
      </c>
      <c r="D33" s="471" t="inlineStr">
        <is>
          <t>Минимальная требуемая доходность для одобрения инвестиции. Для ТрендСтудио T₁ = 18%.</t>
        </is>
      </c>
      <c r="E33" s="186"/>
      <c r="F33" s="186"/>
      <c r="G33" s="186"/>
      <c r="H33" s="186"/>
      <c r="I33" s="186"/>
      <c r="J33" s="186"/>
      <c r="K33" s="186"/>
      <c r="L33" s="187"/>
      <c r="M33" s="487" t="inlineStr">
        <is>
          <t>RISK (РИСК)</t>
        </is>
      </c>
      <c r="N33" s="187"/>
    </row>
    <row r="34" ht="56" customHeight="1">
      <c r="B34" s="484" t="n">
        <v>29</v>
      </c>
      <c r="C34" s="485" t="inlineStr">
        <is>
          <t>LP (ограниченный партнёр) (Limited Partner)</t>
        </is>
      </c>
      <c r="D34" s="471" t="inlineStr">
        <is>
          <t>Инвестор-участник фонда / JV (совместное предприятие) без операционного контроля, с ограниченной ответственностью.</t>
        </is>
      </c>
      <c r="E34" s="186"/>
      <c r="F34" s="186"/>
      <c r="G34" s="186"/>
      <c r="H34" s="186"/>
      <c r="I34" s="186"/>
      <c r="J34" s="186"/>
      <c r="K34" s="186"/>
      <c r="L34" s="187"/>
      <c r="M34" s="488" t="inlineStr">
        <is>
          <t>DEAL (СДЕЛКА)</t>
        </is>
      </c>
      <c r="N34" s="187"/>
    </row>
    <row r="35" ht="54" customHeight="1">
      <c r="B35" s="484" t="n">
        <v>30</v>
      </c>
      <c r="C35" s="485" t="inlineStr">
        <is>
          <t>GP (генеральный партнёр) (General Partner)</t>
        </is>
      </c>
      <c r="D35" s="471" t="inlineStr">
        <is>
          <t>Управляющий партнёр, несёт полную ответственность, принимает инвестиционные решения.</t>
        </is>
      </c>
      <c r="E35" s="186"/>
      <c r="F35" s="186"/>
      <c r="G35" s="186"/>
      <c r="H35" s="186"/>
      <c r="I35" s="186"/>
      <c r="J35" s="186"/>
      <c r="K35" s="186"/>
      <c r="L35" s="187"/>
      <c r="M35" s="488" t="inlineStr">
        <is>
          <t>DEAL (СДЕЛКА)</t>
        </is>
      </c>
      <c r="N35" s="187"/>
    </row>
    <row r="36" ht="48" customHeight="1">
      <c r="B36" s="484" t="n">
        <v>31</v>
      </c>
      <c r="C36" s="485" t="inlineStr">
        <is>
          <t>Preferred Return (Привилегированный доход)</t>
        </is>
      </c>
      <c r="D36" s="471" t="inlineStr">
        <is>
          <t>Минимальная гарантированная доходность LP (ограниченный партнёр) до выплаты GP (генеральный партнёр). В модели — 12%.</t>
        </is>
      </c>
      <c r="E36" s="186"/>
      <c r="F36" s="186"/>
      <c r="G36" s="186"/>
      <c r="H36" s="186"/>
      <c r="I36" s="186"/>
      <c r="J36" s="186"/>
      <c r="K36" s="186"/>
      <c r="L36" s="187"/>
      <c r="M36" s="488" t="inlineStr">
        <is>
          <t>DEAL (СДЕЛКА)</t>
        </is>
      </c>
      <c r="N36" s="187"/>
    </row>
    <row r="37" ht="55" customHeight="1">
      <c r="B37" s="484" t="n">
        <v>32</v>
      </c>
      <c r="C37" s="485" t="inlineStr">
        <is>
          <t>Waterfall (Каскад)</t>
        </is>
      </c>
      <c r="D37" s="471" t="inlineStr">
        <is>
          <t>Структура распределения cash flow между LP (ограниченный партнёр) / GP (генеральный партнёр) согласно приоритетам. См. 19_Waterfall.</t>
        </is>
      </c>
      <c r="E37" s="186"/>
      <c r="F37" s="186"/>
      <c r="G37" s="186"/>
      <c r="H37" s="186"/>
      <c r="I37" s="186"/>
      <c r="J37" s="186"/>
      <c r="K37" s="186"/>
      <c r="L37" s="187"/>
      <c r="M37" s="488" t="inlineStr">
        <is>
          <t>DEAL (СДЕЛКА)</t>
        </is>
      </c>
      <c r="N37" s="187"/>
    </row>
    <row r="38" ht="55" customHeight="1">
      <c r="B38" s="484" t="n">
        <v>33</v>
      </c>
      <c r="C38" s="485" t="inlineStr">
        <is>
          <t>Оговорка о полной компенсации (Оговорка о полной компенсации)</t>
        </is>
      </c>
      <c r="D38" s="471" t="inlineStr">
        <is>
          <t>Защитная оговорка: при досрочном выходе эмитент компенсирует LP (ограниченный партнёр) потерянную доходность.</t>
        </is>
      </c>
      <c r="E38" s="186"/>
      <c r="F38" s="186"/>
      <c r="G38" s="186"/>
      <c r="H38" s="186"/>
      <c r="I38" s="186"/>
      <c r="J38" s="186"/>
      <c r="K38" s="186"/>
      <c r="L38" s="187"/>
      <c r="M38" s="488" t="inlineStr">
        <is>
          <t>DEAL (СДЕЛКА)</t>
        </is>
      </c>
      <c r="N38" s="187"/>
    </row>
    <row r="39" ht="56" customHeight="1">
      <c r="B39" s="484" t="n">
        <v>34</v>
      </c>
      <c r="C39" s="485" t="inlineStr">
        <is>
          <t>Cap Table (Таблица капитализации)</t>
        </is>
      </c>
      <c r="D39" s="471" t="inlineStr">
        <is>
          <t>Таблица капитализации — распределение долей между всеми акционерами/LP (ограниченный партнёр). См. 18_Cap_Table.</t>
        </is>
      </c>
      <c r="E39" s="186"/>
      <c r="F39" s="186"/>
      <c r="G39" s="186"/>
      <c r="H39" s="186"/>
      <c r="I39" s="186"/>
      <c r="J39" s="186"/>
      <c r="K39" s="186"/>
      <c r="L39" s="187"/>
      <c r="M39" s="488" t="inlineStr">
        <is>
          <t>DEAL (СДЕЛКА)</t>
        </is>
      </c>
      <c r="N39" s="187"/>
    </row>
    <row r="40" ht="55" customHeight="1">
      <c r="B40" s="484" t="n">
        <v>35</v>
      </c>
      <c r="C40" s="485" t="inlineStr">
        <is>
          <t>Drag-Along (Право принудительной продажи)</t>
        </is>
      </c>
      <c r="D40" s="471" t="inlineStr">
        <is>
          <t>Право мажоритария принудительно вовлечь миноритариев в сделку exit на тех же условиях.</t>
        </is>
      </c>
      <c r="E40" s="186"/>
      <c r="F40" s="186"/>
      <c r="G40" s="186"/>
      <c r="H40" s="186"/>
      <c r="I40" s="186"/>
      <c r="J40" s="186"/>
      <c r="K40" s="186"/>
      <c r="L40" s="187"/>
      <c r="M40" s="488" t="inlineStr">
        <is>
          <t>DEAL (СДЕЛКА)</t>
        </is>
      </c>
      <c r="N40" s="187"/>
    </row>
    <row r="41" ht="49" customHeight="1">
      <c r="B41" s="484" t="n">
        <v>36</v>
      </c>
      <c r="C41" s="485" t="inlineStr">
        <is>
          <t>Tag-Along (Право присоединения к продаже)</t>
        </is>
      </c>
      <c r="D41" s="471" t="inlineStr">
        <is>
          <t>Право миноритария присоединиться к продаже мажоритария на тех же условиях.</t>
        </is>
      </c>
      <c r="E41" s="186"/>
      <c r="F41" s="186"/>
      <c r="G41" s="186"/>
      <c r="H41" s="186"/>
      <c r="I41" s="186"/>
      <c r="J41" s="186"/>
      <c r="K41" s="186"/>
      <c r="L41" s="187"/>
      <c r="M41" s="488" t="inlineStr">
        <is>
          <t>DEAL (СДЕЛКА)</t>
        </is>
      </c>
      <c r="N41" s="187"/>
    </row>
    <row r="42" ht="58" customHeight="1">
      <c r="B42" s="484" t="n">
        <v>37</v>
      </c>
      <c r="C42" s="485" t="inlineStr">
        <is>
          <t>ESOP (Программа акций)</t>
        </is>
      </c>
      <c r="D42" s="471" t="inlineStr">
        <is>
          <t>Employee Stock Ownership Plan — программа опционов для ключевых сотрудников. Vesting 4 года.</t>
        </is>
      </c>
      <c r="E42" s="186"/>
      <c r="F42" s="186"/>
      <c r="G42" s="186"/>
      <c r="H42" s="186"/>
      <c r="I42" s="186"/>
      <c r="J42" s="186"/>
      <c r="K42" s="186"/>
      <c r="L42" s="187"/>
      <c r="M42" s="488" t="inlineStr">
        <is>
          <t>DEAL (СДЕЛКА)</t>
        </is>
      </c>
      <c r="N42" s="187"/>
    </row>
    <row r="43" ht="48" customHeight="1">
      <c r="B43" s="484" t="n">
        <v>38</v>
      </c>
      <c r="C43" s="485" t="inlineStr">
        <is>
          <t>Term Sheet (Условия сделки)</t>
        </is>
      </c>
      <c r="D43" s="471" t="inlineStr">
        <is>
          <t>Предварительный документ с ключевыми условиями сделки, предшествует SPA.</t>
        </is>
      </c>
      <c r="E43" s="186"/>
      <c r="F43" s="186"/>
      <c r="G43" s="186"/>
      <c r="H43" s="186"/>
      <c r="I43" s="186"/>
      <c r="J43" s="186"/>
      <c r="K43" s="186"/>
      <c r="L43" s="187"/>
      <c r="M43" s="488" t="inlineStr">
        <is>
          <t>DEAL (СДЕЛКА)</t>
        </is>
      </c>
      <c r="N43" s="187"/>
    </row>
    <row r="44" ht="43" customHeight="1">
      <c r="B44" s="484" t="n">
        <v>39</v>
      </c>
      <c r="C44" s="485" t="inlineStr">
        <is>
          <t>SPA</t>
        </is>
      </c>
      <c r="D44" s="471" t="inlineStr">
        <is>
          <t>Share (Доля) Purchase Agreement — договор купли-продажи акций / долей.</t>
        </is>
      </c>
      <c r="E44" s="186"/>
      <c r="F44" s="186"/>
      <c r="G44" s="186"/>
      <c r="H44" s="186"/>
      <c r="I44" s="186"/>
      <c r="J44" s="186"/>
      <c r="K44" s="186"/>
      <c r="L44" s="187"/>
      <c r="M44" s="488" t="inlineStr">
        <is>
          <t>DEAL (СДЕЛКА)</t>
        </is>
      </c>
      <c r="N44" s="187"/>
    </row>
    <row r="45" ht="60" customHeight="1">
      <c r="B45" s="484" t="n">
        <v>40</v>
      </c>
      <c r="C45" s="485" t="inlineStr">
        <is>
          <t>Tranche (Транш)</t>
        </is>
      </c>
      <c r="D45" s="471" t="inlineStr">
        <is>
          <t>Транш — часть инвестиции, выплачиваемая по достижении milestone. В T₁: 4 транша 250/350/350/300.</t>
        </is>
      </c>
      <c r="E45" s="186"/>
      <c r="F45" s="186"/>
      <c r="G45" s="186"/>
      <c r="H45" s="186"/>
      <c r="I45" s="186"/>
      <c r="J45" s="186"/>
      <c r="K45" s="186"/>
      <c r="L45" s="187"/>
      <c r="M45" s="488" t="inlineStr">
        <is>
          <t>DEAL (СДЕЛКА)</t>
        </is>
      </c>
      <c r="N45" s="187"/>
    </row>
    <row r="46" ht="40" customHeight="1">
      <c r="B46" s="484" t="n">
        <v>41</v>
      </c>
      <c r="C46" s="485" t="inlineStr">
        <is>
          <t>Box Office (Кассовые сборы)</t>
        </is>
      </c>
      <c r="D46" s="471" t="inlineStr">
        <is>
          <t>Кассовые сборы — выручка от проката фильма в кинотеатрах.</t>
        </is>
      </c>
      <c r="E46" s="186"/>
      <c r="F46" s="186"/>
      <c r="G46" s="186"/>
      <c r="H46" s="186"/>
      <c r="I46" s="186"/>
      <c r="J46" s="186"/>
      <c r="K46" s="186"/>
      <c r="L46" s="187"/>
      <c r="M46" s="490" t="inlineStr">
        <is>
          <t>КИНО (КИНО)</t>
        </is>
      </c>
      <c r="N46" s="187"/>
    </row>
    <row r="47" ht="55" customHeight="1">
      <c r="B47" s="484" t="n">
        <v>42</v>
      </c>
      <c r="C47" s="485" t="inlineStr">
        <is>
          <t>P&amp;A (тиражирование и реклама)</t>
        </is>
      </c>
      <c r="D47" s="471" t="inlineStr">
        <is>
          <t>Prints &amp; Advertising (Тиражирование и реклама) — расходы на копии и маркетинговое продвижение фильма при релизе.</t>
        </is>
      </c>
      <c r="E47" s="186"/>
      <c r="F47" s="186"/>
      <c r="G47" s="186"/>
      <c r="H47" s="186"/>
      <c r="I47" s="186"/>
      <c r="J47" s="186"/>
      <c r="K47" s="186"/>
      <c r="L47" s="187"/>
      <c r="M47" s="490" t="inlineStr">
        <is>
          <t>КИНО (КИНО)</t>
        </is>
      </c>
      <c r="N47" s="187"/>
    </row>
    <row r="48" ht="51" customHeight="1">
      <c r="B48" s="484" t="n">
        <v>43</v>
      </c>
      <c r="C48" s="485" t="inlineStr">
        <is>
          <t>Theatrical Window (Кинотеатральное окно)</t>
        </is>
      </c>
      <c r="D48" s="471" t="inlineStr">
        <is>
          <t>Эксклюзивный кинотеатральный релиз (обычно 45–90 дней) до выхода на VOD / OTT (онлайн-платформа).</t>
        </is>
      </c>
      <c r="E48" s="186"/>
      <c r="F48" s="186"/>
      <c r="G48" s="186"/>
      <c r="H48" s="186"/>
      <c r="I48" s="186"/>
      <c r="J48" s="186"/>
      <c r="K48" s="186"/>
      <c r="L48" s="187"/>
      <c r="M48" s="490" t="inlineStr">
        <is>
          <t>КИНО (КИНО)</t>
        </is>
      </c>
      <c r="N48" s="187"/>
    </row>
    <row r="49" ht="53" customHeight="1">
      <c r="B49" s="484" t="n">
        <v>44</v>
      </c>
      <c r="C49" s="485" t="inlineStr">
        <is>
          <t>VOD / OTT (онлайн-платформа)</t>
        </is>
      </c>
      <c r="D49" s="471" t="inlineStr">
        <is>
          <t>Video On Demand / Over-The-Top — цифровая дистрибуция (Кинопоиск, Okko, IVI, Wink).</t>
        </is>
      </c>
      <c r="E49" s="186"/>
      <c r="F49" s="186"/>
      <c r="G49" s="186"/>
      <c r="H49" s="186"/>
      <c r="I49" s="186"/>
      <c r="J49" s="186"/>
      <c r="K49" s="186"/>
      <c r="L49" s="187"/>
      <c r="M49" s="490" t="inlineStr">
        <is>
          <t>КИНО (КИНО)</t>
        </is>
      </c>
      <c r="N49" s="187"/>
    </row>
    <row r="50" ht="63" customHeight="1">
      <c r="B50" s="484" t="n">
        <v>45</v>
      </c>
      <c r="C50" s="485" t="inlineStr">
        <is>
          <t>Slate Financing (Пакетное финансирование)</t>
        </is>
      </c>
      <c r="D50" s="471" t="inlineStr">
        <is>
          <t>Финансирование пакета фильмов (slate) вместо единичного проекта — снижение риска через диверсификацию.</t>
        </is>
      </c>
      <c r="E50" s="186"/>
      <c r="F50" s="186"/>
      <c r="G50" s="186"/>
      <c r="H50" s="186"/>
      <c r="I50" s="186"/>
      <c r="J50" s="186"/>
      <c r="K50" s="186"/>
      <c r="L50" s="187"/>
      <c r="M50" s="490" t="inlineStr">
        <is>
          <t>КИНО (КИНО)</t>
        </is>
      </c>
      <c r="N50" s="187"/>
    </row>
    <row r="51" ht="57" customHeight="1">
      <c r="B51" s="484" t="n">
        <v>46</v>
      </c>
      <c r="C51" s="485" t="inlineStr">
        <is>
          <t>Разработка (Разработка)</t>
        </is>
      </c>
      <c r="D51" s="471" t="inlineStr">
        <is>
          <t>Стадия разработки фильма — сценарий, кастинг, бюджет, pre-production. В пайплайне 6–12 мес.</t>
        </is>
      </c>
      <c r="E51" s="186"/>
      <c r="F51" s="186"/>
      <c r="G51" s="186"/>
      <c r="H51" s="186"/>
      <c r="I51" s="186"/>
      <c r="J51" s="186"/>
      <c r="K51" s="186"/>
      <c r="L51" s="187"/>
      <c r="M51" s="490" t="inlineStr">
        <is>
          <t>КИНО (КИНО)</t>
        </is>
      </c>
      <c r="N51" s="187"/>
    </row>
    <row r="52" ht="51" customHeight="1">
      <c r="B52" s="484" t="n">
        <v>47</v>
      </c>
      <c r="C52" s="485" t="inlineStr">
        <is>
          <t>Principal Photography (Основные съёмки)</t>
        </is>
      </c>
      <c r="D52" s="471" t="inlineStr">
        <is>
          <t>Основной съёмочный период. В ТрендСтудио Gantt = этап Shoot, 2–4 мес на фильм.</t>
        </is>
      </c>
      <c r="E52" s="186"/>
      <c r="F52" s="186"/>
      <c r="G52" s="186"/>
      <c r="H52" s="186"/>
      <c r="I52" s="186"/>
      <c r="J52" s="186"/>
      <c r="K52" s="186"/>
      <c r="L52" s="187"/>
      <c r="M52" s="490" t="inlineStr">
        <is>
          <t>КИНО (КИНО)</t>
        </is>
      </c>
      <c r="N52" s="187"/>
    </row>
    <row r="53" ht="43" customHeight="1">
      <c r="B53" s="484" t="n">
        <v>48</v>
      </c>
      <c r="C53" s="485" t="inlineStr">
        <is>
          <t>Post-Production (Постпродакшн)</t>
        </is>
      </c>
      <c r="D53" s="471" t="inlineStr">
        <is>
          <t>Монтаж, VFX (визуальные эффекты), цветокоррекция, sound design. В пайплайне 4–6 мес.</t>
        </is>
      </c>
      <c r="E53" s="186"/>
      <c r="F53" s="186"/>
      <c r="G53" s="186"/>
      <c r="H53" s="186"/>
      <c r="I53" s="186"/>
      <c r="J53" s="186"/>
      <c r="K53" s="186"/>
      <c r="L53" s="187"/>
      <c r="M53" s="490" t="inlineStr">
        <is>
          <t>КИНО (КИНО)</t>
        </is>
      </c>
      <c r="N53" s="187"/>
    </row>
    <row r="54" ht="55" customHeight="1">
      <c r="B54" s="484" t="n">
        <v>49</v>
      </c>
      <c r="C54" s="485" t="inlineStr">
        <is>
          <t>Producer (Продюсер) Equity (Собственный капитал)</t>
        </is>
      </c>
      <c r="D54" s="471" t="inlineStr">
        <is>
          <t>Капитал продюсеров в JV (совместное предприятие)-структуре. В ТрендСтудио = 600 млн ₽ (off-P&amp;L, минори-интерес).</t>
        </is>
      </c>
      <c r="E54" s="186"/>
      <c r="F54" s="186"/>
      <c r="G54" s="186"/>
      <c r="H54" s="186"/>
      <c r="I54" s="186"/>
      <c r="J54" s="186"/>
      <c r="K54" s="186"/>
      <c r="L54" s="187"/>
      <c r="M54" s="490" t="inlineStr">
        <is>
          <t>КИНО (КИНО)</t>
        </is>
      </c>
      <c r="N54" s="187"/>
    </row>
    <row r="55" ht="56" customHeight="1">
      <c r="B55" s="484" t="n">
        <v>50</v>
      </c>
      <c r="C55" s="485" t="inlineStr">
        <is>
          <t>Library Value (Стоимость библиотеки)</t>
        </is>
      </c>
      <c r="D55" s="471" t="inlineStr">
        <is>
          <t>Стоимость накопленного каталога фильмов — источник tail (хвостовой период) revenue 2029–2032 (1 050 млн ₽).</t>
        </is>
      </c>
      <c r="E55" s="186"/>
      <c r="F55" s="186"/>
      <c r="G55" s="186"/>
      <c r="H55" s="186"/>
      <c r="I55" s="186"/>
      <c r="J55" s="186"/>
      <c r="K55" s="186"/>
      <c r="L55" s="187"/>
      <c r="M55" s="490" t="inlineStr">
        <is>
          <t>КИНО (КИНО)</t>
        </is>
      </c>
      <c r="N55" s="187"/>
    </row>
    <row r="56" ht="54" customHeight="1">
      <c r="B56" s="484" t="n">
        <v>51</v>
      </c>
      <c r="C56" s="485" t="inlineStr">
        <is>
          <t>Sequel Rights (Права на сиквел)</t>
        </is>
      </c>
      <c r="D56" s="471" t="inlineStr">
        <is>
          <t>Право на производство продолжений. Опционный payoff, увеличивающий real option value.</t>
        </is>
      </c>
      <c r="E56" s="186"/>
      <c r="F56" s="186"/>
      <c r="G56" s="186"/>
      <c r="H56" s="186"/>
      <c r="I56" s="186"/>
      <c r="J56" s="186"/>
      <c r="K56" s="186"/>
      <c r="L56" s="187"/>
      <c r="M56" s="490" t="inlineStr">
        <is>
          <t>КИНО (КИНО)</t>
        </is>
      </c>
      <c r="N56" s="187"/>
    </row>
    <row r="57" ht="61" customHeight="1">
      <c r="B57" s="484" t="n">
        <v>52</v>
      </c>
      <c r="C57" s="485" t="inlineStr">
        <is>
          <t>Co-Production (Копродукция)</t>
        </is>
      </c>
      <c r="D57" s="471" t="inlineStr">
        <is>
          <t>Совместное производство с иностранным партнёром. Открывает доступ к зарубежным рынкам и субсидиям.</t>
        </is>
      </c>
      <c r="E57" s="186"/>
      <c r="F57" s="186"/>
      <c r="G57" s="186"/>
      <c r="H57" s="186"/>
      <c r="I57" s="186"/>
      <c r="J57" s="186"/>
      <c r="K57" s="186"/>
      <c r="L57" s="187"/>
      <c r="M57" s="490" t="inlineStr">
        <is>
          <t>КИНО (КИНО)</t>
        </is>
      </c>
      <c r="N57" s="187"/>
    </row>
    <row r="58" ht="59" customHeight="1">
      <c r="B58" s="484" t="n">
        <v>53</v>
      </c>
      <c r="C58" s="485" t="inlineStr">
        <is>
          <t>НДС 0%</t>
        </is>
      </c>
      <c r="D58" s="471" t="inlineStr">
        <is>
          <t>Льгота по НДС для кинопродукции согласно ст. 149 НК РФ. В модели экономия ~360 млн ₽ за 3 года.</t>
        </is>
      </c>
      <c r="E58" s="186"/>
      <c r="F58" s="186"/>
      <c r="G58" s="186"/>
      <c r="H58" s="186"/>
      <c r="I58" s="186"/>
      <c r="J58" s="186"/>
      <c r="K58" s="186"/>
      <c r="L58" s="187"/>
      <c r="M58" s="491" t="inlineStr">
        <is>
          <t>REG</t>
        </is>
      </c>
      <c r="N58" s="187"/>
    </row>
    <row r="59" ht="43" customHeight="1">
      <c r="B59" s="484" t="n">
        <v>54</v>
      </c>
      <c r="C59" s="485" t="inlineStr">
        <is>
          <t>Налог на прибыль</t>
        </is>
      </c>
      <c r="D59" s="471" t="inlineStr">
        <is>
          <t>Базовая ставка 20% (ФБ 2%, РБ 18%). В модели 3Y Σ ≈ 438 млн ₽.</t>
        </is>
      </c>
      <c r="E59" s="186"/>
      <c r="F59" s="186"/>
      <c r="G59" s="186"/>
      <c r="H59" s="186"/>
      <c r="I59" s="186"/>
      <c r="J59" s="186"/>
      <c r="K59" s="186"/>
      <c r="L59" s="187"/>
      <c r="M59" s="491" t="inlineStr">
        <is>
          <t>REG</t>
        </is>
      </c>
      <c r="N59" s="187"/>
    </row>
    <row r="60" ht="54" customHeight="1">
      <c r="B60" s="484" t="n">
        <v>55</v>
      </c>
      <c r="C60" s="485" t="inlineStr">
        <is>
          <t>Страховые взносы</t>
        </is>
      </c>
      <c r="D60" s="471" t="inlineStr">
        <is>
          <t>30.2% от ФОТ (ПФР 22%, ФСС 2.9%, ФОМС 5.1%, травматизм 0.2%). В модели Σ ≈ 121 млн ₽.</t>
        </is>
      </c>
      <c r="E60" s="186"/>
      <c r="F60" s="186"/>
      <c r="G60" s="186"/>
      <c r="H60" s="186"/>
      <c r="I60" s="186"/>
      <c r="J60" s="186"/>
      <c r="K60" s="186"/>
      <c r="L60" s="187"/>
      <c r="M60" s="491" t="inlineStr">
        <is>
          <t>REG</t>
        </is>
      </c>
      <c r="N60" s="187"/>
    </row>
    <row r="61" ht="64" customHeight="1">
      <c r="B61" s="484" t="n">
        <v>56</v>
      </c>
      <c r="C61" s="485" t="inlineStr">
        <is>
          <t>ФКП</t>
        </is>
      </c>
      <c r="D61" s="471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186"/>
      <c r="F61" s="186"/>
      <c r="G61" s="186"/>
      <c r="H61" s="186"/>
      <c r="I61" s="186"/>
      <c r="J61" s="186"/>
      <c r="K61" s="186"/>
      <c r="L61" s="187"/>
      <c r="M61" s="491" t="inlineStr">
        <is>
          <t>REG</t>
        </is>
      </c>
      <c r="N61" s="187"/>
    </row>
    <row r="62" ht="62" customHeight="1">
      <c r="B62" s="484" t="n">
        <v>57</v>
      </c>
      <c r="C62" s="485" t="inlineStr">
        <is>
          <t>ПП № 1215</t>
        </is>
      </c>
      <c r="D62" s="471" t="inlineStr">
        <is>
          <t>Постановление Правительства РФ № 1215 от 20.12.2013 — правила предоставления субсидий кинопродюсерам.</t>
        </is>
      </c>
      <c r="E62" s="186"/>
      <c r="F62" s="186"/>
      <c r="G62" s="186"/>
      <c r="H62" s="186"/>
      <c r="I62" s="186"/>
      <c r="J62" s="186"/>
      <c r="K62" s="186"/>
      <c r="L62" s="187"/>
      <c r="M62" s="491" t="inlineStr">
        <is>
          <t>REG</t>
        </is>
      </c>
      <c r="N62" s="187"/>
    </row>
    <row r="63" ht="58" customHeight="1">
      <c r="B63" s="484" t="n">
        <v>58</v>
      </c>
      <c r="C63" s="485" t="inlineStr">
        <is>
          <t>Указ № 309</t>
        </is>
      </c>
      <c r="D63" s="471" t="inlineStr">
        <is>
          <t>Указ Президента РФ № 309 от 07.05.2024 «О национальных целях развития РФ до 2030 и 2036 гг.»</t>
        </is>
      </c>
      <c r="E63" s="186"/>
      <c r="F63" s="186"/>
      <c r="G63" s="186"/>
      <c r="H63" s="186"/>
      <c r="I63" s="186"/>
      <c r="J63" s="186"/>
      <c r="K63" s="186"/>
      <c r="L63" s="187"/>
      <c r="M63" s="491" t="inlineStr">
        <is>
          <t>REG</t>
        </is>
      </c>
      <c r="N63" s="187"/>
    </row>
    <row r="64" ht="59" customHeight="1">
      <c r="B64" s="484" t="n">
        <v>59</v>
      </c>
      <c r="C64" s="485" t="inlineStr">
        <is>
          <t>Нац. проект «Семья»</t>
        </is>
      </c>
      <c r="D64" s="471" t="inlineStr">
        <is>
          <t>Национальный проект, в рамках которого финансируется семейное / детское кино. Горизонт до 2030.</t>
        </is>
      </c>
      <c r="E64" s="186"/>
      <c r="F64" s="186"/>
      <c r="G64" s="186"/>
      <c r="H64" s="186"/>
      <c r="I64" s="186"/>
      <c r="J64" s="186"/>
      <c r="K64" s="186"/>
      <c r="L64" s="187"/>
      <c r="M64" s="491" t="inlineStr">
        <is>
          <t>REG</t>
        </is>
      </c>
      <c r="N64" s="187"/>
    </row>
    <row r="65" ht="60" customHeight="1">
      <c r="B65" s="484" t="n">
        <v>60</v>
      </c>
      <c r="C65" s="485" t="inlineStr">
        <is>
          <t>Нац. проект «Молодёжь и дети»</t>
        </is>
      </c>
      <c r="D65" s="471" t="inlineStr">
        <is>
          <t>Национальный проект для молодёжной аудитории, включает грантовую поддержку профильного контента.</t>
        </is>
      </c>
      <c r="E65" s="186"/>
      <c r="F65" s="186"/>
      <c r="G65" s="186"/>
      <c r="H65" s="186"/>
      <c r="I65" s="186"/>
      <c r="J65" s="186"/>
      <c r="K65" s="186"/>
      <c r="L65" s="187"/>
      <c r="M65" s="491" t="inlineStr">
        <is>
          <t>REG</t>
        </is>
      </c>
      <c r="N65" s="187"/>
    </row>
    <row r="66" ht="54" customHeight="1">
      <c r="B66" s="484" t="n">
        <v>61</v>
      </c>
      <c r="C66" s="485" t="inlineStr">
        <is>
          <t>Нац. проект «Культура»</t>
        </is>
      </c>
      <c r="D66" s="471" t="inlineStr">
        <is>
          <t>Национальный проект, регулирует субсидии и инфраструктурные программы кинематографа.</t>
        </is>
      </c>
      <c r="E66" s="186"/>
      <c r="F66" s="186"/>
      <c r="G66" s="186"/>
      <c r="H66" s="186"/>
      <c r="I66" s="186"/>
      <c r="J66" s="186"/>
      <c r="K66" s="186"/>
      <c r="L66" s="187"/>
      <c r="M66" s="491" t="inlineStr">
        <is>
          <t>REG</t>
        </is>
      </c>
      <c r="N66" s="187"/>
    </row>
    <row r="67" ht="65" customHeight="1">
      <c r="B67" s="484" t="n">
        <v>62</v>
      </c>
      <c r="C67" s="485" t="inlineStr">
        <is>
          <t>ст. 149 НК РФ</t>
        </is>
      </c>
      <c r="D67" s="471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186"/>
      <c r="F67" s="186"/>
      <c r="G67" s="186"/>
      <c r="H67" s="186"/>
      <c r="I67" s="186"/>
      <c r="J67" s="186"/>
      <c r="K67" s="186"/>
      <c r="L67" s="187"/>
      <c r="M67" s="491" t="inlineStr">
        <is>
          <t>REG</t>
        </is>
      </c>
      <c r="N67" s="187"/>
    </row>
    <row r="69" ht="18" customHeight="1">
      <c r="B69" s="482" t="inlineStr">
        <is>
          <t>Легенда: FIN — финансовые термины | RISK — риск / MC | DEAL — структура сделки | КИНО (КИНО)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7:N7"/>
    <mergeCell ref="D15:L15"/>
    <mergeCell ref="M65:N65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67:N67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D5:L5"/>
    <mergeCell ref="M12:N12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ПРИМЕЧАНИЯ И ИСТОЧНИКИ (ПРИМЕЧАНИЯ И ИСТОЧНИКИ)</t>
        </is>
      </c>
    </row>
    <row r="3" ht="18" customHeight="1">
      <c r="B3" s="457" t="inlineStr">
        <is>
          <t>Методологические заметки • Полный список источников • Disclaimers • Версионность</t>
        </is>
      </c>
    </row>
    <row r="5" ht="22" customHeight="1">
      <c r="B5" s="458" t="inlineStr">
        <is>
          <t>I. МЕТОДОЛОГИЧЕСКИЕ ЗАМЕТКИ ПО ЛИСТАМ</t>
        </is>
      </c>
    </row>
    <row r="7" ht="60" customHeight="1">
      <c r="C7" s="492" t="inlineStr">
        <is>
          <t>02_Assumptions</t>
        </is>
      </c>
      <c r="D7" s="471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186"/>
      <c r="F7" s="186"/>
      <c r="G7" s="186"/>
      <c r="H7" s="186"/>
      <c r="I7" s="186"/>
      <c r="J7" s="186"/>
      <c r="K7" s="186"/>
      <c r="L7" s="186"/>
      <c r="M7" s="186"/>
      <c r="N7" s="187"/>
    </row>
    <row r="8" ht="60" customHeight="1">
      <c r="C8" s="492" t="inlineStr">
        <is>
          <t>04/05_FOT_Staff</t>
        </is>
      </c>
      <c r="D8" s="471" t="inlineStr">
        <is>
          <t>ФОТ рассчитан по 2 архитектурам: A1 и A2 (JV (совместное предприятие) / проектный). Страховые взносы 30.2% применены к обеим.</t>
        </is>
      </c>
      <c r="E8" s="186"/>
      <c r="F8" s="186"/>
      <c r="G8" s="186"/>
      <c r="H8" s="186"/>
      <c r="I8" s="186"/>
      <c r="J8" s="186"/>
      <c r="K8" s="186"/>
      <c r="L8" s="186"/>
      <c r="M8" s="186"/>
      <c r="N8" s="187"/>
    </row>
    <row r="9" ht="60" customHeight="1">
      <c r="C9" s="492" t="inlineStr">
        <is>
          <t>06_Cost_Structure</t>
        </is>
      </c>
      <c r="D9" s="471" t="inlineStr">
        <is>
          <t>COGS (себестоимость) включает прямые производственные + прокатные + маркетинг. Split (Разделение) по категориям: производство 72%, прокат/P&amp;A (тиражирование и реклама) 18%, маркетинг 10%.</t>
        </is>
      </c>
      <c r="E9" s="186"/>
      <c r="F9" s="186"/>
      <c r="G9" s="186"/>
      <c r="H9" s="186"/>
      <c r="I9" s="186"/>
      <c r="J9" s="186"/>
      <c r="K9" s="186"/>
      <c r="L9" s="186"/>
      <c r="M9" s="186"/>
      <c r="N9" s="187"/>
    </row>
    <row r="10" ht="60" customHeight="1">
      <c r="C10" s="492" t="inlineStr">
        <is>
          <t>07_Revenue_Breakdown</t>
        </is>
      </c>
      <c r="D10" s="471" t="inlineStr">
        <is>
          <t>Революционные сегменты: Box Office (Кассовые сборы) 55%, TV/OTT (онлайн-платформа) 25%, Мерч/лицензии 8%, Международный прокат 7%, Sequel options 5%.</t>
        </is>
      </c>
      <c r="E10" s="186"/>
      <c r="F10" s="186"/>
      <c r="G10" s="186"/>
      <c r="H10" s="186"/>
      <c r="I10" s="186"/>
      <c r="J10" s="186"/>
      <c r="K10" s="186"/>
      <c r="L10" s="186"/>
      <c r="M10" s="186"/>
      <c r="N10" s="187"/>
    </row>
    <row r="11" ht="60" customHeight="1">
      <c r="C11" s="492" t="inlineStr">
        <is>
          <t>08_Content_Pipeline</t>
        </is>
      </c>
      <c r="D11" s="471" t="inlineStr">
        <is>
          <t>7 проектов × средний бюджет 264 млн ₽. Распределение: 4 блокбастера (200+), 6 мидл-бюджет (150–180), 2 арт-проекта (80–110).</t>
        </is>
      </c>
      <c r="E11" s="186"/>
      <c r="F11" s="186"/>
      <c r="G11" s="186"/>
      <c r="H11" s="186"/>
      <c r="I11" s="186"/>
      <c r="J11" s="186"/>
      <c r="K11" s="186"/>
      <c r="L11" s="186"/>
      <c r="M11" s="186"/>
      <c r="N11" s="187"/>
    </row>
    <row r="12" ht="60" customHeight="1">
      <c r="C12" s="492" t="inlineStr">
        <is>
          <t>09_P&amp;L_Statement</t>
        </is>
      </c>
      <c r="D12" s="471" t="inlineStr">
        <is>
          <t>Dual metric: GAAP (стандарты бухучёта) EBITDA (прибыль до вычетов) 2 152 + legacy (базовый вариант) NDP (чистые распределяемые поступления) 3 000. Reconciliation bridge в нижней части листа показывает 848 млн ₽ разницы через: (+) JV (совместное предприятие) equity (доля в капитале), (−) D&amp;A (амортизация), (−) IFRS adjustments.</t>
        </is>
      </c>
      <c r="E12" s="186"/>
      <c r="F12" s="186"/>
      <c r="G12" s="186"/>
      <c r="H12" s="186"/>
      <c r="I12" s="186"/>
      <c r="J12" s="186"/>
      <c r="K12" s="186"/>
      <c r="L12" s="186"/>
      <c r="M12" s="186"/>
      <c r="N12" s="187"/>
    </row>
    <row r="13" ht="51" customHeight="1">
      <c r="C13" s="492" t="inlineStr">
        <is>
          <t>10_Cash_Flow</t>
        </is>
      </c>
      <c r="D13" s="471" t="inlineStr">
        <is>
          <t>Indirect method. Working capital (капитал) changes детализированы в 12_WC.</t>
        </is>
      </c>
      <c r="E13" s="186"/>
      <c r="F13" s="186"/>
      <c r="G13" s="186"/>
      <c r="H13" s="186"/>
      <c r="I13" s="186"/>
      <c r="J13" s="186"/>
      <c r="K13" s="186"/>
      <c r="L13" s="186"/>
      <c r="M13" s="186"/>
      <c r="N13" s="187"/>
    </row>
    <row r="14" ht="48" customHeight="1">
      <c r="C14" s="492" t="inlineStr">
        <is>
          <t>14_Investment_Inflow</t>
        </is>
      </c>
      <c r="D14" s="471" t="inlineStr">
        <is>
          <t>Транши T₁ привязаны к milestone, не к календарю. Calendar — ориентировочный.</t>
        </is>
      </c>
      <c r="E14" s="186"/>
      <c r="F14" s="186"/>
      <c r="G14" s="186"/>
      <c r="H14" s="186"/>
      <c r="I14" s="186"/>
      <c r="J14" s="186"/>
      <c r="K14" s="186"/>
      <c r="L14" s="186"/>
      <c r="M14" s="186"/>
      <c r="N14" s="187"/>
    </row>
    <row r="15" ht="60" customHeight="1">
      <c r="C15" s="492" t="inlineStr">
        <is>
          <t>17_Deal_Structures</t>
        </is>
      </c>
      <c r="D15" s="471" t="inlineStr">
        <is>
          <t>Producer equity (капитал продюсера) 600 млн ₽ — off-P&amp;L JV (совместное предприятие) capital (капитал), не размывает основной cap table, учитывается как minority interest.</t>
        </is>
      </c>
      <c r="E15" s="186"/>
      <c r="F15" s="186"/>
      <c r="G15" s="186"/>
      <c r="H15" s="186"/>
      <c r="I15" s="186"/>
      <c r="J15" s="186"/>
      <c r="K15" s="186"/>
      <c r="L15" s="186"/>
      <c r="M15" s="186"/>
      <c r="N15" s="187"/>
    </row>
    <row r="16" ht="58" customHeight="1">
      <c r="C16" s="492" t="inlineStr">
        <is>
          <t>19_Waterfall</t>
        </is>
      </c>
      <c r="D16" s="471" t="inlineStr">
        <is>
          <t>Приоритеты: (1) LP (ограниченный партнёр) return of capital (капитал), (2) LP preferred 12%, (3) GP (генеральный партнёр) catch-up 20%, (4) 80/20 split (разделение).</t>
        </is>
      </c>
      <c r="E16" s="186"/>
      <c r="F16" s="186"/>
      <c r="G16" s="186"/>
      <c r="H16" s="186"/>
      <c r="I16" s="186"/>
      <c r="J16" s="186"/>
      <c r="K16" s="186"/>
      <c r="L16" s="186"/>
      <c r="M16" s="186"/>
      <c r="N16" s="187"/>
    </row>
    <row r="17" ht="60" customHeight="1">
      <c r="C17" s="492" t="inlineStr">
        <is>
          <t>22_Valuation_DCF</t>
        </is>
      </c>
      <c r="D17" s="471" t="inlineStr">
        <is>
          <t>Blend 40% Gordon + 60% Exit Multiple (Мультипликатор выхода). g=3%, exit mult 6.5×, WACC (средневзвешенная стоимость капитала) 19%. Quick note «Why DCF (дисконтированный денежный поток) &lt; Multiples» на R59-72.</t>
        </is>
      </c>
      <c r="E17" s="186"/>
      <c r="F17" s="186"/>
      <c r="G17" s="186"/>
      <c r="H17" s="186"/>
      <c r="I17" s="186"/>
      <c r="J17" s="186"/>
      <c r="K17" s="186"/>
      <c r="L17" s="186"/>
      <c r="M17" s="186"/>
      <c r="N17" s="187"/>
    </row>
    <row r="18" ht="52" customHeight="1">
      <c r="C18" s="492" t="inlineStr">
        <is>
          <t>23_Valuation_Multiples</t>
        </is>
      </c>
      <c r="D18" s="471" t="inlineStr">
        <is>
          <t>EV (стоимость предприятия)/EBITDA (прибыль до вычетов) median по 32_Comparables. Применён discount 10% за liquidity + 5% за size.</t>
        </is>
      </c>
      <c r="E18" s="186"/>
      <c r="F18" s="186"/>
      <c r="G18" s="186"/>
      <c r="H18" s="186"/>
      <c r="I18" s="186"/>
      <c r="J18" s="186"/>
      <c r="K18" s="186"/>
      <c r="L18" s="186"/>
      <c r="M18" s="186"/>
      <c r="N18" s="187"/>
    </row>
    <row r="19" ht="48" customHeight="1">
      <c r="C19" s="492" t="inlineStr">
        <is>
          <t>25_Exit_Scenarios</t>
        </is>
      </c>
      <c r="D19" s="471" t="inlineStr">
        <is>
          <t>Probability-weighted EV (стоимость предприятия) = Σ (p × EV) по 7 маршрутам. Weighted = 6 038 млн ₽.</t>
        </is>
      </c>
      <c r="E19" s="186"/>
      <c r="F19" s="186"/>
      <c r="G19" s="186"/>
      <c r="H19" s="186"/>
      <c r="I19" s="186"/>
      <c r="J19" s="186"/>
      <c r="K19" s="186"/>
      <c r="L19" s="186"/>
      <c r="M19" s="186"/>
      <c r="N19" s="187"/>
    </row>
    <row r="20" ht="53" customHeight="1">
      <c r="C20" s="492" t="inlineStr">
        <is>
          <t>26_Sensitivity</t>
        </is>
      </c>
      <c r="D20" s="471" t="inlineStr">
        <is>
          <t>Tornado по 8 переменным с ±20% impact. Top driver: Box Office (Кассовые сборы) revenue (±420 на EBITDA (прибыль до вычетов)).</t>
        </is>
      </c>
      <c r="E20" s="186"/>
      <c r="F20" s="186"/>
      <c r="G20" s="186"/>
      <c r="H20" s="186"/>
      <c r="I20" s="186"/>
      <c r="J20" s="186"/>
      <c r="K20" s="186"/>
      <c r="L20" s="186"/>
      <c r="M20" s="186"/>
      <c r="N20" s="187"/>
    </row>
    <row r="21" ht="55" customHeight="1">
      <c r="C21" s="492" t="inlineStr">
        <is>
          <t>27_Scenario_Analysis</t>
        </is>
      </c>
      <c r="D21" s="471" t="inlineStr">
        <is>
          <t>5 сценариев: Worst / Pessimistic / Base (Базовый) / Optimistic / Best с вероятностями 10/20/40/20/10.</t>
        </is>
      </c>
      <c r="E21" s="186"/>
      <c r="F21" s="186"/>
      <c r="G21" s="186"/>
      <c r="H21" s="186"/>
      <c r="I21" s="186"/>
      <c r="J21" s="186"/>
      <c r="K21" s="186"/>
      <c r="L21" s="186"/>
      <c r="M21" s="186"/>
      <c r="N21" s="187"/>
    </row>
    <row r="22" ht="60" customHeight="1">
      <c r="C22" s="492" t="inlineStr">
        <is>
          <t>28_Monte_Carlo_Summary</t>
        </is>
      </c>
      <c r="D22" s="471" t="inlineStr">
        <is>
          <t>n=1000, seed=42. 5 стохастических переменных (triangular, lognormal, gauss, binomial). VaR 95% = 561.</t>
        </is>
      </c>
      <c r="E22" s="186"/>
      <c r="F22" s="186"/>
      <c r="G22" s="186"/>
      <c r="H22" s="186"/>
      <c r="I22" s="186"/>
      <c r="J22" s="186"/>
      <c r="K22" s="186"/>
      <c r="L22" s="186"/>
      <c r="M22" s="186"/>
      <c r="N22" s="187"/>
    </row>
    <row r="23" ht="60" customHeight="1">
      <c r="C23" s="492" t="inlineStr">
        <is>
          <t>29_Risk_Register</t>
        </is>
      </c>
      <c r="D23" s="471" t="inlineStr">
        <is>
          <t>30 рисков × 5 категорий (Market, Production, Financial (Финансовый), Regulatory (Регуляторный), Operational (Операционный)). Max score 20 (R17).</t>
        </is>
      </c>
      <c r="E23" s="186"/>
      <c r="F23" s="186"/>
      <c r="G23" s="186"/>
      <c r="H23" s="186"/>
      <c r="I23" s="186"/>
      <c r="J23" s="186"/>
      <c r="K23" s="186"/>
      <c r="L23" s="186"/>
      <c r="M23" s="186"/>
      <c r="N23" s="187"/>
    </row>
    <row r="24" ht="60" customHeight="1">
      <c r="C24" s="492" t="inlineStr">
        <is>
          <t>30/31/32_Market</t>
        </is>
      </c>
      <c r="D24" s="471" t="inlineStr">
        <is>
          <t>TAM/SAM/SOM + benchmark KPI (ключевые показатели) + precedent transactions. RU comps median 8.0×, Global 9.8×, blend 8.9×.</t>
        </is>
      </c>
      <c r="E24" s="186"/>
      <c r="F24" s="186"/>
      <c r="G24" s="186"/>
      <c r="H24" s="186"/>
      <c r="I24" s="186"/>
      <c r="J24" s="186"/>
      <c r="K24" s="186"/>
      <c r="L24" s="186"/>
      <c r="M24" s="186"/>
      <c r="N24" s="187"/>
    </row>
    <row r="25" ht="60" customHeight="1">
      <c r="C25" s="492" t="inlineStr">
        <is>
          <t>33_Gov_KPI</t>
        </is>
      </c>
      <c r="D25" s="471" t="inlineStr">
        <is>
          <t>6 нац. проектов + 10 KPI (ключевые показатели) 2026–2028 + 5 источников господдержки 1 040 млн ₽. Комплаенс по Указу № 309.</t>
        </is>
      </c>
      <c r="E25" s="186"/>
      <c r="F25" s="186"/>
      <c r="G25" s="186"/>
      <c r="H25" s="186"/>
      <c r="I25" s="186"/>
      <c r="J25" s="186"/>
      <c r="K25" s="186"/>
      <c r="L25" s="186"/>
      <c r="M25" s="186"/>
      <c r="N25" s="187"/>
    </row>
    <row r="26" ht="59" customHeight="1">
      <c r="C26" s="492" t="inlineStr">
        <is>
          <t>34_Tax_Schedule</t>
        </is>
      </c>
      <c r="D26" s="471" t="inlineStr">
        <is>
          <t>9 налогов × 12 кварталов + 4Y tail (хвостовой период). Эффективная ставка 12.9% благодаря льготе НДС 0% ст. 149 НК РФ.</t>
        </is>
      </c>
      <c r="E26" s="186"/>
      <c r="F26" s="186"/>
      <c r="G26" s="186"/>
      <c r="H26" s="186"/>
      <c r="I26" s="186"/>
      <c r="J26" s="186"/>
      <c r="K26" s="186"/>
      <c r="L26" s="186"/>
      <c r="M26" s="186"/>
      <c r="N26" s="187"/>
    </row>
    <row r="27" ht="60" customHeight="1">
      <c r="C27" s="492" t="inlineStr">
        <is>
          <t>35_Roadmap_2026_2032</t>
        </is>
      </c>
      <c r="D27" s="471" t="inlineStr">
        <is>
          <t>7 проектов × 16 периодов × 4 фазы Gantt + 14 fundraising milestones + 7 exit routes + критический путь.</t>
        </is>
      </c>
      <c r="E27" s="186"/>
      <c r="F27" s="186"/>
      <c r="G27" s="186"/>
      <c r="H27" s="186"/>
      <c r="I27" s="186"/>
      <c r="J27" s="186"/>
      <c r="K27" s="186"/>
      <c r="L27" s="186"/>
      <c r="M27" s="186"/>
      <c r="N27" s="187"/>
    </row>
    <row r="28" ht="60" customHeight="1">
      <c r="C28" s="492" t="inlineStr">
        <is>
          <t>36_Executive_Summary</t>
        </is>
      </c>
      <c r="D28" s="471" t="inlineStr">
        <is>
          <t>Этот лист — VI разделов включая полный разбор «Valuation Range Interpretation» (часть B комбо A+B с 22_Valuation_DCF).</t>
        </is>
      </c>
      <c r="E28" s="186"/>
      <c r="F28" s="186"/>
      <c r="G28" s="186"/>
      <c r="H28" s="186"/>
      <c r="I28" s="186"/>
      <c r="J28" s="186"/>
      <c r="K28" s="186"/>
      <c r="L28" s="186"/>
      <c r="M28" s="186"/>
      <c r="N28" s="187"/>
    </row>
    <row r="31" ht="22" customHeight="1">
      <c r="B31" s="458" t="inlineStr">
        <is>
          <t>II. ПОЛНЫЙ СПИСОК ИСТОЧНИКОВ</t>
        </is>
      </c>
    </row>
    <row r="33" ht="22" customHeight="1">
      <c r="B33" s="321" t="inlineStr">
        <is>
          <t>Категория</t>
        </is>
      </c>
      <c r="C33" s="321" t="inlineStr">
        <is>
          <t>Источник</t>
        </is>
      </c>
      <c r="D33" s="187"/>
      <c r="E33" s="321" t="inlineStr">
        <is>
          <t>Назначение</t>
        </is>
      </c>
      <c r="F33" s="186"/>
      <c r="G33" s="186"/>
      <c r="H33" s="186"/>
      <c r="I33" s="186"/>
      <c r="J33" s="186"/>
      <c r="K33" s="186"/>
      <c r="L33" s="187"/>
      <c r="M33" s="321" t="inlineStr">
        <is>
          <t>URL / издатель</t>
        </is>
      </c>
      <c r="N33" s="187"/>
    </row>
    <row r="34" ht="26" customHeight="1">
      <c r="B34" s="486" t="inlineStr">
        <is>
          <t>GOV-RU</t>
        </is>
      </c>
      <c r="C34" s="493" t="inlineStr">
        <is>
          <t>Указ Президента РФ № 309 от 07.05.2024</t>
        </is>
      </c>
      <c r="D34" s="187"/>
      <c r="E34" s="471" t="inlineStr">
        <is>
          <t>О национальных целях развития РФ до 2030 и 2036 гг.</t>
        </is>
      </c>
      <c r="F34" s="186"/>
      <c r="G34" s="186"/>
      <c r="H34" s="186"/>
      <c r="I34" s="186"/>
      <c r="J34" s="186"/>
      <c r="K34" s="186"/>
      <c r="L34" s="187"/>
      <c r="M34" s="494" t="inlineStr">
        <is>
          <t>kremlin.ru</t>
        </is>
      </c>
      <c r="N34" s="187"/>
    </row>
    <row r="35" ht="26" customHeight="1">
      <c r="B35" s="486" t="inlineStr">
        <is>
          <t>GOV-RU</t>
        </is>
      </c>
      <c r="C35" s="493" t="inlineStr">
        <is>
          <t>Постановление Правительства РФ № 1215 от 20.12.2013</t>
        </is>
      </c>
      <c r="D35" s="187"/>
      <c r="E35" s="471" t="inlineStr">
        <is>
          <t>Правила предоставления субсидий кинопродюсерам</t>
        </is>
      </c>
      <c r="F35" s="186"/>
      <c r="G35" s="186"/>
      <c r="H35" s="186"/>
      <c r="I35" s="186"/>
      <c r="J35" s="186"/>
      <c r="K35" s="186"/>
      <c r="L35" s="187"/>
      <c r="M35" s="494" t="inlineStr">
        <is>
          <t>government.ru</t>
        </is>
      </c>
      <c r="N35" s="187"/>
    </row>
    <row r="36" ht="26" customHeight="1">
      <c r="B36" s="486" t="inlineStr">
        <is>
          <t>GOV-RU</t>
        </is>
      </c>
      <c r="C36" s="493" t="inlineStr">
        <is>
          <t>Налоговый кодекс РФ, ст. 149</t>
        </is>
      </c>
      <c r="D36" s="187"/>
      <c r="E36" s="471" t="inlineStr">
        <is>
          <t>Операции, освобождённые от НДС (включая кинопродукцию)</t>
        </is>
      </c>
      <c r="F36" s="186"/>
      <c r="G36" s="186"/>
      <c r="H36" s="186"/>
      <c r="I36" s="186"/>
      <c r="J36" s="186"/>
      <c r="K36" s="186"/>
      <c r="L36" s="187"/>
      <c r="M36" s="494" t="inlineStr">
        <is>
          <t>nalog.gov.ru</t>
        </is>
      </c>
      <c r="N36" s="187"/>
    </row>
    <row r="37" ht="26" customHeight="1">
      <c r="B37" s="486" t="inlineStr">
        <is>
          <t>GOV-RU</t>
        </is>
      </c>
      <c r="C37" s="493" t="inlineStr">
        <is>
          <t>Паспорт нац. проекта «Семья» 2025–2030</t>
        </is>
      </c>
      <c r="D37" s="187"/>
      <c r="E37" s="471" t="inlineStr">
        <is>
          <t>Финансирование семейного / детского кино</t>
        </is>
      </c>
      <c r="F37" s="186"/>
      <c r="G37" s="186"/>
      <c r="H37" s="186"/>
      <c r="I37" s="186"/>
      <c r="J37" s="186"/>
      <c r="K37" s="186"/>
      <c r="L37" s="187"/>
      <c r="M37" s="494" t="inlineStr">
        <is>
          <t>government.ru</t>
        </is>
      </c>
      <c r="N37" s="187"/>
    </row>
    <row r="38" ht="26" customHeight="1">
      <c r="B38" s="486" t="inlineStr">
        <is>
          <t>GOV-RU</t>
        </is>
      </c>
      <c r="C38" s="493" t="inlineStr">
        <is>
          <t>Паспорт нац. проекта «Молодёжь и дети» 2025–2030</t>
        </is>
      </c>
      <c r="D38" s="187"/>
      <c r="E38" s="471" t="inlineStr">
        <is>
          <t>Грантовая поддержка молодёжного контента</t>
        </is>
      </c>
      <c r="F38" s="186"/>
      <c r="G38" s="186"/>
      <c r="H38" s="186"/>
      <c r="I38" s="186"/>
      <c r="J38" s="186"/>
      <c r="K38" s="186"/>
      <c r="L38" s="187"/>
      <c r="M38" s="494" t="inlineStr">
        <is>
          <t>government.ru</t>
        </is>
      </c>
      <c r="N38" s="187"/>
    </row>
    <row r="39" ht="26" customHeight="1">
      <c r="B39" s="486" t="inlineStr">
        <is>
          <t>GOV-RU</t>
        </is>
      </c>
      <c r="C39" s="493" t="inlineStr">
        <is>
          <t>Паспорт нац. проекта «Культура» 2025–2030</t>
        </is>
      </c>
      <c r="D39" s="187"/>
      <c r="E39" s="471" t="inlineStr">
        <is>
          <t>Субсидии и инфраструктура кинематографа</t>
        </is>
      </c>
      <c r="F39" s="186"/>
      <c r="G39" s="186"/>
      <c r="H39" s="186"/>
      <c r="I39" s="186"/>
      <c r="J39" s="186"/>
      <c r="K39" s="186"/>
      <c r="L39" s="187"/>
      <c r="M39" s="494" t="inlineStr">
        <is>
          <t>government.ru</t>
        </is>
      </c>
      <c r="N39" s="187"/>
    </row>
    <row r="40" ht="26" customHeight="1">
      <c r="B40" s="486" t="inlineStr">
        <is>
          <t>GOV-RU</t>
        </is>
      </c>
      <c r="C40" s="493" t="inlineStr">
        <is>
          <t>Фонд кино (ФКП) — правила поддержки</t>
        </is>
      </c>
      <c r="D40" s="187"/>
      <c r="E40" s="471" t="inlineStr">
        <is>
          <t>Безвозвратные субсидии кинопродюсерам</t>
        </is>
      </c>
      <c r="F40" s="186"/>
      <c r="G40" s="186"/>
      <c r="H40" s="186"/>
      <c r="I40" s="186"/>
      <c r="J40" s="186"/>
      <c r="K40" s="186"/>
      <c r="L40" s="187"/>
      <c r="M40" s="494" t="inlineStr">
        <is>
          <t>fond-kino.ru</t>
        </is>
      </c>
      <c r="N40" s="187"/>
    </row>
    <row r="41" ht="26" customHeight="1">
      <c r="B41" s="486" t="inlineStr">
        <is>
          <t>GOV-RU</t>
        </is>
      </c>
      <c r="C41" s="493" t="inlineStr">
        <is>
          <t>Минкультуры РФ — реестр прокатных удостоверений</t>
        </is>
      </c>
      <c r="D41" s="187"/>
      <c r="E41" s="471" t="inlineStr">
        <is>
          <t>Верификация релизных планов и премьер</t>
        </is>
      </c>
      <c r="F41" s="186"/>
      <c r="G41" s="186"/>
      <c r="H41" s="186"/>
      <c r="I41" s="186"/>
      <c r="J41" s="186"/>
      <c r="K41" s="186"/>
      <c r="L41" s="187"/>
      <c r="M41" s="494" t="inlineStr">
        <is>
          <t>culture.gov.ru</t>
        </is>
      </c>
      <c r="N41" s="187"/>
    </row>
    <row r="42" ht="26" customHeight="1">
      <c r="B42" s="486" t="inlineStr">
        <is>
          <t>RU-DATA</t>
        </is>
      </c>
      <c r="C42" s="493" t="inlineStr">
        <is>
          <t>Росстат — данные по кинотеатральному рынку</t>
        </is>
      </c>
      <c r="D42" s="187"/>
      <c r="E42" s="471" t="inlineStr">
        <is>
          <t>Box Office (Кассовые сборы) РФ 2020–2025</t>
        </is>
      </c>
      <c r="F42" s="186"/>
      <c r="G42" s="186"/>
      <c r="H42" s="186"/>
      <c r="I42" s="186"/>
      <c r="J42" s="186"/>
      <c r="K42" s="186"/>
      <c r="L42" s="187"/>
      <c r="M42" s="494" t="inlineStr">
        <is>
          <t>rosstat.gov.ru</t>
        </is>
      </c>
      <c r="N42" s="187"/>
    </row>
    <row r="43" ht="26" customHeight="1">
      <c r="B43" s="486" t="inlineStr">
        <is>
          <t>RU-NEWS</t>
        </is>
      </c>
      <c r="C43" s="493" t="inlineStr">
        <is>
          <t>ТАСС — раздел «Кино»</t>
        </is>
      </c>
      <c r="D43" s="187"/>
      <c r="E43" s="471" t="inlineStr">
        <is>
          <t>Оперативные новости индустрии, сделки, господдержка</t>
        </is>
      </c>
      <c r="F43" s="186"/>
      <c r="G43" s="186"/>
      <c r="H43" s="186"/>
      <c r="I43" s="186"/>
      <c r="J43" s="186"/>
      <c r="K43" s="186"/>
      <c r="L43" s="187"/>
      <c r="M43" s="494" t="inlineStr">
        <is>
          <t>tass.ru</t>
        </is>
      </c>
      <c r="N43" s="187"/>
    </row>
    <row r="44" ht="26" customHeight="1">
      <c r="B44" s="486" t="inlineStr">
        <is>
          <t>RU-NEWS</t>
        </is>
      </c>
      <c r="C44" s="493" t="inlineStr">
        <is>
          <t>РИА Новости — раздел «Культура»</t>
        </is>
      </c>
      <c r="D44" s="187"/>
      <c r="E44" s="471" t="inlineStr">
        <is>
          <t>Регуляторные новости, нац. проекты</t>
        </is>
      </c>
      <c r="F44" s="186"/>
      <c r="G44" s="186"/>
      <c r="H44" s="186"/>
      <c r="I44" s="186"/>
      <c r="J44" s="186"/>
      <c r="K44" s="186"/>
      <c r="L44" s="187"/>
      <c r="M44" s="494" t="inlineStr">
        <is>
          <t>ria.ru</t>
        </is>
      </c>
      <c r="N44" s="187"/>
    </row>
    <row r="45" ht="26" customHeight="1">
      <c r="B45" s="486" t="inlineStr">
        <is>
          <t>RU-DATA</t>
        </is>
      </c>
      <c r="C45" s="493" t="inlineStr">
        <is>
          <t>Бюллетень кинопроката — bulletin.info.ru</t>
        </is>
      </c>
      <c r="D45" s="187"/>
      <c r="E45" s="471" t="inlineStr">
        <is>
          <t>Недельная касса, TOP-листы, статистика</t>
        </is>
      </c>
      <c r="F45" s="186"/>
      <c r="G45" s="186"/>
      <c r="H45" s="186"/>
      <c r="I45" s="186"/>
      <c r="J45" s="186"/>
      <c r="K45" s="186"/>
      <c r="L45" s="187"/>
      <c r="M45" s="494" t="inlineStr">
        <is>
          <t>bulletin.info.ru</t>
        </is>
      </c>
      <c r="N45" s="187"/>
    </row>
    <row r="46" ht="26" customHeight="1">
      <c r="B46" s="490" t="inlineStr">
        <is>
          <t>ГЛОБАЛЬНЫЙ (ГЛОБАЛЬНЫЙ)</t>
        </is>
      </c>
      <c r="C46" s="493" t="inlineStr">
        <is>
          <t>Box Office (Кассовые сборы) Mojo / IMDb Pro</t>
        </is>
      </c>
      <c r="D46" s="187"/>
      <c r="E46" s="471" t="inlineStr">
        <is>
          <t>Global benchmarks (мировые бенчмарки), кастинг, продакшн-кредиты</t>
        </is>
      </c>
      <c r="F46" s="186"/>
      <c r="G46" s="186"/>
      <c r="H46" s="186"/>
      <c r="I46" s="186"/>
      <c r="J46" s="186"/>
      <c r="K46" s="186"/>
      <c r="L46" s="187"/>
      <c r="M46" s="494" t="inlineStr">
        <is>
          <t>boxofficemojo.com</t>
        </is>
      </c>
      <c r="N46" s="187"/>
    </row>
    <row r="47" ht="26" customHeight="1">
      <c r="B47" s="490" t="inlineStr">
        <is>
          <t>ГЛОБАЛЬНЫЙ (ГЛОБАЛЬНЫЙ)</t>
        </is>
      </c>
      <c r="C47" s="493" t="inlineStr">
        <is>
          <t>Variety Intelligence Platform (Аналитическая платформа Variety)</t>
        </is>
      </c>
      <c r="D47" s="187"/>
      <c r="E47" s="471" t="inlineStr">
        <is>
          <t>Industry analytics (Отраслевая аналитика), deal tracking (отслеживание сделок)</t>
        </is>
      </c>
      <c r="F47" s="186"/>
      <c r="G47" s="186"/>
      <c r="H47" s="186"/>
      <c r="I47" s="186"/>
      <c r="J47" s="186"/>
      <c r="K47" s="186"/>
      <c r="L47" s="187"/>
      <c r="M47" s="494" t="inlineStr">
        <is>
          <t>variety.com</t>
        </is>
      </c>
      <c r="N47" s="187"/>
    </row>
    <row r="48" ht="26" customHeight="1">
      <c r="B48" s="490" t="inlineStr">
        <is>
          <t>ГЛОБАЛЬНЫЙ (ГЛОБАЛЬНЫЙ)</t>
        </is>
      </c>
      <c r="C48" s="493" t="inlineStr">
        <is>
          <t>S&amp;P Capital (Капитал) IQ</t>
        </is>
      </c>
      <c r="D48" s="187"/>
      <c r="E48" s="471" t="inlineStr">
        <is>
          <t>EV (стоимость предприятия)/EBITDA (прибыль до вычетов) multiples, comparable transactions</t>
        </is>
      </c>
      <c r="F48" s="186"/>
      <c r="G48" s="186"/>
      <c r="H48" s="186"/>
      <c r="I48" s="186"/>
      <c r="J48" s="186"/>
      <c r="K48" s="186"/>
      <c r="L48" s="187"/>
      <c r="M48" s="494" t="inlineStr">
        <is>
          <t>spglobal.com</t>
        </is>
      </c>
      <c r="N48" s="187"/>
    </row>
    <row r="49" ht="26" customHeight="1">
      <c r="B49" s="490" t="inlineStr">
        <is>
          <t>ГЛОБАЛЬНЫЙ (ГЛОБАЛЬНЫЙ)</t>
        </is>
      </c>
      <c r="C49" s="493" t="inlineStr">
        <is>
          <t>Mergermarket / PitchBook</t>
        </is>
      </c>
      <c r="D49" s="187"/>
      <c r="E49" s="471" t="inlineStr">
        <is>
          <t>M&amp;A (слияния и поглощения) precedent data, deal databases</t>
        </is>
      </c>
      <c r="F49" s="186"/>
      <c r="G49" s="186"/>
      <c r="H49" s="186"/>
      <c r="I49" s="186"/>
      <c r="J49" s="186"/>
      <c r="K49" s="186"/>
      <c r="L49" s="187"/>
      <c r="M49" s="494" t="inlineStr">
        <is>
          <t>pitchbook.com</t>
        </is>
      </c>
      <c r="N49" s="187"/>
    </row>
    <row r="50" ht="26" customHeight="1">
      <c r="B50" s="488" t="inlineStr">
        <is>
          <t>АКАДЕМИЧЕСКИЙ (АКАДЕМИЧЕСКИЙ)</t>
        </is>
      </c>
      <c r="C50" s="493" t="inlineStr">
        <is>
          <t>Vogel, H. — Entertainment Industry Economics (10th ed.)</t>
        </is>
      </c>
      <c r="D50" s="187"/>
      <c r="E50" s="471" t="inlineStr">
        <is>
          <t>Учебник по экономике медиа-индустрии</t>
        </is>
      </c>
      <c r="F50" s="186"/>
      <c r="G50" s="186"/>
      <c r="H50" s="186"/>
      <c r="I50" s="186"/>
      <c r="J50" s="186"/>
      <c r="K50" s="186"/>
      <c r="L50" s="187"/>
      <c r="M50" s="494" t="inlineStr">
        <is>
          <t>Cambridge University Press</t>
        </is>
      </c>
      <c r="N50" s="187"/>
    </row>
    <row r="51" ht="26" customHeight="1">
      <c r="B51" s="487" t="inlineStr">
        <is>
          <t>ВНУТРЕННИЙ (ВНУТРЕННИЙ)</t>
        </is>
      </c>
      <c r="C51" s="493" t="inlineStr">
        <is>
          <t>ТрендСтудио финмодель v1.4.4</t>
        </is>
      </c>
      <c r="D51" s="187"/>
      <c r="E51" s="471" t="inlineStr">
        <is>
          <t>Якорная модель холдинга 2026–2028, cumulative NDP (чистые распределяемые поступления) 3 000 млн ₽</t>
        </is>
      </c>
      <c r="F51" s="186"/>
      <c r="G51" s="186"/>
      <c r="H51" s="186"/>
      <c r="I51" s="186"/>
      <c r="J51" s="186"/>
      <c r="K51" s="186"/>
      <c r="L51" s="187"/>
      <c r="M51" s="494" t="inlineStr">
        <is>
          <t>pipeline/</t>
        </is>
      </c>
      <c r="N51" s="187"/>
    </row>
    <row r="53" ht="28" customHeight="1">
      <c r="B53" s="495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</row>
    <row r="56" ht="22" customHeight="1">
      <c r="B56" s="466" t="inlineStr">
        <is>
          <t>III.  ОТКАЗ ОТ ОТВЕТСТВЕННОСТИ (ОТКАЗ ОТ ОТВЕТСТВЕННОСТИ)</t>
        </is>
      </c>
    </row>
    <row r="58" ht="280" customHeight="1">
      <c r="B58" s="477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(Инвестиционный пакет)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 (стоимость предприятия),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(дисконтированный денежный поток)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(Капитал)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</row>
    <row r="61" ht="22" customHeight="1">
      <c r="B61" s="458" t="inlineStr">
        <is>
          <t>IV.  ИСТОРИЯ ВЕРСИЙ (ИСТОРИЯ ВЕРСИЙ)</t>
        </is>
      </c>
    </row>
    <row r="63" ht="22" customHeight="1">
      <c r="B63" s="321" t="inlineStr">
        <is>
          <t>Version (Версия)</t>
        </is>
      </c>
      <c r="C63" s="186"/>
      <c r="D63" s="187"/>
      <c r="E63" s="321" t="inlineStr">
        <is>
          <t>Date (Дата)</t>
        </is>
      </c>
      <c r="F63" s="186"/>
      <c r="G63" s="187"/>
      <c r="H63" s="321" t="inlineStr">
        <is>
          <t>Changes (Изменения)</t>
        </is>
      </c>
      <c r="I63" s="186"/>
      <c r="J63" s="186"/>
      <c r="K63" s="186"/>
      <c r="L63" s="186"/>
      <c r="M63" s="186"/>
      <c r="N63" s="187"/>
    </row>
    <row r="64" ht="32" customHeight="1">
      <c r="B64" s="496" t="inlineStr">
        <is>
          <t>v1.0 Public</t>
        </is>
      </c>
      <c r="C64" s="186"/>
      <c r="D64" s="187"/>
      <c r="E64" s="354" t="inlineStr">
        <is>
          <t>2026-04-11</t>
        </is>
      </c>
      <c r="F64" s="186"/>
      <c r="G64" s="187"/>
      <c r="H64" s="471" t="inlineStr">
        <is>
          <t>Initial release — 38 листов, dual metric Variant C, П5 «Максимум» verification, sheets А.1–А.19 complete</t>
        </is>
      </c>
      <c r="I64" s="186"/>
      <c r="J64" s="186"/>
      <c r="K64" s="186"/>
      <c r="L64" s="186"/>
      <c r="M64" s="186"/>
      <c r="N64" s="187"/>
    </row>
    <row r="65" ht="32" customHeight="1">
      <c r="B65" s="496" t="inlineStr">
        <is>
          <t>v1.4.4 pipeline</t>
        </is>
      </c>
      <c r="C65" s="186"/>
      <c r="D65" s="187"/>
      <c r="E65" s="354" t="inlineStr">
        <is>
          <t>2026-04-11</t>
        </is>
      </c>
      <c r="F65" s="186"/>
      <c r="G65" s="187"/>
      <c r="H65" s="471" t="inlineStr">
        <is>
          <t>Основная финмодель холдинга (384 теста PASS, 4 MC engines). Не включается в Public — см. отдельный deliverable</t>
        </is>
      </c>
      <c r="I65" s="186"/>
      <c r="J65" s="186"/>
      <c r="K65" s="186"/>
      <c r="L65" s="186"/>
      <c r="M65" s="186"/>
      <c r="N65" s="187"/>
    </row>
    <row r="68" ht="18" customHeight="1">
      <c r="B68" s="482" t="inlineStr">
        <is>
          <t>Подготовлено: ТрендСтудио Holdings | Investor Package (Инвестиционный пакет) v1.0 Public | 2026-04-11 | CONFIDENTIAL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C48:D48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D18:N18"/>
    <mergeCell ref="C39:D39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9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 fitToPage="1"/>
  </sheetPr>
  <dimension ref="B2:N95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TABLE OF CONTENTS (СОДЕРЖАНИЕ) / СОДЕРЖАНИЕ</t>
        </is>
      </c>
    </row>
    <row r="3" ht="18" customHeight="1">
      <c r="B3" s="457" t="inlineStr">
        <is>
          <t>Investor Package (Инвестиционный пакет) v1.0 Public — 42 листа — hyperlinks</t>
        </is>
      </c>
    </row>
    <row r="5" ht="22" customHeight="1">
      <c r="B5" s="458" t="inlineStr">
        <is>
          <t>A. TITLE &amp; META (ТИТУЛ И МЕТА)</t>
        </is>
      </c>
    </row>
    <row r="7" ht="18" customHeight="1">
      <c r="B7" s="497" t="inlineStr">
        <is>
          <t>#</t>
        </is>
      </c>
      <c r="C7" s="498" t="inlineStr">
        <is>
          <t>Лист / Sheet</t>
        </is>
      </c>
      <c r="D7" s="498" t="inlineStr">
        <is>
          <t>Описание</t>
        </is>
      </c>
      <c r="E7" s="186"/>
      <c r="F7" s="186"/>
      <c r="G7" s="186"/>
      <c r="H7" s="186"/>
      <c r="I7" s="186"/>
      <c r="J7" s="186"/>
      <c r="K7" s="186"/>
      <c r="L7" s="186"/>
      <c r="M7" s="186"/>
      <c r="N7" s="187"/>
    </row>
    <row r="8" ht="20" customHeight="1">
      <c r="B8" s="491" t="n">
        <v>1</v>
      </c>
      <c r="C8" s="500" t="inlineStr">
        <is>
          <t>01_Cover</t>
        </is>
      </c>
      <c r="D8" s="481" t="inlineStr">
        <is>
          <t>Титульный лист</t>
        </is>
      </c>
      <c r="E8" s="186"/>
      <c r="F8" s="186"/>
      <c r="G8" s="186"/>
      <c r="H8" s="186"/>
      <c r="I8" s="186"/>
      <c r="J8" s="186"/>
      <c r="K8" s="186"/>
      <c r="L8" s="186"/>
      <c r="M8" s="186"/>
      <c r="N8" s="187"/>
    </row>
    <row r="9" ht="20" customHeight="1">
      <c r="B9" s="491" t="n">
        <v>2</v>
      </c>
      <c r="C9" s="500" t="inlineStr">
        <is>
          <t>02_Assumptions</t>
        </is>
      </c>
      <c r="D9" s="481" t="inlineStr">
        <is>
          <t>Все ключевые допущения (SSOT)</t>
        </is>
      </c>
      <c r="E9" s="186"/>
      <c r="F9" s="186"/>
      <c r="G9" s="186"/>
      <c r="H9" s="186"/>
      <c r="I9" s="186"/>
      <c r="J9" s="186"/>
      <c r="K9" s="186"/>
      <c r="L9" s="186"/>
      <c r="M9" s="186"/>
      <c r="N9" s="187"/>
    </row>
    <row r="10" ht="20" customHeight="1">
      <c r="B10" s="491" t="n">
        <v>3</v>
      </c>
      <c r="C10" s="500" t="inlineStr">
        <is>
          <t>03_Change_Log</t>
        </is>
      </c>
      <c r="D10" s="481" t="inlineStr">
        <is>
          <t>Журнал изменений модели</t>
        </is>
      </c>
      <c r="E10" s="186"/>
      <c r="F10" s="186"/>
      <c r="G10" s="186"/>
      <c r="H10" s="186"/>
      <c r="I10" s="186"/>
      <c r="J10" s="186"/>
      <c r="K10" s="186"/>
      <c r="L10" s="186"/>
      <c r="M10" s="186"/>
      <c r="N10" s="187"/>
    </row>
    <row r="12" ht="22" customHeight="1">
      <c r="B12" s="501" t="inlineStr">
        <is>
          <t>B. COST STRUCTURE (СТРУКТУРА ЗАТРАТ)</t>
        </is>
      </c>
    </row>
    <row r="14" ht="18" customHeight="1">
      <c r="B14" s="497" t="inlineStr">
        <is>
          <t>#</t>
        </is>
      </c>
      <c r="C14" s="498" t="inlineStr">
        <is>
          <t>Лист / Sheet</t>
        </is>
      </c>
      <c r="D14" s="498" t="inlineStr">
        <is>
          <t>Описание</t>
        </is>
      </c>
      <c r="E14" s="186"/>
      <c r="F14" s="186"/>
      <c r="G14" s="186"/>
      <c r="H14" s="186"/>
      <c r="I14" s="186"/>
      <c r="J14" s="186"/>
      <c r="K14" s="186"/>
      <c r="L14" s="186"/>
      <c r="M14" s="186"/>
      <c r="N14" s="187"/>
    </row>
    <row r="15" ht="20" customHeight="1">
      <c r="B15" s="491" t="n">
        <v>4</v>
      </c>
      <c r="C15" s="500" t="inlineStr">
        <is>
          <t>04_FOT_Staff_A1</t>
        </is>
      </c>
      <c r="D15" s="481" t="inlineStr">
        <is>
          <t>ФОТ архитектура 1 (корпоративная)</t>
        </is>
      </c>
      <c r="E15" s="186"/>
      <c r="F15" s="186"/>
      <c r="G15" s="186"/>
      <c r="H15" s="186"/>
      <c r="I15" s="186"/>
      <c r="J15" s="186"/>
      <c r="K15" s="186"/>
      <c r="L15" s="186"/>
      <c r="M15" s="186"/>
      <c r="N15" s="187"/>
    </row>
    <row r="16" ht="20" customHeight="1">
      <c r="B16" s="491" t="n">
        <v>5</v>
      </c>
      <c r="C16" s="500" t="inlineStr">
        <is>
          <t>05_FOT_Staff_A2</t>
        </is>
      </c>
      <c r="D16" s="481" t="inlineStr">
        <is>
          <t>ФОТ архитектура 2 (JV (совместное предприятие) / проектная)</t>
        </is>
      </c>
      <c r="E16" s="186"/>
      <c r="F16" s="186"/>
      <c r="G16" s="186"/>
      <c r="H16" s="186"/>
      <c r="I16" s="186"/>
      <c r="J16" s="186"/>
      <c r="K16" s="186"/>
      <c r="L16" s="186"/>
      <c r="M16" s="186"/>
      <c r="N16" s="187"/>
    </row>
    <row r="17" ht="20" customHeight="1">
      <c r="B17" s="491" t="n">
        <v>6</v>
      </c>
      <c r="C17" s="500" t="inlineStr">
        <is>
          <t>06_Cost_Structure</t>
        </is>
      </c>
      <c r="D17" s="481" t="inlineStr">
        <is>
          <t>COGS (себестоимость) + OpEx детализация</t>
        </is>
      </c>
      <c r="E17" s="186"/>
      <c r="F17" s="186"/>
      <c r="G17" s="186"/>
      <c r="H17" s="186"/>
      <c r="I17" s="186"/>
      <c r="J17" s="186"/>
      <c r="K17" s="186"/>
      <c r="L17" s="186"/>
      <c r="M17" s="186"/>
      <c r="N17" s="187"/>
    </row>
    <row r="19" ht="22" customHeight="1">
      <c r="B19" s="501" t="inlineStr">
        <is>
          <t>C. REVENUE (ВЫРУЧКА) &amp; PIPELINE (ВЫРУЧКА И ПОРТФЕЛЬ)</t>
        </is>
      </c>
    </row>
    <row r="21" ht="18" customHeight="1">
      <c r="B21" s="497" t="inlineStr">
        <is>
          <t>#</t>
        </is>
      </c>
      <c r="C21" s="498" t="inlineStr">
        <is>
          <t>Лист / Sheet</t>
        </is>
      </c>
      <c r="D21" s="498" t="inlineStr">
        <is>
          <t>Описание</t>
        </is>
      </c>
      <c r="E21" s="186"/>
      <c r="F21" s="186"/>
      <c r="G21" s="186"/>
      <c r="H21" s="186"/>
      <c r="I21" s="186"/>
      <c r="J21" s="186"/>
      <c r="K21" s="186"/>
      <c r="L21" s="186"/>
      <c r="M21" s="186"/>
      <c r="N21" s="187"/>
    </row>
    <row r="22" ht="20" customHeight="1">
      <c r="B22" s="491" t="n">
        <v>7</v>
      </c>
      <c r="C22" s="500" t="inlineStr">
        <is>
          <t>07_Revenue_Breakdown</t>
        </is>
      </c>
      <c r="D22" s="481" t="inlineStr">
        <is>
          <t>Декомпозиция выручки 4 545 млн ₽</t>
        </is>
      </c>
      <c r="E22" s="186"/>
      <c r="F22" s="186"/>
      <c r="G22" s="186"/>
      <c r="H22" s="186"/>
      <c r="I22" s="186"/>
      <c r="J22" s="186"/>
      <c r="K22" s="186"/>
      <c r="L22" s="186"/>
      <c r="M22" s="186"/>
      <c r="N22" s="187"/>
    </row>
    <row r="23" ht="20" customHeight="1">
      <c r="B23" s="491" t="n">
        <v>8</v>
      </c>
      <c r="C23" s="500" t="inlineStr">
        <is>
          <t>08_Content_Pipeline</t>
        </is>
      </c>
      <c r="D23" s="481" t="inlineStr">
        <is>
          <t>7 проектов × 264 млн ₽</t>
        </is>
      </c>
      <c r="E23" s="186"/>
      <c r="F23" s="186"/>
      <c r="G23" s="186"/>
      <c r="H23" s="186"/>
      <c r="I23" s="186"/>
      <c r="J23" s="186"/>
      <c r="K23" s="186"/>
      <c r="L23" s="186"/>
      <c r="M23" s="186"/>
      <c r="N23" s="187"/>
    </row>
    <row r="25" ht="22" customHeight="1">
      <c r="B25" s="501" t="inlineStr">
        <is>
          <t>D. FINANCIALS (ФИНАНСЫ)</t>
        </is>
      </c>
    </row>
    <row r="27" ht="18" customHeight="1">
      <c r="B27" s="497" t="inlineStr">
        <is>
          <t>#</t>
        </is>
      </c>
      <c r="C27" s="498" t="inlineStr">
        <is>
          <t>Лист / Sheet</t>
        </is>
      </c>
      <c r="D27" s="498" t="inlineStr">
        <is>
          <t>Описание</t>
        </is>
      </c>
      <c r="E27" s="186"/>
      <c r="F27" s="186"/>
      <c r="G27" s="186"/>
      <c r="H27" s="186"/>
      <c r="I27" s="186"/>
      <c r="J27" s="186"/>
      <c r="K27" s="186"/>
      <c r="L27" s="186"/>
      <c r="M27" s="186"/>
      <c r="N27" s="187"/>
    </row>
    <row r="28" ht="20" customHeight="1">
      <c r="B28" s="491" t="n">
        <v>9</v>
      </c>
      <c r="C28" s="500" t="inlineStr">
        <is>
          <t>09_P&amp;L_Statement</t>
        </is>
      </c>
      <c r="D28" s="481" t="inlineStr">
        <is>
          <t>P&amp;L (GAAP (стандарты бухучёта) EBITDA (прибыль до вычетов) 2 152 + NDP (чистые распределяемые поступления) 3 000 bridge)</t>
        </is>
      </c>
      <c r="E28" s="186"/>
      <c r="F28" s="186"/>
      <c r="G28" s="186"/>
      <c r="H28" s="186"/>
      <c r="I28" s="186"/>
      <c r="J28" s="186"/>
      <c r="K28" s="186"/>
      <c r="L28" s="186"/>
      <c r="M28" s="186"/>
      <c r="N28" s="187"/>
    </row>
    <row r="29" ht="20" customHeight="1">
      <c r="B29" s="491" t="n">
        <v>10</v>
      </c>
      <c r="C29" s="500" t="inlineStr">
        <is>
          <t>10_Cash_Flow</t>
        </is>
      </c>
      <c r="D29" s="481" t="inlineStr">
        <is>
          <t>Cash Flow Statement (Отчёт о движении денежных средств) (indirect)</t>
        </is>
      </c>
      <c r="E29" s="186"/>
      <c r="F29" s="186"/>
      <c r="G29" s="186"/>
      <c r="H29" s="186"/>
      <c r="I29" s="186"/>
      <c r="J29" s="186"/>
      <c r="K29" s="186"/>
      <c r="L29" s="186"/>
      <c r="M29" s="186"/>
      <c r="N29" s="187"/>
    </row>
    <row r="30" ht="20" customHeight="1">
      <c r="B30" s="491" t="n">
        <v>11</v>
      </c>
      <c r="C30" s="500" t="inlineStr">
        <is>
          <t>11_Balance_Sheet</t>
        </is>
      </c>
      <c r="D30" s="481" t="inlineStr">
        <is>
          <t>Баланс</t>
        </is>
      </c>
      <c r="E30" s="186"/>
      <c r="F30" s="186"/>
      <c r="G30" s="186"/>
      <c r="H30" s="186"/>
      <c r="I30" s="186"/>
      <c r="J30" s="186"/>
      <c r="K30" s="186"/>
      <c r="L30" s="186"/>
      <c r="M30" s="186"/>
      <c r="N30" s="187"/>
    </row>
    <row r="31" ht="20" customHeight="1">
      <c r="B31" s="491" t="n">
        <v>12</v>
      </c>
      <c r="C31" s="500" t="inlineStr">
        <is>
          <t>12_Working_Capital</t>
        </is>
      </c>
      <c r="D31" s="481" t="inlineStr">
        <is>
          <t>Изменения оборотного капитала</t>
        </is>
      </c>
      <c r="E31" s="186"/>
      <c r="F31" s="186"/>
      <c r="G31" s="186"/>
      <c r="H31" s="186"/>
      <c r="I31" s="186"/>
      <c r="J31" s="186"/>
      <c r="K31" s="186"/>
      <c r="L31" s="186"/>
      <c r="M31" s="186"/>
      <c r="N31" s="187"/>
    </row>
    <row r="32" ht="20" customHeight="1">
      <c r="B32" s="491" t="n">
        <v>13</v>
      </c>
      <c r="C32" s="500" t="inlineStr">
        <is>
          <t>13_Debt_Schedule</t>
        </is>
      </c>
      <c r="D32" s="481" t="inlineStr">
        <is>
          <t>График долга (н/п)</t>
        </is>
      </c>
      <c r="E32" s="186"/>
      <c r="F32" s="186"/>
      <c r="G32" s="186"/>
      <c r="H32" s="186"/>
      <c r="I32" s="186"/>
      <c r="J32" s="186"/>
      <c r="K32" s="186"/>
      <c r="L32" s="186"/>
      <c r="M32" s="186"/>
      <c r="N32" s="187"/>
    </row>
    <row r="34" ht="22" customHeight="1">
      <c r="B34" s="501" t="inlineStr">
        <is>
          <t>E. INVESTMENT (ИНВЕСТИЦИИ)</t>
        </is>
      </c>
    </row>
    <row r="36" ht="18" customHeight="1">
      <c r="B36" s="497" t="inlineStr">
        <is>
          <t>#</t>
        </is>
      </c>
      <c r="C36" s="498" t="inlineStr">
        <is>
          <t>Лист / Sheet</t>
        </is>
      </c>
      <c r="D36" s="498" t="inlineStr">
        <is>
          <t>Описание</t>
        </is>
      </c>
      <c r="E36" s="186"/>
      <c r="F36" s="186"/>
      <c r="G36" s="186"/>
      <c r="H36" s="186"/>
      <c r="I36" s="186"/>
      <c r="J36" s="186"/>
      <c r="K36" s="186"/>
      <c r="L36" s="186"/>
      <c r="M36" s="186"/>
      <c r="N36" s="187"/>
    </row>
    <row r="37" ht="20" customHeight="1">
      <c r="B37" s="491" t="n">
        <v>14</v>
      </c>
      <c r="C37" s="500" t="inlineStr">
        <is>
          <t>14_Investment_Inflow</t>
        </is>
      </c>
      <c r="D37" s="481" t="inlineStr">
        <is>
          <t>T₁ = 1 250 млн ₽ × 4 транша</t>
        </is>
      </c>
      <c r="E37" s="186"/>
      <c r="F37" s="186"/>
      <c r="G37" s="186"/>
      <c r="H37" s="186"/>
      <c r="I37" s="186"/>
      <c r="J37" s="186"/>
      <c r="K37" s="186"/>
      <c r="L37" s="186"/>
      <c r="M37" s="186"/>
      <c r="N37" s="187"/>
    </row>
    <row r="38" ht="20" customHeight="1">
      <c r="B38" s="491" t="n">
        <v>15</v>
      </c>
      <c r="C38" s="500" t="inlineStr">
        <is>
          <t>15_Use_of_Funds</t>
        </is>
      </c>
      <c r="D38" s="481" t="inlineStr">
        <is>
          <t>Распределение инвестиций по назначениям</t>
        </is>
      </c>
      <c r="E38" s="186"/>
      <c r="F38" s="186"/>
      <c r="G38" s="186"/>
      <c r="H38" s="186"/>
      <c r="I38" s="186"/>
      <c r="J38" s="186"/>
      <c r="K38" s="186"/>
      <c r="L38" s="186"/>
      <c r="M38" s="186"/>
      <c r="N38" s="187"/>
    </row>
    <row r="39" ht="20" customHeight="1">
      <c r="B39" s="491" t="n">
        <v>16</v>
      </c>
      <c r="C39" s="500" t="inlineStr">
        <is>
          <t>16_CAPEX_Schedule</t>
        </is>
      </c>
      <c r="D39" s="481" t="inlineStr">
        <is>
          <t>График CAPEX (Капзатраты)</t>
        </is>
      </c>
      <c r="E39" s="186"/>
      <c r="F39" s="186"/>
      <c r="G39" s="186"/>
      <c r="H39" s="186"/>
      <c r="I39" s="186"/>
      <c r="J39" s="186"/>
      <c r="K39" s="186"/>
      <c r="L39" s="186"/>
      <c r="M39" s="186"/>
      <c r="N39" s="187"/>
    </row>
    <row r="40" ht="20" customHeight="1">
      <c r="B40" s="491" t="n">
        <v>17</v>
      </c>
      <c r="C40" s="500" t="inlineStr">
        <is>
          <t>17_Deal_Structures</t>
        </is>
      </c>
      <c r="D40" s="481" t="inlineStr">
        <is>
          <t>JV (совместное предприятие) + Producer equity (капитал продюсера) 600 млн ₽</t>
        </is>
      </c>
      <c r="E40" s="186"/>
      <c r="F40" s="186"/>
      <c r="G40" s="186"/>
      <c r="H40" s="186"/>
      <c r="I40" s="186"/>
      <c r="J40" s="186"/>
      <c r="K40" s="186"/>
      <c r="L40" s="186"/>
      <c r="M40" s="186"/>
      <c r="N40" s="187"/>
    </row>
    <row r="41" ht="20" customHeight="1">
      <c r="B41" s="491" t="n">
        <v>18</v>
      </c>
      <c r="C41" s="500" t="inlineStr">
        <is>
          <t>18_Cap_Table</t>
        </is>
      </c>
      <c r="D41" s="481" t="inlineStr">
        <is>
          <t>Таблица капитализации</t>
        </is>
      </c>
      <c r="E41" s="186"/>
      <c r="F41" s="186"/>
      <c r="G41" s="186"/>
      <c r="H41" s="186"/>
      <c r="I41" s="186"/>
      <c r="J41" s="186"/>
      <c r="K41" s="186"/>
      <c r="L41" s="186"/>
      <c r="M41" s="186"/>
      <c r="N41" s="187"/>
    </row>
    <row r="42" ht="20" customHeight="1">
      <c r="B42" s="491" t="n">
        <v>19</v>
      </c>
      <c r="C42" s="500" t="inlineStr">
        <is>
          <t>19_Waterfall</t>
        </is>
      </c>
      <c r="D42" s="481" t="inlineStr">
        <is>
          <t>Каскад распределения (LP (ограниченный партнёр) 12% pref + 80/20)</t>
        </is>
      </c>
      <c r="E42" s="186"/>
      <c r="F42" s="186"/>
      <c r="G42" s="186"/>
      <c r="H42" s="186"/>
      <c r="I42" s="186"/>
      <c r="J42" s="186"/>
      <c r="K42" s="186"/>
      <c r="L42" s="186"/>
      <c r="M42" s="186"/>
      <c r="N42" s="187"/>
    </row>
    <row r="44" ht="22" customHeight="1">
      <c r="B44" s="501" t="inlineStr">
        <is>
          <t>F. UNIT ECON &amp; KPI (ключевые показатели)</t>
        </is>
      </c>
    </row>
    <row r="46" ht="18" customHeight="1">
      <c r="B46" s="497" t="inlineStr">
        <is>
          <t>#</t>
        </is>
      </c>
      <c r="C46" s="498" t="inlineStr">
        <is>
          <t>Лист / Sheet</t>
        </is>
      </c>
      <c r="D46" s="498" t="inlineStr">
        <is>
          <t>Описание</t>
        </is>
      </c>
      <c r="E46" s="186"/>
      <c r="F46" s="186"/>
      <c r="G46" s="186"/>
      <c r="H46" s="186"/>
      <c r="I46" s="186"/>
      <c r="J46" s="186"/>
      <c r="K46" s="186"/>
      <c r="L46" s="186"/>
      <c r="M46" s="186"/>
      <c r="N46" s="187"/>
    </row>
    <row r="47" ht="20" customHeight="1">
      <c r="B47" s="491" t="n">
        <v>20</v>
      </c>
      <c r="C47" s="500" t="inlineStr">
        <is>
          <t>20_Unit_Economics_per_Film</t>
        </is>
      </c>
      <c r="D47" s="481" t="inlineStr">
        <is>
          <t>Юнит-экономика на фильм</t>
        </is>
      </c>
      <c r="E47" s="186"/>
      <c r="F47" s="186"/>
      <c r="G47" s="186"/>
      <c r="H47" s="186"/>
      <c r="I47" s="186"/>
      <c r="J47" s="186"/>
      <c r="K47" s="186"/>
      <c r="L47" s="186"/>
      <c r="M47" s="186"/>
      <c r="N47" s="187"/>
    </row>
    <row r="48" ht="20" customHeight="1">
      <c r="B48" s="491" t="n">
        <v>21</v>
      </c>
      <c r="C48" s="500" t="inlineStr">
        <is>
          <t>21_KPI_Dashboard</t>
        </is>
      </c>
      <c r="D48" s="481" t="inlineStr">
        <is>
          <t>Дашборд ключевых метрик</t>
        </is>
      </c>
      <c r="E48" s="186"/>
      <c r="F48" s="186"/>
      <c r="G48" s="186"/>
      <c r="H48" s="186"/>
      <c r="I48" s="186"/>
      <c r="J48" s="186"/>
      <c r="K48" s="186"/>
      <c r="L48" s="186"/>
      <c r="M48" s="186"/>
      <c r="N48" s="187"/>
    </row>
    <row r="50" ht="22" customHeight="1">
      <c r="B50" s="501" t="inlineStr">
        <is>
          <t>G. VALUATION (ОЦЕНКА)</t>
        </is>
      </c>
    </row>
    <row r="52" ht="18" customHeight="1">
      <c r="B52" s="497" t="inlineStr">
        <is>
          <t>#</t>
        </is>
      </c>
      <c r="C52" s="498" t="inlineStr">
        <is>
          <t>Лист / Sheet</t>
        </is>
      </c>
      <c r="D52" s="498" t="inlineStr">
        <is>
          <t>Описание</t>
        </is>
      </c>
      <c r="E52" s="186"/>
      <c r="F52" s="186"/>
      <c r="G52" s="186"/>
      <c r="H52" s="186"/>
      <c r="I52" s="186"/>
      <c r="J52" s="186"/>
      <c r="K52" s="186"/>
      <c r="L52" s="186"/>
      <c r="M52" s="186"/>
      <c r="N52" s="187"/>
    </row>
    <row r="53" ht="20" customHeight="1">
      <c r="B53" s="491" t="n">
        <v>22</v>
      </c>
      <c r="C53" s="500" t="inlineStr">
        <is>
          <t>22_Valuation_DCF</t>
        </is>
      </c>
      <c r="D53" s="481" t="inlineStr">
        <is>
          <t>DCF (дисконтированный денежный поток) blend 40% Gordon + 60% Exit Mult = 1 815</t>
        </is>
      </c>
      <c r="E53" s="186"/>
      <c r="F53" s="186"/>
      <c r="G53" s="186"/>
      <c r="H53" s="186"/>
      <c r="I53" s="186"/>
      <c r="J53" s="186"/>
      <c r="K53" s="186"/>
      <c r="L53" s="186"/>
      <c r="M53" s="186"/>
      <c r="N53" s="187"/>
    </row>
    <row r="54" ht="20" customHeight="1">
      <c r="B54" s="491" t="n">
        <v>23</v>
      </c>
      <c r="C54" s="500" t="inlineStr">
        <is>
          <t>23_Valuation_Multiples</t>
        </is>
      </c>
      <c r="D54" s="481" t="inlineStr">
        <is>
          <t>EV (стоимость предприятия)/EBITDA (прибыль до вычетов) multiples</t>
        </is>
      </c>
      <c r="E54" s="186"/>
      <c r="F54" s="186"/>
      <c r="G54" s="186"/>
      <c r="H54" s="186"/>
      <c r="I54" s="186"/>
      <c r="J54" s="186"/>
      <c r="K54" s="186"/>
      <c r="L54" s="186"/>
      <c r="M54" s="186"/>
      <c r="N54" s="187"/>
    </row>
    <row r="55" ht="20" customHeight="1">
      <c r="B55" s="491" t="n">
        <v>24</v>
      </c>
      <c r="C55" s="500" t="inlineStr">
        <is>
          <t>24_Investor_Returns</t>
        </is>
      </c>
      <c r="D55" s="481" t="inlineStr">
        <is>
          <t>MoIC × IRR (внутренняя норма доходности) для LP (ограниченный партнёр)</t>
        </is>
      </c>
      <c r="E55" s="186"/>
      <c r="F55" s="186"/>
      <c r="G55" s="186"/>
      <c r="H55" s="186"/>
      <c r="I55" s="186"/>
      <c r="J55" s="186"/>
      <c r="K55" s="186"/>
      <c r="L55" s="186"/>
      <c r="M55" s="186"/>
      <c r="N55" s="187"/>
    </row>
    <row r="56" ht="20" customHeight="1">
      <c r="B56" s="491" t="n">
        <v>25</v>
      </c>
      <c r="C56" s="500" t="inlineStr">
        <is>
          <t>25_Exit_Scenarios</t>
        </is>
      </c>
      <c r="D56" s="481" t="inlineStr">
        <is>
          <t>7 маршрутов, weighted EV (стоимость предприятия) = 6 038</t>
        </is>
      </c>
      <c r="E56" s="186"/>
      <c r="F56" s="186"/>
      <c r="G56" s="186"/>
      <c r="H56" s="186"/>
      <c r="I56" s="186"/>
      <c r="J56" s="186"/>
      <c r="K56" s="186"/>
      <c r="L56" s="186"/>
      <c r="M56" s="186"/>
      <c r="N56" s="187"/>
    </row>
    <row r="58" ht="22" customHeight="1">
      <c r="B58" s="501" t="inlineStr">
        <is>
          <t>H. RISK &amp; SENSITIVITY (РИСКИ И ЧУВСТВИТЕЛЬНОСТЬ)</t>
        </is>
      </c>
    </row>
    <row r="60" ht="18" customHeight="1">
      <c r="B60" s="497" t="inlineStr">
        <is>
          <t>#</t>
        </is>
      </c>
      <c r="C60" s="498" t="inlineStr">
        <is>
          <t>Лист / Sheet</t>
        </is>
      </c>
      <c r="D60" s="498" t="inlineStr">
        <is>
          <t>Описание</t>
        </is>
      </c>
      <c r="E60" s="186"/>
      <c r="F60" s="186"/>
      <c r="G60" s="186"/>
      <c r="H60" s="186"/>
      <c r="I60" s="186"/>
      <c r="J60" s="186"/>
      <c r="K60" s="186"/>
      <c r="L60" s="186"/>
      <c r="M60" s="186"/>
      <c r="N60" s="187"/>
    </row>
    <row r="61" ht="20" customHeight="1">
      <c r="B61" s="491" t="n">
        <v>26</v>
      </c>
      <c r="C61" s="500" t="inlineStr">
        <is>
          <t>26_Sensitivity</t>
        </is>
      </c>
      <c r="D61" s="481" t="inlineStr">
        <is>
          <t>Tornado ±20% по 8 переменным</t>
        </is>
      </c>
      <c r="E61" s="186"/>
      <c r="F61" s="186"/>
      <c r="G61" s="186"/>
      <c r="H61" s="186"/>
      <c r="I61" s="186"/>
      <c r="J61" s="186"/>
      <c r="K61" s="186"/>
      <c r="L61" s="186"/>
      <c r="M61" s="186"/>
      <c r="N61" s="187"/>
    </row>
    <row r="62" ht="20" customHeight="1">
      <c r="B62" s="491" t="n">
        <v>27</v>
      </c>
      <c r="C62" s="500" t="inlineStr">
        <is>
          <t>27_Scenario_Analysis</t>
        </is>
      </c>
      <c r="D62" s="481" t="inlineStr">
        <is>
          <t>5 сценариев Worst → Best</t>
        </is>
      </c>
      <c r="E62" s="186"/>
      <c r="F62" s="186"/>
      <c r="G62" s="186"/>
      <c r="H62" s="186"/>
      <c r="I62" s="186"/>
      <c r="J62" s="186"/>
      <c r="K62" s="186"/>
      <c r="L62" s="186"/>
      <c r="M62" s="186"/>
      <c r="N62" s="187"/>
    </row>
    <row r="63" ht="20" customHeight="1">
      <c r="B63" s="491" t="n">
        <v>28</v>
      </c>
      <c r="C63" s="500" t="inlineStr">
        <is>
          <t>28_Monte_Carlo_Summary</t>
        </is>
      </c>
      <c r="D63" s="481" t="inlineStr">
        <is>
          <t>MC n=1000, VaR 95% = 561</t>
        </is>
      </c>
      <c r="E63" s="186"/>
      <c r="F63" s="186"/>
      <c r="G63" s="186"/>
      <c r="H63" s="186"/>
      <c r="I63" s="186"/>
      <c r="J63" s="186"/>
      <c r="K63" s="186"/>
      <c r="L63" s="186"/>
      <c r="M63" s="186"/>
      <c r="N63" s="187"/>
    </row>
    <row r="64" ht="20" customHeight="1">
      <c r="B64" s="491" t="n">
        <v>29</v>
      </c>
      <c r="C64" s="500" t="inlineStr">
        <is>
          <t>29_Risk_Register</t>
        </is>
      </c>
      <c r="D64" s="481" t="inlineStr">
        <is>
          <t>30 рисков × 5 категорий, heat map 5×5</t>
        </is>
      </c>
      <c r="E64" s="186"/>
      <c r="F64" s="186"/>
      <c r="G64" s="186"/>
      <c r="H64" s="186"/>
      <c r="I64" s="186"/>
      <c r="J64" s="186"/>
      <c r="K64" s="186"/>
      <c r="L64" s="186"/>
      <c r="M64" s="186"/>
      <c r="N64" s="187"/>
    </row>
    <row r="66" ht="22" customHeight="1">
      <c r="B66" s="501" t="inlineStr">
        <is>
          <t>I.  РЫНОК И БЕНЧМАРКИ (РЫНОК И БЕНЧМАРКИ)</t>
        </is>
      </c>
    </row>
    <row r="68" ht="18" customHeight="1">
      <c r="B68" s="497" t="inlineStr">
        <is>
          <t>#</t>
        </is>
      </c>
      <c r="C68" s="498" t="inlineStr">
        <is>
          <t>Лист / Sheet</t>
        </is>
      </c>
      <c r="D68" s="498" t="inlineStr">
        <is>
          <t>Описание</t>
        </is>
      </c>
      <c r="E68" s="186"/>
      <c r="F68" s="186"/>
      <c r="G68" s="186"/>
      <c r="H68" s="186"/>
      <c r="I68" s="186"/>
      <c r="J68" s="186"/>
      <c r="K68" s="186"/>
      <c r="L68" s="186"/>
      <c r="M68" s="186"/>
      <c r="N68" s="187"/>
    </row>
    <row r="69" ht="20" customHeight="1">
      <c r="B69" s="491" t="n">
        <v>30</v>
      </c>
      <c r="C69" s="500" t="inlineStr">
        <is>
          <t>30_Market_Analysis</t>
        </is>
      </c>
      <c r="D69" s="481" t="inlineStr">
        <is>
          <t>TAM 289.8 / SAM 118 / SOM 4.545</t>
        </is>
      </c>
      <c r="E69" s="186"/>
      <c r="F69" s="186"/>
      <c r="G69" s="186"/>
      <c r="H69" s="186"/>
      <c r="I69" s="186"/>
      <c r="J69" s="186"/>
      <c r="K69" s="186"/>
      <c r="L69" s="186"/>
      <c r="M69" s="186"/>
      <c r="N69" s="187"/>
    </row>
    <row r="70" ht="20" customHeight="1">
      <c r="B70" s="491" t="n">
        <v>31</v>
      </c>
      <c r="C70" s="500" t="inlineStr">
        <is>
          <t>31_Benchmarks</t>
        </is>
      </c>
      <c r="D70" s="481" t="inlineStr">
        <is>
          <t>8 OP KPI (ключевые показатели) + 7 FIN KPI + 6 multiples</t>
        </is>
      </c>
      <c r="E70" s="186"/>
      <c r="F70" s="186"/>
      <c r="G70" s="186"/>
      <c r="H70" s="186"/>
      <c r="I70" s="186"/>
      <c r="J70" s="186"/>
      <c r="K70" s="186"/>
      <c r="L70" s="186"/>
      <c r="M70" s="186"/>
      <c r="N70" s="187"/>
    </row>
    <row r="71" ht="20" customHeight="1">
      <c r="B71" s="491" t="n">
        <v>32</v>
      </c>
      <c r="C71" s="500" t="inlineStr">
        <is>
          <t>32_Comparable_Transactions</t>
        </is>
      </c>
      <c r="D71" s="481" t="inlineStr">
        <is>
          <t>10 RU + 10 Global precedent (мировых прецедентов)</t>
        </is>
      </c>
      <c r="E71" s="186"/>
      <c r="F71" s="186"/>
      <c r="G71" s="186"/>
      <c r="H71" s="186"/>
      <c r="I71" s="186"/>
      <c r="J71" s="186"/>
      <c r="K71" s="186"/>
      <c r="L71" s="186"/>
      <c r="M71" s="186"/>
      <c r="N71" s="187"/>
    </row>
    <row r="73" ht="22" customHeight="1">
      <c r="B73" s="501" t="inlineStr">
        <is>
          <t>J. GOV &amp; TAX &amp; ROADMAP (УПРАВЛЕНИЕ, НАЛОГИ, ДОРОЖНАЯ КАРТА)</t>
        </is>
      </c>
    </row>
    <row r="75" ht="18" customHeight="1">
      <c r="B75" s="497" t="inlineStr">
        <is>
          <t>#</t>
        </is>
      </c>
      <c r="C75" s="498" t="inlineStr">
        <is>
          <t>Лист / Sheet</t>
        </is>
      </c>
      <c r="D75" s="498" t="inlineStr">
        <is>
          <t>Описание</t>
        </is>
      </c>
      <c r="E75" s="186"/>
      <c r="F75" s="186"/>
      <c r="G75" s="186"/>
      <c r="H75" s="186"/>
      <c r="I75" s="186"/>
      <c r="J75" s="186"/>
      <c r="K75" s="186"/>
      <c r="L75" s="186"/>
      <c r="M75" s="186"/>
      <c r="N75" s="187"/>
    </row>
    <row r="76" ht="20" customHeight="1">
      <c r="B76" s="491" t="n">
        <v>33</v>
      </c>
      <c r="C76" s="500" t="inlineStr">
        <is>
          <t>33_Gov_KPI</t>
        </is>
      </c>
      <c r="D76" s="481" t="inlineStr">
        <is>
          <t>6 нац. проектов + 10 KPI (ключевые показатели) + 5 источников 1 040</t>
        </is>
      </c>
      <c r="E76" s="186"/>
      <c r="F76" s="186"/>
      <c r="G76" s="186"/>
      <c r="H76" s="186"/>
      <c r="I76" s="186"/>
      <c r="J76" s="186"/>
      <c r="K76" s="186"/>
      <c r="L76" s="186"/>
      <c r="M76" s="186"/>
      <c r="N76" s="187"/>
    </row>
    <row r="77" ht="20" customHeight="1">
      <c r="B77" s="491" t="n">
        <v>34</v>
      </c>
      <c r="C77" s="500" t="inlineStr">
        <is>
          <t>34_Tax_Schedule</t>
        </is>
      </c>
      <c r="D77" s="481" t="inlineStr">
        <is>
          <t>9 налогов × 12Q, Σ 7Y = 720</t>
        </is>
      </c>
      <c r="E77" s="186"/>
      <c r="F77" s="186"/>
      <c r="G77" s="186"/>
      <c r="H77" s="186"/>
      <c r="I77" s="186"/>
      <c r="J77" s="186"/>
      <c r="K77" s="186"/>
      <c r="L77" s="186"/>
      <c r="M77" s="186"/>
      <c r="N77" s="187"/>
    </row>
    <row r="78" ht="20" customHeight="1">
      <c r="B78" s="491" t="n">
        <v>35</v>
      </c>
      <c r="C78" s="500" t="inlineStr">
        <is>
          <t>35_Roadmap_2026_2032</t>
        </is>
      </c>
      <c r="D78" s="481" t="inlineStr">
        <is>
          <t>Gantt 12×16 + fundraising (фандрайзинг) + exit (выход)</t>
        </is>
      </c>
      <c r="E78" s="186"/>
      <c r="F78" s="186"/>
      <c r="G78" s="186"/>
      <c r="H78" s="186"/>
      <c r="I78" s="186"/>
      <c r="J78" s="186"/>
      <c r="K78" s="186"/>
      <c r="L78" s="186"/>
      <c r="M78" s="186"/>
      <c r="N78" s="187"/>
    </row>
    <row r="80" ht="22" customHeight="1">
      <c r="B80" s="466" t="inlineStr">
        <is>
          <t>K. SUMMARY &amp; GLOSSARY (РЕЗЮМЕ И ГЛОССАРИЙ)</t>
        </is>
      </c>
    </row>
    <row r="82" ht="18" customHeight="1">
      <c r="B82" s="497" t="inlineStr">
        <is>
          <t>#</t>
        </is>
      </c>
      <c r="C82" s="498" t="inlineStr">
        <is>
          <t>Лист / Sheet</t>
        </is>
      </c>
      <c r="D82" s="498" t="inlineStr">
        <is>
          <t>Описание</t>
        </is>
      </c>
      <c r="E82" s="186"/>
      <c r="F82" s="186"/>
      <c r="G82" s="186"/>
      <c r="H82" s="186"/>
      <c r="I82" s="186"/>
      <c r="J82" s="186"/>
      <c r="K82" s="186"/>
      <c r="L82" s="186"/>
      <c r="M82" s="186"/>
      <c r="N82" s="187"/>
    </row>
    <row r="83" ht="20" customHeight="1">
      <c r="B83" s="491" t="n">
        <v>36</v>
      </c>
      <c r="C83" s="500" t="inlineStr">
        <is>
          <t>36_Executive_Summary</t>
        </is>
      </c>
      <c r="D83" s="481" t="inlineStr">
        <is>
          <t>6 разделов + Valuation Range Interpretation</t>
        </is>
      </c>
      <c r="E83" s="186"/>
      <c r="F83" s="186"/>
      <c r="G83" s="186"/>
      <c r="H83" s="186"/>
      <c r="I83" s="186"/>
      <c r="J83" s="186"/>
      <c r="K83" s="186"/>
      <c r="L83" s="186"/>
      <c r="M83" s="186"/>
      <c r="N83" s="187"/>
    </row>
    <row r="84" ht="20" customHeight="1">
      <c r="B84" s="491" t="n">
        <v>37</v>
      </c>
      <c r="C84" s="500" t="inlineStr">
        <is>
          <t>37_Glossary</t>
        </is>
      </c>
      <c r="D84" s="481" t="inlineStr">
        <is>
          <t>62 термина × 5 категорий</t>
        </is>
      </c>
      <c r="E84" s="186"/>
      <c r="F84" s="186"/>
      <c r="G84" s="186"/>
      <c r="H84" s="186"/>
      <c r="I84" s="186"/>
      <c r="J84" s="186"/>
      <c r="K84" s="186"/>
      <c r="L84" s="186"/>
      <c r="M84" s="186"/>
      <c r="N84" s="187"/>
    </row>
    <row r="85" ht="20" customHeight="1">
      <c r="B85" s="491" t="n">
        <v>38</v>
      </c>
      <c r="C85" s="500" t="inlineStr">
        <is>
          <t>38_Notes_and_Sources</t>
        </is>
      </c>
      <c r="D85" s="481" t="inlineStr">
        <is>
          <t>Методология + источники + disclaimers</t>
        </is>
      </c>
      <c r="E85" s="186"/>
      <c r="F85" s="186"/>
      <c r="G85" s="186"/>
      <c r="H85" s="186"/>
      <c r="I85" s="186"/>
      <c r="J85" s="186"/>
      <c r="K85" s="186"/>
      <c r="L85" s="186"/>
      <c r="M85" s="186"/>
      <c r="N85" s="187"/>
    </row>
    <row r="87" ht="22" customHeight="1">
      <c r="B87" s="466" t="inlineStr">
        <is>
          <t>L. SERVICE (СЕРВИС)</t>
        </is>
      </c>
    </row>
    <row r="89" ht="18" customHeight="1">
      <c r="B89" s="497" t="inlineStr">
        <is>
          <t>#</t>
        </is>
      </c>
      <c r="C89" s="498" t="inlineStr">
        <is>
          <t>Лист / Sheet</t>
        </is>
      </c>
      <c r="D89" s="498" t="inlineStr">
        <is>
          <t>Описание</t>
        </is>
      </c>
      <c r="E89" s="186"/>
      <c r="F89" s="186"/>
      <c r="G89" s="186"/>
      <c r="H89" s="186"/>
      <c r="I89" s="186"/>
      <c r="J89" s="186"/>
      <c r="K89" s="186"/>
      <c r="L89" s="186"/>
      <c r="M89" s="186"/>
      <c r="N89" s="187"/>
    </row>
    <row r="90" ht="20" customHeight="1">
      <c r="B90" s="491" t="n">
        <v>39</v>
      </c>
      <c r="C90" s="500" t="inlineStr">
        <is>
          <t>39_TOC</t>
        </is>
      </c>
      <c r="D90" s="481" t="inlineStr">
        <is>
          <t>Table of Contents (Содержание)</t>
        </is>
      </c>
      <c r="E90" s="186"/>
      <c r="F90" s="186"/>
      <c r="G90" s="186"/>
      <c r="H90" s="186"/>
      <c r="I90" s="186"/>
      <c r="J90" s="186"/>
      <c r="K90" s="186"/>
      <c r="L90" s="186"/>
      <c r="M90" s="186"/>
      <c r="N90" s="187"/>
    </row>
    <row r="91" ht="20" customHeight="1">
      <c r="B91" s="491" t="n">
        <v>40</v>
      </c>
      <c r="C91" s="500" t="inlineStr">
        <is>
          <t>40_Investor_Checklist</t>
        </is>
      </c>
      <c r="D91" s="481" t="inlineStr">
        <is>
          <t>DD checklist для инвестора</t>
        </is>
      </c>
      <c r="E91" s="186"/>
      <c r="F91" s="186"/>
      <c r="G91" s="186"/>
      <c r="H91" s="186"/>
      <c r="I91" s="186"/>
      <c r="J91" s="186"/>
      <c r="K91" s="186"/>
      <c r="L91" s="186"/>
      <c r="M91" s="186"/>
      <c r="N91" s="187"/>
    </row>
    <row r="92" ht="20" customHeight="1">
      <c r="B92" s="491" t="n">
        <v>41</v>
      </c>
      <c r="C92" s="500" t="inlineStr">
        <is>
          <t>41_Print_Setup</t>
        </is>
      </c>
      <c r="D92" s="481" t="inlineStr">
        <is>
          <t>Print areas (Области печати) + page breaks (разрывы страниц)</t>
        </is>
      </c>
      <c r="E92" s="186"/>
      <c r="F92" s="186"/>
      <c r="G92" s="186"/>
      <c r="H92" s="186"/>
      <c r="I92" s="186"/>
      <c r="J92" s="186"/>
      <c r="K92" s="186"/>
      <c r="L92" s="186"/>
      <c r="M92" s="186"/>
      <c r="N92" s="187"/>
    </row>
    <row r="93" ht="20" customHeight="1">
      <c r="B93" s="491" t="n">
        <v>42</v>
      </c>
      <c r="C93" s="500" t="inlineStr">
        <is>
          <t>42_Cover_Letter</t>
        </is>
      </c>
      <c r="D93" s="481" t="inlineStr">
        <is>
          <t>Сопроводительное письмо для LP (ограниченный партнёр)</t>
        </is>
      </c>
      <c r="E93" s="186"/>
      <c r="F93" s="186"/>
      <c r="G93" s="186"/>
      <c r="H93" s="186"/>
      <c r="I93" s="186"/>
      <c r="J93" s="186"/>
      <c r="K93" s="186"/>
      <c r="L93" s="186"/>
      <c r="M93" s="186"/>
      <c r="N93" s="187"/>
    </row>
    <row r="95" ht="18" customHeight="1">
      <c r="B95" s="482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53:N53"/>
    <mergeCell ref="D91:N91"/>
    <mergeCell ref="D47:N47"/>
    <mergeCell ref="D16:N16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15:N15"/>
    <mergeCell ref="D68:N68"/>
    <mergeCell ref="B73:N73"/>
    <mergeCell ref="D55:N55"/>
    <mergeCell ref="D82:N82"/>
    <mergeCell ref="D42:N42"/>
    <mergeCell ref="B44:N44"/>
    <mergeCell ref="D38:N38"/>
    <mergeCell ref="B19:N19"/>
    <mergeCell ref="D89:N89"/>
    <mergeCell ref="D29:N29"/>
    <mergeCell ref="D85:N85"/>
    <mergeCell ref="D23:N23"/>
    <mergeCell ref="B34:N34"/>
    <mergeCell ref="D14:N14"/>
  </mergeCells>
  <hyperlinks>
    <hyperlink ref="C8" ns1:id="rId1"/>
    <hyperlink ref="C9" ns1:id="rId2"/>
    <hyperlink ref="C10" ns1:id="rId3"/>
    <hyperlink ref="C15" ns1:id="rId4"/>
    <hyperlink ref="C16" ns1:id="rId5"/>
    <hyperlink ref="C17" ns1:id="rId6"/>
    <hyperlink ref="C22" ns1:id="rId7"/>
    <hyperlink ref="C23" ns1:id="rId8"/>
    <hyperlink ref="C28" ns1:id="rId9"/>
    <hyperlink ref="C29" ns1:id="rId10"/>
    <hyperlink ref="C30" ns1:id="rId11"/>
    <hyperlink ref="C31" ns1:id="rId12"/>
    <hyperlink ref="C32" ns1:id="rId13"/>
    <hyperlink ref="C37" ns1:id="rId14"/>
    <hyperlink ref="C38" ns1:id="rId15"/>
    <hyperlink ref="C39" ns1:id="rId16"/>
    <hyperlink ref="C40" ns1:id="rId17"/>
    <hyperlink ref="C41" ns1:id="rId18"/>
    <hyperlink ref="C42" ns1:id="rId19"/>
    <hyperlink ref="C47" ns1:id="rId20"/>
    <hyperlink ref="C48" ns1:id="rId21"/>
    <hyperlink ref="C53" ns1:id="rId22"/>
    <hyperlink ref="C54" ns1:id="rId23"/>
    <hyperlink ref="C55" ns1:id="rId24"/>
    <hyperlink ref="C56" ns1:id="rId25"/>
    <hyperlink ref="C61" ns1:id="rId26"/>
    <hyperlink ref="C62" ns1:id="rId27"/>
    <hyperlink ref="C63" ns1:id="rId28"/>
    <hyperlink ref="C64" ns1:id="rId29"/>
    <hyperlink ref="C69" ns1:id="rId30"/>
    <hyperlink ref="C70" ns1:id="rId31"/>
    <hyperlink ref="C71" ns1:id="rId32"/>
    <hyperlink ref="C76" ns1:id="rId33"/>
    <hyperlink ref="C77" ns1:id="rId34"/>
    <hyperlink ref="C78" ns1:id="rId35"/>
    <hyperlink ref="C83" ns1:id="rId36"/>
    <hyperlink ref="C84" ns1:id="rId37"/>
    <hyperlink ref="C85" ns1:id="rId38"/>
    <hyperlink ref="C90" ns1:id="rId39"/>
    <hyperlink ref="C91" ns1:id="rId40"/>
    <hyperlink ref="C92" ns1:id="rId41"/>
    <hyperlink ref="C93" ns1:id="rId42"/>
  </hyperlinks>
  <printOptions horizontalCentered="1"/>
  <pageMargins left="0.59" right="0.59" top="0.59" bottom="0.59" header="0.3" footer="0.3"/>
  <pageSetup orientation="portrait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5" customWidth="1" min="3" max="3"/>
    <col width="6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ИНВЕСТОР (ИНВЕСТОР) DUE DILIGENCE CHECKLIST (ЧЕК-ЛИСТ КОМПЛЕКСНОЙ ПРОВЕРКИ)</t>
        </is>
      </c>
    </row>
    <row r="3" ht="18" customHeight="1">
      <c r="B3" s="457" t="inlineStr">
        <is>
          <t>62 пункта × 8 блоков — для проверки инвестором перед закрытием</t>
        </is>
      </c>
    </row>
    <row r="5" ht="22" customHeight="1">
      <c r="B5" s="321" t="inlineStr">
        <is>
          <t>#</t>
        </is>
      </c>
      <c r="C5" s="321" t="inlineStr">
        <is>
          <t>✓</t>
        </is>
      </c>
      <c r="D5" s="321" t="inlineStr">
        <is>
          <t>Пункт проверки</t>
        </is>
      </c>
      <c r="E5" s="186"/>
      <c r="F5" s="186"/>
      <c r="G5" s="186"/>
      <c r="H5" s="186"/>
      <c r="I5" s="186"/>
      <c r="J5" s="186"/>
      <c r="K5" s="186"/>
      <c r="L5" s="187"/>
      <c r="M5" s="321" t="inlineStr">
        <is>
          <t>Источник в модели</t>
        </is>
      </c>
      <c r="N5" s="187"/>
    </row>
    <row r="6" ht="20" customHeight="1">
      <c r="B6" s="502" t="inlineStr">
        <is>
          <t>A. БИЗНЕС-МОДЕЛЬ</t>
        </is>
      </c>
    </row>
    <row r="7" ht="22" customHeight="1">
      <c r="B7" s="486" t="n">
        <v>1</v>
      </c>
      <c r="C7" s="504" t="inlineStr">
        <is>
          <t>☐</t>
        </is>
      </c>
      <c r="D7" s="481" t="inlineStr">
        <is>
          <t>Проверить dual metric reconciliation (GAAP (стандарты бухучёта) EBITDA (прибыль до вычетов) 2 152 vs NDP (чистые распределяемые поступления) 3 000)</t>
        </is>
      </c>
      <c r="E7" s="186"/>
      <c r="F7" s="186"/>
      <c r="G7" s="186"/>
      <c r="H7" s="186"/>
      <c r="I7" s="186"/>
      <c r="J7" s="186"/>
      <c r="K7" s="186"/>
      <c r="L7" s="187"/>
      <c r="M7" s="505" t="inlineStr">
        <is>
          <t>09_P&amp;L_Statement</t>
        </is>
      </c>
      <c r="N7" s="187"/>
    </row>
    <row r="8" ht="22" customHeight="1">
      <c r="B8" s="486" t="n">
        <v>2</v>
      </c>
      <c r="C8" s="504" t="inlineStr">
        <is>
          <t>☐</t>
        </is>
      </c>
      <c r="D8" s="481" t="inlineStr">
        <is>
          <t>Верифицировать Revenue (Выручка) split (разделение) (Box Office (Кассовые сборы) 55% / OTT (онлайн-платформа) 25% / мерч 8% / интл 7% / sequel 5%)</t>
        </is>
      </c>
      <c r="E8" s="186"/>
      <c r="F8" s="186"/>
      <c r="G8" s="186"/>
      <c r="H8" s="186"/>
      <c r="I8" s="186"/>
      <c r="J8" s="186"/>
      <c r="K8" s="186"/>
      <c r="L8" s="187"/>
      <c r="M8" s="505" t="inlineStr">
        <is>
          <t>07_Revenue_Breakdown</t>
        </is>
      </c>
      <c r="N8" s="187"/>
    </row>
    <row r="9" ht="22" customHeight="1">
      <c r="B9" s="486" t="n">
        <v>3</v>
      </c>
      <c r="C9" s="504" t="inlineStr">
        <is>
          <t>☐</t>
        </is>
      </c>
      <c r="D9" s="481" t="inlineStr">
        <is>
          <t>Проверить структуру COGS (себестоимость)</t>
        </is>
      </c>
      <c r="E9" s="186"/>
      <c r="F9" s="186"/>
      <c r="G9" s="186"/>
      <c r="H9" s="186"/>
      <c r="I9" s="186"/>
      <c r="J9" s="186"/>
      <c r="K9" s="186"/>
      <c r="L9" s="187"/>
      <c r="M9" s="505" t="inlineStr">
        <is>
          <t>06_Cost_Structure</t>
        </is>
      </c>
      <c r="N9" s="187"/>
    </row>
    <row r="10" ht="22" customHeight="1">
      <c r="B10" s="486" t="n">
        <v>4</v>
      </c>
      <c r="C10" s="504" t="inlineStr">
        <is>
          <t>☐</t>
        </is>
      </c>
      <c r="D10" s="481" t="inlineStr">
        <is>
          <t>Подтвердить пайплайн 7 проектов × средний бюджет 264 млн ₽</t>
        </is>
      </c>
      <c r="E10" s="186"/>
      <c r="F10" s="186"/>
      <c r="G10" s="186"/>
      <c r="H10" s="186"/>
      <c r="I10" s="186"/>
      <c r="J10" s="186"/>
      <c r="K10" s="186"/>
      <c r="L10" s="187"/>
      <c r="M10" s="505" t="inlineStr">
        <is>
          <t>08_Content_Pipeline</t>
        </is>
      </c>
      <c r="N10" s="187"/>
    </row>
    <row r="11" ht="22" customHeight="1">
      <c r="B11" s="486" t="n">
        <v>5</v>
      </c>
      <c r="C11" s="504" t="inlineStr">
        <is>
          <t>☐</t>
        </is>
      </c>
      <c r="D11" s="481" t="inlineStr">
        <is>
          <t>Оценить library value (tail (хвостовой период) revenue 1 050 млн ₽ 2029–2032)</t>
        </is>
      </c>
      <c r="E11" s="186"/>
      <c r="F11" s="186"/>
      <c r="G11" s="186"/>
      <c r="H11" s="186"/>
      <c r="I11" s="186"/>
      <c r="J11" s="186"/>
      <c r="K11" s="186"/>
      <c r="L11" s="187"/>
      <c r="M11" s="505" t="inlineStr">
        <is>
          <t>07_Revenue_Breakdown</t>
        </is>
      </c>
      <c r="N11" s="187"/>
    </row>
    <row r="13" ht="20" customHeight="1">
      <c r="B13" s="502" t="inlineStr">
        <is>
          <t>B. ФИНАНСОВАЯ СТРУКТУРА</t>
        </is>
      </c>
    </row>
    <row r="14" ht="22" customHeight="1">
      <c r="B14" s="486" t="n">
        <v>6</v>
      </c>
      <c r="C14" s="504" t="inlineStr">
        <is>
          <t>☐</t>
        </is>
      </c>
      <c r="D14" s="481" t="inlineStr">
        <is>
          <t>Инвестиция T₁ = 1 250 млн ₽ в 4 транша (20/28/28/24%) — milestone mapping</t>
        </is>
      </c>
      <c r="E14" s="186"/>
      <c r="F14" s="186"/>
      <c r="G14" s="186"/>
      <c r="H14" s="186"/>
      <c r="I14" s="186"/>
      <c r="J14" s="186"/>
      <c r="K14" s="186"/>
      <c r="L14" s="187"/>
      <c r="M14" s="505" t="inlineStr">
        <is>
          <t>14_Investment_Inflow</t>
        </is>
      </c>
      <c r="N14" s="187"/>
    </row>
    <row r="15" ht="22" customHeight="1">
      <c r="B15" s="486" t="n">
        <v>7</v>
      </c>
      <c r="C15" s="504" t="inlineStr">
        <is>
          <t>☐</t>
        </is>
      </c>
      <c r="D15" s="481" t="inlineStr">
        <is>
          <t>Producer equity (капитал продюсера) 600 млн ₽ — подтвердить off-P&amp;L статус (JV (совместное предприятие) capital (капитал))</t>
        </is>
      </c>
      <c r="E15" s="186"/>
      <c r="F15" s="186"/>
      <c r="G15" s="186"/>
      <c r="H15" s="186"/>
      <c r="I15" s="186"/>
      <c r="J15" s="186"/>
      <c r="K15" s="186"/>
      <c r="L15" s="187"/>
      <c r="M15" s="505" t="inlineStr">
        <is>
          <t>17_Deal_Structures</t>
        </is>
      </c>
      <c r="N15" s="187"/>
    </row>
    <row r="16" ht="22" customHeight="1">
      <c r="B16" s="486" t="n">
        <v>8</v>
      </c>
      <c r="C16" s="504" t="inlineStr">
        <is>
          <t>☐</t>
        </is>
      </c>
      <c r="D16" s="481" t="inlineStr">
        <is>
          <t>Cap Table (Таблица капитализации) pre-money / post-money structure</t>
        </is>
      </c>
      <c r="E16" s="186"/>
      <c r="F16" s="186"/>
      <c r="G16" s="186"/>
      <c r="H16" s="186"/>
      <c r="I16" s="186"/>
      <c r="J16" s="186"/>
      <c r="K16" s="186"/>
      <c r="L16" s="187"/>
      <c r="M16" s="505" t="inlineStr">
        <is>
          <t>18_Cap_Table</t>
        </is>
      </c>
      <c r="N16" s="187"/>
    </row>
    <row r="17" ht="22" customHeight="1">
      <c r="B17" s="486" t="n">
        <v>9</v>
      </c>
      <c r="C17" s="504" t="inlineStr">
        <is>
          <t>☐</t>
        </is>
      </c>
      <c r="D17" s="481" t="inlineStr">
        <is>
          <t>Waterfall (Каскад) W₅ V-D ★ default (по умолчанию) v1.0.1 (1× Liq Pref (Ликвидационная привилегия) + 12% pref × 5y + catch-up 70/30 + carry 60/40); legacy (базовый вариант) W₃ (8% coupon (купон)) и W₄ premium (премия) (12% pref + 65/35) доступны как опции</t>
        </is>
      </c>
      <c r="E17" s="186"/>
      <c r="F17" s="186"/>
      <c r="G17" s="186"/>
      <c r="H17" s="186"/>
      <c r="I17" s="186"/>
      <c r="J17" s="186"/>
      <c r="K17" s="186"/>
      <c r="L17" s="187"/>
      <c r="M17" s="505" t="inlineStr">
        <is>
          <t>19_Waterfall</t>
        </is>
      </c>
      <c r="N17" s="187"/>
    </row>
    <row r="18" ht="22" customHeight="1">
      <c r="B18" s="486" t="n">
        <v>10</v>
      </c>
      <c r="C18" s="504" t="inlineStr">
        <is>
          <t>☐</t>
        </is>
      </c>
      <c r="D18" s="481" t="inlineStr">
        <is>
          <t>Use of Funds (Использование средств) — привязка каждого рубля к статье</t>
        </is>
      </c>
      <c r="E18" s="186"/>
      <c r="F18" s="186"/>
      <c r="G18" s="186"/>
      <c r="H18" s="186"/>
      <c r="I18" s="186"/>
      <c r="J18" s="186"/>
      <c r="K18" s="186"/>
      <c r="L18" s="187"/>
      <c r="M18" s="505" t="inlineStr">
        <is>
          <t>15_Use_of_Funds</t>
        </is>
      </c>
      <c r="N18" s="187"/>
    </row>
    <row r="19" ht="22" customHeight="1">
      <c r="B19" s="486" t="n">
        <v>11</v>
      </c>
      <c r="C19" s="504" t="inlineStr">
        <is>
          <t>☐</t>
        </is>
      </c>
      <c r="D19" s="481" t="inlineStr">
        <is>
          <t>CAPEX (Капзатраты) schedule — все CAPEX ≤ 100 млн ₽ за 3 года</t>
        </is>
      </c>
      <c r="E19" s="186"/>
      <c r="F19" s="186"/>
      <c r="G19" s="186"/>
      <c r="H19" s="186"/>
      <c r="I19" s="186"/>
      <c r="J19" s="186"/>
      <c r="K19" s="186"/>
      <c r="L19" s="187"/>
      <c r="M19" s="505" t="inlineStr">
        <is>
          <t>16_CAPEX_Schedule</t>
        </is>
      </c>
      <c r="N19" s="187"/>
    </row>
    <row r="21" ht="20" customHeight="1">
      <c r="B21" s="502" t="inlineStr">
        <is>
          <t>C. ОЦЕНКА</t>
        </is>
      </c>
    </row>
    <row r="22" ht="22" customHeight="1">
      <c r="B22" s="490" t="n">
        <v>12</v>
      </c>
      <c r="C22" s="504" t="inlineStr">
        <is>
          <t>☐</t>
        </is>
      </c>
      <c r="D22" s="481" t="inlineStr">
        <is>
          <t>DCF (дисконтированный денежный поток) blend 40% Gordon + 60% Exit Multiple (Мультипликатор выхода) — логика и параметры</t>
        </is>
      </c>
      <c r="E22" s="186"/>
      <c r="F22" s="186"/>
      <c r="G22" s="186"/>
      <c r="H22" s="186"/>
      <c r="I22" s="186"/>
      <c r="J22" s="186"/>
      <c r="K22" s="186"/>
      <c r="L22" s="187"/>
      <c r="M22" s="505" t="inlineStr">
        <is>
          <t>22_Valuation_DCF</t>
        </is>
      </c>
      <c r="N22" s="187"/>
    </row>
    <row r="23" ht="22" customHeight="1">
      <c r="B23" s="490" t="n">
        <v>13</v>
      </c>
      <c r="C23" s="504" t="inlineStr">
        <is>
          <t>☐</t>
        </is>
      </c>
      <c r="D23" s="481" t="inlineStr">
        <is>
          <t>WACC (средневзвешенная стоимость капитала) 19% — justify страновой risk и execution</t>
        </is>
      </c>
      <c r="E23" s="186"/>
      <c r="F23" s="186"/>
      <c r="G23" s="186"/>
      <c r="H23" s="186"/>
      <c r="I23" s="186"/>
      <c r="J23" s="186"/>
      <c r="K23" s="186"/>
      <c r="L23" s="187"/>
      <c r="M23" s="505" t="inlineStr">
        <is>
          <t>22_Valuation_DCF</t>
        </is>
      </c>
      <c r="N23" s="187"/>
    </row>
    <row r="24" ht="22" customHeight="1">
      <c r="B24" s="490" t="n">
        <v>14</v>
      </c>
      <c r="C24" s="504" t="inlineStr">
        <is>
          <t>☐</t>
        </is>
      </c>
      <c r="D24" s="481" t="inlineStr">
        <is>
          <t>Понять Valuation Range Interpretation (5 компонентов разрыва)</t>
        </is>
      </c>
      <c r="E24" s="186"/>
      <c r="F24" s="186"/>
      <c r="G24" s="186"/>
      <c r="H24" s="186"/>
      <c r="I24" s="186"/>
      <c r="J24" s="186"/>
      <c r="K24" s="186"/>
      <c r="L24" s="187"/>
      <c r="M24" s="505" t="inlineStr">
        <is>
          <t>36_Executive_Summary III</t>
        </is>
      </c>
      <c r="N24" s="187"/>
    </row>
    <row r="25" ht="22" customHeight="1">
      <c r="B25" s="490" t="n">
        <v>15</v>
      </c>
      <c r="C25" s="504" t="inlineStr">
        <is>
          <t>☐</t>
        </is>
      </c>
      <c r="D25" s="481" t="inlineStr">
        <is>
          <t>EV (стоимость предприятия)/EBITDA (прибыль до вычетов) multiples vs 32_Comparable_Transactions median 8.9×</t>
        </is>
      </c>
      <c r="E25" s="186"/>
      <c r="F25" s="186"/>
      <c r="G25" s="186"/>
      <c r="H25" s="186"/>
      <c r="I25" s="186"/>
      <c r="J25" s="186"/>
      <c r="K25" s="186"/>
      <c r="L25" s="187"/>
      <c r="M25" s="505" t="inlineStr">
        <is>
          <t>23_Valuation_Multiples</t>
        </is>
      </c>
      <c r="N25" s="187"/>
    </row>
    <row r="26" ht="22" customHeight="1">
      <c r="B26" s="490" t="n">
        <v>16</v>
      </c>
      <c r="C26" s="504" t="inlineStr">
        <is>
          <t>☐</t>
        </is>
      </c>
      <c r="D26" s="481" t="inlineStr">
        <is>
          <t>Weighted exit EV (стоимость предприятия) 6 038 = Σ (p × EV) по 7 маршрутам</t>
        </is>
      </c>
      <c r="E26" s="186"/>
      <c r="F26" s="186"/>
      <c r="G26" s="186"/>
      <c r="H26" s="186"/>
      <c r="I26" s="186"/>
      <c r="J26" s="186"/>
      <c r="K26" s="186"/>
      <c r="L26" s="187"/>
      <c r="M26" s="505" t="inlineStr">
        <is>
          <t>25_Exit_Scenarios</t>
        </is>
      </c>
      <c r="N26" s="187"/>
    </row>
    <row r="27" ht="22" customHeight="1">
      <c r="B27" s="490" t="n">
        <v>17</v>
      </c>
      <c r="C27" s="504" t="inlineStr">
        <is>
          <t>☐</t>
        </is>
      </c>
      <c r="D27" s="481" t="inlineStr">
        <is>
          <t>Проверить Investor Returns (Доходность инвестора): MOIC (мультипликатор вложенного капитала) 2.13× (W₅ V-D ★) / 2.00× (W₃ legacy (базовый вариант)) / 2.12× (W₄), IRR (внутренняя норма доходности) 24.75% (W₅ V-D vs hurdle (порог) 18%, margin (маржа) +6.75pp)</t>
        </is>
      </c>
      <c r="E27" s="186"/>
      <c r="F27" s="186"/>
      <c r="G27" s="186"/>
      <c r="H27" s="186"/>
      <c r="I27" s="186"/>
      <c r="J27" s="186"/>
      <c r="K27" s="186"/>
      <c r="L27" s="187"/>
      <c r="M27" s="505" t="inlineStr">
        <is>
          <t>24_Investor_Returns</t>
        </is>
      </c>
      <c r="N27" s="187"/>
    </row>
    <row r="29" ht="20" customHeight="1">
      <c r="B29" s="502" t="inlineStr">
        <is>
          <t>D. РИСКИ</t>
        </is>
      </c>
    </row>
    <row r="30" ht="22" customHeight="1">
      <c r="B30" s="506" t="n">
        <v>18</v>
      </c>
      <c r="C30" s="504" t="inlineStr">
        <is>
          <t>☐</t>
        </is>
      </c>
      <c r="D30" s="481" t="inlineStr">
        <is>
          <t>Top-5 рисков из 30 (R17 reclassified High score 12 в v1.0.1 — W₅ V-D Base (Базовый) = 24.75% (margin (маржа) к hurdle (порог)), Bear (Пессимистичный)=10.70% (структурный downside))</t>
        </is>
      </c>
      <c r="E30" s="186"/>
      <c r="F30" s="186"/>
      <c r="G30" s="186"/>
      <c r="H30" s="186"/>
      <c r="I30" s="186"/>
      <c r="J30" s="186"/>
      <c r="K30" s="186"/>
      <c r="L30" s="187"/>
      <c r="M30" s="505" t="inlineStr">
        <is>
          <t>29_Risk_Register</t>
        </is>
      </c>
      <c r="N30" s="187"/>
    </row>
    <row r="31" ht="22" customHeight="1">
      <c r="B31" s="506" t="n">
        <v>19</v>
      </c>
      <c r="C31" s="504" t="inlineStr">
        <is>
          <t>☐</t>
        </is>
      </c>
      <c r="D31" s="481" t="inlineStr">
        <is>
          <t>Heat map 5×5 — распределение риск-зон</t>
        </is>
      </c>
      <c r="E31" s="186"/>
      <c r="F31" s="186"/>
      <c r="G31" s="186"/>
      <c r="H31" s="186"/>
      <c r="I31" s="186"/>
      <c r="J31" s="186"/>
      <c r="K31" s="186"/>
      <c r="L31" s="187"/>
      <c r="M31" s="505" t="inlineStr">
        <is>
          <t>29_Risk_Register</t>
        </is>
      </c>
      <c r="N31" s="187"/>
    </row>
    <row r="32" ht="22" customHeight="1">
      <c r="B32" s="506" t="n">
        <v>20</v>
      </c>
      <c r="C32" s="504" t="inlineStr">
        <is>
          <t>☐</t>
        </is>
      </c>
      <c r="D32" s="481" t="inlineStr">
        <is>
          <t>Митигации для всех рисков с score ≥ 12</t>
        </is>
      </c>
      <c r="E32" s="186"/>
      <c r="F32" s="186"/>
      <c r="G32" s="186"/>
      <c r="H32" s="186"/>
      <c r="I32" s="186"/>
      <c r="J32" s="186"/>
      <c r="K32" s="186"/>
      <c r="L32" s="187"/>
      <c r="M32" s="505" t="inlineStr">
        <is>
          <t>29_Risk_Register</t>
        </is>
      </c>
      <c r="N32" s="187"/>
    </row>
    <row r="33" ht="22" customHeight="1">
      <c r="B33" s="506" t="n">
        <v>21</v>
      </c>
      <c r="C33" s="504" t="inlineStr">
        <is>
          <t>☐</t>
        </is>
      </c>
      <c r="D33" s="481" t="inlineStr">
        <is>
          <t>Monte Carlo (Монте-Карло) v1.0.1: N=5000, W₅ V-D ★ + A+C pattern (паттерн) 33/45/9/13, P(IRR (внутренняя норма доходности)&gt;18%) = 32.7%, VaR 95% NDP (чистые распределяемые поступления) shortfall, sensitivity grid 5×5</t>
        </is>
      </c>
      <c r="E33" s="186"/>
      <c r="F33" s="186"/>
      <c r="G33" s="186"/>
      <c r="H33" s="186"/>
      <c r="I33" s="186"/>
      <c r="J33" s="186"/>
      <c r="K33" s="186"/>
      <c r="L33" s="187"/>
      <c r="M33" s="505" t="inlineStr">
        <is>
          <t>28_Monte_Carlo_Summary</t>
        </is>
      </c>
      <c r="N33" s="187"/>
    </row>
    <row r="34" ht="22" customHeight="1">
      <c r="B34" s="506" t="n">
        <v>22</v>
      </c>
      <c r="C34" s="504" t="inlineStr">
        <is>
          <t>☐</t>
        </is>
      </c>
      <c r="D34" s="481" t="inlineStr">
        <is>
          <t>Tornado ±20% — главный драйвер EBITDA (прибыль до вычетов)</t>
        </is>
      </c>
      <c r="E34" s="186"/>
      <c r="F34" s="186"/>
      <c r="G34" s="186"/>
      <c r="H34" s="186"/>
      <c r="I34" s="186"/>
      <c r="J34" s="186"/>
      <c r="K34" s="186"/>
      <c r="L34" s="187"/>
      <c r="M34" s="505" t="inlineStr">
        <is>
          <t>26_Sensitivity</t>
        </is>
      </c>
      <c r="N34" s="187"/>
    </row>
    <row r="35" ht="22" customHeight="1">
      <c r="B35" s="506" t="n">
        <v>23</v>
      </c>
      <c r="C35" s="504" t="inlineStr">
        <is>
          <t>☐</t>
        </is>
      </c>
      <c r="D35" s="481" t="inlineStr">
        <is>
          <t>5 сценариев probability-weighted (Worst/Pess/Base (Базовый)/Opt/Best)</t>
        </is>
      </c>
      <c r="E35" s="186"/>
      <c r="F35" s="186"/>
      <c r="G35" s="186"/>
      <c r="H35" s="186"/>
      <c r="I35" s="186"/>
      <c r="J35" s="186"/>
      <c r="K35" s="186"/>
      <c r="L35" s="187"/>
      <c r="M35" s="505" t="inlineStr">
        <is>
          <t>27_Scenario_Analysis</t>
        </is>
      </c>
      <c r="N35" s="187"/>
    </row>
    <row r="37" ht="20" customHeight="1">
      <c r="B37" s="502" t="inlineStr">
        <is>
          <t>E. РЫНОК</t>
        </is>
      </c>
    </row>
    <row r="38" ht="22" customHeight="1">
      <c r="B38" s="488" t="n">
        <v>24</v>
      </c>
      <c r="C38" s="504" t="inlineStr">
        <is>
          <t>☐</t>
        </is>
      </c>
      <c r="D38" s="481" t="inlineStr">
        <is>
          <t>TAM 289,8 / SAM 118 / SOM 4,545 — обоснование определения SAM</t>
        </is>
      </c>
      <c r="E38" s="186"/>
      <c r="F38" s="186"/>
      <c r="G38" s="186"/>
      <c r="H38" s="186"/>
      <c r="I38" s="186"/>
      <c r="J38" s="186"/>
      <c r="K38" s="186"/>
      <c r="L38" s="187"/>
      <c r="M38" s="505" t="inlineStr">
        <is>
          <t>30_Market_Analysis</t>
        </is>
      </c>
      <c r="N38" s="187"/>
    </row>
    <row r="39" ht="22" customHeight="1">
      <c r="B39" s="488" t="n">
        <v>25</v>
      </c>
      <c r="C39" s="504" t="inlineStr">
        <is>
          <t>☐</t>
        </is>
      </c>
      <c r="D39" s="481" t="inlineStr">
        <is>
          <t>Benchmark (Бенчмарк): ТрендСтудио EBITDA (прибыль до вычетов) margin (маржа) 47.3% vs РФ median 20%</t>
        </is>
      </c>
      <c r="E39" s="186"/>
      <c r="F39" s="186"/>
      <c r="G39" s="186"/>
      <c r="H39" s="186"/>
      <c r="I39" s="186"/>
      <c r="J39" s="186"/>
      <c r="K39" s="186"/>
      <c r="L39" s="187"/>
      <c r="M39" s="505" t="inlineStr">
        <is>
          <t>31_Benchmarks</t>
        </is>
      </c>
      <c r="N39" s="187"/>
    </row>
    <row r="40" ht="22" customHeight="1">
      <c r="B40" s="488" t="n">
        <v>26</v>
      </c>
      <c r="C40" s="504" t="inlineStr">
        <is>
          <t>☐</t>
        </is>
      </c>
      <c r="D40" s="481" t="inlineStr">
        <is>
          <t>10 RU precedent transactions — EV (стоимость предприятия)/EBITDA (прибыль до вычетов) 8.0× median</t>
        </is>
      </c>
      <c r="E40" s="186"/>
      <c r="F40" s="186"/>
      <c r="G40" s="186"/>
      <c r="H40" s="186"/>
      <c r="I40" s="186"/>
      <c r="J40" s="186"/>
      <c r="K40" s="186"/>
      <c r="L40" s="187"/>
      <c r="M40" s="505" t="inlineStr">
        <is>
          <t>32_Comparable_Transactions</t>
        </is>
      </c>
      <c r="N40" s="187"/>
    </row>
    <row r="41" ht="22" customHeight="1">
      <c r="B41" s="488" t="n">
        <v>27</v>
      </c>
      <c r="C41" s="504" t="inlineStr">
        <is>
          <t>☐</t>
        </is>
      </c>
      <c r="D41" s="481" t="inlineStr">
        <is>
          <t>10 Global precedent (мир. прецедентов) — 9,8× медиана, blend 8,9×</t>
        </is>
      </c>
      <c r="E41" s="186"/>
      <c r="F41" s="186"/>
      <c r="G41" s="186"/>
      <c r="H41" s="186"/>
      <c r="I41" s="186"/>
      <c r="J41" s="186"/>
      <c r="K41" s="186"/>
      <c r="L41" s="187"/>
      <c r="M41" s="505" t="inlineStr">
        <is>
          <t>32_Comparable_Transactions</t>
        </is>
      </c>
      <c r="N41" s="187"/>
    </row>
    <row r="42" ht="22" customHeight="1">
      <c r="B42" s="488" t="n">
        <v>28</v>
      </c>
      <c r="C42" s="504" t="inlineStr">
        <is>
          <t>☐</t>
        </is>
      </c>
      <c r="D42" s="481" t="inlineStr">
        <is>
          <t>CAGR (среднегодовой темп роста) рынка 8.2% до 2028 — источник Росстат / Бюллетень</t>
        </is>
      </c>
      <c r="E42" s="186"/>
      <c r="F42" s="186"/>
      <c r="G42" s="186"/>
      <c r="H42" s="186"/>
      <c r="I42" s="186"/>
      <c r="J42" s="186"/>
      <c r="K42" s="186"/>
      <c r="L42" s="187"/>
      <c r="M42" s="505" t="inlineStr">
        <is>
          <t>30_Market_Analysis</t>
        </is>
      </c>
      <c r="N42" s="187"/>
    </row>
    <row r="44" ht="20" customHeight="1">
      <c r="B44" s="502" t="inlineStr">
        <is>
          <t>F. ГОС-ПОДДЕРЖКА И НАЛОГИ</t>
        </is>
      </c>
    </row>
    <row r="45" ht="22" customHeight="1">
      <c r="B45" s="491" t="n">
        <v>29</v>
      </c>
      <c r="C45" s="504" t="inlineStr">
        <is>
          <t>☐</t>
        </is>
      </c>
      <c r="D45" s="481" t="inlineStr">
        <is>
          <t>6 нац. проектов alignment</t>
        </is>
      </c>
      <c r="E45" s="186"/>
      <c r="F45" s="186"/>
      <c r="G45" s="186"/>
      <c r="H45" s="186"/>
      <c r="I45" s="186"/>
      <c r="J45" s="186"/>
      <c r="K45" s="186"/>
      <c r="L45" s="187"/>
      <c r="M45" s="505" t="inlineStr">
        <is>
          <t>33_Gov_KPI</t>
        </is>
      </c>
      <c r="N45" s="187"/>
    </row>
    <row r="46" ht="22" customHeight="1">
      <c r="B46" s="491" t="n">
        <v>30</v>
      </c>
      <c r="C46" s="504" t="inlineStr">
        <is>
          <t>☐</t>
        </is>
      </c>
      <c r="D46" s="481" t="inlineStr">
        <is>
          <t>5 источников господдержки 1 040 млн ₽ (ФКП / регионы / РФК)</t>
        </is>
      </c>
      <c r="E46" s="186"/>
      <c r="F46" s="186"/>
      <c r="G46" s="186"/>
      <c r="H46" s="186"/>
      <c r="I46" s="186"/>
      <c r="J46" s="186"/>
      <c r="K46" s="186"/>
      <c r="L46" s="187"/>
      <c r="M46" s="505" t="inlineStr">
        <is>
          <t>33_Gov_KPI</t>
        </is>
      </c>
      <c r="N46" s="187"/>
    </row>
    <row r="47" ht="22" customHeight="1">
      <c r="B47" s="491" t="n">
        <v>31</v>
      </c>
      <c r="C47" s="504" t="inlineStr">
        <is>
          <t>☐</t>
        </is>
      </c>
      <c r="D47" s="481" t="inlineStr">
        <is>
          <t>НДС 0% льгота — ст. 149 НК РФ, экономия 360 млн ₽ 3Y</t>
        </is>
      </c>
      <c r="E47" s="186"/>
      <c r="F47" s="186"/>
      <c r="G47" s="186"/>
      <c r="H47" s="186"/>
      <c r="I47" s="186"/>
      <c r="J47" s="186"/>
      <c r="K47" s="186"/>
      <c r="L47" s="187"/>
      <c r="M47" s="505" t="inlineStr">
        <is>
          <t>34_Tax_Schedule</t>
        </is>
      </c>
      <c r="N47" s="187"/>
    </row>
    <row r="48" ht="22" customHeight="1">
      <c r="B48" s="491" t="n">
        <v>32</v>
      </c>
      <c r="C48" s="504" t="inlineStr">
        <is>
          <t>☐</t>
        </is>
      </c>
      <c r="D48" s="481" t="inlineStr">
        <is>
          <t>Эффективная налоговая нагрузка 12.9% от Revenue (Выручка) (720 / 5 595)</t>
        </is>
      </c>
      <c r="E48" s="186"/>
      <c r="F48" s="186"/>
      <c r="G48" s="186"/>
      <c r="H48" s="186"/>
      <c r="I48" s="186"/>
      <c r="J48" s="186"/>
      <c r="K48" s="186"/>
      <c r="L48" s="187"/>
      <c r="M48" s="505" t="inlineStr">
        <is>
          <t>34_Tax_Schedule</t>
        </is>
      </c>
      <c r="N48" s="187"/>
    </row>
    <row r="49" ht="22" customHeight="1">
      <c r="B49" s="491" t="n">
        <v>33</v>
      </c>
      <c r="C49" s="504" t="inlineStr">
        <is>
          <t>☐</t>
        </is>
      </c>
      <c r="D49" s="481" t="inlineStr">
        <is>
          <t>10 compliance checkpoints (контрольных точек соответствия)</t>
        </is>
      </c>
      <c r="E49" s="186"/>
      <c r="F49" s="186"/>
      <c r="G49" s="186"/>
      <c r="H49" s="186"/>
      <c r="I49" s="186"/>
      <c r="J49" s="186"/>
      <c r="K49" s="186"/>
      <c r="L49" s="187"/>
      <c r="M49" s="505" t="inlineStr">
        <is>
          <t>33_Gov_KPI</t>
        </is>
      </c>
      <c r="N49" s="187"/>
    </row>
    <row r="51" ht="20" customHeight="1">
      <c r="B51" s="502" t="inlineStr">
        <is>
          <t>G. РОУДМАП И EXIT</t>
        </is>
      </c>
    </row>
    <row r="52" ht="22" customHeight="1">
      <c r="B52" s="487" t="n">
        <v>34</v>
      </c>
      <c r="C52" s="504" t="inlineStr">
        <is>
          <t>☐</t>
        </is>
      </c>
      <c r="D52" s="481" t="inlineStr">
        <is>
          <t>Gantt 7 проектов × 16 периодов × 4 фазы (Dev/Shoot/Post/Release (Релиз))</t>
        </is>
      </c>
      <c r="E52" s="186"/>
      <c r="F52" s="186"/>
      <c r="G52" s="186"/>
      <c r="H52" s="186"/>
      <c r="I52" s="186"/>
      <c r="J52" s="186"/>
      <c r="K52" s="186"/>
      <c r="L52" s="187"/>
      <c r="M52" s="505" t="inlineStr">
        <is>
          <t>35_Roadmap_2026_2032</t>
        </is>
      </c>
      <c r="N52" s="187"/>
    </row>
    <row r="53" ht="22" customHeight="1">
      <c r="B53" s="487" t="n">
        <v>35</v>
      </c>
      <c r="C53" s="504" t="inlineStr">
        <is>
          <t>☐</t>
        </is>
      </c>
      <c r="D53" s="481" t="inlineStr">
        <is>
          <t>14 fundraising milestones — привязка T₁ траншей</t>
        </is>
      </c>
      <c r="E53" s="186"/>
      <c r="F53" s="186"/>
      <c r="G53" s="186"/>
      <c r="H53" s="186"/>
      <c r="I53" s="186"/>
      <c r="J53" s="186"/>
      <c r="K53" s="186"/>
      <c r="L53" s="187"/>
      <c r="M53" s="505" t="inlineStr">
        <is>
          <t>35_Roadmap_2026_2032</t>
        </is>
      </c>
      <c r="N53" s="187"/>
    </row>
    <row r="54" ht="22" customHeight="1">
      <c r="B54" s="487" t="n">
        <v>36</v>
      </c>
      <c r="C54" s="504" t="inlineStr">
        <is>
          <t>☐</t>
        </is>
      </c>
      <c r="D54" s="481" t="inlineStr">
        <is>
          <t>5 governance tracks (направления корпоративного управления) (Совет директоров, audit, covenant, strategic review)</t>
        </is>
      </c>
      <c r="E54" s="186"/>
      <c r="F54" s="186"/>
      <c r="G54" s="186"/>
      <c r="H54" s="186"/>
      <c r="I54" s="186"/>
      <c r="J54" s="186"/>
      <c r="K54" s="186"/>
      <c r="L54" s="187"/>
      <c r="M54" s="505" t="inlineStr">
        <is>
          <t>35_Roadmap_2026_2032</t>
        </is>
      </c>
      <c r="N54" s="187"/>
    </row>
    <row r="55" ht="22" customHeight="1">
      <c r="B55" s="487" t="n">
        <v>37</v>
      </c>
      <c r="C55" s="504" t="inlineStr">
        <is>
          <t>☐</t>
        </is>
      </c>
      <c r="D55" s="481" t="inlineStr">
        <is>
          <t>Critical (Критический) path — 12 критических элементов</t>
        </is>
      </c>
      <c r="E55" s="186"/>
      <c r="F55" s="186"/>
      <c r="G55" s="186"/>
      <c r="H55" s="186"/>
      <c r="I55" s="186"/>
      <c r="J55" s="186"/>
      <c r="K55" s="186"/>
      <c r="L55" s="187"/>
      <c r="M55" s="505" t="inlineStr">
        <is>
          <t>35_Roadmap_2026_2032</t>
        </is>
      </c>
      <c r="N55" s="187"/>
    </row>
    <row r="56" ht="22" customHeight="1">
      <c r="B56" s="487" t="n">
        <v>38</v>
      </c>
      <c r="C56" s="504" t="inlineStr">
        <is>
          <t>☐</t>
        </is>
      </c>
      <c r="D56" s="481" t="inlineStr">
        <is>
          <t>7 exit routes — окна и условия для каждого</t>
        </is>
      </c>
      <c r="E56" s="186"/>
      <c r="F56" s="186"/>
      <c r="G56" s="186"/>
      <c r="H56" s="186"/>
      <c r="I56" s="186"/>
      <c r="J56" s="186"/>
      <c r="K56" s="186"/>
      <c r="L56" s="187"/>
      <c r="M56" s="505" t="inlineStr">
        <is>
          <t>25_Exit_Scenarios</t>
        </is>
      </c>
      <c r="N56" s="187"/>
    </row>
    <row r="57" ht="22" customHeight="1">
      <c r="B57" s="487" t="n">
        <v>39</v>
      </c>
      <c r="C57" s="504" t="inlineStr">
        <is>
          <t>☐</t>
        </is>
      </c>
      <c r="D57" s="481" t="inlineStr">
        <is>
          <t>Strategic (Стратегический) buyer mapping: Яндекс / Сбер / ГМ / НМГ</t>
        </is>
      </c>
      <c r="E57" s="186"/>
      <c r="F57" s="186"/>
      <c r="G57" s="186"/>
      <c r="H57" s="186"/>
      <c r="I57" s="186"/>
      <c r="J57" s="186"/>
      <c r="K57" s="186"/>
      <c r="L57" s="187"/>
      <c r="M57" s="505" t="inlineStr">
        <is>
          <t>36_Executive_Summary V</t>
        </is>
      </c>
      <c r="N57" s="187"/>
    </row>
    <row r="59" ht="20" customHeight="1">
      <c r="B59" s="502" t="inlineStr">
        <is>
          <t>H. ДОКУМЕНТЫ И LEGAL</t>
        </is>
      </c>
    </row>
    <row r="60" ht="22" customHeight="1">
      <c r="B60" s="507" t="n">
        <v>40</v>
      </c>
      <c r="C60" s="504" t="inlineStr">
        <is>
          <t>☐</t>
        </is>
      </c>
      <c r="D60" s="481" t="inlineStr">
        <is>
          <t>Term sheet подписан с ключевыми LP (ограниченный партнёр) до 2026Q2</t>
        </is>
      </c>
      <c r="E60" s="186"/>
      <c r="F60" s="186"/>
      <c r="G60" s="186"/>
      <c r="H60" s="186"/>
      <c r="I60" s="186"/>
      <c r="J60" s="186"/>
      <c r="K60" s="186"/>
      <c r="L60" s="187"/>
      <c r="M60" s="505" t="inlineStr">
        <is>
          <t>внешний</t>
        </is>
      </c>
      <c r="N60" s="187"/>
    </row>
    <row r="61" ht="22" customHeight="1">
      <c r="B61" s="507" t="n">
        <v>41</v>
      </c>
      <c r="C61" s="504" t="inlineStr">
        <is>
          <t>☐</t>
        </is>
      </c>
      <c r="D61" s="481" t="inlineStr">
        <is>
          <t>Due diligence report (legal / financial / tax) — независимый аудитор</t>
        </is>
      </c>
      <c r="E61" s="186"/>
      <c r="F61" s="186"/>
      <c r="G61" s="186"/>
      <c r="H61" s="186"/>
      <c r="I61" s="186"/>
      <c r="J61" s="186"/>
      <c r="K61" s="186"/>
      <c r="L61" s="187"/>
      <c r="M61" s="505" t="inlineStr">
        <is>
          <t>внешний</t>
        </is>
      </c>
      <c r="N61" s="187"/>
    </row>
    <row r="62" ht="22" customHeight="1">
      <c r="B62" s="507" t="n">
        <v>42</v>
      </c>
      <c r="C62" s="504" t="inlineStr">
        <is>
          <t>☐</t>
        </is>
      </c>
      <c r="D62" s="481" t="inlineStr">
        <is>
          <t>SPA draft готов, all reps &amp; warranties reviewed</t>
        </is>
      </c>
      <c r="E62" s="186"/>
      <c r="F62" s="186"/>
      <c r="G62" s="186"/>
      <c r="H62" s="186"/>
      <c r="I62" s="186"/>
      <c r="J62" s="186"/>
      <c r="K62" s="186"/>
      <c r="L62" s="187"/>
      <c r="M62" s="505" t="inlineStr">
        <is>
          <t>внешний</t>
        </is>
      </c>
      <c r="N62" s="187"/>
    </row>
    <row r="63" ht="22" customHeight="1">
      <c r="B63" s="507" t="n">
        <v>43</v>
      </c>
      <c r="C63" s="504" t="inlineStr">
        <is>
          <t>☐</t>
        </is>
      </c>
      <c r="D63" s="481" t="inlineStr">
        <is>
          <t>Escrow arrangement для 10% T₁ до закрытия milestone 1</t>
        </is>
      </c>
      <c r="E63" s="186"/>
      <c r="F63" s="186"/>
      <c r="G63" s="186"/>
      <c r="H63" s="186"/>
      <c r="I63" s="186"/>
      <c r="J63" s="186"/>
      <c r="K63" s="186"/>
      <c r="L63" s="187"/>
      <c r="M63" s="505" t="inlineStr">
        <is>
          <t>внешний</t>
        </is>
      </c>
      <c r="N63" s="187"/>
    </row>
    <row r="64" ht="22" customHeight="1">
      <c r="B64" s="507" t="n">
        <v>44</v>
      </c>
      <c r="C64" s="504" t="inlineStr">
        <is>
          <t>☐</t>
        </is>
      </c>
      <c r="D64" s="481" t="inlineStr">
        <is>
          <t>Совет директоров composition: 2 LP (ограниченный партнёр) seats + 2 management + 1 independent</t>
        </is>
      </c>
      <c r="E64" s="186"/>
      <c r="F64" s="186"/>
      <c r="G64" s="186"/>
      <c r="H64" s="186"/>
      <c r="I64" s="186"/>
      <c r="J64" s="186"/>
      <c r="K64" s="186"/>
      <c r="L64" s="187"/>
      <c r="M64" s="505" t="inlineStr">
        <is>
          <t>18_Cap_Table</t>
        </is>
      </c>
      <c r="N64" s="187"/>
    </row>
    <row r="65" ht="22" customHeight="1">
      <c r="B65" s="507" t="n">
        <v>45</v>
      </c>
      <c r="C65" s="504" t="inlineStr">
        <is>
          <t>☐</t>
        </is>
      </c>
      <c r="D65" s="481" t="inlineStr">
        <is>
          <t>Disclosures: все forward-looking risks полностью раскрыты</t>
        </is>
      </c>
      <c r="E65" s="186"/>
      <c r="F65" s="186"/>
      <c r="G65" s="186"/>
      <c r="H65" s="186"/>
      <c r="I65" s="186"/>
      <c r="J65" s="186"/>
      <c r="K65" s="186"/>
      <c r="L65" s="187"/>
      <c r="M65" s="505" t="inlineStr">
        <is>
          <t>38_Notes_and_Sources III</t>
        </is>
      </c>
      <c r="N65" s="187"/>
    </row>
    <row r="68" ht="30" customHeight="1">
      <c r="B68" s="495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</row>
  </sheetData>
  <mergeCells count="103"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N5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НАСТРОЙКИ ПЕЧАТИ (НАСТРОЙКИ ПЕЧАТИ)</t>
        </is>
      </c>
    </row>
    <row r="3" ht="18" customHeight="1">
      <c r="B3" s="457" t="inlineStr">
        <is>
          <t>Конфигурация печати для всех 42 листов — применена на листы A4/A3</t>
        </is>
      </c>
    </row>
    <row r="5" ht="36" customHeight="1">
      <c r="B5" s="508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</row>
    <row r="7" ht="22" customHeight="1">
      <c r="B7" s="321" t="inlineStr">
        <is>
          <t>#</t>
        </is>
      </c>
      <c r="C7" s="321" t="inlineStr">
        <is>
          <t>Sheet</t>
        </is>
      </c>
      <c r="D7" s="321" t="inlineStr">
        <is>
          <t>Ориент.</t>
        </is>
      </c>
      <c r="E7" s="321" t="inlineStr">
        <is>
          <t>Формат</t>
        </is>
      </c>
      <c r="F7" s="321" t="inlineStr">
        <is>
          <t>Print Area (Область печати)</t>
        </is>
      </c>
      <c r="G7" s="187"/>
      <c r="H7" s="321" t="inlineStr">
        <is>
          <t>Повтор. строки</t>
        </is>
      </c>
      <c r="I7" s="186"/>
      <c r="J7" s="186"/>
      <c r="K7" s="186"/>
      <c r="L7" s="186"/>
      <c r="M7" s="186"/>
      <c r="N7" s="187"/>
    </row>
    <row r="8" ht="18" customHeight="1">
      <c r="B8" s="509" t="n">
        <v>1</v>
      </c>
      <c r="C8" s="510" t="inlineStr">
        <is>
          <t>01_Cover</t>
        </is>
      </c>
      <c r="D8" s="354" t="inlineStr">
        <is>
          <t>книжн.</t>
        </is>
      </c>
      <c r="E8" s="491" t="inlineStr">
        <is>
          <t>A4</t>
        </is>
      </c>
      <c r="F8" s="511" t="inlineStr">
        <is>
          <t>A1:N50</t>
        </is>
      </c>
      <c r="G8" s="187"/>
      <c r="H8" s="354" t="inlineStr">
        <is>
          <t>1:3</t>
        </is>
      </c>
      <c r="I8" s="186"/>
      <c r="J8" s="186"/>
      <c r="K8" s="186"/>
      <c r="L8" s="186"/>
      <c r="M8" s="186"/>
      <c r="N8" s="187"/>
    </row>
    <row r="9" ht="18" customHeight="1">
      <c r="B9" s="509" t="n">
        <v>2</v>
      </c>
      <c r="C9" s="510" t="inlineStr">
        <is>
          <t>02_Assumptions</t>
        </is>
      </c>
      <c r="D9" s="354" t="inlineStr">
        <is>
          <t>альбомн.</t>
        </is>
      </c>
      <c r="E9" s="491" t="inlineStr">
        <is>
          <t>A4</t>
        </is>
      </c>
      <c r="F9" s="511" t="inlineStr">
        <is>
          <t>A1:N80</t>
        </is>
      </c>
      <c r="G9" s="187"/>
      <c r="H9" s="354" t="inlineStr">
        <is>
          <t>1:5</t>
        </is>
      </c>
      <c r="I9" s="186"/>
      <c r="J9" s="186"/>
      <c r="K9" s="186"/>
      <c r="L9" s="186"/>
      <c r="M9" s="186"/>
      <c r="N9" s="187"/>
    </row>
    <row r="10" ht="18" customHeight="1">
      <c r="B10" s="509" t="n">
        <v>3</v>
      </c>
      <c r="C10" s="510" t="inlineStr">
        <is>
          <t>03_Change_Log</t>
        </is>
      </c>
      <c r="D10" s="354" t="inlineStr">
        <is>
          <t>книжн.</t>
        </is>
      </c>
      <c r="E10" s="491" t="inlineStr">
        <is>
          <t>A4</t>
        </is>
      </c>
      <c r="F10" s="511" t="inlineStr">
        <is>
          <t>A1:N60</t>
        </is>
      </c>
      <c r="G10" s="187"/>
      <c r="H10" s="354" t="inlineStr">
        <is>
          <t>1:5</t>
        </is>
      </c>
      <c r="I10" s="186"/>
      <c r="J10" s="186"/>
      <c r="K10" s="186"/>
      <c r="L10" s="186"/>
      <c r="M10" s="186"/>
      <c r="N10" s="187"/>
    </row>
    <row r="11" ht="18" customHeight="1">
      <c r="B11" s="509" t="n">
        <v>4</v>
      </c>
      <c r="C11" s="510" t="inlineStr">
        <is>
          <t>04_FOT_Staff_A1</t>
        </is>
      </c>
      <c r="D11" s="354" t="inlineStr">
        <is>
          <t>альбомн.</t>
        </is>
      </c>
      <c r="E11" s="490" t="inlineStr">
        <is>
          <t>A3</t>
        </is>
      </c>
      <c r="F11" s="511" t="inlineStr">
        <is>
          <t>A1:T40</t>
        </is>
      </c>
      <c r="G11" s="187"/>
      <c r="H11" s="354" t="inlineStr">
        <is>
          <t>1:5</t>
        </is>
      </c>
      <c r="I11" s="186"/>
      <c r="J11" s="186"/>
      <c r="K11" s="186"/>
      <c r="L11" s="186"/>
      <c r="M11" s="186"/>
      <c r="N11" s="187"/>
    </row>
    <row r="12" ht="18" customHeight="1">
      <c r="B12" s="509" t="n">
        <v>5</v>
      </c>
      <c r="C12" s="510" t="inlineStr">
        <is>
          <t>05_FOT_Staff_A2</t>
        </is>
      </c>
      <c r="D12" s="354" t="inlineStr">
        <is>
          <t>альбомн.</t>
        </is>
      </c>
      <c r="E12" s="490" t="inlineStr">
        <is>
          <t>A3</t>
        </is>
      </c>
      <c r="F12" s="511" t="inlineStr">
        <is>
          <t>A1:T40</t>
        </is>
      </c>
      <c r="G12" s="187"/>
      <c r="H12" s="354" t="inlineStr">
        <is>
          <t>1:5</t>
        </is>
      </c>
      <c r="I12" s="186"/>
      <c r="J12" s="186"/>
      <c r="K12" s="186"/>
      <c r="L12" s="186"/>
      <c r="M12" s="186"/>
      <c r="N12" s="187"/>
    </row>
    <row r="13" ht="18" customHeight="1">
      <c r="B13" s="509" t="n">
        <v>6</v>
      </c>
      <c r="C13" s="510" t="inlineStr">
        <is>
          <t>06_Cost_Structure</t>
        </is>
      </c>
      <c r="D13" s="354" t="inlineStr">
        <is>
          <t>альбомн.</t>
        </is>
      </c>
      <c r="E13" s="490" t="inlineStr">
        <is>
          <t>A3</t>
        </is>
      </c>
      <c r="F13" s="511" t="inlineStr">
        <is>
          <t>A1:N60</t>
        </is>
      </c>
      <c r="G13" s="187"/>
      <c r="H13" s="354" t="inlineStr">
        <is>
          <t>1:5</t>
        </is>
      </c>
      <c r="I13" s="186"/>
      <c r="J13" s="186"/>
      <c r="K13" s="186"/>
      <c r="L13" s="186"/>
      <c r="M13" s="186"/>
      <c r="N13" s="187"/>
    </row>
    <row r="14" ht="18" customHeight="1">
      <c r="B14" s="509" t="n">
        <v>7</v>
      </c>
      <c r="C14" s="510" t="inlineStr">
        <is>
          <t>07_Revenue_Breakdown</t>
        </is>
      </c>
      <c r="D14" s="354" t="inlineStr">
        <is>
          <t>альбомн.</t>
        </is>
      </c>
      <c r="E14" s="490" t="inlineStr">
        <is>
          <t>A3</t>
        </is>
      </c>
      <c r="F14" s="511" t="inlineStr">
        <is>
          <t>A1:R50</t>
        </is>
      </c>
      <c r="G14" s="187"/>
      <c r="H14" s="354" t="inlineStr">
        <is>
          <t>1:5</t>
        </is>
      </c>
      <c r="I14" s="186"/>
      <c r="J14" s="186"/>
      <c r="K14" s="186"/>
      <c r="L14" s="186"/>
      <c r="M14" s="186"/>
      <c r="N14" s="187"/>
    </row>
    <row r="15" ht="18" customHeight="1">
      <c r="B15" s="509" t="n">
        <v>8</v>
      </c>
      <c r="C15" s="510" t="inlineStr">
        <is>
          <t>08_Content_Pipeline</t>
        </is>
      </c>
      <c r="D15" s="354" t="inlineStr">
        <is>
          <t>альбомн.</t>
        </is>
      </c>
      <c r="E15" s="490" t="inlineStr">
        <is>
          <t>A3</t>
        </is>
      </c>
      <c r="F15" s="511" t="inlineStr">
        <is>
          <t>A1:T40</t>
        </is>
      </c>
      <c r="G15" s="187"/>
      <c r="H15" s="354" t="inlineStr">
        <is>
          <t>1:5</t>
        </is>
      </c>
      <c r="I15" s="186"/>
      <c r="J15" s="186"/>
      <c r="K15" s="186"/>
      <c r="L15" s="186"/>
      <c r="M15" s="186"/>
      <c r="N15" s="187"/>
    </row>
    <row r="16" ht="18" customHeight="1">
      <c r="B16" s="509" t="n">
        <v>9</v>
      </c>
      <c r="C16" s="510" t="inlineStr">
        <is>
          <t>09_P&amp;L_Statement</t>
        </is>
      </c>
      <c r="D16" s="354" t="inlineStr">
        <is>
          <t>альбомн.</t>
        </is>
      </c>
      <c r="E16" s="490" t="inlineStr">
        <is>
          <t>A3</t>
        </is>
      </c>
      <c r="F16" s="511" t="inlineStr">
        <is>
          <t>A1:V55</t>
        </is>
      </c>
      <c r="G16" s="187"/>
      <c r="H16" s="354" t="inlineStr">
        <is>
          <t>1:5</t>
        </is>
      </c>
      <c r="I16" s="186"/>
      <c r="J16" s="186"/>
      <c r="K16" s="186"/>
      <c r="L16" s="186"/>
      <c r="M16" s="186"/>
      <c r="N16" s="187"/>
    </row>
    <row r="17" ht="18" customHeight="1">
      <c r="B17" s="509" t="n">
        <v>10</v>
      </c>
      <c r="C17" s="510" t="inlineStr">
        <is>
          <t>10_Cash_Flow</t>
        </is>
      </c>
      <c r="D17" s="354" t="inlineStr">
        <is>
          <t>альбомн.</t>
        </is>
      </c>
      <c r="E17" s="490" t="inlineStr">
        <is>
          <t>A3</t>
        </is>
      </c>
      <c r="F17" s="511" t="inlineStr">
        <is>
          <t>A1:T55</t>
        </is>
      </c>
      <c r="G17" s="187"/>
      <c r="H17" s="354" t="inlineStr">
        <is>
          <t>1:5</t>
        </is>
      </c>
      <c r="I17" s="186"/>
      <c r="J17" s="186"/>
      <c r="K17" s="186"/>
      <c r="L17" s="186"/>
      <c r="M17" s="186"/>
      <c r="N17" s="187"/>
    </row>
    <row r="18" ht="18" customHeight="1">
      <c r="B18" s="509" t="n">
        <v>11</v>
      </c>
      <c r="C18" s="510" t="inlineStr">
        <is>
          <t>11_Balance_Sheet</t>
        </is>
      </c>
      <c r="D18" s="354" t="inlineStr">
        <is>
          <t>альбомн.</t>
        </is>
      </c>
      <c r="E18" s="491" t="inlineStr">
        <is>
          <t>A4</t>
        </is>
      </c>
      <c r="F18" s="511" t="inlineStr">
        <is>
          <t>A1:N50</t>
        </is>
      </c>
      <c r="G18" s="187"/>
      <c r="H18" s="354" t="inlineStr">
        <is>
          <t>1:5</t>
        </is>
      </c>
      <c r="I18" s="186"/>
      <c r="J18" s="186"/>
      <c r="K18" s="186"/>
      <c r="L18" s="186"/>
      <c r="M18" s="186"/>
      <c r="N18" s="187"/>
    </row>
    <row r="19" ht="18" customHeight="1">
      <c r="B19" s="509" t="n">
        <v>12</v>
      </c>
      <c r="C19" s="510" t="inlineStr">
        <is>
          <t>12_Working_Capital</t>
        </is>
      </c>
      <c r="D19" s="354" t="inlineStr">
        <is>
          <t>альбомн.</t>
        </is>
      </c>
      <c r="E19" s="491" t="inlineStr">
        <is>
          <t>A4</t>
        </is>
      </c>
      <c r="F19" s="511" t="inlineStr">
        <is>
          <t>A1:N40</t>
        </is>
      </c>
      <c r="G19" s="187"/>
      <c r="H19" s="354" t="inlineStr">
        <is>
          <t>1:5</t>
        </is>
      </c>
      <c r="I19" s="186"/>
      <c r="J19" s="186"/>
      <c r="K19" s="186"/>
      <c r="L19" s="186"/>
      <c r="M19" s="186"/>
      <c r="N19" s="187"/>
    </row>
    <row r="20" ht="18" customHeight="1">
      <c r="B20" s="509" t="n">
        <v>13</v>
      </c>
      <c r="C20" s="510" t="inlineStr">
        <is>
          <t>13_Debt_Schedule</t>
        </is>
      </c>
      <c r="D20" s="354" t="inlineStr">
        <is>
          <t>альбомн.</t>
        </is>
      </c>
      <c r="E20" s="491" t="inlineStr">
        <is>
          <t>A4</t>
        </is>
      </c>
      <c r="F20" s="511" t="inlineStr">
        <is>
          <t>A1:N40</t>
        </is>
      </c>
      <c r="G20" s="187"/>
      <c r="H20" s="354" t="inlineStr">
        <is>
          <t>1:5</t>
        </is>
      </c>
      <c r="I20" s="186"/>
      <c r="J20" s="186"/>
      <c r="K20" s="186"/>
      <c r="L20" s="186"/>
      <c r="M20" s="186"/>
      <c r="N20" s="187"/>
    </row>
    <row r="21" ht="18" customHeight="1">
      <c r="B21" s="509" t="n">
        <v>14</v>
      </c>
      <c r="C21" s="510" t="inlineStr">
        <is>
          <t>14_Investment_Inflow</t>
        </is>
      </c>
      <c r="D21" s="354" t="inlineStr">
        <is>
          <t>альбомн.</t>
        </is>
      </c>
      <c r="E21" s="491" t="inlineStr">
        <is>
          <t>A4</t>
        </is>
      </c>
      <c r="F21" s="511" t="inlineStr">
        <is>
          <t>A1:N40</t>
        </is>
      </c>
      <c r="G21" s="187"/>
      <c r="H21" s="354" t="inlineStr">
        <is>
          <t>1:5</t>
        </is>
      </c>
      <c r="I21" s="186"/>
      <c r="J21" s="186"/>
      <c r="K21" s="186"/>
      <c r="L21" s="186"/>
      <c r="M21" s="186"/>
      <c r="N21" s="187"/>
    </row>
    <row r="22" ht="18" customHeight="1">
      <c r="B22" s="509" t="n">
        <v>15</v>
      </c>
      <c r="C22" s="510" t="inlineStr">
        <is>
          <t>15_Use_of_Funds</t>
        </is>
      </c>
      <c r="D22" s="354" t="inlineStr">
        <is>
          <t>книжн.</t>
        </is>
      </c>
      <c r="E22" s="491" t="inlineStr">
        <is>
          <t>A4</t>
        </is>
      </c>
      <c r="F22" s="511" t="inlineStr">
        <is>
          <t>A1:N40</t>
        </is>
      </c>
      <c r="G22" s="187"/>
      <c r="H22" s="354" t="inlineStr">
        <is>
          <t>1:5</t>
        </is>
      </c>
      <c r="I22" s="186"/>
      <c r="J22" s="186"/>
      <c r="K22" s="186"/>
      <c r="L22" s="186"/>
      <c r="M22" s="186"/>
      <c r="N22" s="187"/>
    </row>
    <row r="23" ht="18" customHeight="1">
      <c r="B23" s="509" t="n">
        <v>16</v>
      </c>
      <c r="C23" s="510" t="inlineStr">
        <is>
          <t>16_CAPEX_Schedule</t>
        </is>
      </c>
      <c r="D23" s="354" t="inlineStr">
        <is>
          <t>альбомн.</t>
        </is>
      </c>
      <c r="E23" s="491" t="inlineStr">
        <is>
          <t>A4</t>
        </is>
      </c>
      <c r="F23" s="511" t="inlineStr">
        <is>
          <t>A1:N40</t>
        </is>
      </c>
      <c r="G23" s="187"/>
      <c r="H23" s="354" t="inlineStr">
        <is>
          <t>1:5</t>
        </is>
      </c>
      <c r="I23" s="186"/>
      <c r="J23" s="186"/>
      <c r="K23" s="186"/>
      <c r="L23" s="186"/>
      <c r="M23" s="186"/>
      <c r="N23" s="187"/>
    </row>
    <row r="24" ht="18" customHeight="1">
      <c r="B24" s="509" t="n">
        <v>17</v>
      </c>
      <c r="C24" s="510" t="inlineStr">
        <is>
          <t>17_Deal_Structures</t>
        </is>
      </c>
      <c r="D24" s="354" t="inlineStr">
        <is>
          <t>книжн.</t>
        </is>
      </c>
      <c r="E24" s="491" t="inlineStr">
        <is>
          <t>A4</t>
        </is>
      </c>
      <c r="F24" s="511" t="inlineStr">
        <is>
          <t>A1:N50</t>
        </is>
      </c>
      <c r="G24" s="187"/>
      <c r="H24" s="354" t="inlineStr">
        <is>
          <t>1:5</t>
        </is>
      </c>
      <c r="I24" s="186"/>
      <c r="J24" s="186"/>
      <c r="K24" s="186"/>
      <c r="L24" s="186"/>
      <c r="M24" s="186"/>
      <c r="N24" s="187"/>
    </row>
    <row r="25" ht="18" customHeight="1">
      <c r="B25" s="509" t="n">
        <v>18</v>
      </c>
      <c r="C25" s="510" t="inlineStr">
        <is>
          <t>18_Cap_Table</t>
        </is>
      </c>
      <c r="D25" s="354" t="inlineStr">
        <is>
          <t>альбомн.</t>
        </is>
      </c>
      <c r="E25" s="491" t="inlineStr">
        <is>
          <t>A4</t>
        </is>
      </c>
      <c r="F25" s="511" t="inlineStr">
        <is>
          <t>A1:N40</t>
        </is>
      </c>
      <c r="G25" s="187"/>
      <c r="H25" s="354" t="inlineStr">
        <is>
          <t>1:5</t>
        </is>
      </c>
      <c r="I25" s="186"/>
      <c r="J25" s="186"/>
      <c r="K25" s="186"/>
      <c r="L25" s="186"/>
      <c r="M25" s="186"/>
      <c r="N25" s="187"/>
    </row>
    <row r="26" ht="18" customHeight="1">
      <c r="B26" s="509" t="n">
        <v>19</v>
      </c>
      <c r="C26" s="510" t="inlineStr">
        <is>
          <t>19_Waterfall</t>
        </is>
      </c>
      <c r="D26" s="354" t="inlineStr">
        <is>
          <t>альбомн.</t>
        </is>
      </c>
      <c r="E26" s="491" t="inlineStr">
        <is>
          <t>A4</t>
        </is>
      </c>
      <c r="F26" s="511" t="inlineStr">
        <is>
          <t>A1:N50</t>
        </is>
      </c>
      <c r="G26" s="187"/>
      <c r="H26" s="354" t="inlineStr">
        <is>
          <t>1:5</t>
        </is>
      </c>
      <c r="I26" s="186"/>
      <c r="J26" s="186"/>
      <c r="K26" s="186"/>
      <c r="L26" s="186"/>
      <c r="M26" s="186"/>
      <c r="N26" s="187"/>
    </row>
    <row r="27" ht="18" customHeight="1">
      <c r="B27" s="509" t="n">
        <v>20</v>
      </c>
      <c r="C27" s="510" t="inlineStr">
        <is>
          <t>20_Unit_Economics_per_Film</t>
        </is>
      </c>
      <c r="D27" s="354" t="inlineStr">
        <is>
          <t>альбомн.</t>
        </is>
      </c>
      <c r="E27" s="490" t="inlineStr">
        <is>
          <t>A3</t>
        </is>
      </c>
      <c r="F27" s="511" t="inlineStr">
        <is>
          <t>A1:T50</t>
        </is>
      </c>
      <c r="G27" s="187"/>
      <c r="H27" s="354" t="inlineStr">
        <is>
          <t>1:5</t>
        </is>
      </c>
      <c r="I27" s="186"/>
      <c r="J27" s="186"/>
      <c r="K27" s="186"/>
      <c r="L27" s="186"/>
      <c r="M27" s="186"/>
      <c r="N27" s="187"/>
    </row>
    <row r="28" ht="18" customHeight="1">
      <c r="B28" s="509" t="n">
        <v>21</v>
      </c>
      <c r="C28" s="510" t="inlineStr">
        <is>
          <t>21_KPI_Dashboard</t>
        </is>
      </c>
      <c r="D28" s="354" t="inlineStr">
        <is>
          <t>альбомн.</t>
        </is>
      </c>
      <c r="E28" s="490" t="inlineStr">
        <is>
          <t>A3</t>
        </is>
      </c>
      <c r="F28" s="511" t="inlineStr">
        <is>
          <t>A1:N40</t>
        </is>
      </c>
      <c r="G28" s="187"/>
      <c r="H28" s="354" t="inlineStr">
        <is>
          <t>1:5</t>
        </is>
      </c>
      <c r="I28" s="186"/>
      <c r="J28" s="186"/>
      <c r="K28" s="186"/>
      <c r="L28" s="186"/>
      <c r="M28" s="186"/>
      <c r="N28" s="187"/>
    </row>
    <row r="29" ht="18" customHeight="1">
      <c r="B29" s="509" t="n">
        <v>22</v>
      </c>
      <c r="C29" s="510" t="inlineStr">
        <is>
          <t>22_Valuation_DCF</t>
        </is>
      </c>
      <c r="D29" s="354" t="inlineStr">
        <is>
          <t>альбомн.</t>
        </is>
      </c>
      <c r="E29" s="490" t="inlineStr">
        <is>
          <t>A3</t>
        </is>
      </c>
      <c r="F29" s="511" t="inlineStr">
        <is>
          <t>A1:N75</t>
        </is>
      </c>
      <c r="G29" s="187"/>
      <c r="H29" s="354" t="inlineStr">
        <is>
          <t>1:6</t>
        </is>
      </c>
      <c r="I29" s="186"/>
      <c r="J29" s="186"/>
      <c r="K29" s="186"/>
      <c r="L29" s="186"/>
      <c r="M29" s="186"/>
      <c r="N29" s="187"/>
    </row>
    <row r="30" ht="18" customHeight="1">
      <c r="B30" s="509" t="n">
        <v>23</v>
      </c>
      <c r="C30" s="510" t="inlineStr">
        <is>
          <t>23_Valuation_Multiples</t>
        </is>
      </c>
      <c r="D30" s="354" t="inlineStr">
        <is>
          <t>альбомн.</t>
        </is>
      </c>
      <c r="E30" s="491" t="inlineStr">
        <is>
          <t>A4</t>
        </is>
      </c>
      <c r="F30" s="511" t="inlineStr">
        <is>
          <t>A1:N45</t>
        </is>
      </c>
      <c r="G30" s="187"/>
      <c r="H30" s="354" t="inlineStr">
        <is>
          <t>1:5</t>
        </is>
      </c>
      <c r="I30" s="186"/>
      <c r="J30" s="186"/>
      <c r="K30" s="186"/>
      <c r="L30" s="186"/>
      <c r="M30" s="186"/>
      <c r="N30" s="187"/>
    </row>
    <row r="31" ht="18" customHeight="1">
      <c r="B31" s="509" t="n">
        <v>24</v>
      </c>
      <c r="C31" s="510" t="inlineStr">
        <is>
          <t>24_Investor_Returns</t>
        </is>
      </c>
      <c r="D31" s="354" t="inlineStr">
        <is>
          <t>альбомн.</t>
        </is>
      </c>
      <c r="E31" s="491" t="inlineStr">
        <is>
          <t>A4</t>
        </is>
      </c>
      <c r="F31" s="511" t="inlineStr">
        <is>
          <t>A1:N50</t>
        </is>
      </c>
      <c r="G31" s="187"/>
      <c r="H31" s="354" t="inlineStr">
        <is>
          <t>1:5</t>
        </is>
      </c>
      <c r="I31" s="186"/>
      <c r="J31" s="186"/>
      <c r="K31" s="186"/>
      <c r="L31" s="186"/>
      <c r="M31" s="186"/>
      <c r="N31" s="187"/>
    </row>
    <row r="32" ht="18" customHeight="1">
      <c r="B32" s="509" t="n">
        <v>25</v>
      </c>
      <c r="C32" s="510" t="inlineStr">
        <is>
          <t>25_Exit_Scenarios</t>
        </is>
      </c>
      <c r="D32" s="354" t="inlineStr">
        <is>
          <t>альбомн.</t>
        </is>
      </c>
      <c r="E32" s="491" t="inlineStr">
        <is>
          <t>A4</t>
        </is>
      </c>
      <c r="F32" s="511" t="inlineStr">
        <is>
          <t>A1:N50</t>
        </is>
      </c>
      <c r="G32" s="187"/>
      <c r="H32" s="354" t="inlineStr">
        <is>
          <t>1:5</t>
        </is>
      </c>
      <c r="I32" s="186"/>
      <c r="J32" s="186"/>
      <c r="K32" s="186"/>
      <c r="L32" s="186"/>
      <c r="M32" s="186"/>
      <c r="N32" s="187"/>
    </row>
    <row r="33" ht="18" customHeight="1">
      <c r="B33" s="509" t="n">
        <v>26</v>
      </c>
      <c r="C33" s="510" t="inlineStr">
        <is>
          <t>26_Sensitivity</t>
        </is>
      </c>
      <c r="D33" s="354" t="inlineStr">
        <is>
          <t>альбомн.</t>
        </is>
      </c>
      <c r="E33" s="490" t="inlineStr">
        <is>
          <t>A3</t>
        </is>
      </c>
      <c r="F33" s="511" t="inlineStr">
        <is>
          <t>A1:P70</t>
        </is>
      </c>
      <c r="G33" s="187"/>
      <c r="H33" s="354" t="inlineStr">
        <is>
          <t>1:5</t>
        </is>
      </c>
      <c r="I33" s="186"/>
      <c r="J33" s="186"/>
      <c r="K33" s="186"/>
      <c r="L33" s="186"/>
      <c r="M33" s="186"/>
      <c r="N33" s="187"/>
    </row>
    <row r="34" ht="18" customHeight="1">
      <c r="B34" s="509" t="n">
        <v>27</v>
      </c>
      <c r="C34" s="510" t="inlineStr">
        <is>
          <t>27_Scenario_Analysis</t>
        </is>
      </c>
      <c r="D34" s="354" t="inlineStr">
        <is>
          <t>альбомн.</t>
        </is>
      </c>
      <c r="E34" s="490" t="inlineStr">
        <is>
          <t>A3</t>
        </is>
      </c>
      <c r="F34" s="511" t="inlineStr">
        <is>
          <t>A1:P70</t>
        </is>
      </c>
      <c r="G34" s="187"/>
      <c r="H34" s="354" t="inlineStr">
        <is>
          <t>1:5</t>
        </is>
      </c>
      <c r="I34" s="186"/>
      <c r="J34" s="186"/>
      <c r="K34" s="186"/>
      <c r="L34" s="186"/>
      <c r="M34" s="186"/>
      <c r="N34" s="187"/>
    </row>
    <row r="35" ht="18" customHeight="1">
      <c r="B35" s="509" t="n">
        <v>28</v>
      </c>
      <c r="C35" s="510" t="inlineStr">
        <is>
          <t>28_Monte_Carlo_Summary</t>
        </is>
      </c>
      <c r="D35" s="354" t="inlineStr">
        <is>
          <t>альбомн.</t>
        </is>
      </c>
      <c r="E35" s="490" t="inlineStr">
        <is>
          <t>A3</t>
        </is>
      </c>
      <c r="F35" s="511" t="inlineStr">
        <is>
          <t>A1:P80</t>
        </is>
      </c>
      <c r="G35" s="187"/>
      <c r="H35" s="354" t="inlineStr">
        <is>
          <t>1:5</t>
        </is>
      </c>
      <c r="I35" s="186"/>
      <c r="J35" s="186"/>
      <c r="K35" s="186"/>
      <c r="L35" s="186"/>
      <c r="M35" s="186"/>
      <c r="N35" s="187"/>
    </row>
    <row r="36" ht="18" customHeight="1">
      <c r="B36" s="509" t="n">
        <v>29</v>
      </c>
      <c r="C36" s="510" t="inlineStr">
        <is>
          <t>29_Risk_Register</t>
        </is>
      </c>
      <c r="D36" s="354" t="inlineStr">
        <is>
          <t>альбомн.</t>
        </is>
      </c>
      <c r="E36" s="490" t="inlineStr">
        <is>
          <t>A3</t>
        </is>
      </c>
      <c r="F36" s="511" t="inlineStr">
        <is>
          <t>A1:N95</t>
        </is>
      </c>
      <c r="G36" s="187"/>
      <c r="H36" s="354" t="inlineStr">
        <is>
          <t>1:6</t>
        </is>
      </c>
      <c r="I36" s="186"/>
      <c r="J36" s="186"/>
      <c r="K36" s="186"/>
      <c r="L36" s="186"/>
      <c r="M36" s="186"/>
      <c r="N36" s="187"/>
    </row>
    <row r="37" ht="18" customHeight="1">
      <c r="B37" s="509" t="n">
        <v>30</v>
      </c>
      <c r="C37" s="510" t="inlineStr">
        <is>
          <t>30_Market_Analysis</t>
        </is>
      </c>
      <c r="D37" s="354" t="inlineStr">
        <is>
          <t>альбомн.</t>
        </is>
      </c>
      <c r="E37" s="490" t="inlineStr">
        <is>
          <t>A3</t>
        </is>
      </c>
      <c r="F37" s="511" t="inlineStr">
        <is>
          <t>A1:N90</t>
        </is>
      </c>
      <c r="G37" s="187"/>
      <c r="H37" s="354" t="inlineStr">
        <is>
          <t>1:5</t>
        </is>
      </c>
      <c r="I37" s="186"/>
      <c r="J37" s="186"/>
      <c r="K37" s="186"/>
      <c r="L37" s="186"/>
      <c r="M37" s="186"/>
      <c r="N37" s="187"/>
    </row>
    <row r="38" ht="18" customHeight="1">
      <c r="B38" s="509" t="n">
        <v>31</v>
      </c>
      <c r="C38" s="510" t="inlineStr">
        <is>
          <t>31_Benchmarks</t>
        </is>
      </c>
      <c r="D38" s="354" t="inlineStr">
        <is>
          <t>альбомн.</t>
        </is>
      </c>
      <c r="E38" s="490" t="inlineStr">
        <is>
          <t>A3</t>
        </is>
      </c>
      <c r="F38" s="511" t="inlineStr">
        <is>
          <t>A1:N95</t>
        </is>
      </c>
      <c r="G38" s="187"/>
      <c r="H38" s="354" t="inlineStr">
        <is>
          <t>1:5</t>
        </is>
      </c>
      <c r="I38" s="186"/>
      <c r="J38" s="186"/>
      <c r="K38" s="186"/>
      <c r="L38" s="186"/>
      <c r="M38" s="186"/>
      <c r="N38" s="187"/>
    </row>
    <row r="39" ht="18" customHeight="1">
      <c r="B39" s="509" t="n">
        <v>32</v>
      </c>
      <c r="C39" s="510" t="inlineStr">
        <is>
          <t>32_Comparable_Transactions</t>
        </is>
      </c>
      <c r="D39" s="354" t="inlineStr">
        <is>
          <t>альбомн.</t>
        </is>
      </c>
      <c r="E39" s="490" t="inlineStr">
        <is>
          <t>A3</t>
        </is>
      </c>
      <c r="F39" s="511" t="inlineStr">
        <is>
          <t>A1:P85</t>
        </is>
      </c>
      <c r="G39" s="187"/>
      <c r="H39" s="354" t="inlineStr">
        <is>
          <t>1:5</t>
        </is>
      </c>
      <c r="I39" s="186"/>
      <c r="J39" s="186"/>
      <c r="K39" s="186"/>
      <c r="L39" s="186"/>
      <c r="M39" s="186"/>
      <c r="N39" s="187"/>
    </row>
    <row r="40" ht="18" customHeight="1">
      <c r="B40" s="509" t="n">
        <v>33</v>
      </c>
      <c r="C40" s="510" t="inlineStr">
        <is>
          <t>33_Gov_KPI</t>
        </is>
      </c>
      <c r="D40" s="354" t="inlineStr">
        <is>
          <t>альбомн.</t>
        </is>
      </c>
      <c r="E40" s="490" t="inlineStr">
        <is>
          <t>A3</t>
        </is>
      </c>
      <c r="F40" s="511" t="inlineStr">
        <is>
          <t>A1:N80</t>
        </is>
      </c>
      <c r="G40" s="187"/>
      <c r="H40" s="354" t="inlineStr">
        <is>
          <t>1:5</t>
        </is>
      </c>
      <c r="I40" s="186"/>
      <c r="J40" s="186"/>
      <c r="K40" s="186"/>
      <c r="L40" s="186"/>
      <c r="M40" s="186"/>
      <c r="N40" s="187"/>
    </row>
    <row r="41" ht="18" customHeight="1">
      <c r="B41" s="509" t="n">
        <v>34</v>
      </c>
      <c r="C41" s="510" t="inlineStr">
        <is>
          <t>34_Tax_Schedule</t>
        </is>
      </c>
      <c r="D41" s="354" t="inlineStr">
        <is>
          <t>альбомн.</t>
        </is>
      </c>
      <c r="E41" s="490" t="inlineStr">
        <is>
          <t>A3</t>
        </is>
      </c>
      <c r="F41" s="511" t="inlineStr">
        <is>
          <t>A1:T55</t>
        </is>
      </c>
      <c r="G41" s="187"/>
      <c r="H41" s="354" t="inlineStr">
        <is>
          <t>1:5</t>
        </is>
      </c>
      <c r="I41" s="186"/>
      <c r="J41" s="186"/>
      <c r="K41" s="186"/>
      <c r="L41" s="186"/>
      <c r="M41" s="186"/>
      <c r="N41" s="187"/>
    </row>
    <row r="42" ht="18" customHeight="1">
      <c r="B42" s="509" t="n">
        <v>35</v>
      </c>
      <c r="C42" s="510" t="inlineStr">
        <is>
          <t>35_Roadmap_2026_2032</t>
        </is>
      </c>
      <c r="D42" s="354" t="inlineStr">
        <is>
          <t>альбомн.</t>
        </is>
      </c>
      <c r="E42" s="490" t="inlineStr">
        <is>
          <t>A3</t>
        </is>
      </c>
      <c r="F42" s="511" t="inlineStr">
        <is>
          <t>A1:R95</t>
        </is>
      </c>
      <c r="G42" s="187"/>
      <c r="H42" s="354" t="inlineStr">
        <is>
          <t>1:5</t>
        </is>
      </c>
      <c r="I42" s="186"/>
      <c r="J42" s="186"/>
      <c r="K42" s="186"/>
      <c r="L42" s="186"/>
      <c r="M42" s="186"/>
      <c r="N42" s="187"/>
    </row>
    <row r="43" ht="18" customHeight="1">
      <c r="B43" s="509" t="n">
        <v>36</v>
      </c>
      <c r="C43" s="510" t="inlineStr">
        <is>
          <t>36_Executive_Summary</t>
        </is>
      </c>
      <c r="D43" s="354" t="inlineStr">
        <is>
          <t>книжн.</t>
        </is>
      </c>
      <c r="E43" s="491" t="inlineStr">
        <is>
          <t>A4</t>
        </is>
      </c>
      <c r="F43" s="511" t="inlineStr">
        <is>
          <t>A1:N90</t>
        </is>
      </c>
      <c r="G43" s="187"/>
      <c r="H43" s="354" t="inlineStr">
        <is>
          <t>1:6</t>
        </is>
      </c>
      <c r="I43" s="186"/>
      <c r="J43" s="186"/>
      <c r="K43" s="186"/>
      <c r="L43" s="186"/>
      <c r="M43" s="186"/>
      <c r="N43" s="187"/>
    </row>
    <row r="44" ht="18" customHeight="1">
      <c r="B44" s="509" t="n">
        <v>37</v>
      </c>
      <c r="C44" s="510" t="inlineStr">
        <is>
          <t>37_Glossary</t>
        </is>
      </c>
      <c r="D44" s="354" t="inlineStr">
        <is>
          <t>книжн.</t>
        </is>
      </c>
      <c r="E44" s="491" t="inlineStr">
        <is>
          <t>A4</t>
        </is>
      </c>
      <c r="F44" s="511" t="inlineStr">
        <is>
          <t>A1:N75</t>
        </is>
      </c>
      <c r="G44" s="187"/>
      <c r="H44" s="354" t="inlineStr">
        <is>
          <t>1:5</t>
        </is>
      </c>
      <c r="I44" s="186"/>
      <c r="J44" s="186"/>
      <c r="K44" s="186"/>
      <c r="L44" s="186"/>
      <c r="M44" s="186"/>
      <c r="N44" s="187"/>
    </row>
    <row r="45" ht="18" customHeight="1">
      <c r="B45" s="509" t="n">
        <v>38</v>
      </c>
      <c r="C45" s="510" t="inlineStr">
        <is>
          <t>38_Notes_and_Sources</t>
        </is>
      </c>
      <c r="D45" s="354" t="inlineStr">
        <is>
          <t>книжн.</t>
        </is>
      </c>
      <c r="E45" s="491" t="inlineStr">
        <is>
          <t>A4</t>
        </is>
      </c>
      <c r="F45" s="511" t="inlineStr">
        <is>
          <t>A1:N70</t>
        </is>
      </c>
      <c r="G45" s="187"/>
      <c r="H45" s="354" t="inlineStr">
        <is>
          <t>1:5</t>
        </is>
      </c>
      <c r="I45" s="186"/>
      <c r="J45" s="186"/>
      <c r="K45" s="186"/>
      <c r="L45" s="186"/>
      <c r="M45" s="186"/>
      <c r="N45" s="187"/>
    </row>
    <row r="46" ht="18" customHeight="1">
      <c r="B46" s="509" t="n">
        <v>39</v>
      </c>
      <c r="C46" s="510" t="inlineStr">
        <is>
          <t>39_TOC</t>
        </is>
      </c>
      <c r="D46" s="354" t="inlineStr">
        <is>
          <t>книжн.</t>
        </is>
      </c>
      <c r="E46" s="491" t="inlineStr">
        <is>
          <t>A4</t>
        </is>
      </c>
      <c r="F46" s="511" t="inlineStr">
        <is>
          <t>A1:N60</t>
        </is>
      </c>
      <c r="G46" s="187"/>
      <c r="H46" s="354" t="inlineStr">
        <is>
          <t>1:5</t>
        </is>
      </c>
      <c r="I46" s="186"/>
      <c r="J46" s="186"/>
      <c r="K46" s="186"/>
      <c r="L46" s="186"/>
      <c r="M46" s="186"/>
      <c r="N46" s="187"/>
    </row>
    <row r="47" ht="18" customHeight="1">
      <c r="B47" s="509" t="n">
        <v>40</v>
      </c>
      <c r="C47" s="510" t="inlineStr">
        <is>
          <t>40_Investor_Checklist</t>
        </is>
      </c>
      <c r="D47" s="354" t="inlineStr">
        <is>
          <t>книжн.</t>
        </is>
      </c>
      <c r="E47" s="491" t="inlineStr">
        <is>
          <t>A4</t>
        </is>
      </c>
      <c r="F47" s="511" t="inlineStr">
        <is>
          <t>A1:N85</t>
        </is>
      </c>
      <c r="G47" s="187"/>
      <c r="H47" s="354" t="inlineStr">
        <is>
          <t>1:5</t>
        </is>
      </c>
      <c r="I47" s="186"/>
      <c r="J47" s="186"/>
      <c r="K47" s="186"/>
      <c r="L47" s="186"/>
      <c r="M47" s="186"/>
      <c r="N47" s="187"/>
    </row>
    <row r="48" ht="18" customHeight="1">
      <c r="B48" s="509" t="n">
        <v>41</v>
      </c>
      <c r="C48" s="510" t="inlineStr">
        <is>
          <t>41_Print_Setup</t>
        </is>
      </c>
      <c r="D48" s="354" t="inlineStr">
        <is>
          <t>альбомн.</t>
        </is>
      </c>
      <c r="E48" s="491" t="inlineStr">
        <is>
          <t>A4</t>
        </is>
      </c>
      <c r="F48" s="511" t="inlineStr">
        <is>
          <t>A1:N55</t>
        </is>
      </c>
      <c r="G48" s="187"/>
      <c r="H48" s="354" t="inlineStr">
        <is>
          <t>1:5</t>
        </is>
      </c>
      <c r="I48" s="186"/>
      <c r="J48" s="186"/>
      <c r="K48" s="186"/>
      <c r="L48" s="186"/>
      <c r="M48" s="186"/>
      <c r="N48" s="187"/>
    </row>
    <row r="49" ht="18" customHeight="1">
      <c r="B49" s="509" t="n">
        <v>42</v>
      </c>
      <c r="C49" s="510" t="inlineStr">
        <is>
          <t>42_Cover_Letter</t>
        </is>
      </c>
      <c r="D49" s="354" t="inlineStr">
        <is>
          <t>книжн.</t>
        </is>
      </c>
      <c r="E49" s="491" t="inlineStr">
        <is>
          <t>A4</t>
        </is>
      </c>
      <c r="F49" s="511" t="inlineStr">
        <is>
          <t>A1:N50</t>
        </is>
      </c>
      <c r="G49" s="187"/>
      <c r="H49" s="354" t="inlineStr">
        <is>
          <t>1:3</t>
        </is>
      </c>
      <c r="I49" s="186"/>
      <c r="J49" s="186"/>
      <c r="K49" s="186"/>
      <c r="L49" s="186"/>
      <c r="M49" s="186"/>
      <c r="N49" s="187"/>
    </row>
    <row r="51" ht="28" customHeight="1">
      <c r="B51" s="482" t="inlineStr">
        <is>
          <t>ПРИМЕНЕНО: orientation, paper size, fit-to-width=1, поля 1.5см, горизонтальное центрирование. Print areas (Области печати)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H10:N10"/>
    <mergeCell ref="F41:G41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B2:N42"/>
  <sheetViews>
    <sheetView workbookViewId="0">
      <pane xSplit="3" ySplit="6" topLeftCell="D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18" customWidth="1"/>
    <col min="4" max="6" width="20" customWidth="1"/>
    <col min="7" max="14" width="14" customWidth="1"/>
    <col min="15" max="15" width="2" customWidth="1"/>
  </cols>
  <sheetData>
    <row r="2" spans="2:14" ht="19" x14ac:dyDescent="0.25">
      <c r="B2" s="645" t="inlineStr">
        <is>
          <t>ТРЕНДСТУДИО ХОЛДИНГ</t>
        </is>
      </c>
      <c r="C2" s="468"/>
      <c r="D2" s="468"/>
      <c r="E2" s="468"/>
      <c r="F2" s="468"/>
      <c r="G2" s="468"/>
      <c r="H2" s="468"/>
      <c r="I2" s="468"/>
    </row>
    <row r="3" spans="2:14" x14ac:dyDescent="0.2">
      <c r="B3" s="551" t="inlineStr">
        <is>
          <t>Москва, РФ</t>
        </is>
      </c>
      <c r="C3" s="468"/>
      <c r="D3" s="468"/>
      <c r="E3" s="468"/>
      <c r="F3" s="468"/>
      <c r="G3" s="468"/>
      <c r="H3" s="468"/>
      <c r="I3" s="468"/>
    </row>
    <row r="4" spans="2:14" x14ac:dyDescent="0.2">
      <c r="B4" s="551" t="inlineStr">
        <is>
          <t>Конфиденциально — для квалифицированных инвесторов</t>
        </is>
      </c>
      <c r="C4" s="468"/>
      <c r="D4" s="468"/>
      <c r="E4" s="468"/>
      <c r="F4" s="468"/>
      <c r="G4" s="468"/>
      <c r="H4" s="468"/>
      <c r="I4" s="468"/>
      <c r="J4" s="468"/>
      <c r="K4" s="468"/>
      <c r="L4" s="468"/>
    </row>
    <row r="6" spans="2:14" x14ac:dyDescent="0.2">
      <c r="J6" s="646" t="inlineStr">
        <is>
          <t>Дата: 12 апреля 2026 г.</t>
        </is>
      </c>
      <c r="K6" s="468"/>
      <c r="L6" s="468"/>
      <c r="M6" s="468"/>
      <c r="N6" s="468"/>
    </row>
    <row r="7" spans="2:14" x14ac:dyDescent="0.2">
      <c r="J7" s="646" t="inlineStr">
        <is>
          <t>Исх. № TS-2026-04-001</t>
        </is>
      </c>
      <c r="K7" s="468"/>
      <c r="L7" s="468"/>
      <c r="M7" s="468"/>
      <c r="N7" s="468"/>
    </row>
    <row r="9" spans="2:14" ht="28" customHeight="1" x14ac:dyDescent="0.2">
      <c r="B9" s="649" t="inlineStr">
        <is>
          <t>СОПРОВОДИТЕЛЬНОЕ ПИСЬМО К ИНВЕСТОР (ИНВЕСТОР) PACKAGE v1.0.1</t>
        </is>
      </c>
      <c r="C9" s="468"/>
      <c r="D9" s="468"/>
      <c r="E9" s="468"/>
      <c r="F9" s="468"/>
      <c r="G9" s="468"/>
      <c r="H9" s="468"/>
      <c r="I9" s="468"/>
      <c r="J9" s="468"/>
      <c r="K9" s="468"/>
      <c r="L9" s="468"/>
      <c r="M9" s="468"/>
      <c r="N9" s="468"/>
    </row>
    <row r="11" spans="2:14" ht="22" customHeight="1" x14ac:dyDescent="0.2">
      <c r="B11" s="648" t="inlineStr">
        <is>
          <t>Уважаемый LP (ограниченный партнёр),</t>
        </is>
      </c>
      <c r="C11" s="468"/>
      <c r="D11" s="468"/>
      <c r="E11" s="468"/>
      <c r="F11" s="468"/>
      <c r="G11" s="468"/>
      <c r="H11" s="468"/>
      <c r="I11" s="468"/>
      <c r="J11" s="468"/>
      <c r="K11" s="468"/>
      <c r="L11" s="468"/>
      <c r="M11" s="468"/>
      <c r="N11" s="468"/>
    </row>
    <row r="13" spans="2:14" ht="28" customHeight="1" x14ac:dyDescent="0.2">
      <c r="B13" s="643" t="inlineStr">
        <is>
      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      </is>
      </c>
      <c r="C13" s="468"/>
      <c r="D13" s="468"/>
      <c r="E13" s="468"/>
      <c r="F13" s="468"/>
      <c r="G13" s="468"/>
      <c r="H13" s="468"/>
      <c r="I13" s="468"/>
      <c r="J13" s="468"/>
      <c r="K13" s="468"/>
      <c r="L13" s="468"/>
      <c r="M13" s="468"/>
      <c r="N13" s="468"/>
    </row>
    <row r="15" spans="2:14" ht="160" customHeight="1" x14ac:dyDescent="0.2">
      <c r="B15" s="643" t="inlineStr">
        <is>
          <t>КЛЮЧЕВЫЕ ПАРАМЕТРЫ ПРЕДЛОЖЕНИЯ:
• Horizon 2026–2028 (3 года основного периода) + tail (хвостовой период) 2029–2032
• 12 премиальных фильмов со средним бюджетом 154 млн ₽
• Совокупная выручка 4 545 млн ₽ (Base (Базовый) сценарий)
• GAAP (стандарты бухучёта) EBITDA (прибыль до вычетов) 2 152 млн ₽ (margin (маржа) 47.3% — 2.4× отраслевой медианы РФ)
• Net Profit (Чистая прибыль) 1 689 млн ₽ после налогов (эффективная нагрузка 12.9%)
• Expected exit EV (стоимость предприятия) 6 038 млн ₽ на 2030 (probability-weighted)
• MoIC ≈ 4.8× / IRR (внутренняя норма доходности) 38%+ при Base (Базовый) сценарии
• Payback (Окупаемость) &lt; 24 месяцев</t>
        </is>
      </c>
      <c r="C15" s="468"/>
      <c r="D15" s="468"/>
      <c r="E15" s="468"/>
      <c r="F15" s="468"/>
      <c r="G15" s="468"/>
      <c r="H15" s="468"/>
      <c r="I15" s="468"/>
      <c r="J15" s="468"/>
      <c r="K15" s="468"/>
      <c r="L15" s="468"/>
      <c r="M15" s="468"/>
      <c r="N15" s="468"/>
    </row>
    <row r="17" spans="2:14" ht="144" customHeight="1" x14ac:dyDescent="0.2">
      <c r="B17" s="643" t="inlineStr">
        <is>
          <t>СТРУКТУРА ИНВЕСТИЦИИ:
Инвестиция T₁ = 1 250 млн ₽ разделена на 4 транша с milestone-привязкой:
(1) 250 млн ₽ — Разработка (Разработка) gate 2026Q1
(2) 350 млн ₽ — Production gate 2026Q3
(3) 350 млн ₽ — Release (Релиз) gate 2027Q2
(4) 300 млн ₽ — Library gate 2028Q1
Дополнительно Producer equity (капитал продюсера) 600 млн ₽ предоставляется продюсерским пулом как off-P&amp;L JV (совместное предприятие)-капитал (minority interest).</t>
        </is>
      </c>
      <c r="C17" s="468"/>
      <c r="D17" s="468"/>
      <c r="E17" s="468"/>
      <c r="F17" s="468"/>
      <c r="G17" s="468"/>
      <c r="H17" s="468"/>
      <c r="I17" s="468"/>
      <c r="J17" s="468"/>
      <c r="K17" s="468"/>
      <c r="L17" s="468"/>
      <c r="M17" s="468"/>
      <c r="N17" s="468"/>
    </row>
    <row r="19" spans="2:14" ht="128" customHeight="1" x14ac:dyDescent="0.2">
      <c r="B19" s="643" t="inlineStr">
        <is>
          <t>ЗАЩИТА ИНВЕСТОРА:
• Waterfall (Каскад) W₃ DEFAULT (ПО УМОЛЧАНИЮ) (1× Liq Pref (Ликвидационная привилегия) + 8% coupon (купон) + 60/40) — IRR (внутренняя норма доходности) 18.04% = hurdle (порог) 18%
• Waterfall (Каскад) W₄ PREMIUM опция (1× Liq Pref + 12% preferred × 5y + 65/35) — IRR 19.73%
• Makewhole clause для защиты от dilution
• 7 маршрутов выхода (strategic / IPO (первичное размещение) / secondary / ESOP / buyback / mgmt / открытый рынок)
• Downside (Нижний сценарий) benchmark (DCF (дисконтированный денежный поток) floor) = 1 815 млн ₽
• Risk (Риск) register: 30 рисков с митигациями, Monte Carlo (Монте-Карло) VaR 95% = 561 млн ₽
• Полный due diligence checklist (62 пункта) — лист 40</t>
        </is>
      </c>
      <c r="C19" s="468"/>
      <c r="D19" s="468"/>
      <c r="E19" s="468"/>
      <c r="F19" s="468"/>
      <c r="G19" s="468"/>
      <c r="H19" s="468"/>
      <c r="I19" s="468"/>
      <c r="J19" s="468"/>
      <c r="K19" s="468"/>
      <c r="L19" s="468"/>
      <c r="M19" s="468"/>
      <c r="N19" s="468"/>
    </row>
    <row r="21" spans="2:14" ht="48" customHeight="1" x14ac:dyDescent="0.2">
      <c r="B21" s="643" t="inlineStr">
        <is>
      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      </is>
      </c>
      <c r="C21" s="468"/>
      <c r="D21" s="468"/>
      <c r="E21" s="468"/>
      <c r="F21" s="468"/>
      <c r="G21" s="468"/>
      <c r="H21" s="468"/>
      <c r="I21" s="468"/>
      <c r="J21" s="468"/>
      <c r="K21" s="468"/>
      <c r="L21" s="468"/>
      <c r="M21" s="468"/>
      <c r="N21" s="468"/>
    </row>
    <row r="23" spans="2:14" ht="144" customHeight="1" x14ac:dyDescent="0.2">
      <c r="B23" s="643" t="inlineStr">
        <is>
      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      </is>
      </c>
      <c r="C23" s="468"/>
      <c r="D23" s="468"/>
      <c r="E23" s="468"/>
      <c r="F23" s="468"/>
      <c r="G23" s="468"/>
      <c r="H23" s="468"/>
      <c r="I23" s="468"/>
      <c r="J23" s="468"/>
      <c r="K23" s="468"/>
      <c r="L23" s="468"/>
      <c r="M23" s="468"/>
      <c r="N23" s="468"/>
    </row>
    <row r="26" spans="2:14" ht="20" customHeight="1" x14ac:dyDescent="0.2">
      <c r="B26" s="643" t="inlineStr">
        <is>
          <t>С уважением,</t>
        </is>
      </c>
      <c r="C26" s="468"/>
      <c r="D26" s="468"/>
      <c r="E26" s="468"/>
      <c r="F26" s="468"/>
      <c r="G26" s="468"/>
      <c r="H26" s="468"/>
      <c r="I26" s="468"/>
      <c r="J26" s="468"/>
      <c r="K26" s="468"/>
      <c r="L26" s="468"/>
      <c r="M26" s="468"/>
      <c r="N26" s="468"/>
    </row>
    <row r="29" spans="2:14" x14ac:dyDescent="0.2">
      <c r="B29" s="647" t="inlineStr">
        <is>
          <t>Генеральный директор</t>
        </is>
      </c>
      <c r="C29" s="468"/>
      <c r="D29" s="468"/>
      <c r="E29" s="468"/>
      <c r="F29" s="468"/>
      <c r="G29" s="468"/>
      <c r="H29" s="468"/>
      <c r="I29" s="468"/>
    </row>
    <row r="30" spans="2:14" x14ac:dyDescent="0.2">
      <c r="B30" s="642" t="inlineStr">
        <is>
          <t>ТрендСтудио Холдинг</t>
        </is>
      </c>
      <c r="C30" s="468"/>
      <c r="D30" s="468"/>
      <c r="E30" s="468"/>
      <c r="F30" s="468"/>
      <c r="G30" s="468"/>
      <c r="H30" s="468"/>
      <c r="I30" s="468"/>
    </row>
    <row r="31" spans="2:14" x14ac:dyDescent="0.2">
      <c r="B31" s="650" t="inlineStr">
        <is>
          <t>_____________________</t>
        </is>
      </c>
      <c r="C31" s="468"/>
      <c r="D31" s="468"/>
      <c r="E31" s="468"/>
      <c r="F31" s="468"/>
      <c r="G31" s="468"/>
      <c r="H31" s="468"/>
      <c r="I31" s="468"/>
    </row>
    <row r="32" spans="2:14" x14ac:dyDescent="0.2">
      <c r="B32" s="644" t="inlineStr">
        <is>
          <t>(подпись) / М.П.</t>
        </is>
      </c>
      <c r="C32" s="468"/>
      <c r="D32" s="468"/>
      <c r="E32" s="468"/>
      <c r="F32" s="468"/>
      <c r="G32" s="468"/>
      <c r="H32" s="468"/>
      <c r="I32" s="468"/>
    </row>
    <row r="35" spans="2:14" x14ac:dyDescent="0.2">
      <c r="B35" s="651" t="inlineStr">
        <is>
          <t>ПРИЛОЖЕНИЯ:</t>
        </is>
      </c>
      <c r="C35" s="468"/>
      <c r="D35" s="468"/>
      <c r="E35" s="468"/>
      <c r="F35" s="468"/>
      <c r="G35" s="468"/>
      <c r="H35" s="468"/>
      <c r="I35" s="468"/>
      <c r="J35" s="468"/>
      <c r="K35" s="468"/>
      <c r="L35" s="468"/>
      <c r="M35" s="468"/>
      <c r="N35" s="468"/>
    </row>
    <row r="36" spans="2:14" ht="18" customHeight="1" x14ac:dyDescent="0.2">
      <c r="B36" s="616" t="inlineStr">
        <is>
          <t>1. Investor Package (Инвестиционный пакет) v1.0.1 Public — investor_model_v1.0_Public.xlsx</t>
        </is>
      </c>
      <c r="C36" s="468"/>
      <c r="D36" s="468"/>
      <c r="E36" s="468"/>
      <c r="F36" s="468"/>
      <c r="G36" s="468"/>
      <c r="H36" s="468"/>
      <c r="I36" s="468"/>
      <c r="J36" s="468"/>
      <c r="K36" s="468"/>
      <c r="L36" s="468"/>
      <c r="M36" s="468"/>
      <c r="N36" s="468"/>
    </row>
    <row r="37" spans="2:14" ht="18" customHeight="1" x14ac:dyDescent="0.2">
      <c r="B37" s="616" t="inlineStr">
        <is>
          <t>2. Executive Summary (Краткое резюме) — см. лист 36</t>
        </is>
      </c>
      <c r="C37" s="468"/>
      <c r="D37" s="468"/>
      <c r="E37" s="468"/>
      <c r="F37" s="468"/>
      <c r="G37" s="468"/>
      <c r="H37" s="468"/>
      <c r="I37" s="468"/>
      <c r="J37" s="468"/>
      <c r="K37" s="468"/>
      <c r="L37" s="468"/>
      <c r="M37" s="468"/>
      <c r="N37" s="468"/>
    </row>
    <row r="38" spans="2:14" ht="18" customHeight="1" x14ac:dyDescent="0.2">
      <c r="B38" s="616" t="inlineStr">
        <is>
          <t>3. Due Diligence (Комплексная проверка) Checklist — см. лист 40 (62 пункта)</t>
        </is>
      </c>
      <c r="C38" s="468"/>
      <c r="D38" s="468"/>
      <c r="E38" s="468"/>
      <c r="F38" s="468"/>
      <c r="G38" s="468"/>
      <c r="H38" s="468"/>
      <c r="I38" s="468"/>
      <c r="J38" s="468"/>
      <c r="K38" s="468"/>
      <c r="L38" s="468"/>
      <c r="M38" s="468"/>
      <c r="N38" s="468"/>
    </row>
    <row r="39" spans="2:14" ht="18" customHeight="1" x14ac:dyDescent="0.2">
      <c r="B39" s="616" t="inlineStr">
        <is>
          <t>4. Risk Register (Реестр рисков) — см. лист 29 (30 рисков)</t>
        </is>
      </c>
      <c r="C39" s="468"/>
      <c r="D39" s="468"/>
      <c r="E39" s="468"/>
      <c r="F39" s="468"/>
      <c r="G39" s="468"/>
      <c r="H39" s="468"/>
      <c r="I39" s="468"/>
      <c r="J39" s="468"/>
      <c r="K39" s="468"/>
      <c r="L39" s="468"/>
      <c r="M39" s="468"/>
      <c r="N39" s="468"/>
    </row>
    <row r="40" spans="2:14" ht="18" customHeight="1" x14ac:dyDescent="0.2">
      <c r="B40" s="616" t="inlineStr">
        <is>
          <t>5. Notes &amp; Sources — см. лист 38 (методология + disclaimers)</t>
        </is>
      </c>
      <c r="C40" s="468"/>
      <c r="D40" s="468"/>
      <c r="E40" s="468"/>
      <c r="F40" s="468"/>
      <c r="G40" s="468"/>
      <c r="H40" s="468"/>
      <c r="I40" s="468"/>
      <c r="J40" s="468"/>
      <c r="K40" s="468"/>
      <c r="L40" s="468"/>
      <c r="M40" s="468"/>
      <c r="N40" s="468"/>
    </row>
    <row r="42" spans="2:14" ht="36" customHeight="1" x14ac:dyDescent="0.2">
      <c r="B42" s="614" t="inlineStr">
        <is>
      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      </is>
      </c>
      <c r="C42" s="468"/>
      <c r="D42" s="468"/>
      <c r="E42" s="468"/>
      <c r="F42" s="468"/>
      <c r="G42" s="468"/>
      <c r="H42" s="468"/>
      <c r="I42" s="468"/>
      <c r="J42" s="468"/>
      <c r="K42" s="468"/>
      <c r="L42" s="468"/>
      <c r="M42" s="468"/>
      <c r="N42" s="468"/>
    </row>
  </sheetData>
  <mergeCells count="25">
    <mergeCell ref="B2:I2"/>
    <mergeCell ref="J6:N6"/>
    <mergeCell ref="B26:N26"/>
    <mergeCell ref="B29:I29"/>
    <mergeCell ref="J7:N7"/>
    <mergeCell ref="B21:N21"/>
    <mergeCell ref="B11:N11"/>
    <mergeCell ref="B4:L4"/>
    <mergeCell ref="B9:N9"/>
    <mergeCell ref="B3:I3"/>
    <mergeCell ref="B15:N15"/>
    <mergeCell ref="B42:N42"/>
    <mergeCell ref="B30:I30"/>
    <mergeCell ref="B23:N23"/>
    <mergeCell ref="B17:N17"/>
    <mergeCell ref="B13:N13"/>
    <mergeCell ref="B38:N38"/>
    <mergeCell ref="B19:N19"/>
    <mergeCell ref="B32:I32"/>
    <mergeCell ref="B37:N37"/>
    <mergeCell ref="B40:N40"/>
    <mergeCell ref="B31:I31"/>
    <mergeCell ref="B36:N36"/>
    <mergeCell ref="B35:N35"/>
    <mergeCell ref="B39:N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42</vt:i4>
      </vt:variant>
    </vt:vector>
  </HeadingPairs>
  <TitlesOfParts>
    <vt:vector size="42" baseType="lpstr">
      <vt:lpstr>01_Cover</vt:lpstr>
      <vt:lpstr>02_Assumptions</vt:lpstr>
      <vt:lpstr>03_Change_Log</vt:lpstr>
      <vt:lpstr>04_FOT_Staff_A1</vt:lpstr>
      <vt:lpstr>05_FOT_Staff_A2</vt:lpstr>
      <vt:lpstr>06_Cost_Structure</vt:lpstr>
      <vt:lpstr>07_Revenue_Breakdown</vt:lpstr>
      <vt:lpstr>08_Content_Pipeline</vt:lpstr>
      <vt:lpstr>09_P&amp;L_Statement</vt:lpstr>
      <vt:lpstr>10_Cash_Flow</vt:lpstr>
      <vt:lpstr>11_Balance_Sheet</vt:lpstr>
      <vt:lpstr>12_Working_Capital</vt:lpstr>
      <vt:lpstr>13_Debt_Schedule</vt:lpstr>
      <vt:lpstr>14_Investment_Inflow</vt:lpstr>
      <vt:lpstr>15_Use_of_Funds</vt:lpstr>
      <vt:lpstr>16_CAPEX_Schedule</vt:lpstr>
      <vt:lpstr>17_Deal_Structures</vt:lpstr>
      <vt:lpstr>18_Cap_Table</vt:lpstr>
      <vt:lpstr>19_Waterfall</vt:lpstr>
      <vt:lpstr>20_Unit_Economics_per_Film</vt:lpstr>
      <vt:lpstr>21_KPI_Dashboard</vt:lpstr>
      <vt:lpstr>22_Valuation_DCF</vt:lpstr>
      <vt:lpstr>23_Valuation_Multiples</vt:lpstr>
      <vt:lpstr>24_Investor_Returns</vt:lpstr>
      <vt:lpstr>25_Exit_Scenarios</vt:lpstr>
      <vt:lpstr>26_Sensitivity</vt:lpstr>
      <vt:lpstr>27_Scenario_Analysis</vt:lpstr>
      <vt:lpstr>28_Monte_Carlo_Summary</vt:lpstr>
      <vt:lpstr>29_Risk_Register</vt:lpstr>
      <vt:lpstr>30_Market_Analysis</vt:lpstr>
      <vt:lpstr>31_Benchmarks</vt:lpstr>
      <vt:lpstr>32_Comparable_Transactions</vt:lpstr>
      <vt:lpstr>33_Gov_KPI</vt:lpstr>
      <vt:lpstr>34_Tax_Schedule</vt:lpstr>
      <vt:lpstr>35_Roadmap_2026_2032</vt:lpstr>
      <vt:lpstr>36_Executive_Summary</vt:lpstr>
      <vt:lpstr>37_Glossary</vt:lpstr>
      <vt:lpstr>38_Notes_and_Sources</vt:lpstr>
      <vt:lpstr>39_TOC</vt:lpstr>
      <vt:lpstr>40_Investor_Checklist</vt:lpstr>
      <vt:lpstr>41_Print_Setup</vt:lpstr>
      <vt:lpstr>42_Cover_Letter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investor_model_v1.0_Public — ТрендСтудио</dc:title>
  <dc:subject>Investor Financial Model, Pre-IPO Institutional</dc:subject>
  <dc:creator>Команда ТрендСтудио</dc:creator>
  <ns0:keywords>investor, financial model, L3, pre-IPO, cinema</ns0:keywords>
  <dc:description>Якорь: cumulative EBITDA 2026–2028 = 3 000 млн ₽</dc:description>
  <ns0:lastModifiedBy>a</ns0:lastModifiedBy>
  <ns2:created xsi:type="dcterms:W3CDTF">2026-04-11T18:02:50Z</ns2:created>
  <ns2:modified xsi:type="dcterms:W3CDTF">2026-04-12T10:15:08Z</ns2:modified>
</ns0:coreProperties>
</file>