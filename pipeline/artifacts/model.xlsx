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02_Anchor_check" sheetId="3" state="visible" r:id="rId3"/>
    <sheet xmlns:r="http://schemas.openxmlformats.org/officeDocument/2006/relationships" name="03_Revenue_segments" sheetId="4" state="visible" r:id="rId4"/>
    <sheet xmlns:r="http://schemas.openxmlformats.org/officeDocument/2006/relationships" name="04_Slate_films" sheetId="5" state="visible" r:id="rId5"/>
    <sheet xmlns:r="http://schemas.openxmlformats.org/officeDocument/2006/relationships" name="05_Costs" sheetId="6" state="visible" r:id="rId6"/>
    <sheet xmlns:r="http://schemas.openxmlformats.org/officeDocument/2006/relationships" name="06_PnL_cons" sheetId="7" state="visible" r:id="rId7"/>
    <sheet xmlns:r="http://schemas.openxmlformats.org/officeDocument/2006/relationships" name="07_PnL_base" sheetId="8" state="visible" r:id="rId8"/>
    <sheet xmlns:r="http://schemas.openxmlformats.org/officeDocument/2006/relationships" name="08_PnL_opt" sheetId="9" state="visible" r:id="rId9"/>
    <sheet xmlns:r="http://schemas.openxmlformats.org/officeDocument/2006/relationships" name="09_CashFlow_3scen" sheetId="10" state="visible" r:id="rId10"/>
    <sheet xmlns:r="http://schemas.openxmlformats.org/officeDocument/2006/relationships" name="10_Quarterly_CF_base" sheetId="11" state="visible" r:id="rId11"/>
    <sheet xmlns:r="http://schemas.openxmlformats.org/officeDocument/2006/relationships" name="11_Valuation_DCF" sheetId="12" state="visible" r:id="rId12"/>
    <sheet xmlns:r="http://schemas.openxmlformats.org/officeDocument/2006/relationships" name="12_Sensitivity" sheetId="13" state="visible" r:id="rId13"/>
    <sheet xmlns:r="http://schemas.openxmlformats.org/officeDocument/2006/relationships" name="13_MonteCarlo" sheetId="14" state="visible" r:id="rId14"/>
    <sheet xmlns:r="http://schemas.openxmlformats.org/officeDocument/2006/relationships" name="14_StressTests" sheetId="15" state="visible" r:id="rId15"/>
    <sheet xmlns:r="http://schemas.openxmlformats.org/officeDocument/2006/relationships" name="15_Investment_round" sheetId="16" state="visible" r:id="rId16"/>
    <sheet xmlns:r="http://schemas.openxmlformats.org/officeDocument/2006/relationships" name="16_InvestorReturns" sheetId="17" state="visible" r:id="rId17"/>
    <sheet xmlns:r="http://schemas.openxmlformats.org/officeDocument/2006/relationships" name="17_Macro" sheetId="18" state="visible" r:id="rId18"/>
    <sheet xmlns:r="http://schemas.openxmlformats.org/officeDocument/2006/relationships" name="18_NWC_CapEx" sheetId="19" state="visible" r:id="rId19"/>
    <sheet xmlns:r="http://schemas.openxmlformats.org/officeDocument/2006/relationships" name="19_Provenance" sheetId="20" state="visible" r:id="rId20"/>
    <sheet xmlns:r="http://schemas.openxmlformats.org/officeDocument/2006/relationships" name="20_Manifes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70C0"/>
      <sz val="16"/>
    </font>
    <font>
      <name val="Calibri"/>
      <b val="1"/>
      <color rgb="000070C0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ТрендСтудио — Финансовая модель 2026–2028</t>
        </is>
      </c>
    </row>
    <row r="3">
      <c r="A3" s="2" t="inlineStr">
        <is>
          <t>Сценарий</t>
        </is>
      </c>
      <c r="B3" s="2" t="inlineStr">
        <is>
          <t>Revenue, млн ₽</t>
        </is>
      </c>
      <c r="C3" s="2" t="inlineStr">
        <is>
          <t>EBITDA, млн ₽</t>
        </is>
      </c>
      <c r="D3" s="2" t="inlineStr">
        <is>
          <t>Net Income, млн ₽</t>
        </is>
      </c>
    </row>
    <row r="4">
      <c r="A4" s="3" t="inlineStr">
        <is>
          <t>CONS</t>
        </is>
      </c>
      <c r="B4" s="4" t="n">
        <v>10625</v>
      </c>
      <c r="C4" s="4" t="n">
        <v>1359</v>
      </c>
      <c r="D4" s="4" t="n">
        <v>-1866</v>
      </c>
    </row>
    <row r="5">
      <c r="A5" s="3" t="inlineStr">
        <is>
          <t>BASE</t>
        </is>
      </c>
      <c r="B5" s="4" t="n">
        <v>12500</v>
      </c>
      <c r="C5" s="4" t="n">
        <v>3001</v>
      </c>
      <c r="D5" s="4" t="n">
        <v>-731</v>
      </c>
    </row>
    <row r="6">
      <c r="A6" s="3" t="inlineStr">
        <is>
          <t>OPT</t>
        </is>
      </c>
      <c r="B6" s="4" t="n">
        <v>14000</v>
      </c>
      <c r="C6" s="4" t="n">
        <v>4132</v>
      </c>
      <c r="D6" s="4" t="n">
        <v>-79</v>
      </c>
    </row>
    <row r="9">
      <c r="A9" s="2" t="inlineStr">
        <is>
          <t>Якорный инвариант (Base EBITDA 3y)</t>
        </is>
      </c>
    </row>
    <row r="10">
      <c r="A10" s="3" t="inlineStr">
        <is>
          <t>Target, млн ₽</t>
        </is>
      </c>
      <c r="B10" s="4" t="n">
        <v>3000</v>
      </c>
    </row>
    <row r="11">
      <c r="A11" s="3" t="inlineStr">
        <is>
          <t>Actual Base, млн ₽</t>
        </is>
      </c>
      <c r="B11" s="4" t="n">
        <v>3000.7</v>
      </c>
    </row>
    <row r="12">
      <c r="A12" s="3" t="inlineStr">
        <is>
          <t>Отклонение, %</t>
        </is>
      </c>
      <c r="B12" s="3" t="inlineStr">
        <is>
          <t>+0.022%</t>
        </is>
      </c>
    </row>
    <row r="13">
      <c r="A13" s="3" t="inlineStr">
        <is>
          <t>Статус</t>
        </is>
      </c>
      <c r="B13" s="3" t="inlineStr">
        <is>
          <t>PASS 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Summary — ключевые метрики по сценариям</t>
        </is>
      </c>
    </row>
    <row r="3">
      <c r="A3" s="5" t="inlineStr">
        <is>
          <t>Метрика</t>
        </is>
      </c>
      <c r="B3" s="5" t="inlineStr">
        <is>
          <t>2026</t>
        </is>
      </c>
      <c r="C3" s="5" t="inlineStr">
        <is>
          <t>2027</t>
        </is>
      </c>
      <c r="D3" s="5" t="inlineStr">
        <is>
          <t>2028</t>
        </is>
      </c>
      <c r="E3" s="5" t="inlineStr">
        <is>
          <t>Σ 3 года</t>
        </is>
      </c>
    </row>
    <row r="4">
      <c r="A4" s="2" t="inlineStr">
        <is>
          <t>── CONS ──</t>
        </is>
      </c>
    </row>
    <row r="5">
      <c r="A5" s="3" t="inlineStr">
        <is>
          <t>Revenue</t>
        </is>
      </c>
      <c r="B5" s="4" t="n">
        <v>2296</v>
      </c>
      <c r="C5" s="4" t="n">
        <v>3740</v>
      </c>
      <c r="D5" s="4" t="n">
        <v>4589</v>
      </c>
      <c r="E5" s="4" t="n">
        <v>10625</v>
      </c>
    </row>
    <row r="6">
      <c r="A6" s="3" t="inlineStr">
        <is>
          <t>COGS</t>
        </is>
      </c>
      <c r="B6" s="4" t="n">
        <v>972</v>
      </c>
      <c r="C6" s="4" t="n">
        <v>1426</v>
      </c>
      <c r="D6" s="4" t="n">
        <v>1701</v>
      </c>
      <c r="E6" s="4" t="n">
        <v>4099</v>
      </c>
    </row>
    <row r="7">
      <c r="A7" s="3" t="inlineStr">
        <is>
          <t>Gross Profit</t>
        </is>
      </c>
      <c r="B7" s="4" t="n">
        <v>1324</v>
      </c>
      <c r="C7" s="4" t="n">
        <v>2314</v>
      </c>
      <c r="D7" s="4" t="n">
        <v>2888</v>
      </c>
      <c r="E7" s="4" t="n">
        <v>6526</v>
      </c>
    </row>
    <row r="8">
      <c r="A8" s="3" t="inlineStr">
        <is>
          <t>OPEX</t>
        </is>
      </c>
      <c r="B8" s="4" t="n">
        <v>832</v>
      </c>
      <c r="C8" s="4" t="n">
        <v>1464</v>
      </c>
      <c r="D8" s="4" t="n">
        <v>1800</v>
      </c>
      <c r="E8" s="4" t="n">
        <v>4096</v>
      </c>
    </row>
    <row r="9">
      <c r="A9" s="3" t="inlineStr">
        <is>
          <t>P&amp;A</t>
        </is>
      </c>
      <c r="B9" s="4" t="n">
        <v>135</v>
      </c>
      <c r="C9" s="4" t="n">
        <v>225</v>
      </c>
      <c r="D9" s="4" t="n">
        <v>270</v>
      </c>
      <c r="E9" s="4" t="n">
        <v>630</v>
      </c>
    </row>
    <row r="10">
      <c r="A10" s="3" t="inlineStr">
        <is>
          <t>Contingency</t>
        </is>
      </c>
      <c r="B10" s="4" t="n">
        <v>97</v>
      </c>
      <c r="C10" s="4" t="n">
        <v>156</v>
      </c>
      <c r="D10" s="4" t="n">
        <v>189</v>
      </c>
      <c r="E10" s="4" t="n">
        <v>441</v>
      </c>
    </row>
    <row r="11">
      <c r="A11" s="3" t="inlineStr">
        <is>
          <t>EBITDA</t>
        </is>
      </c>
      <c r="B11" s="4" t="n">
        <v>260</v>
      </c>
      <c r="C11" s="4" t="n">
        <v>469</v>
      </c>
      <c r="D11" s="4" t="n">
        <v>629</v>
      </c>
      <c r="E11" s="4" t="n">
        <v>1359</v>
      </c>
    </row>
    <row r="12">
      <c r="A12" s="3" t="inlineStr">
        <is>
          <t>D&amp;A</t>
        </is>
      </c>
      <c r="B12" s="4" t="n">
        <v>782</v>
      </c>
      <c r="C12" s="4" t="n">
        <v>1033</v>
      </c>
      <c r="D12" s="4" t="n">
        <v>1409</v>
      </c>
      <c r="E12" s="4" t="n">
        <v>3224</v>
      </c>
    </row>
    <row r="13">
      <c r="A13" s="3" t="inlineStr">
        <is>
          <t>EBIT</t>
        </is>
      </c>
      <c r="B13" s="4" t="n">
        <v>-522</v>
      </c>
      <c r="C13" s="4" t="n">
        <v>-564</v>
      </c>
      <c r="D13" s="4" t="n">
        <v>-780</v>
      </c>
      <c r="E13" s="4" t="n">
        <v>-1866</v>
      </c>
    </row>
    <row r="14">
      <c r="A14" s="3" t="inlineStr">
        <is>
          <t>Taxes</t>
        </is>
      </c>
      <c r="B14" s="4" t="n">
        <v>0</v>
      </c>
      <c r="C14" s="4" t="n">
        <v>0</v>
      </c>
      <c r="D14" s="4" t="n">
        <v>0</v>
      </c>
      <c r="E14" s="4" t="n">
        <v>0</v>
      </c>
    </row>
    <row r="15">
      <c r="A15" s="3" t="inlineStr">
        <is>
          <t>Net Income</t>
        </is>
      </c>
      <c r="B15" s="4" t="n">
        <v>-522</v>
      </c>
      <c r="C15" s="4" t="n">
        <v>-564</v>
      </c>
      <c r="D15" s="4" t="n">
        <v>-780</v>
      </c>
      <c r="E15" s="4" t="n">
        <v>-1866</v>
      </c>
    </row>
    <row r="16">
      <c r="A16" s="3" t="inlineStr">
        <is>
          <t>Operating CF</t>
        </is>
      </c>
      <c r="B16" s="4" t="n">
        <v>195</v>
      </c>
      <c r="C16" s="4" t="n">
        <v>329</v>
      </c>
      <c r="D16" s="4" t="n">
        <v>499</v>
      </c>
      <c r="E16" s="4" t="n">
        <v>1024</v>
      </c>
    </row>
    <row r="17">
      <c r="A17" s="3" t="inlineStr">
        <is>
          <t>CapEx total</t>
        </is>
      </c>
      <c r="B17" s="4" t="n">
        <v>1185</v>
      </c>
      <c r="C17" s="4" t="n">
        <v>1310</v>
      </c>
      <c r="D17" s="4" t="n">
        <v>1635</v>
      </c>
      <c r="E17" s="4" t="n">
        <v>4130</v>
      </c>
    </row>
    <row r="18">
      <c r="A18" s="3" t="inlineStr">
        <is>
          <t>Free Cash Flow</t>
        </is>
      </c>
      <c r="B18" s="4" t="n">
        <v>-990</v>
      </c>
      <c r="C18" s="4" t="n">
        <v>-981</v>
      </c>
      <c r="D18" s="4" t="n">
        <v>-1136</v>
      </c>
      <c r="E18" s="4" t="n">
        <v>-3106</v>
      </c>
    </row>
    <row r="20">
      <c r="A20" s="2" t="inlineStr">
        <is>
          <t>── BASE ──</t>
        </is>
      </c>
    </row>
    <row r="21">
      <c r="A21" s="3" t="inlineStr">
        <is>
          <t>Revenue</t>
        </is>
      </c>
      <c r="B21" s="4" t="n">
        <v>2700</v>
      </c>
      <c r="C21" s="4" t="n">
        <v>4400</v>
      </c>
      <c r="D21" s="4" t="n">
        <v>5400</v>
      </c>
      <c r="E21" s="4" t="n">
        <v>12500</v>
      </c>
    </row>
    <row r="22">
      <c r="A22" s="3" t="inlineStr">
        <is>
          <t>COGS</t>
        </is>
      </c>
      <c r="B22" s="4" t="n">
        <v>1080</v>
      </c>
      <c r="C22" s="4" t="n">
        <v>1584</v>
      </c>
      <c r="D22" s="4" t="n">
        <v>1890</v>
      </c>
      <c r="E22" s="4" t="n">
        <v>4554</v>
      </c>
    </row>
    <row r="23">
      <c r="A23" s="3" t="inlineStr">
        <is>
          <t>Gross Profit</t>
        </is>
      </c>
      <c r="B23" s="4" t="n">
        <v>1620</v>
      </c>
      <c r="C23" s="4" t="n">
        <v>2816</v>
      </c>
      <c r="D23" s="4" t="n">
        <v>3510</v>
      </c>
      <c r="E23" s="4" t="n">
        <v>7946</v>
      </c>
    </row>
    <row r="24">
      <c r="A24" s="3" t="inlineStr">
        <is>
          <t>OPEX</t>
        </is>
      </c>
      <c r="B24" s="4" t="n">
        <v>770</v>
      </c>
      <c r="C24" s="4" t="n">
        <v>1356</v>
      </c>
      <c r="D24" s="4" t="n">
        <v>1667</v>
      </c>
      <c r="E24" s="4" t="n">
        <v>3793</v>
      </c>
    </row>
    <row r="25">
      <c r="A25" s="3" t="inlineStr">
        <is>
          <t>P&amp;A</t>
        </is>
      </c>
      <c r="B25" s="4" t="n">
        <v>150</v>
      </c>
      <c r="C25" s="4" t="n">
        <v>250</v>
      </c>
      <c r="D25" s="4" t="n">
        <v>300</v>
      </c>
      <c r="E25" s="4" t="n">
        <v>700</v>
      </c>
    </row>
    <row r="26">
      <c r="A26" s="3" t="inlineStr">
        <is>
          <t>Contingency</t>
        </is>
      </c>
      <c r="B26" s="4" t="n">
        <v>100</v>
      </c>
      <c r="C26" s="4" t="n">
        <v>160</v>
      </c>
      <c r="D26" s="4" t="n">
        <v>193</v>
      </c>
      <c r="E26" s="4" t="n">
        <v>452</v>
      </c>
    </row>
    <row r="27">
      <c r="A27" s="3" t="inlineStr">
        <is>
          <t>EBITDA</t>
        </is>
      </c>
      <c r="B27" s="4" t="n">
        <v>600</v>
      </c>
      <c r="C27" s="4" t="n">
        <v>1050</v>
      </c>
      <c r="D27" s="4" t="n">
        <v>1350</v>
      </c>
      <c r="E27" s="4" t="n">
        <v>3001</v>
      </c>
    </row>
    <row r="28">
      <c r="A28" s="3" t="inlineStr">
        <is>
          <t>D&amp;A</t>
        </is>
      </c>
      <c r="B28" s="4" t="n">
        <v>880</v>
      </c>
      <c r="C28" s="4" t="n">
        <v>1166</v>
      </c>
      <c r="D28" s="4" t="n">
        <v>1685</v>
      </c>
      <c r="E28" s="4" t="n">
        <v>3731</v>
      </c>
    </row>
    <row r="29">
      <c r="A29" s="3" t="inlineStr">
        <is>
          <t>EBIT</t>
        </is>
      </c>
      <c r="B29" s="4" t="n">
        <v>-280</v>
      </c>
      <c r="C29" s="4" t="n">
        <v>-115</v>
      </c>
      <c r="D29" s="4" t="n">
        <v>-335</v>
      </c>
      <c r="E29" s="4" t="n">
        <v>-731</v>
      </c>
    </row>
    <row r="30">
      <c r="A30" s="3" t="inlineStr">
        <is>
          <t>Taxes</t>
        </is>
      </c>
      <c r="B30" s="4" t="n">
        <v>0</v>
      </c>
      <c r="C30" s="4" t="n">
        <v>0</v>
      </c>
      <c r="D30" s="4" t="n">
        <v>0</v>
      </c>
      <c r="E30" s="4" t="n">
        <v>0</v>
      </c>
    </row>
    <row r="31">
      <c r="A31" s="3" t="inlineStr">
        <is>
          <t>Net Income</t>
        </is>
      </c>
      <c r="B31" s="4" t="n">
        <v>-280</v>
      </c>
      <c r="C31" s="4" t="n">
        <v>-115</v>
      </c>
      <c r="D31" s="4" t="n">
        <v>-335</v>
      </c>
      <c r="E31" s="4" t="n">
        <v>-731</v>
      </c>
    </row>
    <row r="32">
      <c r="A32" s="3" t="inlineStr">
        <is>
          <t>Operating CF</t>
        </is>
      </c>
      <c r="B32" s="4" t="n">
        <v>555</v>
      </c>
      <c r="C32" s="4" t="n">
        <v>956</v>
      </c>
      <c r="D32" s="4" t="n">
        <v>1270</v>
      </c>
      <c r="E32" s="4" t="n">
        <v>2781</v>
      </c>
    </row>
    <row r="33">
      <c r="A33" s="3" t="inlineStr">
        <is>
          <t>CapEx total</t>
        </is>
      </c>
      <c r="B33" s="4" t="n">
        <v>1325</v>
      </c>
      <c r="C33" s="4" t="n">
        <v>1470</v>
      </c>
      <c r="D33" s="4" t="n">
        <v>1975</v>
      </c>
      <c r="E33" s="4" t="n">
        <v>4770</v>
      </c>
    </row>
    <row r="34">
      <c r="A34" s="3" t="inlineStr">
        <is>
          <t>Free Cash Flow</t>
        </is>
      </c>
      <c r="B34" s="4" t="n">
        <v>-770</v>
      </c>
      <c r="C34" s="4" t="n">
        <v>-514</v>
      </c>
      <c r="D34" s="4" t="n">
        <v>-705</v>
      </c>
      <c r="E34" s="4" t="n">
        <v>-1989</v>
      </c>
    </row>
    <row r="36">
      <c r="A36" s="2" t="inlineStr">
        <is>
          <t>── OPT ──</t>
        </is>
      </c>
    </row>
    <row r="37">
      <c r="A37" s="3" t="inlineStr">
        <is>
          <t>Revenue</t>
        </is>
      </c>
      <c r="B37" s="4" t="n">
        <v>3025</v>
      </c>
      <c r="C37" s="4" t="n">
        <v>4928</v>
      </c>
      <c r="D37" s="4" t="n">
        <v>6047</v>
      </c>
      <c r="E37" s="4" t="n">
        <v>14000</v>
      </c>
    </row>
    <row r="38">
      <c r="A38" s="3" t="inlineStr">
        <is>
          <t>COGS</t>
        </is>
      </c>
      <c r="B38" s="4" t="n">
        <v>1210</v>
      </c>
      <c r="C38" s="4" t="n">
        <v>1774</v>
      </c>
      <c r="D38" s="4" t="n">
        <v>2117</v>
      </c>
      <c r="E38" s="4" t="n">
        <v>5101</v>
      </c>
    </row>
    <row r="39">
      <c r="A39" s="3" t="inlineStr">
        <is>
          <t>Gross Profit</t>
        </is>
      </c>
      <c r="B39" s="4" t="n">
        <v>1815</v>
      </c>
      <c r="C39" s="4" t="n">
        <v>3154</v>
      </c>
      <c r="D39" s="4" t="n">
        <v>3930</v>
      </c>
      <c r="E39" s="4" t="n">
        <v>8899</v>
      </c>
    </row>
    <row r="40">
      <c r="A40" s="3" t="inlineStr">
        <is>
          <t>OPEX</t>
        </is>
      </c>
      <c r="B40" s="4" t="n">
        <v>716</v>
      </c>
      <c r="C40" s="4" t="n">
        <v>1261</v>
      </c>
      <c r="D40" s="4" t="n">
        <v>1550</v>
      </c>
      <c r="E40" s="4" t="n">
        <v>3527</v>
      </c>
    </row>
    <row r="41">
      <c r="A41" s="3" t="inlineStr">
        <is>
          <t>P&amp;A</t>
        </is>
      </c>
      <c r="B41" s="4" t="n">
        <v>165</v>
      </c>
      <c r="C41" s="4" t="n">
        <v>275</v>
      </c>
      <c r="D41" s="4" t="n">
        <v>330</v>
      </c>
      <c r="E41" s="4" t="n">
        <v>770</v>
      </c>
    </row>
    <row r="42">
      <c r="A42" s="3" t="inlineStr">
        <is>
          <t>Contingency</t>
        </is>
      </c>
      <c r="B42" s="4" t="n">
        <v>105</v>
      </c>
      <c r="C42" s="4" t="n">
        <v>166</v>
      </c>
      <c r="D42" s="4" t="n">
        <v>200</v>
      </c>
      <c r="E42" s="4" t="n">
        <v>470</v>
      </c>
    </row>
    <row r="43">
      <c r="A43" s="3" t="inlineStr">
        <is>
          <t>EBITDA</t>
        </is>
      </c>
      <c r="B43" s="4" t="n">
        <v>829</v>
      </c>
      <c r="C43" s="4" t="n">
        <v>1452</v>
      </c>
      <c r="D43" s="4" t="n">
        <v>1850</v>
      </c>
      <c r="E43" s="4" t="n">
        <v>4132</v>
      </c>
    </row>
    <row r="44">
      <c r="A44" s="3" t="inlineStr">
        <is>
          <t>D&amp;A</t>
        </is>
      </c>
      <c r="B44" s="4" t="n">
        <v>992</v>
      </c>
      <c r="C44" s="4" t="n">
        <v>1302</v>
      </c>
      <c r="D44" s="4" t="n">
        <v>1879</v>
      </c>
      <c r="E44" s="4" t="n">
        <v>4173</v>
      </c>
    </row>
    <row r="45">
      <c r="A45" s="3" t="inlineStr">
        <is>
          <t>EBIT</t>
        </is>
      </c>
      <c r="B45" s="4" t="n">
        <v>-163</v>
      </c>
      <c r="C45" s="4" t="n">
        <v>151</v>
      </c>
      <c r="D45" s="4" t="n">
        <v>-29</v>
      </c>
      <c r="E45" s="4" t="n">
        <v>-41</v>
      </c>
    </row>
    <row r="46">
      <c r="A46" s="3" t="inlineStr">
        <is>
          <t>Taxes</t>
        </is>
      </c>
      <c r="B46" s="4" t="n">
        <v>0</v>
      </c>
      <c r="C46" s="4" t="n">
        <v>38</v>
      </c>
      <c r="D46" s="4" t="n">
        <v>0</v>
      </c>
      <c r="E46" s="4" t="n">
        <v>38</v>
      </c>
    </row>
    <row r="47">
      <c r="A47" s="3" t="inlineStr">
        <is>
          <t>Net Income</t>
        </is>
      </c>
      <c r="B47" s="4" t="n">
        <v>-163</v>
      </c>
      <c r="C47" s="4" t="n">
        <v>113</v>
      </c>
      <c r="D47" s="4" t="n">
        <v>-29</v>
      </c>
      <c r="E47" s="4" t="n">
        <v>-79</v>
      </c>
    </row>
    <row r="48">
      <c r="A48" s="3" t="inlineStr">
        <is>
          <t>Operating CF</t>
        </is>
      </c>
      <c r="B48" s="4" t="n">
        <v>804</v>
      </c>
      <c r="C48" s="4" t="n">
        <v>1360</v>
      </c>
      <c r="D48" s="4" t="n">
        <v>1810</v>
      </c>
      <c r="E48" s="4" t="n">
        <v>3974</v>
      </c>
    </row>
    <row r="49">
      <c r="A49" s="3" t="inlineStr">
        <is>
          <t>CapEx total</t>
        </is>
      </c>
      <c r="B49" s="4" t="n">
        <v>1485</v>
      </c>
      <c r="C49" s="4" t="n">
        <v>1630</v>
      </c>
      <c r="D49" s="4" t="n">
        <v>2195</v>
      </c>
      <c r="E49" s="4" t="n">
        <v>5310</v>
      </c>
    </row>
    <row r="50">
      <c r="A50" s="3" t="inlineStr">
        <is>
          <t>Free Cash Flow</t>
        </is>
      </c>
      <c r="B50" s="4" t="n">
        <v>-681</v>
      </c>
      <c r="C50" s="4" t="n">
        <v>-270</v>
      </c>
      <c r="D50" s="4" t="n">
        <v>-385</v>
      </c>
      <c r="E50" s="4" t="n">
        <v>-1336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Anchor Check — проверка якорного инварианта</t>
        </is>
      </c>
    </row>
    <row r="3">
      <c r="A3" s="3" t="inlineStr">
        <is>
          <t>Anchor metric</t>
        </is>
      </c>
      <c r="B3" s="3" t="inlineStr">
        <is>
          <t>cumulative_ebitda_2026_2028</t>
        </is>
      </c>
    </row>
    <row r="4">
      <c r="A4" s="3" t="inlineStr">
        <is>
          <t>Scenario</t>
        </is>
      </c>
      <c r="B4" s="3" t="inlineStr">
        <is>
          <t>base</t>
        </is>
      </c>
    </row>
    <row r="5">
      <c r="A5" s="3" t="inlineStr">
        <is>
          <t>Target value, млн ₽</t>
        </is>
      </c>
      <c r="B5" s="4" t="n">
        <v>3000</v>
      </c>
    </row>
    <row r="6">
      <c r="A6" s="3" t="inlineStr">
        <is>
          <t>Tolerance, %</t>
        </is>
      </c>
      <c r="B6" s="3" t="inlineStr">
        <is>
          <t>±1.0%</t>
        </is>
      </c>
    </row>
    <row r="7">
      <c r="A7" s="3" t="inlineStr">
        <is>
          <t>Actual (Base) EBITDA cum, млн ₽</t>
        </is>
      </c>
      <c r="B7" s="4" t="n">
        <v>3000.7</v>
      </c>
    </row>
    <row r="8">
      <c r="A8" s="3" t="inlineStr">
        <is>
          <t>Deviation, %</t>
        </is>
      </c>
      <c r="B8" s="3" t="inlineStr">
        <is>
          <t>+0.022%</t>
        </is>
      </c>
    </row>
    <row r="9">
      <c r="A9" s="3" t="inlineStr">
        <is>
          <t>Status</t>
        </is>
      </c>
      <c r="B9" s="3" t="inlineStr">
        <is>
          <t>PASS ✓</t>
        </is>
      </c>
    </row>
    <row r="10">
      <c r="A10" s="3" t="inlineStr">
        <is>
          <t>Rationale</t>
        </is>
      </c>
      <c r="B10" s="3" t="inlineStr">
        <is>
          <t>Целевой KPI холдинга «ТрендСтудио» на период 2026-2028. Зафиксирован в стратегии и служит инвариантом для всех генераторов.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Revenue — 5 сегментов × 3 сценария × 3 года</t>
        </is>
      </c>
    </row>
    <row r="3">
      <c r="A3" s="5" t="inlineStr">
        <is>
          <t>Сегмент × Сценарий</t>
        </is>
      </c>
      <c r="B3" s="5" t="inlineStr">
        <is>
          <t>2026</t>
        </is>
      </c>
      <c r="C3" s="5" t="inlineStr">
        <is>
          <t>2027</t>
        </is>
      </c>
      <c r="D3" s="5" t="inlineStr">
        <is>
          <t>2028</t>
        </is>
      </c>
      <c r="E3" s="5" t="inlineStr">
        <is>
          <t>Σ</t>
        </is>
      </c>
    </row>
    <row r="4">
      <c r="A4" s="3" t="inlineStr">
        <is>
          <t>cinema [cons]</t>
        </is>
      </c>
      <c r="B4" s="4" t="n">
        <v>918</v>
      </c>
      <c r="C4" s="4" t="n">
        <v>1496</v>
      </c>
      <c r="D4" s="4" t="n">
        <v>1836</v>
      </c>
      <c r="E4" s="4" t="n">
        <v>4250</v>
      </c>
    </row>
    <row r="5">
      <c r="A5" s="3" t="inlineStr">
        <is>
          <t>cinema [base]</t>
        </is>
      </c>
      <c r="B5" s="4" t="n">
        <v>1080</v>
      </c>
      <c r="C5" s="4" t="n">
        <v>1760</v>
      </c>
      <c r="D5" s="4" t="n">
        <v>2160</v>
      </c>
      <c r="E5" s="4" t="n">
        <v>5000</v>
      </c>
    </row>
    <row r="6">
      <c r="A6" s="3" t="inlineStr">
        <is>
          <t>cinema [opt]</t>
        </is>
      </c>
      <c r="B6" s="4" t="n">
        <v>1210</v>
      </c>
      <c r="C6" s="4" t="n">
        <v>1971</v>
      </c>
      <c r="D6" s="4" t="n">
        <v>2419</v>
      </c>
      <c r="E6" s="4" t="n">
        <v>5600</v>
      </c>
    </row>
    <row r="8">
      <c r="A8" s="3" t="inlineStr">
        <is>
          <t>advertising [cons]</t>
        </is>
      </c>
      <c r="B8" s="4" t="n">
        <v>643</v>
      </c>
      <c r="C8" s="4" t="n">
        <v>1047</v>
      </c>
      <c r="D8" s="4" t="n">
        <v>1285</v>
      </c>
      <c r="E8" s="4" t="n">
        <v>2975</v>
      </c>
    </row>
    <row r="9">
      <c r="A9" s="3" t="inlineStr">
        <is>
          <t>advertising [base]</t>
        </is>
      </c>
      <c r="B9" s="4" t="n">
        <v>756</v>
      </c>
      <c r="C9" s="4" t="n">
        <v>1232</v>
      </c>
      <c r="D9" s="4" t="n">
        <v>1512</v>
      </c>
      <c r="E9" s="4" t="n">
        <v>3500</v>
      </c>
    </row>
    <row r="10">
      <c r="A10" s="3" t="inlineStr">
        <is>
          <t>advertising [opt]</t>
        </is>
      </c>
      <c r="B10" s="4" t="n">
        <v>847</v>
      </c>
      <c r="C10" s="4" t="n">
        <v>1380</v>
      </c>
      <c r="D10" s="4" t="n">
        <v>1693</v>
      </c>
      <c r="E10" s="4" t="n">
        <v>3920</v>
      </c>
    </row>
    <row r="12">
      <c r="A12" s="3" t="inlineStr">
        <is>
          <t>festivals [cons]</t>
        </is>
      </c>
      <c r="B12" s="4" t="n">
        <v>344</v>
      </c>
      <c r="C12" s="4" t="n">
        <v>561</v>
      </c>
      <c r="D12" s="4" t="n">
        <v>688</v>
      </c>
      <c r="E12" s="4" t="n">
        <v>1593</v>
      </c>
    </row>
    <row r="13">
      <c r="A13" s="3" t="inlineStr">
        <is>
          <t>festivals [base]</t>
        </is>
      </c>
      <c r="B13" s="4" t="n">
        <v>405</v>
      </c>
      <c r="C13" s="4" t="n">
        <v>660</v>
      </c>
      <c r="D13" s="4" t="n">
        <v>810</v>
      </c>
      <c r="E13" s="4" t="n">
        <v>1875</v>
      </c>
    </row>
    <row r="14">
      <c r="A14" s="3" t="inlineStr">
        <is>
          <t>festivals [opt]</t>
        </is>
      </c>
      <c r="B14" s="4" t="n">
        <v>454</v>
      </c>
      <c r="C14" s="4" t="n">
        <v>739</v>
      </c>
      <c r="D14" s="4" t="n">
        <v>907</v>
      </c>
      <c r="E14" s="4" t="n">
        <v>2100</v>
      </c>
    </row>
    <row r="16">
      <c r="A16" s="3" t="inlineStr">
        <is>
          <t>education [cons]</t>
        </is>
      </c>
      <c r="B16" s="4" t="n">
        <v>230</v>
      </c>
      <c r="C16" s="4" t="n">
        <v>374</v>
      </c>
      <c r="D16" s="4" t="n">
        <v>459</v>
      </c>
      <c r="E16" s="4" t="n">
        <v>1063</v>
      </c>
    </row>
    <row r="17">
      <c r="A17" s="3" t="inlineStr">
        <is>
          <t>education [base]</t>
        </is>
      </c>
      <c r="B17" s="4" t="n">
        <v>270</v>
      </c>
      <c r="C17" s="4" t="n">
        <v>440</v>
      </c>
      <c r="D17" s="4" t="n">
        <v>540</v>
      </c>
      <c r="E17" s="4" t="n">
        <v>1250</v>
      </c>
    </row>
    <row r="18">
      <c r="A18" s="3" t="inlineStr">
        <is>
          <t>education [opt]</t>
        </is>
      </c>
      <c r="B18" s="4" t="n">
        <v>302</v>
      </c>
      <c r="C18" s="4" t="n">
        <v>493</v>
      </c>
      <c r="D18" s="4" t="n">
        <v>605</v>
      </c>
      <c r="E18" s="4" t="n">
        <v>1400</v>
      </c>
    </row>
    <row r="20">
      <c r="A20" s="3" t="inlineStr">
        <is>
          <t>license_library [cons]</t>
        </is>
      </c>
      <c r="B20" s="4" t="n">
        <v>161</v>
      </c>
      <c r="C20" s="4" t="n">
        <v>262</v>
      </c>
      <c r="D20" s="4" t="n">
        <v>321</v>
      </c>
      <c r="E20" s="4" t="n">
        <v>744</v>
      </c>
    </row>
    <row r="21">
      <c r="A21" s="3" t="inlineStr">
        <is>
          <t>license_library [base]</t>
        </is>
      </c>
      <c r="B21" s="4" t="n">
        <v>189</v>
      </c>
      <c r="C21" s="4" t="n">
        <v>308</v>
      </c>
      <c r="D21" s="4" t="n">
        <v>378</v>
      </c>
      <c r="E21" s="4" t="n">
        <v>875</v>
      </c>
    </row>
    <row r="22">
      <c r="A22" s="3" t="inlineStr">
        <is>
          <t>license_library [opt]</t>
        </is>
      </c>
      <c r="B22" s="4" t="n">
        <v>212</v>
      </c>
      <c r="C22" s="4" t="n">
        <v>345</v>
      </c>
      <c r="D22" s="4" t="n">
        <v>423</v>
      </c>
      <c r="E22" s="4" t="n">
        <v>980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Slate — 12 фильмов релизного слата</t>
        </is>
      </c>
    </row>
    <row r="3">
      <c r="A3" s="5" t="inlineStr">
        <is>
          <t>film_id</t>
        </is>
      </c>
      <c r="B3" s="5" t="inlineStr">
        <is>
          <t>title</t>
        </is>
      </c>
      <c r="C3" s="5" t="inlineStr">
        <is>
          <t>year</t>
        </is>
      </c>
      <c r="D3" s="5" t="inlineStr">
        <is>
          <t>quarter</t>
        </is>
      </c>
      <c r="E3" s="5" t="inlineStr">
        <is>
          <t>BO cons</t>
        </is>
      </c>
      <c r="F3" s="5" t="inlineStr">
        <is>
          <t>BO base</t>
        </is>
      </c>
      <c r="G3" s="5" t="inlineStr">
        <is>
          <t>BO opt</t>
        </is>
      </c>
      <c r="H3" s="5" t="inlineStr">
        <is>
          <t>hit_rate base</t>
        </is>
      </c>
    </row>
    <row r="4">
      <c r="A4" s="3" t="inlineStr">
        <is>
          <t>film_01_2026_q1</t>
        </is>
      </c>
      <c r="B4" s="3" t="inlineStr">
        <is>
          <t>Фронтир: Восток</t>
        </is>
      </c>
      <c r="C4" s="4" t="n">
        <v>2026</v>
      </c>
      <c r="D4" s="4" t="n">
        <v>1</v>
      </c>
      <c r="E4" s="4" t="n">
        <v>780</v>
      </c>
      <c r="F4" s="4" t="n">
        <v>1100</v>
      </c>
      <c r="G4" s="4" t="n">
        <v>1400</v>
      </c>
      <c r="H4" s="4" t="n">
        <v>0.8</v>
      </c>
    </row>
    <row r="5">
      <c r="A5" s="3" t="inlineStr">
        <is>
          <t>film_02_2026_q2</t>
        </is>
      </c>
      <c r="B5" s="3" t="inlineStr">
        <is>
          <t>Сердце Байкала</t>
        </is>
      </c>
      <c r="C5" s="4" t="n">
        <v>2026</v>
      </c>
      <c r="D5" s="4" t="n">
        <v>2</v>
      </c>
      <c r="E5" s="4" t="n">
        <v>420</v>
      </c>
      <c r="F5" s="4" t="n">
        <v>650</v>
      </c>
      <c r="G5" s="4" t="n">
        <v>820</v>
      </c>
      <c r="H5" s="4" t="n">
        <v>0.8</v>
      </c>
    </row>
    <row r="6">
      <c r="A6" s="3" t="inlineStr">
        <is>
          <t>film_03_2026_q3</t>
        </is>
      </c>
      <c r="B6" s="3" t="inlineStr">
        <is>
          <t>Московский трюк</t>
        </is>
      </c>
      <c r="C6" s="4" t="n">
        <v>2026</v>
      </c>
      <c r="D6" s="4" t="n">
        <v>3</v>
      </c>
      <c r="E6" s="4" t="n">
        <v>350</v>
      </c>
      <c r="F6" s="4" t="n">
        <v>550</v>
      </c>
      <c r="G6" s="4" t="n">
        <v>700</v>
      </c>
      <c r="H6" s="4" t="n">
        <v>0.8</v>
      </c>
    </row>
    <row r="7">
      <c r="A7" s="3" t="inlineStr">
        <is>
          <t>film_04_2026_q4</t>
        </is>
      </c>
      <c r="B7" s="3" t="inlineStr">
        <is>
          <t>Новогодняя сказка</t>
        </is>
      </c>
      <c r="C7" s="4" t="n">
        <v>2026</v>
      </c>
      <c r="D7" s="4" t="n">
        <v>4</v>
      </c>
      <c r="E7" s="4" t="n">
        <v>900</v>
      </c>
      <c r="F7" s="4" t="n">
        <v>1400</v>
      </c>
      <c r="G7" s="4" t="n">
        <v>1800</v>
      </c>
      <c r="H7" s="4" t="n">
        <v>0.85</v>
      </c>
    </row>
    <row r="8">
      <c r="A8" s="3" t="inlineStr">
        <is>
          <t>film_05_2027_q1</t>
        </is>
      </c>
      <c r="B8" s="3" t="inlineStr">
        <is>
          <t>Крылья над Арктикой</t>
        </is>
      </c>
      <c r="C8" s="4" t="n">
        <v>2027</v>
      </c>
      <c r="D8" s="4" t="n">
        <v>1</v>
      </c>
      <c r="E8" s="4" t="n">
        <v>900</v>
      </c>
      <c r="F8" s="4" t="n">
        <v>1300</v>
      </c>
      <c r="G8" s="4" t="n">
        <v>1700</v>
      </c>
      <c r="H8" s="4" t="n">
        <v>0.8</v>
      </c>
    </row>
    <row r="9">
      <c r="A9" s="3" t="inlineStr">
        <is>
          <t>film_06_2027_q2</t>
        </is>
      </c>
      <c r="B9" s="3" t="inlineStr">
        <is>
          <t>Жена дипломата</t>
        </is>
      </c>
      <c r="C9" s="4" t="n">
        <v>2027</v>
      </c>
      <c r="D9" s="4" t="n">
        <v>2</v>
      </c>
      <c r="E9" s="4" t="n">
        <v>380</v>
      </c>
      <c r="F9" s="4" t="n">
        <v>600</v>
      </c>
      <c r="G9" s="4" t="n">
        <v>780</v>
      </c>
      <c r="H9" s="4" t="n">
        <v>0.8</v>
      </c>
    </row>
    <row r="10">
      <c r="A10" s="3" t="inlineStr">
        <is>
          <t>film_07_2027_q3</t>
        </is>
      </c>
      <c r="B10" s="3" t="inlineStr">
        <is>
          <t>Последний трамвай</t>
        </is>
      </c>
      <c r="C10" s="4" t="n">
        <v>2027</v>
      </c>
      <c r="D10" s="4" t="n">
        <v>3</v>
      </c>
      <c r="E10" s="4" t="n">
        <v>300</v>
      </c>
      <c r="F10" s="4" t="n">
        <v>500</v>
      </c>
      <c r="G10" s="4" t="n">
        <v>680</v>
      </c>
      <c r="H10" s="4" t="n">
        <v>0.75</v>
      </c>
    </row>
    <row r="11">
      <c r="A11" s="3" t="inlineStr">
        <is>
          <t>film_08_2027_q4</t>
        </is>
      </c>
      <c r="B11" s="3" t="inlineStr">
        <is>
          <t>Ёлка Президента</t>
        </is>
      </c>
      <c r="C11" s="4" t="n">
        <v>2027</v>
      </c>
      <c r="D11" s="4" t="n">
        <v>4</v>
      </c>
      <c r="E11" s="4" t="n">
        <v>1100</v>
      </c>
      <c r="F11" s="4" t="n">
        <v>1700</v>
      </c>
      <c r="G11" s="4" t="n">
        <v>2200</v>
      </c>
      <c r="H11" s="4" t="n">
        <v>0.85</v>
      </c>
    </row>
    <row r="12">
      <c r="A12" s="3" t="inlineStr">
        <is>
          <t>film_09_2028_q1</t>
        </is>
      </c>
      <c r="B12" s="3" t="inlineStr">
        <is>
          <t>Код Победы</t>
        </is>
      </c>
      <c r="C12" s="4" t="n">
        <v>2028</v>
      </c>
      <c r="D12" s="4" t="n">
        <v>1</v>
      </c>
      <c r="E12" s="4" t="n">
        <v>1050</v>
      </c>
      <c r="F12" s="4" t="n">
        <v>1500</v>
      </c>
      <c r="G12" s="4" t="n">
        <v>1950</v>
      </c>
      <c r="H12" s="4" t="n">
        <v>0.8</v>
      </c>
    </row>
    <row r="13">
      <c r="A13" s="3" t="inlineStr">
        <is>
          <t>film_10_2028_q2</t>
        </is>
      </c>
      <c r="B13" s="3" t="inlineStr">
        <is>
          <t>Обнуление</t>
        </is>
      </c>
      <c r="C13" s="4" t="n">
        <v>2028</v>
      </c>
      <c r="D13" s="4" t="n">
        <v>2</v>
      </c>
      <c r="E13" s="4" t="n">
        <v>700</v>
      </c>
      <c r="F13" s="4" t="n">
        <v>1100</v>
      </c>
      <c r="G13" s="4" t="n">
        <v>1450</v>
      </c>
      <c r="H13" s="4" t="n">
        <v>0.75</v>
      </c>
    </row>
    <row r="14">
      <c r="A14" s="3" t="inlineStr">
        <is>
          <t>film_11_2028_q3</t>
        </is>
      </c>
      <c r="B14" s="3" t="inlineStr">
        <is>
          <t>Свой герой</t>
        </is>
      </c>
      <c r="C14" s="4" t="n">
        <v>2028</v>
      </c>
      <c r="D14" s="4" t="n">
        <v>3</v>
      </c>
      <c r="E14" s="4" t="n">
        <v>450</v>
      </c>
      <c r="F14" s="4" t="n">
        <v>720</v>
      </c>
      <c r="G14" s="4" t="n">
        <v>950</v>
      </c>
      <c r="H14" s="4" t="n">
        <v>0.8</v>
      </c>
    </row>
    <row r="15">
      <c r="A15" s="3" t="inlineStr">
        <is>
          <t>film_12_2028_q4</t>
        </is>
      </c>
      <c r="B15" s="3" t="inlineStr">
        <is>
          <t>Огни большого города</t>
        </is>
      </c>
      <c r="C15" s="4" t="n">
        <v>2028</v>
      </c>
      <c r="D15" s="4" t="n">
        <v>4</v>
      </c>
      <c r="E15" s="4" t="n">
        <v>1350</v>
      </c>
      <c r="F15" s="4" t="n">
        <v>2000</v>
      </c>
      <c r="G15" s="4" t="n">
        <v>2600</v>
      </c>
      <c r="H15" s="4" t="n">
        <v>0.85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Costs — 7 категорий по сценариям</t>
        </is>
      </c>
    </row>
    <row r="3">
      <c r="A3" s="5" t="inlineStr">
        <is>
          <t>Категория × Сценарий</t>
        </is>
      </c>
      <c r="B3" s="5" t="inlineStr">
        <is>
          <t>2026</t>
        </is>
      </c>
      <c r="C3" s="5" t="inlineStr">
        <is>
          <t>2027</t>
        </is>
      </c>
      <c r="D3" s="5" t="inlineStr">
        <is>
          <t>2028</t>
        </is>
      </c>
      <c r="E3" s="5" t="inlineStr">
        <is>
          <t>Σ</t>
        </is>
      </c>
    </row>
    <row r="4">
      <c r="A4" s="3" t="inlineStr">
        <is>
          <t>cogs [cons]</t>
        </is>
      </c>
      <c r="B4" s="4" t="n">
        <v>972</v>
      </c>
      <c r="C4" s="4" t="n">
        <v>1426</v>
      </c>
      <c r="D4" s="4" t="n">
        <v>1701</v>
      </c>
      <c r="E4" s="4" t="n">
        <v>4099</v>
      </c>
    </row>
    <row r="5">
      <c r="A5" s="3" t="inlineStr">
        <is>
          <t>cogs [base]</t>
        </is>
      </c>
      <c r="B5" s="4" t="n">
        <v>1080</v>
      </c>
      <c r="C5" s="4" t="n">
        <v>1584</v>
      </c>
      <c r="D5" s="4" t="n">
        <v>1890</v>
      </c>
      <c r="E5" s="4" t="n">
        <v>4554</v>
      </c>
    </row>
    <row r="6">
      <c r="A6" s="3" t="inlineStr">
        <is>
          <t>cogs [opt]</t>
        </is>
      </c>
      <c r="B6" s="4" t="n">
        <v>1210</v>
      </c>
      <c r="C6" s="4" t="n">
        <v>1774</v>
      </c>
      <c r="D6" s="4" t="n">
        <v>2117</v>
      </c>
      <c r="E6" s="4" t="n">
        <v>5101</v>
      </c>
    </row>
    <row r="8">
      <c r="A8" s="3" t="inlineStr">
        <is>
          <t>pa [cons]</t>
        </is>
      </c>
      <c r="B8" s="4" t="n">
        <v>135</v>
      </c>
      <c r="C8" s="4" t="n">
        <v>225</v>
      </c>
      <c r="D8" s="4" t="n">
        <v>270</v>
      </c>
      <c r="E8" s="4" t="n">
        <v>630</v>
      </c>
    </row>
    <row r="9">
      <c r="A9" s="3" t="inlineStr">
        <is>
          <t>pa [base]</t>
        </is>
      </c>
      <c r="B9" s="4" t="n">
        <v>150</v>
      </c>
      <c r="C9" s="4" t="n">
        <v>250</v>
      </c>
      <c r="D9" s="4" t="n">
        <v>300</v>
      </c>
      <c r="E9" s="4" t="n">
        <v>700</v>
      </c>
    </row>
    <row r="10">
      <c r="A10" s="3" t="inlineStr">
        <is>
          <t>pa [opt]</t>
        </is>
      </c>
      <c r="B10" s="4" t="n">
        <v>165</v>
      </c>
      <c r="C10" s="4" t="n">
        <v>275</v>
      </c>
      <c r="D10" s="4" t="n">
        <v>330</v>
      </c>
      <c r="E10" s="4" t="n">
        <v>770</v>
      </c>
    </row>
    <row r="12">
      <c r="A12" s="3" t="inlineStr">
        <is>
          <t>opex [cons]</t>
        </is>
      </c>
      <c r="B12" s="4" t="n">
        <v>832</v>
      </c>
      <c r="C12" s="4" t="n">
        <v>1464</v>
      </c>
      <c r="D12" s="4" t="n">
        <v>1800</v>
      </c>
      <c r="E12" s="4" t="n">
        <v>4096</v>
      </c>
    </row>
    <row r="13">
      <c r="A13" s="3" t="inlineStr">
        <is>
          <t>opex [base]</t>
        </is>
      </c>
      <c r="B13" s="4" t="n">
        <v>770</v>
      </c>
      <c r="C13" s="4" t="n">
        <v>1356</v>
      </c>
      <c r="D13" s="4" t="n">
        <v>1667</v>
      </c>
      <c r="E13" s="4" t="n">
        <v>3793</v>
      </c>
    </row>
    <row r="14">
      <c r="A14" s="3" t="inlineStr">
        <is>
          <t>opex [opt]</t>
        </is>
      </c>
      <c r="B14" s="4" t="n">
        <v>716</v>
      </c>
      <c r="C14" s="4" t="n">
        <v>1261</v>
      </c>
      <c r="D14" s="4" t="n">
        <v>1550</v>
      </c>
      <c r="E14" s="4" t="n">
        <v>3527</v>
      </c>
    </row>
    <row r="16">
      <c r="A16" s="3" t="inlineStr">
        <is>
          <t>contingency [cons]</t>
        </is>
      </c>
      <c r="B16" s="4" t="n">
        <v>97</v>
      </c>
      <c r="C16" s="4" t="n">
        <v>156</v>
      </c>
      <c r="D16" s="4" t="n">
        <v>189</v>
      </c>
      <c r="E16" s="4" t="n">
        <v>441</v>
      </c>
    </row>
    <row r="17">
      <c r="A17" s="3" t="inlineStr">
        <is>
          <t>contingency [base]</t>
        </is>
      </c>
      <c r="B17" s="4" t="n">
        <v>100</v>
      </c>
      <c r="C17" s="4" t="n">
        <v>160</v>
      </c>
      <c r="D17" s="4" t="n">
        <v>193</v>
      </c>
      <c r="E17" s="4" t="n">
        <v>452</v>
      </c>
    </row>
    <row r="18">
      <c r="A18" s="3" t="inlineStr">
        <is>
          <t>contingency [opt]</t>
        </is>
      </c>
      <c r="B18" s="4" t="n">
        <v>105</v>
      </c>
      <c r="C18" s="4" t="n">
        <v>166</v>
      </c>
      <c r="D18" s="4" t="n">
        <v>200</v>
      </c>
      <c r="E18" s="4" t="n">
        <v>470</v>
      </c>
    </row>
    <row r="20">
      <c r="A20" s="3" t="inlineStr">
        <is>
          <t>depreciation [cons]</t>
        </is>
      </c>
      <c r="B20" s="4" t="n">
        <v>782</v>
      </c>
      <c r="C20" s="4" t="n">
        <v>1033</v>
      </c>
      <c r="D20" s="4" t="n">
        <v>1409</v>
      </c>
      <c r="E20" s="4" t="n">
        <v>3224</v>
      </c>
    </row>
    <row r="21">
      <c r="A21" s="3" t="inlineStr">
        <is>
          <t>depreciation [base]</t>
        </is>
      </c>
      <c r="B21" s="4" t="n">
        <v>880</v>
      </c>
      <c r="C21" s="4" t="n">
        <v>1166</v>
      </c>
      <c r="D21" s="4" t="n">
        <v>1685</v>
      </c>
      <c r="E21" s="4" t="n">
        <v>3731</v>
      </c>
    </row>
    <row r="22">
      <c r="A22" s="3" t="inlineStr">
        <is>
          <t>depreciation [opt]</t>
        </is>
      </c>
      <c r="B22" s="4" t="n">
        <v>992</v>
      </c>
      <c r="C22" s="4" t="n">
        <v>1302</v>
      </c>
      <c r="D22" s="4" t="n">
        <v>1879</v>
      </c>
      <c r="E22" s="4" t="n">
        <v>4173</v>
      </c>
    </row>
    <row r="24">
      <c r="A24" s="3" t="inlineStr">
        <is>
          <t>nwc_change [cons]</t>
        </is>
      </c>
      <c r="B24" s="4" t="n">
        <v>65</v>
      </c>
      <c r="C24" s="4" t="n">
        <v>140</v>
      </c>
      <c r="D24" s="4" t="n">
        <v>130</v>
      </c>
      <c r="E24" s="4" t="n">
        <v>335</v>
      </c>
    </row>
    <row r="25">
      <c r="A25" s="3" t="inlineStr">
        <is>
          <t>nwc_change [base]</t>
        </is>
      </c>
      <c r="B25" s="4" t="n">
        <v>45</v>
      </c>
      <c r="C25" s="4" t="n">
        <v>95</v>
      </c>
      <c r="D25" s="4" t="n">
        <v>80</v>
      </c>
      <c r="E25" s="4" t="n">
        <v>220</v>
      </c>
    </row>
    <row r="26">
      <c r="A26" s="3" t="inlineStr">
        <is>
          <t>nwc_change [opt]</t>
        </is>
      </c>
      <c r="B26" s="4" t="n">
        <v>25</v>
      </c>
      <c r="C26" s="4" t="n">
        <v>55</v>
      </c>
      <c r="D26" s="4" t="n">
        <v>40</v>
      </c>
      <c r="E26" s="4" t="n">
        <v>120</v>
      </c>
    </row>
    <row r="28">
      <c r="A28" s="3" t="inlineStr">
        <is>
          <t>taxes [cons]</t>
        </is>
      </c>
      <c r="B28" s="4" t="n">
        <v>0</v>
      </c>
      <c r="C28" s="4" t="n">
        <v>0</v>
      </c>
      <c r="D28" s="4" t="n">
        <v>0</v>
      </c>
      <c r="E28" s="4" t="n">
        <v>0</v>
      </c>
    </row>
    <row r="29">
      <c r="A29" s="3" t="inlineStr">
        <is>
          <t>taxes [base]</t>
        </is>
      </c>
      <c r="B29" s="4" t="n">
        <v>0</v>
      </c>
      <c r="C29" s="4" t="n">
        <v>0</v>
      </c>
      <c r="D29" s="4" t="n">
        <v>0</v>
      </c>
      <c r="E29" s="4" t="n">
        <v>0</v>
      </c>
    </row>
    <row r="30">
      <c r="A30" s="3" t="inlineStr">
        <is>
          <t>taxes [opt]</t>
        </is>
      </c>
      <c r="B30" s="4" t="n">
        <v>0</v>
      </c>
      <c r="C30" s="4" t="n">
        <v>38</v>
      </c>
      <c r="D30" s="4" t="n">
        <v>0</v>
      </c>
      <c r="E30" s="4" t="n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P&amp;L — сценарий CONS</t>
        </is>
      </c>
    </row>
    <row r="3">
      <c r="A3" s="5" t="inlineStr">
        <is>
          <t>Строка</t>
        </is>
      </c>
      <c r="B3" s="5" t="inlineStr">
        <is>
          <t>2026</t>
        </is>
      </c>
      <c r="C3" s="5" t="inlineStr">
        <is>
          <t>2027</t>
        </is>
      </c>
      <c r="D3" s="5" t="inlineStr">
        <is>
          <t>2028</t>
        </is>
      </c>
      <c r="E3" s="5" t="inlineStr">
        <is>
          <t>Σ</t>
        </is>
      </c>
    </row>
    <row r="4">
      <c r="A4" s="3" t="inlineStr">
        <is>
          <t>Revenue Total</t>
        </is>
      </c>
      <c r="B4" s="4" t="n">
        <v>2296</v>
      </c>
      <c r="C4" s="4" t="n">
        <v>3740</v>
      </c>
      <c r="D4" s="4" t="n">
        <v>4589</v>
      </c>
      <c r="E4" s="4" t="n">
        <v>10625</v>
      </c>
    </row>
    <row r="5">
      <c r="A5" s="3" t="inlineStr">
        <is>
          <t>(-) COGS</t>
        </is>
      </c>
      <c r="B5" s="4" t="n">
        <v>972</v>
      </c>
      <c r="C5" s="4" t="n">
        <v>1426</v>
      </c>
      <c r="D5" s="4" t="n">
        <v>1701</v>
      </c>
      <c r="E5" s="4" t="n">
        <v>4099</v>
      </c>
    </row>
    <row r="6">
      <c r="A6" s="3">
        <f> Gross Profit</f>
        <v/>
      </c>
      <c r="B6" s="4" t="n">
        <v>1324</v>
      </c>
      <c r="C6" s="4" t="n">
        <v>2314</v>
      </c>
      <c r="D6" s="4" t="n">
        <v>2888</v>
      </c>
      <c r="E6" s="4" t="n">
        <v>6526</v>
      </c>
    </row>
    <row r="7">
      <c r="A7" s="3" t="inlineStr">
        <is>
          <t>(-) P&amp;A</t>
        </is>
      </c>
      <c r="B7" s="4" t="n">
        <v>135</v>
      </c>
      <c r="C7" s="4" t="n">
        <v>225</v>
      </c>
      <c r="D7" s="4" t="n">
        <v>270</v>
      </c>
      <c r="E7" s="4" t="n">
        <v>630</v>
      </c>
    </row>
    <row r="8">
      <c r="A8" s="3" t="inlineStr">
        <is>
          <t>(-) OPEX</t>
        </is>
      </c>
      <c r="B8" s="4" t="n">
        <v>832</v>
      </c>
      <c r="C8" s="4" t="n">
        <v>1464</v>
      </c>
      <c r="D8" s="4" t="n">
        <v>1800</v>
      </c>
      <c r="E8" s="4" t="n">
        <v>4096</v>
      </c>
    </row>
    <row r="9">
      <c r="A9" s="3" t="inlineStr">
        <is>
          <t>(-) Contingency</t>
        </is>
      </c>
      <c r="B9" s="4" t="n">
        <v>97</v>
      </c>
      <c r="C9" s="4" t="n">
        <v>156</v>
      </c>
      <c r="D9" s="4" t="n">
        <v>189</v>
      </c>
      <c r="E9" s="4" t="n">
        <v>441</v>
      </c>
    </row>
    <row r="10">
      <c r="A10" s="3">
        <f> EBITDA</f>
        <v/>
      </c>
      <c r="B10" s="4" t="n">
        <v>260</v>
      </c>
      <c r="C10" s="4" t="n">
        <v>469</v>
      </c>
      <c r="D10" s="4" t="n">
        <v>629</v>
      </c>
      <c r="E10" s="4" t="n">
        <v>1359</v>
      </c>
    </row>
    <row r="11">
      <c r="A11" s="3" t="inlineStr">
        <is>
          <t>(-) D&amp;A</t>
        </is>
      </c>
      <c r="B11" s="4" t="n">
        <v>782</v>
      </c>
      <c r="C11" s="4" t="n">
        <v>1033</v>
      </c>
      <c r="D11" s="4" t="n">
        <v>1409</v>
      </c>
      <c r="E11" s="4" t="n">
        <v>3224</v>
      </c>
    </row>
    <row r="12">
      <c r="A12" s="3">
        <f> EBIT</f>
        <v/>
      </c>
      <c r="B12" s="4" t="n">
        <v>-522</v>
      </c>
      <c r="C12" s="4" t="n">
        <v>-564</v>
      </c>
      <c r="D12" s="4" t="n">
        <v>-780</v>
      </c>
      <c r="E12" s="4" t="n">
        <v>-1866</v>
      </c>
    </row>
    <row r="13">
      <c r="A13" s="3" t="inlineStr">
        <is>
          <t>(-) Taxes</t>
        </is>
      </c>
      <c r="B13" s="4" t="n">
        <v>0</v>
      </c>
      <c r="C13" s="4" t="n">
        <v>0</v>
      </c>
      <c r="D13" s="4" t="n">
        <v>0</v>
      </c>
      <c r="E13" s="4" t="n">
        <v>0</v>
      </c>
    </row>
    <row r="14">
      <c r="A14" s="3">
        <f> Net Income</f>
        <v/>
      </c>
      <c r="B14" s="4" t="n">
        <v>-522</v>
      </c>
      <c r="C14" s="4" t="n">
        <v>-564</v>
      </c>
      <c r="D14" s="4" t="n">
        <v>-780</v>
      </c>
      <c r="E14" s="4" t="n">
        <v>-1866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P&amp;L — сценарий BASE</t>
        </is>
      </c>
    </row>
    <row r="3">
      <c r="A3" s="5" t="inlineStr">
        <is>
          <t>Строка</t>
        </is>
      </c>
      <c r="B3" s="5" t="inlineStr">
        <is>
          <t>2026</t>
        </is>
      </c>
      <c r="C3" s="5" t="inlineStr">
        <is>
          <t>2027</t>
        </is>
      </c>
      <c r="D3" s="5" t="inlineStr">
        <is>
          <t>2028</t>
        </is>
      </c>
      <c r="E3" s="5" t="inlineStr">
        <is>
          <t>Σ</t>
        </is>
      </c>
    </row>
    <row r="4">
      <c r="A4" s="3" t="inlineStr">
        <is>
          <t>Revenue Total</t>
        </is>
      </c>
      <c r="B4" s="4" t="n">
        <v>2700</v>
      </c>
      <c r="C4" s="4" t="n">
        <v>4400</v>
      </c>
      <c r="D4" s="4" t="n">
        <v>5400</v>
      </c>
      <c r="E4" s="4" t="n">
        <v>12500</v>
      </c>
    </row>
    <row r="5">
      <c r="A5" s="3" t="inlineStr">
        <is>
          <t>(-) COGS</t>
        </is>
      </c>
      <c r="B5" s="4" t="n">
        <v>1080</v>
      </c>
      <c r="C5" s="4" t="n">
        <v>1584</v>
      </c>
      <c r="D5" s="4" t="n">
        <v>1890</v>
      </c>
      <c r="E5" s="4" t="n">
        <v>4554</v>
      </c>
    </row>
    <row r="6">
      <c r="A6" s="3">
        <f> Gross Profit</f>
        <v/>
      </c>
      <c r="B6" s="4" t="n">
        <v>1620</v>
      </c>
      <c r="C6" s="4" t="n">
        <v>2816</v>
      </c>
      <c r="D6" s="4" t="n">
        <v>3510</v>
      </c>
      <c r="E6" s="4" t="n">
        <v>7946</v>
      </c>
    </row>
    <row r="7">
      <c r="A7" s="3" t="inlineStr">
        <is>
          <t>(-) P&amp;A</t>
        </is>
      </c>
      <c r="B7" s="4" t="n">
        <v>150</v>
      </c>
      <c r="C7" s="4" t="n">
        <v>250</v>
      </c>
      <c r="D7" s="4" t="n">
        <v>300</v>
      </c>
      <c r="E7" s="4" t="n">
        <v>700</v>
      </c>
    </row>
    <row r="8">
      <c r="A8" s="3" t="inlineStr">
        <is>
          <t>(-) OPEX</t>
        </is>
      </c>
      <c r="B8" s="4" t="n">
        <v>770</v>
      </c>
      <c r="C8" s="4" t="n">
        <v>1356</v>
      </c>
      <c r="D8" s="4" t="n">
        <v>1667</v>
      </c>
      <c r="E8" s="4" t="n">
        <v>3793</v>
      </c>
    </row>
    <row r="9">
      <c r="A9" s="3" t="inlineStr">
        <is>
          <t>(-) Contingency</t>
        </is>
      </c>
      <c r="B9" s="4" t="n">
        <v>100</v>
      </c>
      <c r="C9" s="4" t="n">
        <v>160</v>
      </c>
      <c r="D9" s="4" t="n">
        <v>193</v>
      </c>
      <c r="E9" s="4" t="n">
        <v>452</v>
      </c>
    </row>
    <row r="10">
      <c r="A10" s="3">
        <f> EBITDA</f>
        <v/>
      </c>
      <c r="B10" s="4" t="n">
        <v>600</v>
      </c>
      <c r="C10" s="4" t="n">
        <v>1050</v>
      </c>
      <c r="D10" s="4" t="n">
        <v>1350</v>
      </c>
      <c r="E10" s="4" t="n">
        <v>3001</v>
      </c>
    </row>
    <row r="11">
      <c r="A11" s="3" t="inlineStr">
        <is>
          <t>(-) D&amp;A</t>
        </is>
      </c>
      <c r="B11" s="4" t="n">
        <v>880</v>
      </c>
      <c r="C11" s="4" t="n">
        <v>1166</v>
      </c>
      <c r="D11" s="4" t="n">
        <v>1685</v>
      </c>
      <c r="E11" s="4" t="n">
        <v>3731</v>
      </c>
    </row>
    <row r="12">
      <c r="A12" s="3">
        <f> EBIT</f>
        <v/>
      </c>
      <c r="B12" s="4" t="n">
        <v>-280</v>
      </c>
      <c r="C12" s="4" t="n">
        <v>-115</v>
      </c>
      <c r="D12" s="4" t="n">
        <v>-335</v>
      </c>
      <c r="E12" s="4" t="n">
        <v>-731</v>
      </c>
    </row>
    <row r="13">
      <c r="A13" s="3" t="inlineStr">
        <is>
          <t>(-) Taxes</t>
        </is>
      </c>
      <c r="B13" s="4" t="n">
        <v>0</v>
      </c>
      <c r="C13" s="4" t="n">
        <v>0</v>
      </c>
      <c r="D13" s="4" t="n">
        <v>0</v>
      </c>
      <c r="E13" s="4" t="n">
        <v>0</v>
      </c>
    </row>
    <row r="14">
      <c r="A14" s="3">
        <f> Net Income</f>
        <v/>
      </c>
      <c r="B14" s="4" t="n">
        <v>-280</v>
      </c>
      <c r="C14" s="4" t="n">
        <v>-115</v>
      </c>
      <c r="D14" s="4" t="n">
        <v>-335</v>
      </c>
      <c r="E14" s="4" t="n">
        <v>-731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P&amp;L — сценарий OPT</t>
        </is>
      </c>
    </row>
    <row r="3">
      <c r="A3" s="5" t="inlineStr">
        <is>
          <t>Строка</t>
        </is>
      </c>
      <c r="B3" s="5" t="inlineStr">
        <is>
          <t>2026</t>
        </is>
      </c>
      <c r="C3" s="5" t="inlineStr">
        <is>
          <t>2027</t>
        </is>
      </c>
      <c r="D3" s="5" t="inlineStr">
        <is>
          <t>2028</t>
        </is>
      </c>
      <c r="E3" s="5" t="inlineStr">
        <is>
          <t>Σ</t>
        </is>
      </c>
    </row>
    <row r="4">
      <c r="A4" s="3" t="inlineStr">
        <is>
          <t>Revenue Total</t>
        </is>
      </c>
      <c r="B4" s="4" t="n">
        <v>3025</v>
      </c>
      <c r="C4" s="4" t="n">
        <v>4928</v>
      </c>
      <c r="D4" s="4" t="n">
        <v>6047</v>
      </c>
      <c r="E4" s="4" t="n">
        <v>14000</v>
      </c>
    </row>
    <row r="5">
      <c r="A5" s="3" t="inlineStr">
        <is>
          <t>(-) COGS</t>
        </is>
      </c>
      <c r="B5" s="4" t="n">
        <v>1210</v>
      </c>
      <c r="C5" s="4" t="n">
        <v>1774</v>
      </c>
      <c r="D5" s="4" t="n">
        <v>2117</v>
      </c>
      <c r="E5" s="4" t="n">
        <v>5101</v>
      </c>
    </row>
    <row r="6">
      <c r="A6" s="3">
        <f> Gross Profit</f>
        <v/>
      </c>
      <c r="B6" s="4" t="n">
        <v>1815</v>
      </c>
      <c r="C6" s="4" t="n">
        <v>3154</v>
      </c>
      <c r="D6" s="4" t="n">
        <v>3930</v>
      </c>
      <c r="E6" s="4" t="n">
        <v>8899</v>
      </c>
    </row>
    <row r="7">
      <c r="A7" s="3" t="inlineStr">
        <is>
          <t>(-) P&amp;A</t>
        </is>
      </c>
      <c r="B7" s="4" t="n">
        <v>165</v>
      </c>
      <c r="C7" s="4" t="n">
        <v>275</v>
      </c>
      <c r="D7" s="4" t="n">
        <v>330</v>
      </c>
      <c r="E7" s="4" t="n">
        <v>770</v>
      </c>
    </row>
    <row r="8">
      <c r="A8" s="3" t="inlineStr">
        <is>
          <t>(-) OPEX</t>
        </is>
      </c>
      <c r="B8" s="4" t="n">
        <v>716</v>
      </c>
      <c r="C8" s="4" t="n">
        <v>1261</v>
      </c>
      <c r="D8" s="4" t="n">
        <v>1550</v>
      </c>
      <c r="E8" s="4" t="n">
        <v>3527</v>
      </c>
    </row>
    <row r="9">
      <c r="A9" s="3" t="inlineStr">
        <is>
          <t>(-) Contingency</t>
        </is>
      </c>
      <c r="B9" s="4" t="n">
        <v>105</v>
      </c>
      <c r="C9" s="4" t="n">
        <v>166</v>
      </c>
      <c r="D9" s="4" t="n">
        <v>200</v>
      </c>
      <c r="E9" s="4" t="n">
        <v>470</v>
      </c>
    </row>
    <row r="10">
      <c r="A10" s="3">
        <f> EBITDA</f>
        <v/>
      </c>
      <c r="B10" s="4" t="n">
        <v>829</v>
      </c>
      <c r="C10" s="4" t="n">
        <v>1452</v>
      </c>
      <c r="D10" s="4" t="n">
        <v>1850</v>
      </c>
      <c r="E10" s="4" t="n">
        <v>4132</v>
      </c>
    </row>
    <row r="11">
      <c r="A11" s="3" t="inlineStr">
        <is>
          <t>(-) D&amp;A</t>
        </is>
      </c>
      <c r="B11" s="4" t="n">
        <v>992</v>
      </c>
      <c r="C11" s="4" t="n">
        <v>1302</v>
      </c>
      <c r="D11" s="4" t="n">
        <v>1879</v>
      </c>
      <c r="E11" s="4" t="n">
        <v>4173</v>
      </c>
    </row>
    <row r="12">
      <c r="A12" s="3">
        <f> EBIT</f>
        <v/>
      </c>
      <c r="B12" s="4" t="n">
        <v>-163</v>
      </c>
      <c r="C12" s="4" t="n">
        <v>151</v>
      </c>
      <c r="D12" s="4" t="n">
        <v>-29</v>
      </c>
      <c r="E12" s="4" t="n">
        <v>-41</v>
      </c>
    </row>
    <row r="13">
      <c r="A13" s="3" t="inlineStr">
        <is>
          <t>(-) Taxes</t>
        </is>
      </c>
      <c r="B13" s="4" t="n">
        <v>0</v>
      </c>
      <c r="C13" s="4" t="n">
        <v>38</v>
      </c>
      <c r="D13" s="4" t="n">
        <v>0</v>
      </c>
      <c r="E13" s="4" t="n">
        <v>38</v>
      </c>
    </row>
    <row r="14">
      <c r="A14" s="3">
        <f> Net Income</f>
        <v/>
      </c>
      <c r="B14" s="4" t="n">
        <v>-163</v>
      </c>
      <c r="C14" s="4" t="n">
        <v>113</v>
      </c>
      <c r="D14" s="4" t="n">
        <v>-29</v>
      </c>
      <c r="E14" s="4" t="n">
        <v>-79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Cash Flow — 3 сценария</t>
        </is>
      </c>
    </row>
    <row r="3">
      <c r="A3" s="5" t="inlineStr">
        <is>
          <t>Строка</t>
        </is>
      </c>
      <c r="B3" s="5" t="inlineStr">
        <is>
          <t>2026</t>
        </is>
      </c>
      <c r="C3" s="5" t="inlineStr">
        <is>
          <t>2027</t>
        </is>
      </c>
      <c r="D3" s="5" t="inlineStr">
        <is>
          <t>2028</t>
        </is>
      </c>
      <c r="E3" s="5" t="inlineStr">
        <is>
          <t>Σ</t>
        </is>
      </c>
    </row>
    <row r="4">
      <c r="A4" s="2" t="inlineStr">
        <is>
          <t>── CONS ──</t>
        </is>
      </c>
    </row>
    <row r="5">
      <c r="A5" s="3" t="inlineStr">
        <is>
          <t>Net Income</t>
        </is>
      </c>
      <c r="B5" s="4" t="n">
        <v>-522</v>
      </c>
      <c r="C5" s="4" t="n">
        <v>-564</v>
      </c>
      <c r="D5" s="4" t="n">
        <v>-780</v>
      </c>
      <c r="E5" s="4" t="n">
        <v>-1866</v>
      </c>
    </row>
    <row r="6">
      <c r="A6" s="3" t="inlineStr">
        <is>
          <t>+ D&amp;A</t>
        </is>
      </c>
      <c r="B6" s="4" t="n">
        <v>782</v>
      </c>
      <c r="C6" s="4" t="n">
        <v>1033</v>
      </c>
      <c r="D6" s="4" t="n">
        <v>1409</v>
      </c>
      <c r="E6" s="4" t="n">
        <v>3224</v>
      </c>
    </row>
    <row r="7">
      <c r="A7" s="3" t="inlineStr">
        <is>
          <t>− Δ NWC</t>
        </is>
      </c>
      <c r="B7" s="4" t="n">
        <v>65</v>
      </c>
      <c r="C7" s="4" t="n">
        <v>140</v>
      </c>
      <c r="D7" s="4" t="n">
        <v>130</v>
      </c>
      <c r="E7" s="4" t="n">
        <v>335</v>
      </c>
    </row>
    <row r="8">
      <c r="A8" s="3">
        <f> OCF</f>
        <v/>
      </c>
      <c r="B8" s="4" t="n">
        <v>195</v>
      </c>
      <c r="C8" s="4" t="n">
        <v>329</v>
      </c>
      <c r="D8" s="4" t="n">
        <v>499</v>
      </c>
      <c r="E8" s="4" t="n">
        <v>1024</v>
      </c>
    </row>
    <row r="9">
      <c r="A9" s="3" t="inlineStr">
        <is>
          <t>− CapEx</t>
        </is>
      </c>
      <c r="B9" s="4" t="n">
        <v>1185</v>
      </c>
      <c r="C9" s="4" t="n">
        <v>1310</v>
      </c>
      <c r="D9" s="4" t="n">
        <v>1635</v>
      </c>
      <c r="E9" s="4" t="n">
        <v>4130</v>
      </c>
    </row>
    <row r="10">
      <c r="A10" s="3">
        <f> FCF</f>
        <v/>
      </c>
      <c r="B10" s="4" t="n">
        <v>-990</v>
      </c>
      <c r="C10" s="4" t="n">
        <v>-981</v>
      </c>
      <c r="D10" s="4" t="n">
        <v>-1136</v>
      </c>
      <c r="E10" s="4" t="n">
        <v>-3106</v>
      </c>
    </row>
    <row r="12">
      <c r="A12" s="2" t="inlineStr">
        <is>
          <t>── BASE ──</t>
        </is>
      </c>
    </row>
    <row r="13">
      <c r="A13" s="3" t="inlineStr">
        <is>
          <t>Net Income</t>
        </is>
      </c>
      <c r="B13" s="4" t="n">
        <v>-280</v>
      </c>
      <c r="C13" s="4" t="n">
        <v>-115</v>
      </c>
      <c r="D13" s="4" t="n">
        <v>-335</v>
      </c>
      <c r="E13" s="4" t="n">
        <v>-731</v>
      </c>
    </row>
    <row r="14">
      <c r="A14" s="3" t="inlineStr">
        <is>
          <t>+ D&amp;A</t>
        </is>
      </c>
      <c r="B14" s="4" t="n">
        <v>880</v>
      </c>
      <c r="C14" s="4" t="n">
        <v>1166</v>
      </c>
      <c r="D14" s="4" t="n">
        <v>1685</v>
      </c>
      <c r="E14" s="4" t="n">
        <v>3731</v>
      </c>
    </row>
    <row r="15">
      <c r="A15" s="3" t="inlineStr">
        <is>
          <t>− Δ NWC</t>
        </is>
      </c>
      <c r="B15" s="4" t="n">
        <v>45</v>
      </c>
      <c r="C15" s="4" t="n">
        <v>95</v>
      </c>
      <c r="D15" s="4" t="n">
        <v>80</v>
      </c>
      <c r="E15" s="4" t="n">
        <v>220</v>
      </c>
    </row>
    <row r="16">
      <c r="A16" s="3">
        <f> OCF</f>
        <v/>
      </c>
      <c r="B16" s="4" t="n">
        <v>555</v>
      </c>
      <c r="C16" s="4" t="n">
        <v>956</v>
      </c>
      <c r="D16" s="4" t="n">
        <v>1270</v>
      </c>
      <c r="E16" s="4" t="n">
        <v>2781</v>
      </c>
    </row>
    <row r="17">
      <c r="A17" s="3" t="inlineStr">
        <is>
          <t>− CapEx</t>
        </is>
      </c>
      <c r="B17" s="4" t="n">
        <v>1325</v>
      </c>
      <c r="C17" s="4" t="n">
        <v>1470</v>
      </c>
      <c r="D17" s="4" t="n">
        <v>1975</v>
      </c>
      <c r="E17" s="4" t="n">
        <v>4770</v>
      </c>
    </row>
    <row r="18">
      <c r="A18" s="3">
        <f> FCF</f>
        <v/>
      </c>
      <c r="B18" s="4" t="n">
        <v>-770</v>
      </c>
      <c r="C18" s="4" t="n">
        <v>-514</v>
      </c>
      <c r="D18" s="4" t="n">
        <v>-705</v>
      </c>
      <c r="E18" s="4" t="n">
        <v>-1989</v>
      </c>
    </row>
    <row r="20">
      <c r="A20" s="2" t="inlineStr">
        <is>
          <t>── OPT ──</t>
        </is>
      </c>
    </row>
    <row r="21">
      <c r="A21" s="3" t="inlineStr">
        <is>
          <t>Net Income</t>
        </is>
      </c>
      <c r="B21" s="4" t="n">
        <v>-163</v>
      </c>
      <c r="C21" s="4" t="n">
        <v>113</v>
      </c>
      <c r="D21" s="4" t="n">
        <v>-29</v>
      </c>
      <c r="E21" s="4" t="n">
        <v>-79</v>
      </c>
    </row>
    <row r="22">
      <c r="A22" s="3" t="inlineStr">
        <is>
          <t>+ D&amp;A</t>
        </is>
      </c>
      <c r="B22" s="4" t="n">
        <v>992</v>
      </c>
      <c r="C22" s="4" t="n">
        <v>1302</v>
      </c>
      <c r="D22" s="4" t="n">
        <v>1879</v>
      </c>
      <c r="E22" s="4" t="n">
        <v>4173</v>
      </c>
    </row>
    <row r="23">
      <c r="A23" s="3" t="inlineStr">
        <is>
          <t>− Δ NWC</t>
        </is>
      </c>
      <c r="B23" s="4" t="n">
        <v>25</v>
      </c>
      <c r="C23" s="4" t="n">
        <v>55</v>
      </c>
      <c r="D23" s="4" t="n">
        <v>40</v>
      </c>
      <c r="E23" s="4" t="n">
        <v>120</v>
      </c>
    </row>
    <row r="24">
      <c r="A24" s="3">
        <f> OCF</f>
        <v/>
      </c>
      <c r="B24" s="4" t="n">
        <v>804</v>
      </c>
      <c r="C24" s="4" t="n">
        <v>1360</v>
      </c>
      <c r="D24" s="4" t="n">
        <v>1810</v>
      </c>
      <c r="E24" s="4" t="n">
        <v>3974</v>
      </c>
    </row>
    <row r="25">
      <c r="A25" s="3" t="inlineStr">
        <is>
          <t>− CapEx</t>
        </is>
      </c>
      <c r="B25" s="4" t="n">
        <v>1485</v>
      </c>
      <c r="C25" s="4" t="n">
        <v>1630</v>
      </c>
      <c r="D25" s="4" t="n">
        <v>2195</v>
      </c>
      <c r="E25" s="4" t="n">
        <v>5310</v>
      </c>
    </row>
    <row r="26">
      <c r="A26" s="3">
        <f> FCF</f>
        <v/>
      </c>
      <c r="B26" s="4" t="n">
        <v>-681</v>
      </c>
      <c r="C26" s="4" t="n">
        <v>-270</v>
      </c>
      <c r="D26" s="4" t="n">
        <v>-385</v>
      </c>
      <c r="E26" s="4" t="n">
        <v>-1336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Quarterly Cash Flow (Base) — Q1 2026 … Q4 2028</t>
        </is>
      </c>
    </row>
    <row r="3">
      <c r="A3" s="5" t="inlineStr">
        <is>
          <t>Quarter</t>
        </is>
      </c>
      <c r="B3" s="5" t="inlineStr">
        <is>
          <t>Income</t>
        </is>
      </c>
      <c r="C3" s="5" t="inlineStr">
        <is>
          <t>Outcome</t>
        </is>
      </c>
      <c r="D3" s="5" t="inlineStr">
        <is>
          <t>Net</t>
        </is>
      </c>
      <c r="E3" s="5" t="inlineStr">
        <is>
          <t>Cumulative</t>
        </is>
      </c>
    </row>
    <row r="4">
      <c r="A4" s="3" t="inlineStr">
        <is>
          <t>Q1_2026</t>
        </is>
      </c>
      <c r="B4" s="4" t="n">
        <v>403.16</v>
      </c>
      <c r="C4" s="4" t="n">
        <v>557.5</v>
      </c>
      <c r="D4" s="4" t="n">
        <v>-154.34</v>
      </c>
      <c r="E4" s="4" t="n">
        <v>-154.34</v>
      </c>
    </row>
    <row r="5">
      <c r="A5" s="3" t="inlineStr">
        <is>
          <t>Q2_2026</t>
        </is>
      </c>
      <c r="B5" s="4" t="n">
        <v>588.86</v>
      </c>
      <c r="C5" s="4" t="n">
        <v>557.5</v>
      </c>
      <c r="D5" s="4" t="n">
        <v>31.36</v>
      </c>
      <c r="E5" s="4" t="n">
        <v>-122.98</v>
      </c>
    </row>
    <row r="6">
      <c r="A6" s="3" t="inlineStr">
        <is>
          <t>Q3_2026</t>
        </is>
      </c>
      <c r="B6" s="4" t="n">
        <v>709.1</v>
      </c>
      <c r="C6" s="4" t="n">
        <v>620.5</v>
      </c>
      <c r="D6" s="4" t="n">
        <v>88.59999999999999</v>
      </c>
      <c r="E6" s="4" t="n">
        <v>-34.38</v>
      </c>
    </row>
    <row r="7">
      <c r="A7" s="3" t="inlineStr">
        <is>
          <t>Q4_2026</t>
        </is>
      </c>
      <c r="B7" s="4" t="n">
        <v>863.79</v>
      </c>
      <c r="C7" s="4" t="n">
        <v>683.5</v>
      </c>
      <c r="D7" s="4" t="n">
        <v>180.29</v>
      </c>
      <c r="E7" s="4" t="n">
        <v>145.91</v>
      </c>
    </row>
    <row r="8">
      <c r="A8" s="3" t="inlineStr">
        <is>
          <t>Q1_2027</t>
        </is>
      </c>
      <c r="B8" s="4" t="n">
        <v>851.1799999999999</v>
      </c>
      <c r="C8" s="4" t="n">
        <v>888.62</v>
      </c>
      <c r="D8" s="4" t="n">
        <v>-37.45</v>
      </c>
      <c r="E8" s="4" t="n">
        <v>108.46</v>
      </c>
    </row>
    <row r="9">
      <c r="A9" s="3" t="inlineStr">
        <is>
          <t>Q2_2027</t>
        </is>
      </c>
      <c r="B9" s="4" t="n">
        <v>965.8099999999999</v>
      </c>
      <c r="C9" s="4" t="n">
        <v>888.62</v>
      </c>
      <c r="D9" s="4" t="n">
        <v>77.19</v>
      </c>
      <c r="E9" s="4" t="n">
        <v>185.65</v>
      </c>
    </row>
    <row r="10">
      <c r="A10" s="3" t="inlineStr">
        <is>
          <t>Q3_2027</t>
        </is>
      </c>
      <c r="B10" s="4" t="n">
        <v>1104.56</v>
      </c>
      <c r="C10" s="4" t="n">
        <v>926.88</v>
      </c>
      <c r="D10" s="4" t="n">
        <v>177.68</v>
      </c>
      <c r="E10" s="4" t="n">
        <v>363.33</v>
      </c>
    </row>
    <row r="11">
      <c r="A11" s="3" t="inlineStr">
        <is>
          <t>Q4_2027</t>
        </is>
      </c>
      <c r="B11" s="4" t="n">
        <v>1439.85</v>
      </c>
      <c r="C11" s="4" t="n">
        <v>965.12</v>
      </c>
      <c r="D11" s="4" t="n">
        <v>474.73</v>
      </c>
      <c r="E11" s="4" t="n">
        <v>838.0599999999999</v>
      </c>
    </row>
    <row r="12">
      <c r="A12" s="3" t="inlineStr">
        <is>
          <t>Q1_2028</t>
        </is>
      </c>
      <c r="B12" s="4" t="n">
        <v>979.89</v>
      </c>
      <c r="C12" s="4" t="n">
        <v>1056.21</v>
      </c>
      <c r="D12" s="4" t="n">
        <v>-76.31999999999999</v>
      </c>
      <c r="E12" s="4" t="n">
        <v>761.74</v>
      </c>
    </row>
    <row r="13">
      <c r="A13" s="3" t="inlineStr">
        <is>
          <t>Q2_2028</t>
        </is>
      </c>
      <c r="B13" s="4" t="n">
        <v>1238.37</v>
      </c>
      <c r="C13" s="4" t="n">
        <v>1056.21</v>
      </c>
      <c r="D13" s="4" t="n">
        <v>182.16</v>
      </c>
      <c r="E13" s="4" t="n">
        <v>943.9</v>
      </c>
    </row>
    <row r="14">
      <c r="A14" s="3" t="inlineStr">
        <is>
          <t>Q3_2028</t>
        </is>
      </c>
      <c r="B14" s="4" t="n">
        <v>1410.8</v>
      </c>
      <c r="C14" s="4" t="n">
        <v>819.96</v>
      </c>
      <c r="D14" s="4" t="n">
        <v>590.84</v>
      </c>
      <c r="E14" s="4" t="n">
        <v>1534.75</v>
      </c>
    </row>
    <row r="15">
      <c r="A15" s="3" t="inlineStr">
        <is>
          <t>Q4_2028</t>
        </is>
      </c>
      <c r="B15" s="4" t="n">
        <v>1727.46</v>
      </c>
      <c r="C15" s="4" t="n">
        <v>583.71</v>
      </c>
      <c r="D15" s="4" t="n">
        <v>1143.75</v>
      </c>
      <c r="E15" s="4" t="n">
        <v>2678.5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Valuation — DCF по 3 WACC × 2 TV</t>
        </is>
      </c>
    </row>
    <row r="3">
      <c r="A3" s="5" t="inlineStr">
        <is>
          <t>Метрика</t>
        </is>
      </c>
      <c r="B3" s="5" t="inlineStr">
        <is>
          <t>Cons</t>
        </is>
      </c>
      <c r="C3" s="5" t="inlineStr">
        <is>
          <t>Base</t>
        </is>
      </c>
      <c r="D3" s="5" t="inlineStr">
        <is>
          <t>Opt</t>
        </is>
      </c>
    </row>
    <row r="4">
      <c r="A4" s="3" t="inlineStr">
        <is>
          <t>WACC (CAPM)</t>
        </is>
      </c>
      <c r="B4" s="4" t="n">
        <v>0.215</v>
      </c>
      <c r="C4" s="4" t="n">
        <v>0.195</v>
      </c>
      <c r="D4" s="4" t="n">
        <v>0.175</v>
      </c>
    </row>
    <row r="5">
      <c r="A5" s="3" t="inlineStr">
        <is>
          <t>WACC (Build-up)</t>
        </is>
      </c>
      <c r="B5" s="4" t="n">
        <v>0.285</v>
      </c>
      <c r="C5" s="4" t="n">
        <v>0.26</v>
      </c>
      <c r="D5" s="4" t="n">
        <v>0.24</v>
      </c>
    </row>
    <row r="6">
      <c r="A6" s="3" t="inlineStr">
        <is>
          <t>WACC (Comparable)</t>
        </is>
      </c>
      <c r="B6" s="4" t="n">
        <v>0.23</v>
      </c>
      <c r="C6" s="4" t="n">
        <v>0.21</v>
      </c>
      <c r="D6" s="4" t="n">
        <v>0.19</v>
      </c>
    </row>
    <row r="7">
      <c r="A7" s="3" t="inlineStr">
        <is>
          <t>NPV (CAPM)</t>
        </is>
      </c>
      <c r="B7" s="4" t="n">
        <v>-5423.9</v>
      </c>
      <c r="C7" s="4" t="n">
        <v>-4089.5</v>
      </c>
      <c r="D7" s="4" t="n">
        <v>-2919.1</v>
      </c>
    </row>
    <row r="8">
      <c r="A8" s="3" t="inlineStr">
        <is>
          <t>NPV (Build-up)</t>
        </is>
      </c>
      <c r="B8" s="4" t="n">
        <v>-3959.4</v>
      </c>
      <c r="C8" s="4" t="n">
        <v>-2908.4</v>
      </c>
      <c r="D8" s="4" t="n">
        <v>-2008.1</v>
      </c>
    </row>
    <row r="9">
      <c r="A9" s="3" t="inlineStr">
        <is>
          <t>NPV (Comparable)</t>
        </is>
      </c>
      <c r="B9" s="4" t="n">
        <v>-5027.3</v>
      </c>
      <c r="C9" s="4" t="n">
        <v>-3738.8</v>
      </c>
      <c r="D9" s="4" t="n">
        <v>-2636.9</v>
      </c>
    </row>
    <row r="10">
      <c r="A10" s="3" t="inlineStr">
        <is>
          <t>IRR</t>
        </is>
      </c>
      <c r="B10" s="4" t="n">
        <v>0</v>
      </c>
      <c r="C10" s="4" t="n">
        <v>0</v>
      </c>
      <c r="D10" s="4" t="n">
        <v>0</v>
      </c>
    </row>
    <row r="11">
      <c r="A11" s="3" t="inlineStr">
        <is>
          <t>MOIC</t>
        </is>
      </c>
      <c r="B11" s="4" t="n">
        <v>0</v>
      </c>
      <c r="C11" s="4" t="n">
        <v>0</v>
      </c>
      <c r="D11" s="4" t="n">
        <v>0</v>
      </c>
    </row>
    <row r="12">
      <c r="A12" s="3" t="inlineStr">
        <is>
          <t>Payback, лет</t>
        </is>
      </c>
      <c r="B12" s="4" t="n">
        <v>3</v>
      </c>
      <c r="C12" s="4" t="n">
        <v>3</v>
      </c>
      <c r="D12" s="4" t="n">
        <v>3</v>
      </c>
    </row>
    <row r="13">
      <c r="A13" s="3" t="inlineStr">
        <is>
          <t>TV Gordon</t>
        </is>
      </c>
      <c r="B13" s="4" t="n">
        <v>-5939.8</v>
      </c>
      <c r="C13" s="4" t="n">
        <v>-4559.5</v>
      </c>
      <c r="D13" s="4" t="n">
        <v>-3093.6</v>
      </c>
    </row>
    <row r="14">
      <c r="A14" s="3" t="inlineStr">
        <is>
          <t>TV Exit Multiple</t>
        </is>
      </c>
      <c r="B14" s="4" t="n">
        <v>2832.5</v>
      </c>
      <c r="C14" s="4" t="n">
        <v>8100.9</v>
      </c>
      <c r="D14" s="4" t="n">
        <v>13876.1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Sensitivity: NPV (WACC × growth)</t>
        </is>
      </c>
    </row>
    <row r="3">
      <c r="A3" s="5" t="inlineStr">
        <is>
          <t>WACC \ g</t>
        </is>
      </c>
      <c r="B3" s="5" t="inlineStr">
        <is>
          <t>2.0%</t>
        </is>
      </c>
      <c r="C3" s="5" t="inlineStr">
        <is>
          <t>2.5%</t>
        </is>
      </c>
      <c r="D3" s="5" t="inlineStr">
        <is>
          <t>3.0%</t>
        </is>
      </c>
      <c r="E3" s="5" t="inlineStr">
        <is>
          <t>3.5%</t>
        </is>
      </c>
      <c r="F3" s="5" t="inlineStr">
        <is>
          <t>4.0%</t>
        </is>
      </c>
      <c r="G3" s="5" t="inlineStr">
        <is>
          <t>4.5%</t>
        </is>
      </c>
    </row>
    <row r="4">
      <c r="A4" s="3" t="inlineStr">
        <is>
          <t>15.0%</t>
        </is>
      </c>
      <c r="B4" s="4" t="n">
        <v>-5158.4</v>
      </c>
      <c r="C4" s="4" t="n">
        <v>-5322.3</v>
      </c>
      <c r="D4" s="4" t="n">
        <v>-5500</v>
      </c>
      <c r="E4" s="4" t="n">
        <v>-5693.1</v>
      </c>
      <c r="F4" s="4" t="n">
        <v>-5903.8</v>
      </c>
      <c r="G4" s="4" t="n">
        <v>-6134.5</v>
      </c>
    </row>
    <row r="5">
      <c r="A5" s="3" t="inlineStr">
        <is>
          <t>17.0%</t>
        </is>
      </c>
      <c r="B5" s="4" t="n">
        <v>-4466.7</v>
      </c>
      <c r="C5" s="4" t="n">
        <v>-4585</v>
      </c>
      <c r="D5" s="4" t="n">
        <v>-4711.8</v>
      </c>
      <c r="E5" s="4" t="n">
        <v>-4848.1</v>
      </c>
      <c r="F5" s="4" t="n">
        <v>-4994.8</v>
      </c>
      <c r="G5" s="4" t="n">
        <v>-5153.2</v>
      </c>
    </row>
    <row r="6">
      <c r="A6" s="3" t="inlineStr">
        <is>
          <t>19.0%</t>
        </is>
      </c>
      <c r="B6" s="4" t="n">
        <v>-3938.3</v>
      </c>
      <c r="C6" s="4" t="n">
        <v>-4027</v>
      </c>
      <c r="D6" s="4" t="n">
        <v>-4121.3</v>
      </c>
      <c r="E6" s="4" t="n">
        <v>-4221.6</v>
      </c>
      <c r="F6" s="4" t="n">
        <v>-4328.6</v>
      </c>
      <c r="G6" s="4" t="n">
        <v>-4443.1</v>
      </c>
    </row>
    <row r="7">
      <c r="A7" s="3" t="inlineStr">
        <is>
          <t>21.0%</t>
        </is>
      </c>
      <c r="B7" s="4" t="n">
        <v>-3521.6</v>
      </c>
      <c r="C7" s="4" t="n">
        <v>-3590.1</v>
      </c>
      <c r="D7" s="4" t="n">
        <v>-3662.3</v>
      </c>
      <c r="E7" s="4" t="n">
        <v>-3738.8</v>
      </c>
      <c r="F7" s="4" t="n">
        <v>-3819.7</v>
      </c>
      <c r="G7" s="4" t="n">
        <v>-3905.5</v>
      </c>
    </row>
    <row r="8">
      <c r="A8" s="3" t="inlineStr">
        <is>
          <t>23.0%</t>
        </is>
      </c>
      <c r="B8" s="4" t="n">
        <v>-3184.6</v>
      </c>
      <c r="C8" s="4" t="n">
        <v>-3238.7</v>
      </c>
      <c r="D8" s="4" t="n">
        <v>-3295.6</v>
      </c>
      <c r="E8" s="4" t="n">
        <v>-3355.3</v>
      </c>
      <c r="F8" s="4" t="n">
        <v>-3418.2</v>
      </c>
      <c r="G8" s="4" t="n">
        <v>-3484.4</v>
      </c>
    </row>
    <row r="9">
      <c r="A9" s="3" t="inlineStr">
        <is>
          <t>25.0%</t>
        </is>
      </c>
      <c r="B9" s="4" t="n">
        <v>-2906.6</v>
      </c>
      <c r="C9" s="4" t="n">
        <v>-2950.2</v>
      </c>
      <c r="D9" s="4" t="n">
        <v>-2995.8</v>
      </c>
      <c r="E9" s="4" t="n">
        <v>-3043.4</v>
      </c>
      <c r="F9" s="4" t="n">
        <v>-3093.4</v>
      </c>
      <c r="G9" s="4" t="n">
        <v>-3145.8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Monte Carlo — 2000 симуляций (seed 42)</t>
        </is>
      </c>
    </row>
    <row r="3">
      <c r="A3" s="3" t="inlineStr">
        <is>
          <t>EBITDA mean</t>
        </is>
      </c>
      <c r="B3" s="4" t="n">
        <v>2854.1</v>
      </c>
    </row>
    <row r="4">
      <c r="A4" s="3" t="inlineStr">
        <is>
          <t>EBITDA median</t>
        </is>
      </c>
      <c r="B4" s="4" t="n">
        <v>2863.9</v>
      </c>
    </row>
    <row r="5">
      <c r="A5" s="3" t="inlineStr">
        <is>
          <t>EBITDA p5 (5% worst)</t>
        </is>
      </c>
      <c r="B5" s="4" t="n">
        <v>1599.6</v>
      </c>
    </row>
    <row r="6">
      <c r="A6" s="3" t="inlineStr">
        <is>
          <t>EBITDA p95 (5% best)</t>
        </is>
      </c>
      <c r="B6" s="4" t="n">
        <v>4099.1</v>
      </c>
    </row>
    <row r="7">
      <c r="A7" s="3" t="inlineStr">
        <is>
          <t>EBITDA std</t>
        </is>
      </c>
      <c r="B7" s="4" t="n">
        <v>750.1</v>
      </c>
    </row>
    <row r="8">
      <c r="A8" s="3" t="inlineStr">
        <is>
          <t>FCF mean</t>
        </is>
      </c>
      <c r="B8" s="4" t="n">
        <v>-1946.5</v>
      </c>
    </row>
    <row r="9">
      <c r="A9" s="3" t="inlineStr">
        <is>
          <t>FCF median</t>
        </is>
      </c>
      <c r="B9" s="4" t="n">
        <v>-1941.9</v>
      </c>
    </row>
    <row r="10">
      <c r="A10" s="3" t="inlineStr">
        <is>
          <t>FCF p5</t>
        </is>
      </c>
      <c r="B10" s="4" t="n">
        <v>-3341.2</v>
      </c>
    </row>
    <row r="11">
      <c r="A11" s="3" t="inlineStr">
        <is>
          <t>FCF p95</t>
        </is>
      </c>
      <c r="B11" s="4" t="n">
        <v>-682.2</v>
      </c>
    </row>
    <row r="12">
      <c r="A12" s="3" t="inlineStr">
        <is>
          <t>P(EBITDA ≥ anchor)</t>
        </is>
      </c>
      <c r="B12" s="3" t="inlineStr">
        <is>
          <t>43.1%</t>
        </is>
      </c>
    </row>
    <row r="13">
      <c r="A13" s="3" t="inlineStr">
        <is>
          <t>P(FCF &gt; 0)</t>
        </is>
      </c>
      <c r="B13" s="3" t="inlineStr">
        <is>
          <t>0.0%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4" customWidth="1" min="3" max="3"/>
    <col width="14" customWidth="1" min="4" max="4"/>
    <col width="18" customWidth="1" min="5" max="5"/>
    <col width="10" customWidth="1" min="6" max="6"/>
  </cols>
  <sheetData>
    <row r="1">
      <c r="A1" s="1" t="inlineStr">
        <is>
          <t>Stress Tests — 6 сценариев + breakeven</t>
        </is>
      </c>
    </row>
    <row r="3">
      <c r="A3" s="5" t="inlineStr">
        <is>
          <t>Name</t>
        </is>
      </c>
      <c r="B3" s="5" t="inlineStr">
        <is>
          <t>Description</t>
        </is>
      </c>
      <c r="C3" s="5" t="inlineStr">
        <is>
          <t>Δ EBITDA %</t>
        </is>
      </c>
      <c r="D3" s="5" t="inlineStr">
        <is>
          <t>Δ FCF %</t>
        </is>
      </c>
      <c r="E3" s="5" t="inlineStr">
        <is>
          <t>New cum EBITDA</t>
        </is>
      </c>
      <c r="F3" s="5" t="inlineStr">
        <is>
          <t>Anchor</t>
        </is>
      </c>
    </row>
    <row r="4">
      <c r="A4" s="3" t="inlineStr">
        <is>
          <t>rev_-10</t>
        </is>
      </c>
      <c r="B4" s="3" t="inlineStr">
        <is>
          <t>Revenue −10% на все сегменты</t>
        </is>
      </c>
      <c r="C4" s="3" t="inlineStr">
        <is>
          <t>-41.7%</t>
        </is>
      </c>
      <c r="D4" s="3" t="inlineStr">
        <is>
          <t>-52.0%</t>
        </is>
      </c>
      <c r="E4" s="4" t="n">
        <v>1750.7</v>
      </c>
      <c r="F4" s="3" t="inlineStr">
        <is>
          <t>FAIL</t>
        </is>
      </c>
    </row>
    <row r="5">
      <c r="A5" s="3" t="inlineStr">
        <is>
          <t>rev_-20</t>
        </is>
      </c>
      <c r="B5" s="3" t="inlineStr">
        <is>
          <t>Revenue −20% на все сегменты</t>
        </is>
      </c>
      <c r="C5" s="3" t="inlineStr">
        <is>
          <t>-83.3%</t>
        </is>
      </c>
      <c r="D5" s="3" t="inlineStr">
        <is>
          <t>-114.8%</t>
        </is>
      </c>
      <c r="E5" s="4" t="n">
        <v>500.6</v>
      </c>
      <c r="F5" s="3" t="inlineStr">
        <is>
          <t>FAIL</t>
        </is>
      </c>
    </row>
    <row r="6">
      <c r="A6" s="3" t="inlineStr">
        <is>
          <t>rev_-30</t>
        </is>
      </c>
      <c r="B6" s="3" t="inlineStr">
        <is>
          <t>Revenue −30% на все сегменты</t>
        </is>
      </c>
      <c r="C6" s="3" t="inlineStr">
        <is>
          <t>-125.0%</t>
        </is>
      </c>
      <c r="D6" s="3" t="inlineStr">
        <is>
          <t>-177.7%</t>
        </is>
      </c>
      <c r="E6" s="4" t="n">
        <v>-749.4</v>
      </c>
      <c r="F6" s="3" t="inlineStr">
        <is>
          <t>FAIL</t>
        </is>
      </c>
    </row>
    <row r="7">
      <c r="A7" s="3" t="inlineStr">
        <is>
          <t>cost_+10</t>
        </is>
      </c>
      <c r="B7" s="3" t="inlineStr">
        <is>
          <t>Cost +10% на COGS+P&amp;A+OPEX+Contingency</t>
        </is>
      </c>
      <c r="C7" s="3" t="inlineStr">
        <is>
          <t>-31.7%</t>
        </is>
      </c>
      <c r="D7" s="3" t="inlineStr">
        <is>
          <t>-59.8%</t>
        </is>
      </c>
      <c r="E7" s="4" t="n">
        <v>2050.7</v>
      </c>
      <c r="F7" s="3" t="inlineStr">
        <is>
          <t>FAIL</t>
        </is>
      </c>
    </row>
    <row r="8">
      <c r="A8" s="3" t="inlineStr">
        <is>
          <t>cost_+20</t>
        </is>
      </c>
      <c r="B8" s="3" t="inlineStr">
        <is>
          <t>Cost +20% на COGS+P&amp;A+OPEX+Contingency</t>
        </is>
      </c>
      <c r="C8" s="3" t="inlineStr">
        <is>
          <t>-63.3%</t>
        </is>
      </c>
      <c r="D8" s="3" t="inlineStr">
        <is>
          <t>-130.4%</t>
        </is>
      </c>
      <c r="E8" s="4" t="n">
        <v>1100.8</v>
      </c>
      <c r="F8" s="3" t="inlineStr">
        <is>
          <t>FAIL</t>
        </is>
      </c>
    </row>
    <row r="9">
      <c r="A9" s="3" t="inlineStr">
        <is>
          <t>combined_bad</t>
        </is>
      </c>
      <c r="B9" s="3" t="inlineStr">
        <is>
          <t>Комбинированный: rev −15% + cost +10%</t>
        </is>
      </c>
      <c r="C9" s="3" t="inlineStr">
        <is>
          <t>-94.1%</t>
        </is>
      </c>
      <c r="D9" s="3" t="inlineStr">
        <is>
          <t>-154.0%</t>
        </is>
      </c>
      <c r="E9" s="4" t="n">
        <v>175.7</v>
      </c>
      <c r="F9" s="3" t="inlineStr">
        <is>
          <t>FAIL</t>
        </is>
      </c>
    </row>
    <row r="12">
      <c r="A12" s="2" t="inlineStr">
        <is>
          <t>Breakeven Revenue Shock</t>
        </is>
      </c>
    </row>
    <row r="13">
      <c r="A13" s="3" t="inlineStr">
        <is>
          <t>% падения выручки для нуля EBITDA</t>
        </is>
      </c>
      <c r="B13" s="3" t="inlineStr">
        <is>
          <t>24.0%</t>
        </is>
      </c>
    </row>
    <row r="14">
      <c r="A14" s="3" t="inlineStr">
        <is>
          <t>Обоснование</t>
        </is>
      </c>
      <c r="B14" s="3" t="inlineStr">
        <is>
          <t>Падение выручки на 24.0% зануляет cumulative EBITDA. Запас прочности от Base (при фикс. D&amp;A, ΔNWC).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30" customWidth="1" min="4" max="4"/>
  </cols>
  <sheetData>
    <row r="1">
      <c r="A1" s="1" t="inlineStr">
        <is>
          <t>Investment Round — структура раунда</t>
        </is>
      </c>
    </row>
    <row r="3">
      <c r="A3" s="3" t="inlineStr">
        <is>
          <t>Round type</t>
        </is>
      </c>
      <c r="B3" s="3" t="inlineStr">
        <is>
          <t>equity_with_debt_tranche</t>
        </is>
      </c>
      <c r="C3" s="3" t="inlineStr"/>
      <c r="D3" s="3" t="inlineStr"/>
    </row>
    <row r="4">
      <c r="A4" s="3" t="inlineStr">
        <is>
          <t>Round stage</t>
        </is>
      </c>
      <c r="B4" s="3" t="inlineStr">
        <is>
          <t>series_a_growth</t>
        </is>
      </c>
      <c r="C4" s="3" t="inlineStr"/>
      <c r="D4" s="3" t="inlineStr"/>
    </row>
    <row r="5">
      <c r="A5" s="3" t="inlineStr">
        <is>
          <t>Ask (cons)</t>
        </is>
      </c>
      <c r="B5" s="4" t="n">
        <v>1172</v>
      </c>
      <c r="C5" s="3" t="inlineStr"/>
      <c r="D5" s="3" t="inlineStr"/>
    </row>
    <row r="6">
      <c r="A6" s="3" t="inlineStr">
        <is>
          <t>Ask (base)</t>
        </is>
      </c>
      <c r="B6" s="4" t="n">
        <v>890</v>
      </c>
      <c r="C6" s="3" t="inlineStr"/>
      <c r="D6" s="3" t="inlineStr"/>
    </row>
    <row r="7">
      <c r="A7" s="3" t="inlineStr">
        <is>
          <t>Ask (opt)</t>
        </is>
      </c>
      <c r="B7" s="4" t="n">
        <v>773</v>
      </c>
      <c r="C7" s="3" t="inlineStr"/>
      <c r="D7" s="3" t="inlineStr"/>
    </row>
    <row r="8">
      <c r="A8" s="3" t="inlineStr">
        <is>
          <t>Headline ask</t>
        </is>
      </c>
      <c r="B8" s="4" t="n">
        <v>950</v>
      </c>
      <c r="C8" s="3" t="inlineStr"/>
      <c r="D8" s="3" t="inlineStr"/>
    </row>
    <row r="10">
      <c r="A10" s="2" t="inlineStr">
        <is>
          <t>Tranche structure</t>
        </is>
      </c>
    </row>
    <row r="11">
      <c r="A11" s="5" t="inlineStr">
        <is>
          <t>Tranche</t>
        </is>
      </c>
      <c r="B11" s="5" t="inlineStr">
        <is>
          <t>Amount</t>
        </is>
      </c>
      <c r="C11" s="5" t="inlineStr">
        <is>
          <t>Instrument</t>
        </is>
      </c>
      <c r="D11" s="5" t="inlineStr">
        <is>
          <t>Title</t>
        </is>
      </c>
    </row>
    <row r="12">
      <c r="A12" s="3" t="inlineStr">
        <is>
          <t>equity_primary</t>
        </is>
      </c>
      <c r="B12" s="4" t="n">
        <v>650</v>
      </c>
      <c r="C12" s="3" t="inlineStr">
        <is>
          <t>дополнительная эмиссия обыкновенных акций</t>
        </is>
      </c>
      <c r="D12" s="3" t="inlineStr">
        <is>
          <t>Equity (primary issue, cash into company)</t>
        </is>
      </c>
    </row>
    <row r="13">
      <c r="A13" s="3" t="inlineStr">
        <is>
          <t>debt_senior</t>
        </is>
      </c>
      <c r="B13" s="4" t="n">
        <v>200</v>
      </c>
      <c r="C13" s="3" t="inlineStr">
        <is>
          <t>кредитная линия под залог НМА (библиотека прав)</t>
        </is>
      </c>
      <c r="D13" s="3" t="inlineStr">
        <is>
          <t>Senior debt (срочный банковский кредит)</t>
        </is>
      </c>
    </row>
    <row r="14">
      <c r="A14" s="3" t="inlineStr">
        <is>
          <t>government_support</t>
        </is>
      </c>
      <c r="B14" s="4" t="n">
        <v>100</v>
      </c>
      <c r="C14" s="3" t="inlineStr">
        <is>
          <t>безвозвратные субсидии на нац. кино</t>
        </is>
      </c>
      <c r="D14" s="3" t="inlineStr">
        <is>
          <t>Грант Фонда кино + субсидия Минкультуры</t>
        </is>
      </c>
    </row>
    <row r="16">
      <c r="A16" s="2" t="inlineStr">
        <is>
          <t>Use of funds (млн ₽)</t>
        </is>
      </c>
    </row>
    <row r="17">
      <c r="A17" s="3" t="inlineStr">
        <is>
          <t>Production slate 2026-2027</t>
        </is>
      </c>
      <c r="B17" s="4" t="n">
        <v>494</v>
      </c>
      <c r="C17" s="3" t="inlineStr"/>
      <c r="D17" s="3" t="inlineStr"/>
    </row>
    <row r="18">
      <c r="A18" s="3" t="inlineStr">
        <is>
          <t>Opening working capital</t>
        </is>
      </c>
      <c r="B18" s="4" t="n">
        <v>238</v>
      </c>
      <c r="C18" s="3" t="inlineStr"/>
      <c r="D18" s="3" t="inlineStr"/>
    </row>
    <row r="19">
      <c r="A19" s="3" t="inlineStr">
        <is>
          <t>Infrastructure CapEx</t>
        </is>
      </c>
      <c r="B19" s="4" t="n">
        <v>85</v>
      </c>
      <c r="C19" s="3" t="inlineStr"/>
      <c r="D19" s="3" t="inlineStr"/>
    </row>
    <row r="20">
      <c r="A20" s="3" t="inlineStr">
        <is>
          <t>P&amp;A marketing reserve</t>
        </is>
      </c>
      <c r="B20" s="4" t="n">
        <v>66</v>
      </c>
      <c r="C20" s="3" t="inlineStr"/>
      <c r="D20" s="3" t="inlineStr"/>
    </row>
    <row r="21">
      <c r="A21" s="3" t="inlineStr">
        <is>
          <t>General contingency</t>
        </is>
      </c>
      <c r="B21" s="4" t="n">
        <v>66</v>
      </c>
      <c r="C21" s="3" t="inlineStr"/>
      <c r="D21" s="3" t="inlineStr"/>
    </row>
    <row r="22">
      <c r="A22" s="3" t="inlineStr">
        <is>
          <t>TOTAL</t>
        </is>
      </c>
      <c r="B22" s="4" t="n">
        <v>950</v>
      </c>
      <c r="C22" s="3" t="inlineStr"/>
      <c r="D22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Investor Returns — MOIC / IRR / exit</t>
        </is>
      </c>
    </row>
    <row r="3">
      <c r="A3" s="5" t="inlineStr">
        <is>
          <t>Метрика</t>
        </is>
      </c>
      <c r="B3" s="5" t="inlineStr">
        <is>
          <t>Cons</t>
        </is>
      </c>
      <c r="C3" s="5" t="inlineStr">
        <is>
          <t>Base</t>
        </is>
      </c>
      <c r="D3" s="5" t="inlineStr">
        <is>
          <t>Opt</t>
        </is>
      </c>
    </row>
    <row r="4">
      <c r="A4" s="3" t="inlineStr">
        <is>
          <t>MOIC</t>
        </is>
      </c>
      <c r="B4" s="4" t="n">
        <v>2.1</v>
      </c>
      <c r="C4" s="4" t="n">
        <v>3.8</v>
      </c>
      <c r="D4" s="4" t="n">
        <v>5.6</v>
      </c>
    </row>
    <row r="5">
      <c r="A5" s="3" t="inlineStr">
        <is>
          <t>IRR</t>
        </is>
      </c>
      <c r="B5" s="3" t="inlineStr">
        <is>
          <t>18.0%</t>
        </is>
      </c>
      <c r="C5" s="3" t="inlineStr">
        <is>
          <t>32.0%</t>
        </is>
      </c>
      <c r="D5" s="3" t="inlineStr">
        <is>
          <t>47.0%</t>
        </is>
      </c>
    </row>
    <row r="7">
      <c r="A7" t="inlineStr">
        <is>
          <t>Exit strategy: продажа стратегу (медиахолдинг / стриминг) или IPO</t>
        </is>
      </c>
    </row>
    <row r="8">
      <c r="A8" t="inlineStr">
        <is>
          <t>Expected exit year: 2029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Macro assumptions</t>
        </is>
      </c>
    </row>
    <row r="3">
      <c r="A3" s="5" t="inlineStr">
        <is>
          <t>Метрика / Год</t>
        </is>
      </c>
      <c r="B3" s="5" t="inlineStr">
        <is>
          <t>2026 cons</t>
        </is>
      </c>
      <c r="C3" s="5" t="inlineStr">
        <is>
          <t>2026 base</t>
        </is>
      </c>
      <c r="D3" s="5" t="inlineStr">
        <is>
          <t>2026 opt</t>
        </is>
      </c>
      <c r="E3" s="5" t="inlineStr">
        <is>
          <t>...</t>
        </is>
      </c>
    </row>
    <row r="4">
      <c r="A4" s="2" t="inlineStr">
        <is>
          <t>── Inflation CPI ──</t>
        </is>
      </c>
    </row>
    <row r="5">
      <c r="A5" s="3" t="n">
        <v>2026</v>
      </c>
      <c r="B5" s="4" t="n">
        <v>0.075</v>
      </c>
      <c r="C5" s="4" t="n">
        <v>0.06</v>
      </c>
      <c r="D5" s="4" t="n">
        <v>0.05</v>
      </c>
      <c r="E5" s="3" t="inlineStr"/>
    </row>
    <row r="6">
      <c r="A6" s="3" t="n">
        <v>2027</v>
      </c>
      <c r="B6" s="4" t="n">
        <v>0.07000000000000001</v>
      </c>
      <c r="C6" s="4" t="n">
        <v>0.055</v>
      </c>
      <c r="D6" s="4" t="n">
        <v>0.045</v>
      </c>
      <c r="E6" s="3" t="inlineStr"/>
    </row>
    <row r="7">
      <c r="A7" s="3" t="n">
        <v>2028</v>
      </c>
      <c r="B7" s="4" t="n">
        <v>0.065</v>
      </c>
      <c r="C7" s="4" t="n">
        <v>0.05</v>
      </c>
      <c r="D7" s="4" t="n">
        <v>0.04</v>
      </c>
      <c r="E7" s="3" t="inlineStr"/>
    </row>
    <row r="9">
      <c r="A9" s="2" t="inlineStr">
        <is>
          <t>── USD/RUB ──</t>
        </is>
      </c>
    </row>
    <row r="10">
      <c r="A10" s="3" t="n">
        <v>2026</v>
      </c>
      <c r="B10" s="4" t="n">
        <v>98</v>
      </c>
      <c r="C10" s="4" t="n">
        <v>92</v>
      </c>
      <c r="D10" s="4" t="n">
        <v>88</v>
      </c>
      <c r="E10" s="3" t="inlineStr"/>
    </row>
    <row r="11">
      <c r="A11" s="3" t="n">
        <v>2027</v>
      </c>
      <c r="B11" s="4" t="n">
        <v>102</v>
      </c>
      <c r="C11" s="4" t="n">
        <v>94</v>
      </c>
      <c r="D11" s="4" t="n">
        <v>89</v>
      </c>
      <c r="E11" s="3" t="inlineStr"/>
    </row>
    <row r="12">
      <c r="A12" s="3" t="n">
        <v>2028</v>
      </c>
      <c r="B12" s="4" t="n">
        <v>106</v>
      </c>
      <c r="C12" s="4" t="n">
        <v>96</v>
      </c>
      <c r="D12" s="4" t="n">
        <v>90</v>
      </c>
      <c r="E12" s="3" t="inlineStr"/>
    </row>
    <row r="14">
      <c r="A14" s="2" t="inlineStr">
        <is>
          <t>── Key rate CBR ──</t>
        </is>
      </c>
    </row>
    <row r="15">
      <c r="A15" s="3" t="n">
        <v>2026</v>
      </c>
      <c r="B15" s="4" t="n">
        <v>0.18</v>
      </c>
      <c r="C15" s="4" t="n">
        <v>0.15</v>
      </c>
      <c r="D15" s="4" t="n">
        <v>0.13</v>
      </c>
      <c r="E15" s="3" t="inlineStr"/>
    </row>
    <row r="16">
      <c r="A16" s="3" t="n">
        <v>2027</v>
      </c>
      <c r="B16" s="4" t="n">
        <v>0.16</v>
      </c>
      <c r="C16" s="4" t="n">
        <v>0.13</v>
      </c>
      <c r="D16" s="4" t="n">
        <v>0.11</v>
      </c>
      <c r="E16" s="3" t="inlineStr"/>
    </row>
    <row r="17">
      <c r="A17" s="3" t="n">
        <v>2028</v>
      </c>
      <c r="B17" s="4" t="n">
        <v>0.14</v>
      </c>
      <c r="C17" s="4" t="n">
        <v>0.11</v>
      </c>
      <c r="D17" s="4" t="n">
        <v>0.095</v>
      </c>
      <c r="E17" s="3" t="inlineStr"/>
    </row>
    <row r="19">
      <c r="A19" s="3" t="inlineStr">
        <is>
          <t>Profit tax rate</t>
        </is>
      </c>
      <c r="B19" s="4" t="n">
        <v>0.25</v>
      </c>
      <c r="C19" s="3" t="inlineStr"/>
      <c r="D19" s="3" t="inlineStr"/>
      <c r="E19" s="3" t="inlineStr"/>
    </row>
    <row r="20">
      <c r="A20" s="3" t="inlineStr">
        <is>
          <t>VAT rate</t>
        </is>
      </c>
      <c r="B20" s="4" t="n">
        <v>0.2</v>
      </c>
      <c r="C20" s="3" t="inlineStr">
        <is>
          <t>cinema_exempt</t>
        </is>
      </c>
      <c r="D20" s="4" t="b">
        <v>1</v>
      </c>
      <c r="E20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NWC + CapEx</t>
        </is>
      </c>
    </row>
    <row r="3">
      <c r="A3" s="5" t="inlineStr">
        <is>
          <t>Turnover days</t>
        </is>
      </c>
      <c r="B3" s="5" t="inlineStr">
        <is>
          <t>cons</t>
        </is>
      </c>
      <c r="C3" s="5" t="inlineStr">
        <is>
          <t>base</t>
        </is>
      </c>
      <c r="D3" s="5" t="inlineStr">
        <is>
          <t>opt</t>
        </is>
      </c>
    </row>
    <row r="4">
      <c r="A4" s="3" t="inlineStr">
        <is>
          <t>accounts_receivable</t>
        </is>
      </c>
      <c r="B4" s="4" t="n">
        <v>95</v>
      </c>
      <c r="C4" s="4" t="n">
        <v>75</v>
      </c>
      <c r="D4" s="4" t="n">
        <v>60</v>
      </c>
    </row>
    <row r="5">
      <c r="A5" s="3" t="inlineStr">
        <is>
          <t>accounts_payable</t>
        </is>
      </c>
      <c r="B5" s="4" t="n">
        <v>45</v>
      </c>
      <c r="C5" s="4" t="n">
        <v>55</v>
      </c>
      <c r="D5" s="4" t="n">
        <v>70</v>
      </c>
    </row>
    <row r="6">
      <c r="A6" s="3" t="inlineStr">
        <is>
          <t>inventory_wip</t>
        </is>
      </c>
      <c r="B6" s="4" t="n">
        <v>120</v>
      </c>
      <c r="C6" s="4" t="n">
        <v>90</v>
      </c>
      <c r="D6" s="4" t="n">
        <v>75</v>
      </c>
    </row>
    <row r="7">
      <c r="A7" s="3" t="inlineStr">
        <is>
          <t>advances_received</t>
        </is>
      </c>
      <c r="B7" s="4" t="n">
        <v>15</v>
      </c>
      <c r="C7" s="4" t="n">
        <v>25</v>
      </c>
      <c r="D7" s="4" t="n">
        <v>40</v>
      </c>
    </row>
    <row r="9">
      <c r="A9" s="2" t="inlineStr">
        <is>
          <t>Δ NWC change (млн ₽)</t>
        </is>
      </c>
    </row>
    <row r="10">
      <c r="A10" s="5" t="inlineStr">
        <is>
          <t>Year</t>
        </is>
      </c>
      <c r="B10" s="5" t="inlineStr">
        <is>
          <t>cons</t>
        </is>
      </c>
      <c r="C10" s="5" t="inlineStr">
        <is>
          <t>base</t>
        </is>
      </c>
      <c r="D10" s="5" t="inlineStr">
        <is>
          <t>opt</t>
        </is>
      </c>
    </row>
    <row r="11">
      <c r="A11" s="3" t="n">
        <v>2026</v>
      </c>
      <c r="B11" s="4" t="n">
        <v>65</v>
      </c>
      <c r="C11" s="4" t="n">
        <v>45</v>
      </c>
      <c r="D11" s="4" t="n">
        <v>25</v>
      </c>
    </row>
    <row r="12">
      <c r="A12" s="3" t="n">
        <v>2027</v>
      </c>
      <c r="B12" s="4" t="n">
        <v>140</v>
      </c>
      <c r="C12" s="4" t="n">
        <v>95</v>
      </c>
      <c r="D12" s="4" t="n">
        <v>55</v>
      </c>
    </row>
    <row r="13">
      <c r="A13" s="3" t="n">
        <v>2028</v>
      </c>
      <c r="B13" s="4" t="n">
        <v>130</v>
      </c>
      <c r="C13" s="4" t="n">
        <v>80</v>
      </c>
      <c r="D13" s="4" t="n">
        <v>40</v>
      </c>
    </row>
    <row r="16">
      <c r="A16" s="2" t="inlineStr">
        <is>
          <t>Production CapEx (млн ₽)</t>
        </is>
      </c>
    </row>
    <row r="17">
      <c r="A17" s="5" t="inlineStr">
        <is>
          <t>Year</t>
        </is>
      </c>
      <c r="B17" s="5" t="inlineStr">
        <is>
          <t>cons</t>
        </is>
      </c>
      <c r="C17" s="5" t="inlineStr">
        <is>
          <t>base</t>
        </is>
      </c>
      <c r="D17" s="5" t="inlineStr">
        <is>
          <t>opt</t>
        </is>
      </c>
    </row>
    <row r="18">
      <c r="A18" s="3" t="n">
        <v>2026</v>
      </c>
      <c r="B18" s="4" t="n">
        <v>1100</v>
      </c>
      <c r="C18" s="4" t="n">
        <v>1240</v>
      </c>
      <c r="D18" s="4" t="n">
        <v>1400</v>
      </c>
    </row>
    <row r="19">
      <c r="A19" s="3" t="n">
        <v>2027</v>
      </c>
      <c r="B19" s="4" t="n">
        <v>1200</v>
      </c>
      <c r="C19" s="4" t="n">
        <v>1360</v>
      </c>
      <c r="D19" s="4" t="n">
        <v>1520</v>
      </c>
    </row>
    <row r="20">
      <c r="A20" s="3" t="n">
        <v>2028</v>
      </c>
      <c r="B20" s="4" t="n">
        <v>1540</v>
      </c>
      <c r="C20" s="4" t="n">
        <v>1880</v>
      </c>
      <c r="D20" s="4" t="n">
        <v>2100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2" customWidth="1" min="3" max="3"/>
    <col width="12" customWidth="1" min="4" max="4"/>
  </cols>
  <sheetData>
    <row r="1">
      <c r="A1" s="1" t="inlineStr">
        <is>
          <t>Provenance Registry — 22 источников</t>
        </is>
      </c>
    </row>
    <row r="3">
      <c r="A3" s="5" t="inlineStr">
        <is>
          <t>source_id</t>
        </is>
      </c>
      <c r="B3" s="5" t="inlineStr">
        <is>
          <t>used_in / title</t>
        </is>
      </c>
      <c r="C3" s="5" t="inlineStr">
        <is>
          <t>confidence</t>
        </is>
      </c>
      <c r="D3" s="5" t="inlineStr">
        <is>
          <t>last_updated</t>
        </is>
      </c>
    </row>
    <row r="4">
      <c r="A4" s="3" t="inlineStr">
        <is>
          <t>buildup_2026</t>
        </is>
      </c>
      <c r="B4" s="3" t="inlineStr">
        <is>
          <t>valuation.yaml | WACC method: build_up_country_risk</t>
        </is>
      </c>
      <c r="C4" s="3" t="inlineStr"/>
      <c r="D4" s="3" t="inlineStr"/>
    </row>
    <row r="5">
      <c r="A5" s="3" t="inlineStr">
        <is>
          <t>capex_plan_2026_2028</t>
        </is>
      </c>
      <c r="B5" s="3" t="inlineStr">
        <is>
          <t>capex.yaml</t>
        </is>
      </c>
      <c r="C5" s="3" t="inlineStr">
        <is>
          <t>high</t>
        </is>
      </c>
      <c r="D5" s="3" t="inlineStr">
        <is>
          <t>2026-04-11</t>
        </is>
      </c>
    </row>
    <row r="6">
      <c r="A6" s="3" t="inlineStr">
        <is>
          <t>capm_rf_2026</t>
        </is>
      </c>
      <c r="B6" s="3" t="inlineStr">
        <is>
          <t>valuation.yaml | WACC method: capm_classic</t>
        </is>
      </c>
      <c r="C6" s="3" t="inlineStr"/>
      <c r="D6" s="3" t="inlineStr"/>
    </row>
    <row r="7">
      <c r="A7" s="3" t="inlineStr">
        <is>
          <t>cbr_minek_consensus_2026</t>
        </is>
      </c>
      <c r="B7" s="3" t="inlineStr">
        <is>
          <t>macro.yaml | Консенсус-прогноз ЦБ РФ и Минэкономразвития на 2026-2028</t>
        </is>
      </c>
      <c r="C7" s="3" t="inlineStr">
        <is>
          <t>medium</t>
        </is>
      </c>
      <c r="D7" s="3" t="inlineStr">
        <is>
          <t>2026-04-11</t>
        </is>
      </c>
    </row>
    <row r="8">
      <c r="A8" s="3" t="inlineStr">
        <is>
          <t>eais_sources_v1_3_7</t>
        </is>
      </c>
      <c r="B8" s="3" t="inlineStr">
        <is>
          <t>eais_sources.yaml</t>
        </is>
      </c>
      <c r="C8" s="3" t="inlineStr">
        <is>
          <t>medium</t>
        </is>
      </c>
      <c r="D8" s="3" t="inlineStr">
        <is>
          <t>2026-04-11</t>
        </is>
      </c>
    </row>
    <row r="9">
      <c r="A9" s="3" t="inlineStr">
        <is>
          <t>fx_pass_through_triangulated_v1_3_5</t>
        </is>
      </c>
      <c r="B9" s="3" t="inlineStr">
        <is>
          <t>fx_pass_through.yaml | FX pass-through коэффициенты (v1.3.5 Tier C — триангуляция 4 коэффициентов)</t>
        </is>
      </c>
      <c r="C9" s="3" t="inlineStr">
        <is>
          <t>medium</t>
        </is>
      </c>
      <c r="D9" s="3" t="inlineStr">
        <is>
          <t>2026-04-11</t>
        </is>
      </c>
    </row>
    <row r="10">
      <c r="A10" s="3" t="inlineStr">
        <is>
          <t>hedge_default_v1_3_6</t>
        </is>
      </c>
      <c r="B10" s="3" t="inlineStr">
        <is>
          <t>hedge.yaml | FX Hedge Coverage (v1.3.6 Ж4 — validation scaffold)</t>
        </is>
      </c>
      <c r="C10" s="3" t="inlineStr">
        <is>
          <t>medium</t>
        </is>
      </c>
      <c r="D10" s="3" t="inlineStr">
        <is>
          <t>2026-04-11</t>
        </is>
      </c>
    </row>
    <row r="11">
      <c r="A11" s="3" t="inlineStr">
        <is>
          <t>ifrs_15_revenue_recognition</t>
        </is>
      </c>
      <c r="B11" s="3" t="inlineStr">
        <is>
          <t>cinema.yaml | Revenue recognition policy (cinema)</t>
        </is>
      </c>
      <c r="C11" s="3" t="inlineStr"/>
      <c r="D11" s="3" t="inlineStr"/>
    </row>
    <row r="12">
      <c r="A12" s="3" t="inlineStr">
        <is>
          <t>investment_round_plan_2026</t>
        </is>
      </c>
      <c r="B12" s="3" t="inlineStr">
        <is>
          <t>investment.yaml | Инвестиционный раунд Series A ТрендСтудио, план 2026</t>
        </is>
      </c>
      <c r="C12" s="3" t="inlineStr">
        <is>
          <t>medium</t>
        </is>
      </c>
      <c r="D12" s="3" t="inlineStr">
        <is>
          <t>2026-04-11</t>
        </is>
      </c>
    </row>
    <row r="13">
      <c r="A13" s="3" t="inlineStr">
        <is>
          <t>nwc_plan_2026_2028</t>
        </is>
      </c>
      <c r="B13" s="3" t="inlineStr">
        <is>
          <t>nwc.yaml</t>
        </is>
      </c>
      <c r="C13" s="3" t="inlineStr">
        <is>
          <t>medium</t>
        </is>
      </c>
      <c r="D13" s="3" t="inlineStr">
        <is>
          <t>2026-04-11</t>
        </is>
      </c>
    </row>
    <row r="14">
      <c r="A14" s="3" t="inlineStr">
        <is>
          <t>opex_budget_2026_2028</t>
        </is>
      </c>
      <c r="B14" s="3" t="inlineStr">
        <is>
          <t>opex.yaml</t>
        </is>
      </c>
      <c r="C14" s="3" t="inlineStr">
        <is>
          <t>high</t>
        </is>
      </c>
      <c r="D14" s="3" t="inlineStr">
        <is>
          <t>2026-04-11</t>
        </is>
      </c>
    </row>
    <row r="15">
      <c r="A15" s="3" t="inlineStr">
        <is>
          <t>pa_budget_2026_2028</t>
        </is>
      </c>
      <c r="B15" s="3" t="inlineStr">
        <is>
          <t>pa_costs.yaml</t>
        </is>
      </c>
      <c r="C15" s="3" t="inlineStr">
        <is>
          <t>high</t>
        </is>
      </c>
      <c r="D15" s="3" t="inlineStr">
        <is>
          <t>2026-04-11</t>
        </is>
      </c>
    </row>
    <row r="16">
      <c r="A16" s="3" t="inlineStr">
        <is>
          <t>peers_em_2026</t>
        </is>
      </c>
      <c r="B16" s="3" t="inlineStr">
        <is>
          <t>valuation.yaml | WACC method: comparable_emerging_markets</t>
        </is>
      </c>
      <c r="C16" s="3" t="inlineStr"/>
      <c r="D16" s="3" t="inlineStr"/>
    </row>
    <row r="17">
      <c r="A17" s="3" t="inlineStr">
        <is>
          <t>segment_advertising_2026_2028</t>
        </is>
      </c>
      <c r="B17" s="3" t="inlineStr">
        <is>
          <t>advertising.yaml</t>
        </is>
      </c>
      <c r="C17" s="3" t="inlineStr">
        <is>
          <t>medium</t>
        </is>
      </c>
      <c r="D17" s="3" t="inlineStr">
        <is>
          <t>2026-04-11</t>
        </is>
      </c>
    </row>
    <row r="18">
      <c r="A18" s="3" t="inlineStr">
        <is>
          <t>segment_cinema_2026_2028</t>
        </is>
      </c>
      <c r="B18" s="3" t="inlineStr">
        <is>
          <t>cinema.yaml | Сегмент кинотеатрального проката, план ТрендСтудио</t>
        </is>
      </c>
      <c r="C18" s="3" t="inlineStr">
        <is>
          <t>high</t>
        </is>
      </c>
      <c r="D18" s="3" t="inlineStr">
        <is>
          <t>2026-04-11</t>
        </is>
      </c>
    </row>
    <row r="19">
      <c r="A19" s="3" t="inlineStr">
        <is>
          <t>segment_education_2026_2028</t>
        </is>
      </c>
      <c r="B19" s="3" t="inlineStr">
        <is>
          <t>education.yaml</t>
        </is>
      </c>
      <c r="C19" s="3" t="inlineStr">
        <is>
          <t>medium</t>
        </is>
      </c>
      <c r="D19" s="3" t="inlineStr">
        <is>
          <t>2026-04-11</t>
        </is>
      </c>
    </row>
    <row r="20">
      <c r="A20" s="3" t="inlineStr">
        <is>
          <t>segment_festivals_2026_2028</t>
        </is>
      </c>
      <c r="B20" s="3" t="inlineStr">
        <is>
          <t>festivals.yaml</t>
        </is>
      </c>
      <c r="C20" s="3" t="inlineStr">
        <is>
          <t>high</t>
        </is>
      </c>
      <c r="D20" s="3" t="inlineStr">
        <is>
          <t>2026-04-11</t>
        </is>
      </c>
    </row>
    <row r="21">
      <c r="A21" s="3" t="inlineStr">
        <is>
          <t>segment_license_library_2026_2028</t>
        </is>
      </c>
      <c r="B21" s="3" t="inlineStr">
        <is>
          <t>license_library.yaml</t>
        </is>
      </c>
      <c r="C21" s="3" t="inlineStr">
        <is>
          <t>medium</t>
        </is>
      </c>
      <c r="D21" s="3" t="inlineStr">
        <is>
          <t>2026-04-11</t>
        </is>
      </c>
    </row>
    <row r="22">
      <c r="A22" s="3" t="inlineStr">
        <is>
          <t>slate_holding_2026_2028</t>
        </is>
      </c>
      <c r="B22" s="3" t="inlineStr">
        <is>
          <t>slate.yaml | Производственный план ТрендСтудио на 2026-2028</t>
        </is>
      </c>
      <c r="C22" s="3" t="inlineStr">
        <is>
          <t>high</t>
        </is>
      </c>
      <c r="D22" s="3" t="inlineStr">
        <is>
          <t>2026-04-11</t>
        </is>
      </c>
    </row>
    <row r="23">
      <c r="A23" s="3" t="inlineStr">
        <is>
          <t>strategy_holding_2026_2028</t>
        </is>
      </c>
      <c r="B23" s="3" t="inlineStr">
        <is>
          <t>scenarios.yaml | Стратегия развития холдинга ТрендСтудио 2026-2028</t>
        </is>
      </c>
      <c r="C23" s="3" t="inlineStr">
        <is>
          <t>high</t>
        </is>
      </c>
      <c r="D23" s="3" t="inlineStr">
        <is>
          <t>2026-04-11</t>
        </is>
      </c>
    </row>
    <row r="24">
      <c r="A24" s="3" t="inlineStr">
        <is>
          <t>stress_matrix_v1_3_6</t>
        </is>
      </c>
      <c r="B24" s="3" t="inlineStr">
        <is>
          <t>stress_matrix.yaml | Combined Stress-Test Matrix (v1.3.4 — historical calibration)</t>
        </is>
      </c>
      <c r="C24" s="3" t="inlineStr">
        <is>
          <t>high</t>
        </is>
      </c>
      <c r="D24" s="3" t="inlineStr">
        <is>
          <t>2026-04-11</t>
        </is>
      </c>
    </row>
    <row r="25">
      <c r="A25" s="3" t="inlineStr">
        <is>
          <t>valuation_assumptions_2026</t>
        </is>
      </c>
      <c r="B25" s="3" t="inlineStr">
        <is>
          <t>valuation.yaml</t>
        </is>
      </c>
      <c r="C25" s="3" t="inlineStr">
        <is>
          <t>medium</t>
        </is>
      </c>
      <c r="D25" s="3" t="inlineStr">
        <is>
          <t>2026-04-11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</cols>
  <sheetData>
    <row r="1">
      <c r="A1" s="1" t="inlineStr">
        <is>
          <t>Hash Manifest — воспроизводимость</t>
        </is>
      </c>
    </row>
    <row r="3">
      <c r="A3" s="3" t="inlineStr">
        <is>
          <t>generated_at</t>
        </is>
      </c>
      <c r="B3" s="3" t="inlineStr">
        <is>
          <t>2026-04-11T16:17:34.361053Z</t>
        </is>
      </c>
    </row>
    <row r="4">
      <c r="A4" s="3" t="inlineStr">
        <is>
          <t>python_version</t>
        </is>
      </c>
      <c r="B4" s="3" t="inlineStr">
        <is>
          <t>3.10.12</t>
        </is>
      </c>
    </row>
    <row r="5">
      <c r="A5" s="3" t="inlineStr">
        <is>
          <t>combined_hash</t>
        </is>
      </c>
      <c r="B5" s="3" t="inlineStr">
        <is>
          <t>281bd87fd72e5efb8384571b1d3a092ef2a33a4bae1996d6b4dc823fc27aee56</t>
        </is>
      </c>
    </row>
    <row r="7">
      <c r="A7" s="2" t="inlineStr">
        <is>
          <t>── Inputs hashes ──</t>
        </is>
      </c>
    </row>
    <row r="8">
      <c r="A8" s="3" t="inlineStr">
        <is>
          <t>inputs/advertising.yaml</t>
        </is>
      </c>
      <c r="B8" s="3" t="inlineStr">
        <is>
          <t>d346f769a4abdf58...</t>
        </is>
      </c>
    </row>
    <row r="9">
      <c r="A9" s="3" t="inlineStr">
        <is>
          <t>inputs/capex.yaml</t>
        </is>
      </c>
      <c r="B9" s="3" t="inlineStr">
        <is>
          <t>77da778d1af88d43...</t>
        </is>
      </c>
    </row>
    <row r="10">
      <c r="A10" s="3" t="inlineStr">
        <is>
          <t>inputs/cinema.yaml</t>
        </is>
      </c>
      <c r="B10" s="3" t="inlineStr">
        <is>
          <t>95ff3913db27c69e...</t>
        </is>
      </c>
    </row>
    <row r="11">
      <c r="A11" s="3" t="inlineStr">
        <is>
          <t>inputs/eais_sources.yaml</t>
        </is>
      </c>
      <c r="B11" s="3" t="inlineStr">
        <is>
          <t>77946e95c2a5cc3c...</t>
        </is>
      </c>
    </row>
    <row r="12">
      <c r="A12" s="3" t="inlineStr">
        <is>
          <t>inputs/education.yaml</t>
        </is>
      </c>
      <c r="B12" s="3" t="inlineStr">
        <is>
          <t>18965283e7a81b84...</t>
        </is>
      </c>
    </row>
    <row r="13">
      <c r="A13" s="3" t="inlineStr">
        <is>
          <t>inputs/festivals.yaml</t>
        </is>
      </c>
      <c r="B13" s="3" t="inlineStr">
        <is>
          <t>60d24e5a4f9015ee...</t>
        </is>
      </c>
    </row>
    <row r="14">
      <c r="A14" s="3" t="inlineStr">
        <is>
          <t>inputs/fx_pass_through.yaml</t>
        </is>
      </c>
      <c r="B14" s="3" t="inlineStr">
        <is>
          <t>edb4aa17640df354...</t>
        </is>
      </c>
    </row>
    <row r="15">
      <c r="A15" s="3" t="inlineStr">
        <is>
          <t>inputs/hedge.yaml</t>
        </is>
      </c>
      <c r="B15" s="3" t="inlineStr">
        <is>
          <t>7f9950bc04f7fd26...</t>
        </is>
      </c>
    </row>
    <row r="16">
      <c r="A16" s="3" t="inlineStr">
        <is>
          <t>inputs/investment.yaml</t>
        </is>
      </c>
      <c r="B16" s="3" t="inlineStr">
        <is>
          <t>4162927e1c78d2a2...</t>
        </is>
      </c>
    </row>
    <row r="17">
      <c r="A17" s="3" t="inlineStr">
        <is>
          <t>inputs/license_library.yaml</t>
        </is>
      </c>
      <c r="B17" s="3" t="inlineStr">
        <is>
          <t>4824892d1bdacfc5...</t>
        </is>
      </c>
    </row>
    <row r="18">
      <c r="A18" s="3" t="inlineStr">
        <is>
          <t>inputs/macro.yaml</t>
        </is>
      </c>
      <c r="B18" s="3" t="inlineStr">
        <is>
          <t>2f5748537d3512c0...</t>
        </is>
      </c>
    </row>
    <row r="19">
      <c r="A19" s="3" t="inlineStr">
        <is>
          <t>inputs/nwc.yaml</t>
        </is>
      </c>
      <c r="B19" s="3" t="inlineStr">
        <is>
          <t>54965505652f3254...</t>
        </is>
      </c>
    </row>
    <row r="20">
      <c r="A20" s="3" t="inlineStr">
        <is>
          <t>inputs/opex.yaml</t>
        </is>
      </c>
      <c r="B20" s="3" t="inlineStr">
        <is>
          <t>ad01d22bdea9140c...</t>
        </is>
      </c>
    </row>
    <row r="21">
      <c r="A21" s="3" t="inlineStr">
        <is>
          <t>inputs/pa_costs.yaml</t>
        </is>
      </c>
      <c r="B21" s="3" t="inlineStr">
        <is>
          <t>ba3e900fb9179fa9...</t>
        </is>
      </c>
    </row>
    <row r="22">
      <c r="A22" s="3" t="inlineStr">
        <is>
          <t>inputs/scenarios.yaml</t>
        </is>
      </c>
      <c r="B22" s="3" t="inlineStr">
        <is>
          <t>36ddb527075f1f97...</t>
        </is>
      </c>
    </row>
    <row r="23">
      <c r="A23" s="3" t="inlineStr">
        <is>
          <t>inputs/slate.yaml</t>
        </is>
      </c>
      <c r="B23" s="3" t="inlineStr">
        <is>
          <t>3599830d69b5c864...</t>
        </is>
      </c>
    </row>
    <row r="24">
      <c r="A24" s="3" t="inlineStr">
        <is>
          <t>inputs/stress_matrix.yaml</t>
        </is>
      </c>
      <c r="B24" s="3" t="inlineStr">
        <is>
          <t>848aa280f4775ac9...</t>
        </is>
      </c>
    </row>
    <row r="25">
      <c r="A25" s="3" t="inlineStr">
        <is>
          <t>inputs/valuation.yaml</t>
        </is>
      </c>
      <c r="B25" s="3" t="inlineStr">
        <is>
          <t>de36188744616103...</t>
        </is>
      </c>
    </row>
    <row r="27">
      <c r="A27" s="2" t="inlineStr">
        <is>
          <t>── Schemas hashes ──</t>
        </is>
      </c>
    </row>
    <row r="28">
      <c r="A28" s="3" t="inlineStr">
        <is>
          <t>schemas/__init__.py</t>
        </is>
      </c>
      <c r="B28" s="3" t="inlineStr">
        <is>
          <t>e921c6aa0df3aaf8...</t>
        </is>
      </c>
    </row>
    <row r="29">
      <c r="A29" s="3" t="inlineStr">
        <is>
          <t>schemas/base.py</t>
        </is>
      </c>
      <c r="B29" s="3" t="inlineStr">
        <is>
          <t>a5f21e2109ddc65c...</t>
        </is>
      </c>
    </row>
    <row r="30">
      <c r="A30" s="3" t="inlineStr">
        <is>
          <t>schemas/costs.py</t>
        </is>
      </c>
      <c r="B30" s="3" t="inlineStr">
        <is>
          <t>c899bdfde5c73d0e...</t>
        </is>
      </c>
    </row>
    <row r="31">
      <c r="A31" s="3" t="inlineStr">
        <is>
          <t>schemas/eais.py</t>
        </is>
      </c>
      <c r="B31" s="3" t="inlineStr">
        <is>
          <t>f167ad2eef81396c...</t>
        </is>
      </c>
    </row>
    <row r="32">
      <c r="A32" s="3" t="inlineStr">
        <is>
          <t>schemas/fx_pass_through.py</t>
        </is>
      </c>
      <c r="B32" s="3" t="inlineStr">
        <is>
          <t>b3a2c85c3d4b61dc...</t>
        </is>
      </c>
    </row>
    <row r="33">
      <c r="A33" s="3" t="inlineStr">
        <is>
          <t>schemas/hedge.py</t>
        </is>
      </c>
      <c r="B33" s="3" t="inlineStr">
        <is>
          <t>47ee6ba6ff326de9...</t>
        </is>
      </c>
    </row>
    <row r="34">
      <c r="A34" s="3" t="inlineStr">
        <is>
          <t>schemas/inputs.py</t>
        </is>
      </c>
      <c r="B34" s="3" t="inlineStr">
        <is>
          <t>b6d30c1c16007175...</t>
        </is>
      </c>
    </row>
    <row r="35">
      <c r="A35" s="3" t="inlineStr">
        <is>
          <t>schemas/investment.py</t>
        </is>
      </c>
      <c r="B35" s="3" t="inlineStr">
        <is>
          <t>cb676d09de3e4ac8...</t>
        </is>
      </c>
    </row>
    <row r="36">
      <c r="A36" s="3" t="inlineStr">
        <is>
          <t>schemas/macro.py</t>
        </is>
      </c>
      <c r="B36" s="3" t="inlineStr">
        <is>
          <t>a4c2ed79c37c6ba0...</t>
        </is>
      </c>
    </row>
    <row r="37">
      <c r="A37" s="3" t="inlineStr">
        <is>
          <t>schemas/model_output.py</t>
        </is>
      </c>
      <c r="B37" s="3" t="inlineStr">
        <is>
          <t>10d11a695994de6f...</t>
        </is>
      </c>
    </row>
    <row r="38">
      <c r="A38" s="3" t="inlineStr">
        <is>
          <t>schemas/scenarios.py</t>
        </is>
      </c>
      <c r="B38" s="3" t="inlineStr">
        <is>
          <t>c900491165cd910a...</t>
        </is>
      </c>
    </row>
    <row r="39">
      <c r="A39" s="3" t="inlineStr">
        <is>
          <t>schemas/segments.py</t>
        </is>
      </c>
      <c r="B39" s="3" t="inlineStr">
        <is>
          <t>1dec4604f5965c8a...</t>
        </is>
      </c>
    </row>
    <row r="40">
      <c r="A40" s="3" t="inlineStr">
        <is>
          <t>schemas/slate.py</t>
        </is>
      </c>
      <c r="B40" s="3" t="inlineStr">
        <is>
          <t>a174d908ca3a27cd...</t>
        </is>
      </c>
    </row>
    <row r="41">
      <c r="A41" s="3" t="inlineStr">
        <is>
          <t>schemas/stress_matrix.py</t>
        </is>
      </c>
      <c r="B41" s="3" t="inlineStr">
        <is>
          <t>5898c61fc853f784...</t>
        </is>
      </c>
    </row>
    <row r="42">
      <c r="A42" s="3" t="inlineStr">
        <is>
          <t>schemas/valuation.py</t>
        </is>
      </c>
      <c r="B42" s="3" t="inlineStr">
        <is>
          <t>7a5c3c4e1e61da13...</t>
        </is>
      </c>
    </row>
    <row r="44">
      <c r="A44" s="2" t="inlineStr">
        <is>
          <t>── Generators hashes ──</t>
        </is>
      </c>
    </row>
    <row r="45">
      <c r="A45" s="3" t="inlineStr">
        <is>
          <t>generators/__init__.py</t>
        </is>
      </c>
      <c r="B45" s="3" t="inlineStr">
        <is>
          <t>f8c64f20a21899f8...</t>
        </is>
      </c>
    </row>
    <row r="46">
      <c r="A46" s="3" t="inlineStr">
        <is>
          <t>generators/base.py</t>
        </is>
      </c>
      <c r="B46" s="3" t="inlineStr">
        <is>
          <t>e82c80c2076ca664...</t>
        </is>
      </c>
    </row>
    <row r="47">
      <c r="A47" s="3" t="inlineStr">
        <is>
          <t>generators/cashflow.py</t>
        </is>
      </c>
      <c r="B47" s="3" t="inlineStr">
        <is>
          <t>9d1867f59e073775...</t>
        </is>
      </c>
    </row>
    <row r="48">
      <c r="A48" s="3" t="inlineStr">
        <is>
          <t>generators/combined_stress_tests.py</t>
        </is>
      </c>
      <c r="B48" s="3" t="inlineStr">
        <is>
          <t>dde26dd13f0b25f3...</t>
        </is>
      </c>
    </row>
    <row r="49">
      <c r="A49" s="3" t="inlineStr">
        <is>
          <t>generators/core.py</t>
        </is>
      </c>
      <c r="B49" s="3" t="inlineStr">
        <is>
          <t>7aced27256960355...</t>
        </is>
      </c>
    </row>
    <row r="50">
      <c r="A50" s="3" t="inlineStr">
        <is>
          <t>generators/costs_gen.py</t>
        </is>
      </c>
      <c r="B50" s="3" t="inlineStr">
        <is>
          <t>89e577646cd99b05...</t>
        </is>
      </c>
    </row>
    <row r="51">
      <c r="A51" s="3" t="inlineStr">
        <is>
          <t>generators/docx_builder.py</t>
        </is>
      </c>
      <c r="B51" s="3" t="inlineStr">
        <is>
          <t>64943469edf03af8...</t>
        </is>
      </c>
    </row>
    <row r="52">
      <c r="A52" s="3" t="inlineStr">
        <is>
          <t>generators/hash_manifest.py</t>
        </is>
      </c>
      <c r="B52" s="3" t="inlineStr">
        <is>
          <t>92d31d4ef8a410b8...</t>
        </is>
      </c>
    </row>
    <row r="53">
      <c r="A53" s="3" t="inlineStr">
        <is>
          <t>generators/lhs_copula.py</t>
        </is>
      </c>
      <c r="B53" s="3" t="inlineStr">
        <is>
          <t>cdc9696ebcda6b08...</t>
        </is>
      </c>
    </row>
    <row r="54">
      <c r="A54" s="3" t="inlineStr">
        <is>
          <t>generators/market_bootstrap.py</t>
        </is>
      </c>
      <c r="B54" s="3" t="inlineStr">
        <is>
          <t>5eee6f79eb8ee9e7...</t>
        </is>
      </c>
    </row>
    <row r="55">
      <c r="A55" s="3" t="inlineStr">
        <is>
          <t>generators/monte_carlo.py</t>
        </is>
      </c>
      <c r="B55" s="3" t="inlineStr">
        <is>
          <t>e9e3e515954bb07f...</t>
        </is>
      </c>
    </row>
    <row r="56">
      <c r="A56" s="3" t="inlineStr">
        <is>
          <t>generators/perturbation_analysis.py</t>
        </is>
      </c>
      <c r="B56" s="3" t="inlineStr">
        <is>
          <t>334d206ad306d3f9...</t>
        </is>
      </c>
    </row>
    <row r="57">
      <c r="A57" s="3" t="inlineStr">
        <is>
          <t>generators/pnl.py</t>
        </is>
      </c>
      <c r="B57" s="3" t="inlineStr">
        <is>
          <t>d2e62337afa5a35f...</t>
        </is>
      </c>
    </row>
    <row r="58">
      <c r="A58" s="3" t="inlineStr">
        <is>
          <t>generators/provenance.py</t>
        </is>
      </c>
      <c r="B58" s="3" t="inlineStr">
        <is>
          <t>fc5520b6fa4b9456...</t>
        </is>
      </c>
    </row>
    <row r="59">
      <c r="A59" s="3" t="inlineStr">
        <is>
          <t>generators/quarterly_cashflow.py</t>
        </is>
      </c>
      <c r="B59" s="3" t="inlineStr">
        <is>
          <t>9464c103a189e8fb...</t>
        </is>
      </c>
    </row>
    <row r="60">
      <c r="A60" s="3" t="inlineStr">
        <is>
          <t>generators/revenue.py</t>
        </is>
      </c>
      <c r="B60" s="3" t="inlineStr">
        <is>
          <t>7cdeeda6d390a8a4...</t>
        </is>
      </c>
    </row>
    <row r="61">
      <c r="A61" s="3" t="inlineStr">
        <is>
          <t>generators/sensitivity.py</t>
        </is>
      </c>
      <c r="B61" s="3" t="inlineStr">
        <is>
          <t>3306d9cffad7aa0a...</t>
        </is>
      </c>
    </row>
    <row r="62">
      <c r="A62" s="3" t="inlineStr">
        <is>
          <t>generators/sensitivity_hit_rate.py</t>
        </is>
      </c>
      <c r="B62" s="3" t="inlineStr">
        <is>
          <t>6f1403dad19d8e8b...</t>
        </is>
      </c>
    </row>
    <row r="63">
      <c r="A63" s="3" t="inlineStr">
        <is>
          <t>generators/stage_gate.py</t>
        </is>
      </c>
      <c r="B63" s="3" t="inlineStr">
        <is>
          <t>228342853ca3c9ce...</t>
        </is>
      </c>
    </row>
    <row r="64">
      <c r="A64" s="3" t="inlineStr">
        <is>
          <t>generators/stress_tests.py</t>
        </is>
      </c>
      <c r="B64" s="3" t="inlineStr">
        <is>
          <t>568dc511e2b15329...</t>
        </is>
      </c>
    </row>
    <row r="65">
      <c r="A65" s="3" t="inlineStr">
        <is>
          <t>generators/valuation.py</t>
        </is>
      </c>
      <c r="B65" s="3" t="inlineStr">
        <is>
          <t>b15164efebf17bd6...</t>
        </is>
      </c>
    </row>
    <row r="66">
      <c r="A66" s="3" t="inlineStr">
        <is>
          <t>generators/xlsx_builder.py</t>
        </is>
      </c>
      <c r="B66" s="3" t="inlineStr">
        <is>
          <t>c799f455bf86f9de...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2026-04-11T16:17:34Z</dcterms:created>
  <dcterms:modified xmlns:dcterms="http://purl.org/dc/terms/" xmlns:xsi="http://www.w3.org/2001/XMLSchema-instance" xsi:type="dcterms:W3CDTF">2026-04-11T16:17:34Z</dcterms:modified>
</cp:coreProperties>
</file>