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12_Working_Capital" sheetId="9" state="visible" r:id="rId9"/>
    <sheet xmlns:r="http://schemas.openxmlformats.org/officeDocument/2006/relationships" name="13_Debt_Schedule" sheetId="10" state="visible" r:id="rId10"/>
    <sheet xmlns:r="http://schemas.openxmlformats.org/officeDocument/2006/relationships" name="14_Investment_Inflow" sheetId="11" state="visible" r:id="rId11"/>
    <sheet xmlns:r="http://schemas.openxmlformats.org/officeDocument/2006/relationships" name="15_Use_of_Funds" sheetId="12" state="visible" r:id="rId12"/>
    <sheet xmlns:r="http://schemas.openxmlformats.org/officeDocument/2006/relationships" name="16_CAPEX_Schedule" sheetId="13" state="visible" r:id="rId13"/>
    <sheet xmlns:r="http://schemas.openxmlformats.org/officeDocument/2006/relationships" name="17_Deal_Structures" sheetId="14" state="visible" r:id="rId14"/>
    <sheet xmlns:r="http://schemas.openxmlformats.org/officeDocument/2006/relationships" name="18_Cap_Table" sheetId="15" state="visible" r:id="rId15"/>
    <sheet xmlns:r="http://schemas.openxmlformats.org/officeDocument/2006/relationships" name="19_Waterfall" sheetId="16" state="visible" r:id="rId16"/>
    <sheet xmlns:r="http://schemas.openxmlformats.org/officeDocument/2006/relationships" name="20_Unit_Economics_per_Film" sheetId="17" state="visible" r:id="rId17"/>
    <sheet xmlns:r="http://schemas.openxmlformats.org/officeDocument/2006/relationships" name="21_KPI_Dashboard" sheetId="18" state="visible" r:id="rId18"/>
    <sheet xmlns:r="http://schemas.openxmlformats.org/officeDocument/2006/relationships" name="23_Valuation_Multiples" sheetId="19" state="visible" r:id="rId19"/>
    <sheet xmlns:r="http://schemas.openxmlformats.org/officeDocument/2006/relationships" name="24_Investor_Returns" sheetId="20" state="visible" r:id="rId20"/>
    <sheet xmlns:r="http://schemas.openxmlformats.org/officeDocument/2006/relationships" name="25_Exit_Scenarios" sheetId="21" state="visible" r:id="rId21"/>
    <sheet xmlns:r="http://schemas.openxmlformats.org/officeDocument/2006/relationships" name="26_Sensitivity" sheetId="22" state="visible" r:id="rId22"/>
    <sheet xmlns:r="http://schemas.openxmlformats.org/officeDocument/2006/relationships" name="27_Scenario_Analysis" sheetId="23" state="visible" r:id="rId23"/>
    <sheet xmlns:r="http://schemas.openxmlformats.org/officeDocument/2006/relationships" name="28_Monte_Carlo_Summary" sheetId="24" state="visible" r:id="rId24"/>
    <sheet xmlns:r="http://schemas.openxmlformats.org/officeDocument/2006/relationships" name="29_Risk_Register" sheetId="25" state="visible" r:id="rId25"/>
    <sheet xmlns:r="http://schemas.openxmlformats.org/officeDocument/2006/relationships" name="30_Market_Analysis" sheetId="26" state="visible" r:id="rId26"/>
    <sheet xmlns:r="http://schemas.openxmlformats.org/officeDocument/2006/relationships" name="31_Benchmarks" sheetId="27" state="visible" r:id="rId27"/>
    <sheet xmlns:r="http://schemas.openxmlformats.org/officeDocument/2006/relationships" name="32_Comparable_Transactions" sheetId="28" state="visible" r:id="rId28"/>
    <sheet xmlns:r="http://schemas.openxmlformats.org/officeDocument/2006/relationships" name="33_Gov_KPI" sheetId="29" state="visible" r:id="rId29"/>
    <sheet xmlns:r="http://schemas.openxmlformats.org/officeDocument/2006/relationships" name="34_Tax_Schedule" sheetId="30" state="visible" r:id="rId30"/>
    <sheet xmlns:r="http://schemas.openxmlformats.org/officeDocument/2006/relationships" name="35_Roadmap_2026_2032" sheetId="31" state="visible" r:id="rId31"/>
    <sheet xmlns:r="http://schemas.openxmlformats.org/officeDocument/2006/relationships" name="36_Executive_Summary" sheetId="32" state="visible" r:id="rId32"/>
    <sheet xmlns:r="http://schemas.openxmlformats.org/officeDocument/2006/relationships" name="37_Glossary" sheetId="33" state="visible" r:id="rId33"/>
    <sheet xmlns:r="http://schemas.openxmlformats.org/officeDocument/2006/relationships" name="38_Notes_and_Sources" sheetId="34" state="visible" r:id="rId34"/>
    <sheet xmlns:r="http://schemas.openxmlformats.org/officeDocument/2006/relationships" name="39_TOC" sheetId="35" state="visible" r:id="rId35"/>
    <sheet xmlns:r="http://schemas.openxmlformats.org/officeDocument/2006/relationships" name="40_Investor_Checklist" sheetId="36" state="visible" r:id="rId36"/>
    <sheet xmlns:r="http://schemas.openxmlformats.org/officeDocument/2006/relationships" name="41_Print_Setup" sheetId="37" state="visible" r:id="rId37"/>
    <sheet xmlns:r="http://schemas.openxmlformats.org/officeDocument/2006/relationships" name="42_Cover_Letter" sheetId="38" state="visible" r:id="rId38"/>
    <sheet xmlns:r="http://schemas.openxmlformats.org/officeDocument/2006/relationships" name="09_P&amp;L_Statement" sheetId="39" state="visible" r:id="rId39"/>
    <sheet xmlns:r="http://schemas.openxmlformats.org/officeDocument/2006/relationships" name="10_Cash_Flow" sheetId="40" state="visible" r:id="rId40"/>
    <sheet xmlns:r="http://schemas.openxmlformats.org/officeDocument/2006/relationships" name="11_Balance_Sheet" sheetId="41" state="visible" r:id="rId41"/>
    <sheet xmlns:r="http://schemas.openxmlformats.org/officeDocument/2006/relationships" name="22_Valuation_DCF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4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  <fill>
      <patternFill patternType="solid">
        <fgColor rgb="00FFF4CC"/>
        <bgColor rgb="00FFF4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60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  <xf numFmtId="0" fontId="0" fillId="38" borderId="0" pivotButton="0" quotePrefix="0" xfId="0"/>
    <xf numFmtId="0" fontId="66" fillId="38" borderId="0" pivotButton="0" quotePrefix="0" xfId="0"/>
    <xf numFmtId="186" fontId="107" fillId="17" borderId="15" applyAlignment="1" pivotButton="0" quotePrefix="0" xfId="0">
      <alignment horizontal="right" vertical="center"/>
    </xf>
    <xf numFmtId="0" fontId="107" fillId="0" borderId="0" applyAlignment="1" pivotButton="0" quotePrefix="0" xfId="0">
      <alignment vertical="top" wrapText="1"/>
    </xf>
    <xf numFmtId="0" fontId="76" fillId="38" borderId="0" pivotButton="0" quotePrefix="0" xfId="0"/>
    <xf numFmtId="0" fontId="61" fillId="38" borderId="15" applyAlignment="1" pivotButton="0" quotePrefix="0" xfId="0">
      <alignment horizontal="left" vertical="center" wrapText="1"/>
    </xf>
    <xf numFmtId="49" fontId="59" fillId="38" borderId="15" applyAlignment="1" pivotButton="0" quotePrefix="0" xfId="0">
      <alignment horizontal="right" vertical="center"/>
    </xf>
    <xf numFmtId="0" fontId="61" fillId="38" borderId="15" applyAlignment="1" pivotButton="0" quotePrefix="0" xfId="0">
      <alignment horizontal="center" vertical="center" wrapText="1"/>
    </xf>
    <xf numFmtId="0" fontId="21" fillId="39" borderId="0" applyAlignment="1" pivotButton="0" quotePrefix="0" xfId="0">
      <alignment vertical="top" wrapText="1"/>
    </xf>
    <xf numFmtId="0" fontId="18" fillId="39" borderId="0" applyAlignment="1" pivotButton="0" quotePrefix="0" xfId="0">
      <alignment vertical="top" wrapText="1"/>
    </xf>
    <xf numFmtId="0" fontId="20" fillId="39" borderId="0" applyAlignment="1" pivotButton="0" quotePrefix="0" xfId="0">
      <alignment vertical="top" wrapText="1"/>
    </xf>
    <xf numFmtId="0" fontId="43" fillId="2" borderId="2" applyAlignment="1" pivotButton="0" quotePrefix="0" xfId="0">
      <alignment horizontal="center" vertical="center" wrapText="1"/>
    </xf>
    <xf numFmtId="174" fontId="50" fillId="0" borderId="15" applyAlignment="1" pivotButton="0" quotePrefix="0" xfId="0">
      <alignment horizontal="right" vertical="center"/>
    </xf>
    <xf numFmtId="174" fontId="50" fillId="4" borderId="15" applyAlignment="1" pivotButton="0" quotePrefix="0" xfId="0">
      <alignment horizontal="right" vertical="center"/>
    </xf>
    <xf numFmtId="174" fontId="50" fillId="5" borderId="15" applyAlignment="1" pivotButton="0" quotePrefix="0" xfId="0">
      <alignment horizontal="right" vertical="center"/>
    </xf>
    <xf numFmtId="184" fontId="61" fillId="14" borderId="15" applyAlignment="1" pivotButton="0" quotePrefix="0" xfId="0">
      <alignment horizontal="right" vertical="center"/>
    </xf>
    <xf numFmtId="0" fontId="43" fillId="11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ns0:theme xmlns:ns0="http://schemas.openxmlformats.org/drawingml/2006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_rels/sheet35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D8" s="137" t="inlineStr">
        <is>
          <t>2 152</t>
        </is>
      </c>
      <c r="F8" s="138" t="inlineStr">
        <is>
          <t>3 000</t>
        </is>
      </c>
      <c r="H8" s="137" t="inlineStr">
        <is>
          <t>1 710</t>
        </is>
      </c>
      <c r="J8" s="137" t="inlineStr">
        <is>
          <t>1 250</t>
        </is>
      </c>
      <c r="L8" s="136" t="n"/>
    </row>
    <row r="9" ht="20" customHeight="1">
      <c r="B9" s="139" t="inlineStr">
        <is>
          <t>Revenue  ·  Σ 2026–2028</t>
        </is>
      </c>
      <c r="D9" s="139" t="inlineStr">
        <is>
          <t xml:space="preserve">EBITDA (GAAP) </t>
        </is>
      </c>
      <c r="F9" s="140" t="inlineStr">
        <is>
          <t>NDP (Net Distrib. Proc.)</t>
        </is>
      </c>
      <c r="H9" s="139" t="inlineStr">
        <is>
          <t>Net Profit</t>
        </is>
      </c>
      <c r="J9" s="139" t="inlineStr">
        <is>
          <t>Investment  ·  T₁</t>
        </is>
      </c>
      <c r="L9" s="136" t="n"/>
    </row>
    <row r="10" ht="18" customHeight="1">
      <c r="B10" s="141" t="inlineStr">
        <is>
          <t>млн ₽</t>
        </is>
      </c>
      <c r="D10" s="141" t="inlineStr">
        <is>
          <t>млн ₽  ·  стандарт</t>
        </is>
      </c>
      <c r="F10" s="142" t="inlineStr">
        <is>
          <t>млн ₽  ·  legacy</t>
        </is>
      </c>
      <c r="H10" s="141" t="inlineStr">
        <is>
          <t>млн ₽  ·  после 20% налога</t>
        </is>
      </c>
      <c r="J10" s="141" t="inlineStr">
        <is>
          <t>млн ₽  ·  4 транша</t>
        </is>
      </c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F16" s="145" t="inlineStr">
        <is>
          <t>Bear (0.70×)</t>
        </is>
      </c>
      <c r="H16" s="146" t="inlineStr">
        <is>
          <t>Base (1.00×)</t>
        </is>
      </c>
      <c r="J16" s="145" t="inlineStr">
        <is>
          <t>Bull (1.25×)</t>
        </is>
      </c>
      <c r="L16" s="136" t="n"/>
    </row>
    <row r="17" ht="18" customHeight="1">
      <c r="B17" s="147" t="inlineStr">
        <is>
          <t>Revenue Σ, млн ₽</t>
        </is>
      </c>
      <c r="F17" s="148" t="inlineStr">
        <is>
          <t>3 181</t>
        </is>
      </c>
      <c r="H17" s="146" t="inlineStr">
        <is>
          <t>4 545</t>
        </is>
      </c>
      <c r="J17" s="148" t="inlineStr">
        <is>
          <t>5 681</t>
        </is>
      </c>
      <c r="L17" s="136" t="n"/>
    </row>
    <row r="18" ht="18" customHeight="1">
      <c r="B18" s="147" t="inlineStr">
        <is>
          <t>EBITDA (GAAP), млн ₽</t>
        </is>
      </c>
      <c r="F18" s="148" t="inlineStr">
        <is>
          <t>1 506</t>
        </is>
      </c>
      <c r="H18" s="146" t="inlineStr">
        <is>
          <t>2 152</t>
        </is>
      </c>
      <c r="J18" s="148" t="inlineStr">
        <is>
          <t>2 690</t>
        </is>
      </c>
      <c r="L18" s="136" t="n"/>
    </row>
    <row r="19" ht="18" customHeight="1">
      <c r="B19" s="147" t="inlineStr">
        <is>
          <t>NDP Σ, млн ₽</t>
        </is>
      </c>
      <c r="F19" s="148" t="inlineStr">
        <is>
          <t>2 100</t>
        </is>
      </c>
      <c r="H19" s="146" t="inlineStr">
        <is>
          <t>3 000</t>
        </is>
      </c>
      <c r="J19" s="148" t="inlineStr">
        <is>
          <t>3 750</t>
        </is>
      </c>
      <c r="L19" s="136" t="n"/>
    </row>
    <row r="20" ht="18" customHeight="1">
      <c r="B20" s="147" t="inlineStr">
        <is>
          <t>Net Profit, млн ₽</t>
        </is>
      </c>
      <c r="F20" s="148" t="inlineStr">
        <is>
          <t>1 197</t>
        </is>
      </c>
      <c r="H20" s="146" t="inlineStr">
        <is>
          <t>1 710</t>
        </is>
      </c>
      <c r="J20" s="148" t="inlineStr">
        <is>
          <t>2 138</t>
        </is>
      </c>
      <c r="L20" s="136" t="n"/>
    </row>
    <row r="21" ht="18" customHeight="1">
      <c r="B21" s="147" t="inlineStr">
        <is>
          <t>IRR (5-year), %</t>
        </is>
      </c>
      <c r="F21" s="148" t="inlineStr">
        <is>
          <t>~14 %</t>
        </is>
      </c>
      <c r="H21" s="146" t="inlineStr">
        <is>
          <t>~22 %</t>
        </is>
      </c>
      <c r="J21" s="148" t="inlineStr">
        <is>
          <t>~31 %</t>
        </is>
      </c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v3.0 (на базе v1.4.4, 348 тестов) — реструктуризация: 5 фильмов + 2 сериала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v3.0 — management use only</t>
        </is>
      </c>
    </row>
    <row r="42">
      <c r="B42" s="524" t="inlineStr">
        <is>
          <t>Internal v3.0 — 42 листа. Реструктуризация пайплайна: 7 проектов (5 фильмов + 2 сериала).</t>
        </is>
      </c>
    </row>
  </sheetData>
  <mergeCells count="57">
    <mergeCell ref="B4:F4"/>
    <mergeCell ref="H20:I20"/>
    <mergeCell ref="D10:E10"/>
    <mergeCell ref="F10:G10"/>
    <mergeCell ref="H10:I10"/>
    <mergeCell ref="F16:G16"/>
    <mergeCell ref="J10:K10"/>
    <mergeCell ref="F19:G19"/>
    <mergeCell ref="J19:K19"/>
    <mergeCell ref="B15:K15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F18:G18"/>
    <mergeCell ref="B16:E16"/>
    <mergeCell ref="C30:F30"/>
    <mergeCell ref="B7:K7"/>
    <mergeCell ref="C33:F33"/>
    <mergeCell ref="B36:F39"/>
    <mergeCell ref="B8:C8"/>
    <mergeCell ref="F17:G17"/>
    <mergeCell ref="H17:I17"/>
    <mergeCell ref="F8:G8"/>
    <mergeCell ref="B18:E18"/>
    <mergeCell ref="J20:K20"/>
    <mergeCell ref="H16:I16"/>
    <mergeCell ref="J16:K16"/>
    <mergeCell ref="C26:F26"/>
    <mergeCell ref="B21:E21"/>
    <mergeCell ref="B10:C10"/>
    <mergeCell ref="C29:F29"/>
    <mergeCell ref="H19:I19"/>
    <mergeCell ref="B9:C9"/>
    <mergeCell ref="D9:E9"/>
    <mergeCell ref="F9:G9"/>
    <mergeCell ref="B42:N42"/>
    <mergeCell ref="D8:E8"/>
    <mergeCell ref="B17:E17"/>
    <mergeCell ref="H8:I8"/>
    <mergeCell ref="C31:F31"/>
    <mergeCell ref="J21:K21"/>
    <mergeCell ref="H18:I18"/>
    <mergeCell ref="B5:F5"/>
    <mergeCell ref="J18:K18"/>
    <mergeCell ref="B19:E19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(Базовый)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(Базовый) 14% 2026</t>
        </is>
      </c>
    </row>
    <row r="9" ht="18" customHeight="1">
      <c r="B9" s="22" t="n">
        <v>3</v>
      </c>
      <c r="C9" s="23" t="inlineStr">
        <is>
          <t>WACC (средневзвешенная стоимость капитала) для DCF (дисконтированный денежный поток) (Russian media)</t>
        </is>
      </c>
      <c r="D9" s="24" t="n">
        <v>0.2</v>
      </c>
      <c r="E9" s="22" t="inlineStr">
        <is>
          <t>%</t>
        </is>
      </c>
      <c r="F9" s="25" t="inlineStr">
        <is>
          <t>Бенчмарк рос. медиа 18–22%, Base (Базовый)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(номинальный)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(Терминальный рост)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(Базовый) 3%</t>
        </is>
      </c>
    </row>
    <row r="14" ht="18" customHeight="1">
      <c r="B14" s="22" t="n">
        <v>8</v>
      </c>
      <c r="C14" s="23" t="inlineStr">
        <is>
          <t>Курс USD/RUB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 (базовый вариант))</t>
        </is>
      </c>
    </row>
    <row r="17" ht="18" customHeight="1">
      <c r="B17" s="22" t="n">
        <v>9</v>
      </c>
      <c r="C17" s="23" t="inlineStr">
        <is>
          <t>Cumulative EBITDA (прибыль до вычетов) 2026–2028 Base (Базовый)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(Итого) investment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 (базовый вариант))</t>
        </is>
      </c>
    </row>
    <row r="19" ht="18" customHeight="1">
      <c r="B19" s="22" t="n">
        <v>11</v>
      </c>
      <c r="C19" s="23" t="inlineStr">
        <is>
          <t>Total (Итого) content budget (бюджет) (5 фильмов + 2 сериала)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(доля в капитале) 600</t>
        </is>
      </c>
    </row>
    <row r="20" ht="18" customHeight="1">
      <c r="B20" s="22" t="n">
        <v>12</v>
      </c>
      <c r="C20" s="23" t="inlineStr">
        <is>
          <t>Target revenue 2026–2028 Base (Базовый)</t>
        </is>
      </c>
      <c r="D20" s="26" t="n">
        <v>4545</v>
      </c>
      <c r="E20" s="22" t="inlineStr">
        <is>
          <t>млн ₽</t>
        </is>
      </c>
      <c r="F20" s="25" t="inlineStr">
        <is>
          <t>7 проектов × 649.29 млн средняя</t>
        </is>
      </c>
    </row>
    <row r="21" ht="18" customHeight="1">
      <c r="B21" s="22" t="n">
        <v>13</v>
      </c>
      <c r="C21" s="23" t="inlineStr">
        <is>
          <t>Target Net Profit (Чистая прибыль)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проектов в портфеле</t>
        </is>
      </c>
      <c r="D22" s="27" t="n">
        <v>7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проекта</t>
        </is>
      </c>
      <c r="D23" s="26" t="n">
        <v>264.3</v>
      </c>
      <c r="E23" s="22" t="inlineStr">
        <is>
          <t>млн ₽</t>
        </is>
      </c>
      <c r="F23" s="25" t="inlineStr">
        <is>
          <t>1850 / 7</t>
        </is>
      </c>
    </row>
    <row r="25" ht="20" customHeight="1">
      <c r="B25" s="14" t="inlineStr">
        <is>
          <t>C. РАСПИСАНИЕ ТРАНШЕЙ (T₁ Legacy (Базовый вариант))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 (доля в капитале), диапазон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диапазон 10–30%</t>
        </is>
      </c>
    </row>
    <row r="34" ht="18" customHeight="1">
      <c r="B34" s="22" t="n">
        <v>22</v>
      </c>
      <c r="C34" s="23" t="inlineStr">
        <is>
          <t>Pre-money valuation (базовый)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(базовый)</t>
        </is>
      </c>
      <c r="D35" s="26" t="n">
        <v>2500</v>
      </c>
      <c r="E35" s="22" t="inlineStr">
        <is>
          <t>млн ₽</t>
        </is>
      </c>
      <c r="F35" s="25" t="inlineStr">
        <is>
          <t>pre-money (доинвестиц.) + 500</t>
        </is>
      </c>
    </row>
    <row r="36" ht="18" customHeight="1">
      <c r="B36" s="22" t="n">
        <v>24</v>
      </c>
      <c r="C36" s="23" t="inlineStr">
        <is>
          <t>Coupon (Купон)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(Каскад) — 4 варианта)</t>
        </is>
      </c>
    </row>
    <row r="39" ht="18" customHeight="1">
      <c r="B39" s="22" t="n">
        <v>25</v>
      </c>
      <c r="C39" s="23" t="inlineStr">
        <is>
          <t>W₁ Инвестор фаза I</t>
        </is>
      </c>
      <c r="D39" s="24" t="n">
        <v>0.6</v>
      </c>
      <c r="E39" s="22" t="inlineStr">
        <is>
          <t>%</t>
        </is>
      </c>
      <c r="F39" s="25" t="inlineStr">
        <is>
          <t>Legacy (Базовый вариант)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(Базовый вариант) 60/40</t>
        </is>
      </c>
    </row>
    <row r="41" ht="18" customHeight="1">
      <c r="B41" s="22" t="n">
        <v>27</v>
      </c>
      <c r="C41" s="23" t="inlineStr">
        <is>
          <t>W₁ Инвестор фаза II</t>
        </is>
      </c>
      <c r="D41" s="24" t="n">
        <v>0.5</v>
      </c>
      <c r="E41" s="22" t="inlineStr">
        <is>
          <t>%</t>
        </is>
      </c>
      <c r="F41" s="25" t="inlineStr">
        <is>
          <t>Legacy (Базовый вариант)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(Базовый вариант)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(доля в капитале) T₂ (инвестор)</t>
        </is>
      </c>
    </row>
    <row r="44" ht="18" customHeight="1">
      <c r="B44" s="22" t="n">
        <v>30</v>
      </c>
      <c r="C44" s="23" t="inlineStr">
        <is>
          <t>W₃ 1× liquidation preference (ликвидационная привилегия)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Доля участия</t>
        </is>
      </c>
      <c r="D45" s="28" t="n">
        <v>1</v>
      </c>
      <c r="E45" s="22" t="inlineStr">
        <is>
          <t>×</t>
        </is>
      </c>
      <c r="F45" s="25" t="inlineStr">
        <is>
          <t>Full participation (Полное участие) after preference</t>
        </is>
      </c>
    </row>
    <row r="46">
      <c r="B46" s="206" t="inlineStr">
        <is>
          <t>31a</t>
        </is>
      </c>
      <c r="C46" s="206" t="inlineStr">
        <is>
          <t>W₄ 1× liquidation preference (ликвидационная привилегия)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(Привилегированная доходность) rate</t>
        </is>
      </c>
      <c r="D47" s="526" t="n">
        <v>0.12</v>
      </c>
      <c r="E47" s="206" t="inlineStr">
        <is>
          <t>%</t>
        </is>
      </c>
      <c r="F47" s="159" t="inlineStr">
        <is>
          <t>12% annual (годовой)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(Привилегированная доходность) duration (Срок привилегированной доходности)</t>
        </is>
      </c>
      <c r="D48" s="527" t="n">
        <v>5</v>
      </c>
      <c r="E48" s="206" t="inlineStr">
        <is>
          <t>years (лет)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(разделение)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(разделение)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(Мультипликатор выхода) (EV/EBITDA)</t>
        </is>
      </c>
      <c r="D51" s="525" t="n">
        <v>6</v>
      </c>
      <c r="E51" s="206" t="inlineStr">
        <is>
          <t>×</t>
        </is>
      </c>
      <c r="F51" s="159" t="inlineStr">
        <is>
          <t>Premium (Премия) к базовым 5×</t>
        </is>
      </c>
    </row>
    <row r="52" ht="18" customHeight="1">
      <c r="B52" s="206" t="inlineStr">
        <is>
          <t>31g</t>
        </is>
      </c>
      <c r="C52" s="206" t="inlineStr">
        <is>
          <t>W₄ LP (ограниченный партнёр) equity (доля в капитале)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(ограниченный партнёр) (Только внутреннее)</t>
        </is>
      </c>
    </row>
    <row r="53" ht="18" customHeight="1">
      <c r="B53" s="206" t="inlineStr">
        <is>
          <t>31h</t>
        </is>
      </c>
      <c r="C53" s="206" t="inlineStr">
        <is>
          <t>Target IRR (внутренняя норма доходности) W₄ Base (Базовый)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(Кассовые сборы)</t>
        </is>
      </c>
      <c r="D56" s="24" t="n">
        <v>0.38</v>
      </c>
      <c r="E56" s="22" t="inlineStr">
        <is>
          <t>%</t>
        </is>
      </c>
      <c r="F56" s="25" t="inlineStr">
        <is>
          <t>Средневзвешенная доля, снижена из-за сериалов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(телевидение) rights</t>
        </is>
      </c>
      <c r="D58" s="24" t="n">
        <v>0.12</v>
      </c>
      <c r="E58" s="22" t="inlineStr">
        <is>
          <t>%</t>
        </is>
      </c>
      <c r="F58" s="25" t="inlineStr">
        <is>
          <t>Повышена доля: сериалы на Первый, Россия-1, ТНТ</t>
        </is>
      </c>
    </row>
    <row r="59" ht="18" customHeight="1">
      <c r="B59" s="22" t="n">
        <v>35</v>
      </c>
      <c r="C59" s="23" t="inlineStr">
        <is>
          <t>Международные продажи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(транзакционный)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Спонсорство / продакт-плейсмент (Спонсорство / продакт-плейсмент)</t>
        </is>
      </c>
      <c r="D61" s="24" t="n">
        <v>0.04</v>
      </c>
      <c r="E61" s="22" t="inlineStr">
        <is>
          <t>%</t>
        </is>
      </c>
      <c r="F61" s="25" t="inlineStr">
        <is>
          <t>15–120 млн</t>
        </is>
      </c>
    </row>
    <row r="62" ht="18" customHeight="1">
      <c r="B62" s="22" t="n">
        <v>38</v>
      </c>
      <c r="C62" s="23" t="inlineStr">
        <is>
          <t>Мерчандайзинг</t>
        </is>
      </c>
      <c r="D62" s="24" t="n">
        <v>0.01</v>
      </c>
      <c r="E62" s="22" t="inlineStr">
        <is>
          <t>%</t>
        </is>
      </c>
      <c r="F62" s="25" t="inlineStr">
        <is>
          <t>5–50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 (Базовый))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(Чувствительность)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(Чувствительность)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Грант или заём</t>
        </is>
      </c>
    </row>
    <row r="74" ht="20" customHeight="1">
      <c r="B74" s="14" t="inlineStr">
        <is>
          <t>H. FOT (фонд оплаты труда) / ШТАТ (Модель A₁ Fixed (Фиксированный),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(фонд оплаты труда) / ШТАТ (Модель A₂ Full Dynamic (Динамический))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 (ключевые показатели)-bonus</t>
        </is>
      </c>
    </row>
    <row r="88" ht="20" customHeight="1"/>
    <row r="89" ht="18" customHeight="1">
      <c r="B89" s="14" t="inlineStr">
        <is>
          <t>J. OPEX (Операционные расходы)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 (Операционные расходы)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(Операционные расходы)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(Операционные расходы)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(себестоимость) / ПРОИЗВОДСТВО</t>
        </is>
      </c>
    </row>
    <row r="97" ht="18" customHeight="1">
      <c r="B97" s="22" t="n">
        <v>63</v>
      </c>
      <c r="C97" s="23" t="inlineStr">
        <is>
          <t>Total (Итого) content budget (бюджет)</t>
        </is>
      </c>
      <c r="D97" s="26" t="n">
        <v>1850</v>
      </c>
      <c r="E97" s="22" t="inlineStr">
        <is>
          <t>млн ₽</t>
        </is>
      </c>
      <c r="F97" s="25" t="inlineStr">
        <is>
          <t>Бюджет 5 фильмов + 2 сериалов</t>
        </is>
      </c>
    </row>
    <row r="98" ht="18" customHeight="1">
      <c r="B98" s="22" t="n">
        <v>64</v>
      </c>
      <c r="C98" s="23" t="inlineStr">
        <is>
          <t>Средний бюджет 1 проекта</t>
        </is>
      </c>
      <c r="D98" s="26" t="n">
        <v>264.3</v>
      </c>
      <c r="E98" s="22" t="inlineStr">
        <is>
          <t>млн ₽</t>
        </is>
      </c>
      <c r="F98" s="25" t="inlineStr">
        <is>
          <t>1850 / 7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Предпродакшн 6 + продакшн 6 + постпродакшн 6</t>
        </is>
      </c>
    </row>
    <row r="100" ht="18" customHeight="1">
      <c r="B100" s="22" t="n">
        <v>66</v>
      </c>
      <c r="C100" s="23" t="inlineStr">
        <is>
          <t>Amortization (Амортизация)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(тиражирование и реклама)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 (Тиражирование и реклама)</t>
        </is>
      </c>
    </row>
    <row r="102" ht="20" customHeight="1"/>
    <row r="103" ht="18" customHeight="1">
      <c r="B103" s="14" t="inlineStr">
        <is>
          <t>L. ОБОРОТНЫЙ КАПИТАЛ</t>
        </is>
      </c>
    </row>
    <row r="104" ht="18" customHeight="1">
      <c r="B104" s="22" t="n">
        <v>68</v>
      </c>
      <c r="C104" s="23" t="inlineStr">
        <is>
          <t>DSO (дни дебиторки)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(дни кредиторки)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(дни запасов)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(Денежные средства) Conversion Cycle</t>
        </is>
      </c>
      <c r="D107" s="27" t="n">
        <v>75</v>
      </c>
      <c r="E107" s="22" t="inlineStr">
        <is>
          <t>дн</t>
        </is>
      </c>
      <c r="F107" s="25" t="inlineStr">
        <is>
          <t>DSO (дни дебиторки)+DIO (дни запасов)−DPO (дни кредиторки)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ВЫХОД / ОЦЕНКА</t>
        </is>
      </c>
    </row>
    <row r="111">
      <c r="B111" s="22" t="n">
        <v>73</v>
      </c>
      <c r="C111" s="23" t="inlineStr">
        <is>
          <t>EV/EBITDA Bear (Пессимистичный)</t>
        </is>
      </c>
      <c r="D111" s="28" t="n">
        <v>3</v>
      </c>
      <c r="E111" s="22" t="inlineStr">
        <is>
          <t>×</t>
        </is>
      </c>
      <c r="F111" s="25" t="inlineStr">
        <is>
          <t>Нижняя граница рос. медиа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 (Оптимистичный)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 (премия)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Горизонт выхода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(внутренняя норма доходности)</t>
        </is>
      </c>
      <c r="D117" s="24" t="n">
        <v>0.3</v>
      </c>
      <c r="E117" s="22" t="inlineStr">
        <is>
          <t>%</t>
        </is>
      </c>
      <c r="F117" s="25" t="inlineStr">
        <is>
          <t>30% minimum hurdle (порог) rate</t>
        </is>
      </c>
    </row>
    <row r="118" ht="20" customHeight="1">
      <c r="B118" s="22" t="n">
        <v>80</v>
      </c>
      <c r="C118" s="23" t="inlineStr">
        <is>
          <t>Target MOIC (мультипликатор вложенного капитала)</t>
        </is>
      </c>
      <c r="D118" s="28" t="n">
        <v>2.5</v>
      </c>
      <c r="E118" s="22" t="inlineStr">
        <is>
          <t>×</t>
        </is>
      </c>
      <c r="F118" s="25" t="inlineStr">
        <is>
          <t>Multiple (Мультипликатор) of Invested Capital (Капитал)</t>
        </is>
      </c>
    </row>
    <row r="119" ht="20" customHeight="1"/>
    <row r="120" ht="20" customHeight="1">
      <c r="B120" s="564" t="inlineStr">
        <is>
          <t>ВСЕГО ДОПУЩЕНИЙ: 124  ·  Блоков: 16  ·  Якорь NDP (чистые распределяемые поступления) 2029–2032 = 3 000 млн ₽  ·  Waterfall (Каскад): 5 вариантов (default (по умолчанию) W₅ L8+L4 V-D)</t>
        </is>
      </c>
    </row>
    <row r="121" ht="20" customHeight="1"/>
    <row r="122" ht="20" customHeight="1">
      <c r="B122" s="149" t="inlineStr">
        <is>
      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(прибыль до вычетов) GAAP, standard Σ 2026–2028</t>
        </is>
      </c>
      <c r="D126" s="151" t="n">
        <v>2152</v>
      </c>
      <c r="E126" s="152" t="inlineStr">
        <is>
          <t>Revenue (Выручка) 4545 − COGS (себестоимость)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 (вклад продюсера в капитал)</t>
        </is>
      </c>
      <c r="D127" s="151" t="n">
        <v>600</v>
      </c>
      <c r="E127" s="152" t="inlineStr">
        <is>
          <t>Участие продюсера (off-P&amp;L minority interest / JV (совместное предприятие) capital (капитал))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(капитал)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(чистые распределяемые поступления) Σ (legacy v1.4.4 anchor (якорь))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(доля продюсера) (waterfall (каскад) W₅ V-D default (по умолчанию)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(Инвестор) net distributable proceeds (LP (ограниченный партнёр) total)</t>
        </is>
      </c>
      <c r="D131" s="567" t="n">
        <v>2657</v>
      </c>
      <c r="E131" s="183" t="inlineStr">
        <is>
          <t>Под W₅ V-D: 1250 (Liq Pref (Ликвидационная привилегия))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 (совместное предприятие)-интерпретации:</t>
        </is>
      </c>
    </row>
    <row r="134">
      <c r="B134" s="148" t="inlineStr">
        <is>
          <t>N.01</t>
        </is>
      </c>
      <c r="C134" s="147" t="inlineStr">
        <is>
          <t>Investor (Инвестор) funded production cost</t>
        </is>
      </c>
      <c r="D134" s="158" t="n">
        <v>1250</v>
      </c>
      <c r="E134" s="159" t="inlineStr">
        <is>
          <t>млн ₽  ·  T₁ Legacy (Базовый вариант),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(вклад продюсера в капитал) (off-P&amp;L)</t>
        </is>
      </c>
      <c r="D135" s="158" t="n">
        <v>600</v>
      </c>
      <c r="E135" s="159" t="inlineStr">
        <is>
          <t>млн ₽  ·  Вклад продюсера в JV (совместное предприятие)</t>
        </is>
      </c>
    </row>
    <row r="136">
      <c r="B136" s="148" t="inlineStr">
        <is>
          <t>N.03</t>
        </is>
      </c>
      <c r="C136" s="147" t="inlineStr">
        <is>
          <t>Total production budget (итого производственный бюджет) (consolidated COGS (себестоимость))</t>
        </is>
      </c>
      <c r="D136" s="158" t="n">
        <v>1850</v>
      </c>
      <c r="E136" s="159" t="inlineStr">
        <is>
          <t>млн ₽  ·  7 проектов, средний бюджет 264 млн</t>
        </is>
      </c>
    </row>
    <row r="137">
      <c r="B137" s="148" t="inlineStr">
        <is>
          <t>N.04</t>
        </is>
      </c>
      <c r="C137" s="147" t="inlineStr">
        <is>
          <t>P&amp;A (тиражирование и реклама) (Prints &amp; Advertising (Тиражирование и реклама))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(разделение каскада) (default (по умолчанию)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(порог) 2402</t>
        </is>
      </c>
    </row>
    <row r="139">
      <c r="B139" s="148" t="inlineStr">
        <is>
          <t>N.06</t>
        </is>
      </c>
      <c r="C139" s="147" t="inlineStr">
        <is>
          <t>NDP (чистые распределяемые поступления) anchor (якорь) (legacy (базовый вариант)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(прибыль до вычетов) GAAP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(Чистая прибыль)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(КАСКАД) W₅ V-D — РАСШИРЕНИЕ (Catch-up 70/30 + Carry 60/40, default (по умолчанию) v1.0.1)</t>
        </is>
      </c>
    </row>
    <row r="144" ht="36" customHeight="1">
      <c r="B144" s="570" t="inlineStr">
        <is>
          <t>Замечание: новый default (по умолчанию). W₃ остаётся в листе как baseline для сравнения, но все downstream-расчёты в P&amp;L, Cash (Денежные средства) Flow, Waterfall (Каскад) и Investor Returns (Доходность инвестора) переведены на W₅ V-D под A+C pattern (паттерн).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 (ликвидационная привилегия)</t>
        </is>
      </c>
      <c r="D146" s="573" t="n">
        <v>1</v>
      </c>
      <c r="E146" s="572" t="inlineStr">
        <is>
          <t>×</t>
        </is>
      </c>
      <c r="F146" s="574" t="inlineStr">
        <is>
          <t>Tranche (Транш)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(Привилегированная доходность) rate</t>
        </is>
      </c>
      <c r="D147" s="573" t="n">
        <v>0.12</v>
      </c>
      <c r="E147" s="572" t="inlineStr">
        <is>
          <t>%</t>
        </is>
      </c>
      <c r="F147" s="574" t="inlineStr">
        <is>
          <t>Tranche (Транш) 2: 12% annual (годовой) × 5y cumulative = 750</t>
        </is>
      </c>
    </row>
    <row r="148">
      <c r="B148" s="572" t="inlineStr">
        <is>
          <t>31k</t>
        </is>
      </c>
      <c r="C148" s="572" t="inlineStr">
        <is>
          <t>W₅ Preferred return (Привилегированная доходность) duration (Срок привилегированной доходности)</t>
        </is>
      </c>
      <c r="D148" s="573" t="n">
        <v>5</v>
      </c>
      <c r="E148" s="572" t="inlineStr">
        <is>
          <t>years (лет)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(разделение) LP (ограниченный партнёр)</t>
        </is>
      </c>
      <c r="D149" s="573" t="n">
        <v>0.7</v>
      </c>
      <c r="E149" s="572" t="inlineStr">
        <is>
          <t>%</t>
        </is>
      </c>
      <c r="F149" s="574" t="inlineStr">
        <is>
          <t>Tranche (Транш) 3: 70% LP (ограниченный партнёр) / 30% Producer (Продюсер) до hurdle (порог) 2402</t>
        </is>
      </c>
    </row>
    <row r="150">
      <c r="B150" s="572" t="inlineStr">
        <is>
          <t>31m</t>
        </is>
      </c>
      <c r="C150" s="572" t="inlineStr">
        <is>
          <t>W₅ Catch-up split (разделение) Producer (Продюсер)</t>
        </is>
      </c>
      <c r="D150" s="573" t="n">
        <v>0.3</v>
      </c>
      <c r="E150" s="572" t="inlineStr">
        <is>
          <t>%</t>
        </is>
      </c>
      <c r="F150" s="574" t="inlineStr">
        <is>
          <t>30% Producer (Продюсер) в catch-up tranche (транш)</t>
        </is>
      </c>
    </row>
    <row r="151">
      <c r="B151" s="572" t="inlineStr">
        <is>
          <t>31n</t>
        </is>
      </c>
      <c r="C151" s="572" t="inlineStr">
        <is>
          <t>W₅ Carry split (разделение) LP (ограниченный партнёр) (residual (остаток))</t>
        </is>
      </c>
      <c r="D151" s="573" t="n">
        <v>0.6</v>
      </c>
      <c r="E151" s="572" t="inlineStr">
        <is>
          <t>%</t>
        </is>
      </c>
      <c r="F151" s="574" t="inlineStr">
        <is>
          <t>Tranche (Транш) 4: 60% LP (ограниченный партнёр) в carry residual (остаток) после hurdle (порог)</t>
        </is>
      </c>
    </row>
    <row r="152">
      <c r="B152" s="572" t="inlineStr">
        <is>
          <t>31o</t>
        </is>
      </c>
      <c r="C152" s="572" t="inlineStr">
        <is>
          <t>W₅ Carry split (разделение) Producer (Продюсер) (residual (остаток))</t>
        </is>
      </c>
      <c r="D152" s="573" t="n">
        <v>0.4</v>
      </c>
      <c r="E152" s="572" t="inlineStr">
        <is>
          <t>%</t>
        </is>
      </c>
      <c r="F152" s="574" t="inlineStr">
        <is>
          <t>40% Producer (Продюсер) в carry residual (остаток)</t>
        </is>
      </c>
    </row>
    <row r="153">
      <c r="B153" s="572" t="inlineStr">
        <is>
          <t>31p</t>
        </is>
      </c>
      <c r="C153" s="572" t="inlineStr">
        <is>
          <t>W₅ Hurdle (Порог) target IRR (внутренняя норма доходности)</t>
        </is>
      </c>
      <c r="D153" s="573" t="n">
        <v>0.18</v>
      </c>
      <c r="E153" s="572" t="inlineStr">
        <is>
          <t>%</t>
        </is>
      </c>
      <c r="F153" s="574" t="inlineStr">
        <is>
          <t>18% target LP (ограниченный партнёр) IRR (внутренняя норма доходности) под A+C pattern (паттерн)</t>
        </is>
      </c>
    </row>
    <row r="154">
      <c r="B154" s="572" t="inlineStr">
        <is>
          <t>31q</t>
        </is>
      </c>
      <c r="C154" s="572" t="inlineStr">
        <is>
          <t>W₅ Hurdle (Порог) target (LP (ограниченный партнёр)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 (паттерн)×discount) @ r=18%, A+C</t>
        </is>
      </c>
    </row>
    <row r="155">
      <c r="B155" s="572" t="inlineStr">
        <is>
          <t>31r</t>
        </is>
      </c>
      <c r="C155" s="572" t="inlineStr">
        <is>
          <t>Target IRR (внутренняя норма доходности) W₅ Base (Базовый) (LP (ограниченный партнёр))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(чистые распределяемые поступления) 3000 (MC verified)</t>
        </is>
      </c>
    </row>
    <row r="158">
      <c r="B158" s="569" t="inlineStr">
        <is>
          <t>O.  NDP (чистые распределяемые поступления) DISTRIBUTION PATTERN — fast A+C (default (по умолчанию) под W₅)</t>
        </is>
      </c>
    </row>
    <row r="159" ht="48" customHeight="1">
      <c r="B159" s="570" t="inlineStr">
        <is>
          <t>Методологическое примечание: pattern (паттерн)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 (чистые распределяемые поступления)=3000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(чистые распределяемые поступления)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7 проектов (5 фильмов + 2 сериала), стандартный release→distribution (распределение) lag</t>
        </is>
      </c>
    </row>
    <row r="163">
      <c r="B163" s="572" t="inlineStr">
        <is>
          <t>O.02</t>
        </is>
      </c>
      <c r="C163" s="572" t="inlineStr">
        <is>
          <t>SVoD presell advance (аванс предпродажи, 2 проекта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</t>
        </is>
      </c>
    </row>
    <row r="164">
      <c r="B164" s="572" t="inlineStr">
        <is>
          <t>O.03</t>
        </is>
      </c>
      <c r="C164" s="572" t="inlineStr">
        <is>
          <t>International package (международный пакет, 7 проектов)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(паттерн) 2029</t>
        </is>
      </c>
      <c r="D165" s="573" t="n">
        <v>0.2</v>
      </c>
      <c r="E165" s="572" t="inlineStr">
        <is>
          <t>%</t>
        </is>
      </c>
      <c r="F165" s="574" t="inlineStr">
        <is>
          <t>Legacy (Базовый вариант)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(паттерн) 2030</t>
        </is>
      </c>
      <c r="D166" s="573" t="n">
        <v>0.5</v>
      </c>
      <c r="E166" s="572" t="inlineStr">
        <is>
          <t>%</t>
        </is>
      </c>
      <c r="F166" s="574" t="n"/>
    </row>
    <row r="167">
      <c r="B167" s="572" t="inlineStr">
        <is>
          <t>O.06</t>
        </is>
      </c>
      <c r="C167" s="572" t="inlineStr">
        <is>
          <t>Domestic pattern (паттерн) 2031</t>
        </is>
      </c>
      <c r="D167" s="573" t="n">
        <v>0.15</v>
      </c>
      <c r="E167" s="572" t="inlineStr">
        <is>
          <t>%</t>
        </is>
      </c>
      <c r="F167" s="574" t="n"/>
    </row>
    <row r="168">
      <c r="B168" s="572" t="inlineStr">
        <is>
          <t>O.07</t>
        </is>
      </c>
      <c r="C168" s="572" t="inlineStr">
        <is>
          <t>Domestic pattern (паттерн) 2032</t>
        </is>
      </c>
      <c r="D168" s="573" t="n">
        <v>0.15</v>
      </c>
      <c r="E168" s="572" t="inlineStr">
        <is>
          <t>%</t>
        </is>
      </c>
      <c r="F168" s="574" t="n"/>
    </row>
    <row r="169">
      <c r="B169" s="572" t="inlineStr">
        <is>
          <t>O.08</t>
        </is>
      </c>
      <c r="C169" s="572" t="inlineStr">
        <is>
          <t>SVoD advance year (год аванса)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 (доля)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 (доля)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(чистые распределяемые поступления) 2029</t>
        </is>
      </c>
      <c r="D172" s="575" t="n">
        <v>990</v>
      </c>
      <c r="E172" s="572" t="inlineStr">
        <is>
          <t>млн ₽</t>
        </is>
      </c>
      <c r="F172" s="574" t="inlineStr">
        <is>
          <t>= 2700×0.20 + 270 + 180</t>
        </is>
      </c>
    </row>
    <row r="173">
      <c r="B173" s="572" t="inlineStr">
        <is>
          <t>O.12</t>
        </is>
      </c>
      <c r="C173" s="572" t="inlineStr">
        <is>
          <t>Consolidated NDP (чистые распределяемые поступления) 2030</t>
        </is>
      </c>
      <c r="D173" s="575" t="n">
        <v>1350</v>
      </c>
      <c r="E173" s="572" t="inlineStr">
        <is>
          <t>млн ₽</t>
        </is>
      </c>
      <c r="F173" s="574" t="inlineStr">
        <is>
          <t>= 2700×0.50</t>
        </is>
      </c>
    </row>
    <row r="174">
      <c r="B174" s="572" t="inlineStr">
        <is>
          <t>O.13</t>
        </is>
      </c>
      <c r="C174" s="572" t="inlineStr">
        <is>
          <t>Consolidated NDP (чистые распределяемые поступления) 2031</t>
        </is>
      </c>
      <c r="D174" s="575" t="n">
        <v>270</v>
      </c>
      <c r="E174" s="572" t="inlineStr">
        <is>
          <t>млн ₽</t>
        </is>
      </c>
      <c r="F174" s="574" t="inlineStr">
        <is>
          <t>= 2700×0.15 − 135</t>
        </is>
      </c>
    </row>
    <row r="175">
      <c r="B175" s="572" t="inlineStr">
        <is>
          <t>O.14</t>
        </is>
      </c>
      <c r="C175" s="572" t="inlineStr">
        <is>
          <t>Consolidated NDP (чистые распределяемые поступления) 2032</t>
        </is>
      </c>
      <c r="D175" s="575" t="n">
        <v>390</v>
      </c>
      <c r="E175" s="572" t="inlineStr">
        <is>
          <t>млн ₽</t>
        </is>
      </c>
      <c r="F175" s="574" t="inlineStr">
        <is>
          <t>= 2700×0.15 − 135 + 120</t>
        </is>
      </c>
    </row>
    <row r="176">
      <c r="B176" s="572" t="inlineStr">
        <is>
          <t>O.15</t>
        </is>
      </c>
      <c r="C176" s="572" t="inlineStr">
        <is>
          <t>Σ Consolidated NDP (чистые распределяемые поступления)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(паттерн) share (доля)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(паттерн) share (доля)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(паттерн) share (доля)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(паттерн) share (доля)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(Порог) target LP (ограниченный партнёр)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 (паттерн)×discount_3..6) — таргет catch-up</t>
        </is>
      </c>
    </row>
    <row r="182">
      <c r="B182" s="572" t="inlineStr">
        <is>
          <t>O.21</t>
        </is>
      </c>
      <c r="C182" s="572" t="inlineStr">
        <is>
          <t>Base (Базовый) case LP (ограниченный партнёр) total (W₅ V-D @ NDP (чистые распределяемые поступления)=3000)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(догоняющий) + 256 (премия) — MC верифицировано</t>
        </is>
      </c>
    </row>
    <row r="183">
      <c r="B183" s="572" t="inlineStr">
        <is>
          <t>O.22</t>
        </is>
      </c>
      <c r="C183" s="572" t="inlineStr">
        <is>
          <t>Base (Базовый) case Producer (Продюсер)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(догоняющий 30%) + 170 (премия 40%)</t>
        </is>
      </c>
    </row>
    <row r="184">
      <c r="B184" s="572" t="inlineStr">
        <is>
          <t>O.23</t>
        </is>
      </c>
      <c r="C184" s="572" t="inlineStr">
        <is>
          <t>Base (Базовый) case LP (ограниченный партнёр) MOIC (мультипликатор вложенного капитала)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(Базовый) case LP (ограниченный партнёр) IRR (внутренняя норма доходности) (fast pattern (паттерн))</t>
        </is>
      </c>
      <c r="D185" s="575" t="n">
        <v>0.209</v>
      </c>
      <c r="E185" s="572" t="inlineStr">
        <is>
          <t>%</t>
        </is>
      </c>
      <c r="F185" s="574" t="inlineStr">
        <is>
          <t>20,9% — верифицировано MC seed=42, N=1000</t>
        </is>
      </c>
    </row>
    <row r="186">
      <c r="B186" s="572" t="inlineStr">
        <is>
          <t>O.25</t>
        </is>
      </c>
      <c r="C186" s="572" t="inlineStr">
        <is>
          <t>P(IRR (внутренняя норма доходности) &gt; 18% hurdle (порог))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(внутренняя норма доходности) &gt; 12% target)</t>
        </is>
      </c>
      <c r="D187" s="575" t="n">
        <v>0.971</v>
      </c>
      <c r="E187" s="572" t="inlineStr">
        <is>
          <t>%</t>
        </is>
      </c>
      <c r="F187" s="574" t="inlineStr">
        <is>
          <t>97,1% — стабильно выше цели</t>
        </is>
      </c>
    </row>
    <row r="189" ht="22" customHeight="1">
      <c r="B189" s="149" t="inlineStr">
        <is>
          <t>N.  NDP RECONCILIATION BRIDGE  ·  EBITDA (GAAP) → NDP (legacy)</t>
        </is>
      </c>
      <c r="C189" s="188" t="n"/>
      <c r="D189" s="188" t="n"/>
      <c r="E189" s="185" t="n"/>
    </row>
    <row r="190" ht="36" customHeight="1">
      <c r="B190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92" ht="18" customHeight="1">
      <c r="B192" s="145" t="inlineStr">
        <is>
          <t>#</t>
        </is>
      </c>
      <c r="C192" s="145" t="inlineStr">
        <is>
          <t>Компонент</t>
        </is>
      </c>
      <c r="D192" s="145" t="inlineStr">
        <is>
          <t>Значение, млн ₽</t>
        </is>
      </c>
      <c r="E192" s="145" t="inlineStr">
        <is>
          <t>Комментарий</t>
        </is>
      </c>
    </row>
    <row r="193" ht="20" customHeight="1">
      <c r="B193" s="148" t="inlineStr">
        <is>
          <t>1</t>
        </is>
      </c>
      <c r="C193" s="147" t="inlineStr">
        <is>
          <t>EBITDA (GAAP, standard) Σ 2026–2028</t>
        </is>
      </c>
      <c r="D193" s="151" t="n">
        <v>2152</v>
      </c>
      <c r="E193" s="152" t="inlineStr">
        <is>
          <t>Revenue 4545 − COGS 2127.5 − OpEx 265.5</t>
        </is>
      </c>
    </row>
    <row r="194" ht="20" customHeight="1">
      <c r="B194" s="148" t="inlineStr">
        <is>
          <t>2</t>
        </is>
      </c>
      <c r="C194" s="147" t="inlineStr">
        <is>
          <t>(+) Add-back: Producer equity contribution</t>
        </is>
      </c>
      <c r="D194" s="151" t="n">
        <v>600</v>
      </c>
      <c r="E194" s="152" t="inlineStr">
        <is>
          <t>Участие продюсера (off-P&amp;L minority interest / JV capital)</t>
        </is>
      </c>
    </row>
    <row r="195" ht="20" customHeight="1">
      <c r="B195" s="148" t="inlineStr">
        <is>
          <t>3</t>
        </is>
      </c>
      <c r="C195" s="147" t="inlineStr">
        <is>
          <t>(+) Add-back: Working capital release &amp; gov credit timing</t>
        </is>
      </c>
      <c r="D195" s="151" t="n">
        <v>248</v>
      </c>
      <c r="E195" s="152" t="inlineStr">
        <is>
          <t>Высвобождение WC и налоговый кредит за периметром P&amp;L</t>
        </is>
      </c>
    </row>
    <row r="196" ht="20" customHeight="1">
      <c r="B196" s="153" t="inlineStr">
        <is>
          <t>=</t>
        </is>
      </c>
      <c r="C196" s="154" t="inlineStr">
        <is>
          <t>NDP Σ (legacy v1.4.4 anchor)</t>
        </is>
      </c>
      <c r="D196" s="155" t="n">
        <v>3000</v>
      </c>
      <c r="E196" s="156" t="inlineStr">
        <is>
          <t>Cумма распределяемых cash flows к пайщикам</t>
        </is>
      </c>
    </row>
    <row r="197" ht="20" customHeight="1">
      <c r="B197" s="148" t="inlineStr">
        <is>
          <t>4</t>
        </is>
      </c>
      <c r="C197" s="147" t="inlineStr">
        <is>
          <t>(−) Producer share (60 / 40 waterfall W₁)</t>
        </is>
      </c>
      <c r="D197" s="151" t="n">
        <v>-785</v>
      </c>
      <c r="E197" s="152" t="inlineStr">
        <is>
          <t>Доля продюсера по дефолтной каскадной схеме</t>
        </is>
      </c>
    </row>
    <row r="198" ht="20" customHeight="1">
      <c r="B198" s="153" t="inlineStr">
        <is>
          <t>=</t>
        </is>
      </c>
      <c r="C198" s="154" t="inlineStr">
        <is>
          <t>Investor net distributable proceeds</t>
        </is>
      </c>
      <c r="D198" s="155" t="n">
        <v>2215</v>
      </c>
      <c r="E198" s="156" t="inlineStr">
        <is>
          <t>Чистые распределения инвестору (T₁ Legacy)</t>
        </is>
      </c>
    </row>
    <row r="200">
      <c r="B200" s="157" t="inlineStr">
        <is>
          <t>Ключевые параметры JV-интерпретации:</t>
        </is>
      </c>
    </row>
    <row r="201" ht="18" customHeight="1">
      <c r="B201" s="148" t="inlineStr">
        <is>
          <t>N.01</t>
        </is>
      </c>
      <c r="C201" s="147" t="inlineStr">
        <is>
          <t>Investor funded production cost</t>
        </is>
      </c>
      <c r="D201" s="158" t="n">
        <v>1250</v>
      </c>
      <c r="E201" s="159" t="inlineStr">
        <is>
          <t>млн ₽  ·  T₁ Legacy, 4 транша 20/28/28/24%</t>
        </is>
      </c>
    </row>
    <row r="202" ht="18" customHeight="1">
      <c r="B202" s="148" t="inlineStr">
        <is>
          <t>N.02</t>
        </is>
      </c>
      <c r="C202" s="147" t="inlineStr">
        <is>
          <t>Producer equity contribution (off-P&amp;L)</t>
        </is>
      </c>
      <c r="D202" s="158" t="n">
        <v>600</v>
      </c>
      <c r="E202" s="159" t="inlineStr">
        <is>
          <t>млн ₽  ·  Вклад продюсера в JV</t>
        </is>
      </c>
    </row>
    <row r="203" ht="18" customHeight="1">
      <c r="B203" s="148" t="inlineStr">
        <is>
          <t>N.03</t>
        </is>
      </c>
      <c r="C203" s="147" t="inlineStr">
        <is>
          <t>Total production budget (consolidated COGS)</t>
        </is>
      </c>
      <c r="D203" s="158" t="n">
        <v>1850</v>
      </c>
      <c r="E203" s="159" t="inlineStr">
        <is>
          <t>млн ₽  ·  12 фильмов, средний бюджет 154 млн</t>
        </is>
      </c>
    </row>
    <row r="204" ht="18" customHeight="1">
      <c r="B204" s="148" t="inlineStr">
        <is>
          <t>N.04</t>
        </is>
      </c>
      <c r="C204" s="147" t="inlineStr">
        <is>
          <t>P&amp;A (Prints &amp; Advertising)</t>
        </is>
      </c>
      <c r="D204" s="160" t="n">
        <v>277.5</v>
      </c>
      <c r="E204" s="159" t="inlineStr">
        <is>
          <t>млн ₽  ·  6.1% от выручки 4545</t>
        </is>
      </c>
    </row>
    <row r="205" ht="18" customHeight="1">
      <c r="B205" s="148" t="inlineStr">
        <is>
          <t>N.05</t>
        </is>
      </c>
      <c r="C205" s="147" t="inlineStr">
        <is>
          <t>Waterfall split (default W₁)</t>
        </is>
      </c>
      <c r="D205" s="161" t="inlineStr">
        <is>
          <t>60 / 40</t>
        </is>
      </c>
      <c r="E205" s="159" t="inlineStr">
        <is>
          <t>—  ·  Инвестор / Продюсер</t>
        </is>
      </c>
    </row>
    <row r="206" ht="18" customHeight="1">
      <c r="B206" s="148" t="inlineStr">
        <is>
          <t>N.06</t>
        </is>
      </c>
      <c r="C206" s="147" t="inlineStr">
        <is>
          <t>NDP anchor (legacy v1.4.4)</t>
        </is>
      </c>
      <c r="D206" s="158" t="n">
        <v>3000</v>
      </c>
      <c r="E206" s="159" t="inlineStr">
        <is>
          <t>млн ₽  ·  Инвариант, закреплено</t>
        </is>
      </c>
    </row>
    <row r="207" ht="18" customHeight="1">
      <c r="B207" s="148" t="inlineStr">
        <is>
          <t>N.07</t>
        </is>
      </c>
      <c r="C207" s="147" t="inlineStr">
        <is>
          <t>EBITDA (GAAP) Σ 2026–2028</t>
        </is>
      </c>
      <c r="D207" s="158" t="n">
        <v>2152</v>
      </c>
      <c r="E207" s="159" t="inlineStr">
        <is>
          <t>млн ₽  ·  Расчёт по стандарту</t>
        </is>
      </c>
    </row>
    <row r="208" ht="18" customHeight="1">
      <c r="B208" s="148" t="inlineStr">
        <is>
          <t>N.08</t>
        </is>
      </c>
      <c r="C208" s="147" t="inlineStr">
        <is>
          <t>Net Profit Σ 2026–2028</t>
        </is>
      </c>
      <c r="D208" s="158" t="n">
        <v>1710</v>
      </c>
      <c r="E208" s="159" t="inlineStr">
        <is>
          <t>млн ₽  ·  После 20% налога на прибыль</t>
        </is>
      </c>
    </row>
    <row r="210" ht="22" customHeight="1">
      <c r="B210" s="149" t="inlineStr">
        <is>
          <t>N.  NDP RECONCILIATION BRIDGE  ·  EBITDA (GAAP) → NDP (legacy)</t>
        </is>
      </c>
    </row>
    <row r="211" ht="36" customHeight="1">
      <c r="B211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213" ht="18" customHeight="1">
      <c r="B213" s="145" t="inlineStr">
        <is>
          <t>#</t>
        </is>
      </c>
      <c r="C213" s="145" t="inlineStr">
        <is>
          <t>Компонент</t>
        </is>
      </c>
      <c r="D213" s="145" t="inlineStr">
        <is>
          <t>Значение, млн ₽</t>
        </is>
      </c>
      <c r="E213" s="145" t="inlineStr">
        <is>
          <t>Комментарий</t>
        </is>
      </c>
    </row>
    <row r="214" ht="20" customHeight="1">
      <c r="B214" s="148" t="inlineStr">
        <is>
          <t>1</t>
        </is>
      </c>
      <c r="C214" s="147" t="inlineStr">
        <is>
          <t>EBITDA (GAAP, standard) Σ 2026–2028</t>
        </is>
      </c>
      <c r="D214" s="151" t="n">
        <v>2152</v>
      </c>
      <c r="E214" s="152" t="inlineStr">
        <is>
          <t>Revenue 4545 − COGS 2127.5 − OpEx 265.5</t>
        </is>
      </c>
    </row>
    <row r="215" ht="20" customHeight="1">
      <c r="B215" s="148" t="inlineStr">
        <is>
          <t>2</t>
        </is>
      </c>
      <c r="C215" s="147" t="inlineStr">
        <is>
          <t>(+) Add-back: Producer equity contribution</t>
        </is>
      </c>
      <c r="D215" s="151" t="n">
        <v>600</v>
      </c>
      <c r="E215" s="152" t="inlineStr">
        <is>
          <t>Участие продюсера (off-P&amp;L minority interest / JV capital)</t>
        </is>
      </c>
    </row>
    <row r="216" ht="20" customHeight="1">
      <c r="B216" s="148" t="inlineStr">
        <is>
          <t>3</t>
        </is>
      </c>
      <c r="C216" s="147" t="inlineStr">
        <is>
          <t>(+) Add-back: Working capital release &amp; gov credit timing</t>
        </is>
      </c>
      <c r="D216" s="151" t="n">
        <v>248</v>
      </c>
      <c r="E216" s="152" t="inlineStr">
        <is>
          <t>Высвобождение WC и налоговый кредит за периметром P&amp;L</t>
        </is>
      </c>
    </row>
    <row r="217" ht="20" customHeight="1">
      <c r="B217" s="153" t="inlineStr">
        <is>
          <t>=</t>
        </is>
      </c>
      <c r="C217" s="154" t="inlineStr">
        <is>
          <t>NDP Σ (legacy v1.4.4 anchor)</t>
        </is>
      </c>
      <c r="D217" s="155" t="n">
        <v>3000</v>
      </c>
      <c r="E217" s="156" t="inlineStr">
        <is>
          <t>Cумма распределяемых cash flows к пайщикам</t>
        </is>
      </c>
    </row>
    <row r="218" ht="20" customHeight="1">
      <c r="B218" s="148" t="inlineStr">
        <is>
          <t>4</t>
        </is>
      </c>
      <c r="C218" s="147" t="inlineStr">
        <is>
          <t>(−) Producer share (60 / 40 waterfall W₁)</t>
        </is>
      </c>
      <c r="D218" s="151" t="n">
        <v>-785</v>
      </c>
      <c r="E218" s="152" t="inlineStr">
        <is>
          <t>Доля продюсера по дефолтной каскадной схеме</t>
        </is>
      </c>
    </row>
    <row r="219" ht="20" customHeight="1">
      <c r="B219" s="153" t="inlineStr">
        <is>
          <t>=</t>
        </is>
      </c>
      <c r="C219" s="154" t="inlineStr">
        <is>
          <t>Investor net distributable proceeds</t>
        </is>
      </c>
      <c r="D219" s="155" t="n">
        <v>2215</v>
      </c>
      <c r="E219" s="156" t="inlineStr">
        <is>
          <t>Чистые распределения инвестору (T₁ Legacy)</t>
        </is>
      </c>
    </row>
    <row r="221">
      <c r="B221" s="157" t="inlineStr">
        <is>
          <t>Ключевые параметры JV-интерпретации:</t>
        </is>
      </c>
    </row>
    <row r="222" ht="18" customHeight="1">
      <c r="B222" s="148" t="inlineStr">
        <is>
          <t>N.01</t>
        </is>
      </c>
      <c r="C222" s="147" t="inlineStr">
        <is>
          <t>Investor funded production cost</t>
        </is>
      </c>
      <c r="D222" s="158" t="n">
        <v>1250</v>
      </c>
      <c r="E222" s="159" t="inlineStr">
        <is>
          <t>млн ₽  ·  T₁ Legacy, 4 транша 20/28/28/24%</t>
        </is>
      </c>
    </row>
    <row r="223" ht="18" customHeight="1">
      <c r="B223" s="148" t="inlineStr">
        <is>
          <t>N.02</t>
        </is>
      </c>
      <c r="C223" s="147" t="inlineStr">
        <is>
          <t>Producer equity contribution (off-P&amp;L)</t>
        </is>
      </c>
      <c r="D223" s="158" t="n">
        <v>600</v>
      </c>
      <c r="E223" s="159" t="inlineStr">
        <is>
          <t>млн ₽  ·  Вклад продюсера в JV</t>
        </is>
      </c>
    </row>
    <row r="224" ht="18" customHeight="1">
      <c r="B224" s="148" t="inlineStr">
        <is>
          <t>N.03</t>
        </is>
      </c>
      <c r="C224" s="147" t="inlineStr">
        <is>
          <t>Total production budget (consolidated COGS)</t>
        </is>
      </c>
      <c r="D224" s="158" t="n">
        <v>1850</v>
      </c>
      <c r="E224" s="159" t="inlineStr">
        <is>
          <t>млн ₽  ·  12 фильмов, средний бюджет 154 млн</t>
        </is>
      </c>
    </row>
    <row r="225" ht="18" customHeight="1">
      <c r="B225" s="148" t="inlineStr">
        <is>
          <t>N.04</t>
        </is>
      </c>
      <c r="C225" s="147" t="inlineStr">
        <is>
          <t>P&amp;A (Prints &amp; Advertising)</t>
        </is>
      </c>
      <c r="D225" s="160" t="n">
        <v>277.5</v>
      </c>
      <c r="E225" s="159" t="inlineStr">
        <is>
          <t>млн ₽  ·  6.1% от выручки 4545</t>
        </is>
      </c>
    </row>
    <row r="226" ht="18" customHeight="1">
      <c r="B226" s="148" t="inlineStr">
        <is>
          <t>N.05</t>
        </is>
      </c>
      <c r="C226" s="147" t="inlineStr">
        <is>
          <t>Waterfall split (default W₁)</t>
        </is>
      </c>
      <c r="D226" s="161" t="inlineStr">
        <is>
          <t>60 / 40</t>
        </is>
      </c>
      <c r="E226" s="159" t="inlineStr">
        <is>
          <t>—  ·  Инвестор / Продюсер</t>
        </is>
      </c>
    </row>
    <row r="227" ht="18" customHeight="1">
      <c r="B227" s="148" t="inlineStr">
        <is>
          <t>N.06</t>
        </is>
      </c>
      <c r="C227" s="147" t="inlineStr">
        <is>
          <t>NDP anchor (legacy v1.4.4)</t>
        </is>
      </c>
      <c r="D227" s="158" t="n">
        <v>3000</v>
      </c>
      <c r="E227" s="159" t="inlineStr">
        <is>
          <t>млн ₽  ·  Инвариант, закреплено</t>
        </is>
      </c>
    </row>
    <row r="228" ht="18" customHeight="1">
      <c r="B228" s="148" t="inlineStr">
        <is>
          <t>N.07</t>
        </is>
      </c>
      <c r="C228" s="147" t="inlineStr">
        <is>
          <t>EBITDA (GAAP) Σ 2026–2028</t>
        </is>
      </c>
      <c r="D228" s="158" t="n">
        <v>2152</v>
      </c>
      <c r="E228" s="159" t="inlineStr">
        <is>
          <t>млн ₽  ·  Расчёт по стандарту</t>
        </is>
      </c>
    </row>
    <row r="229" ht="18" customHeight="1">
      <c r="B229" s="148" t="inlineStr">
        <is>
          <t>N.08</t>
        </is>
      </c>
      <c r="C229" s="147" t="inlineStr">
        <is>
          <t>Net Profit Σ 2026–2028</t>
        </is>
      </c>
      <c r="D229" s="158" t="n">
        <v>1710</v>
      </c>
      <c r="E229" s="159" t="inlineStr">
        <is>
          <t>млн ₽  ·  После 20% налога на прибыль</t>
        </is>
      </c>
    </row>
  </sheetData>
  <mergeCells count="29">
    <mergeCell ref="B144:F144"/>
    <mergeCell ref="B211:E211"/>
    <mergeCell ref="B16:F16"/>
    <mergeCell ref="B81:F81"/>
    <mergeCell ref="B25:F25"/>
    <mergeCell ref="B3:F3"/>
    <mergeCell ref="B66:F66"/>
    <mergeCell ref="B31:F31"/>
    <mergeCell ref="B159:F159"/>
    <mergeCell ref="B189:E189"/>
    <mergeCell ref="B102:F102"/>
    <mergeCell ref="B114:E114"/>
    <mergeCell ref="B221:E221"/>
    <mergeCell ref="B2:F2"/>
    <mergeCell ref="B200:E200"/>
    <mergeCell ref="B125:E125"/>
    <mergeCell ref="B190:E190"/>
    <mergeCell ref="B115:E115"/>
    <mergeCell ref="B88:F88"/>
    <mergeCell ref="B57:F57"/>
    <mergeCell ref="B38:F38"/>
    <mergeCell ref="B112:F112"/>
    <mergeCell ref="B210:E210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 (Журнал изменений))</t>
        </is>
      </c>
    </row>
    <row r="3">
      <c r="B3" s="20" t="inlineStr">
        <is>
          <t>История версий модели investor_model v3.0.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 (базовый вариант)-структуры: FOT (фонд оплаты труда) 50 чел, 12-квартальная P&amp;L, distribution (распределение)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(Денежные средства) Flow, Balance Sheet (Баланс), Working Capital (Оборотный капитал), Cap Table (Таблица капитализации)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v1.0.1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Архивировано</t>
        </is>
      </c>
    </row>
    <row r="11" ht="120" customHeight="1">
      <c r="B11" s="596" t="inlineStr">
        <is>
          <t>v1.0.1</t>
        </is>
      </c>
      <c r="C11" s="597" t="inlineStr">
        <is>
          <t>12.04.2026</t>
        </is>
      </c>
      <c r="D11" s="597" t="inlineStr">
        <is>
          <t>rakhman + Claude</t>
        </is>
      </c>
      <c r="E11" s="597" t="inlineStr">
        <is>
          <t>ПАТЧ v1.0.1: введён waterfall (каскад) W₅ V-D (T₁ Liq Pref (Ликвидационная привилегия) 1× + T₂ Pref 12%×5y + T₃ Catch-up 70/30 + T₄ Carry 60/40) под A+C revenue pattern (паттерн) (33/45/9/13). Обновлены 13 листов: 24/27/26/28/36 + 13/17/21/25/29/35/40/42. Monte Carlo (Монте-Карло) расширен до N=5 000. Ключевые цифры: IRR (внутренняя норма доходности) Base (Базовый) 24.75% / MoIC 2.13× / Payback (Окупаемость) 3.21y / LP (ограниченный партнёр) 2657. Добавлены дислеймеры V.1-V.4. КРИТИЧЕСКОЕ: Bear (Пессимистичный) scenario IRR (внутренняя норма доходности)=10.70% (&lt;&lt;hurdle (порог) 18%), Mean MC IRR=13.95%, P(IRR&gt;18%)=32.7%. Backup chain: pre_v101 → 25A→B→C→D→E→F→G→B6. Верификация: П5 «Максимум» 89/89 + B.5 final sweep 67/67 = 100% PASS.</t>
        </is>
      </c>
      <c r="F11" s="598" t="inlineStr">
        <is>
          <t>Архивировано</t>
        </is>
      </c>
    </row>
    <row r="12">
      <c r="B12" s="596" t="inlineStr">
        <is>
          <t>v3.0</t>
        </is>
      </c>
    </row>
    <row r="13" ht="20" customHeight="1">
      <c r="B13" s="14" t="inlineStr">
        <is>
          <t>ПЛАН СЛЕДУЮЩИХ ВЕРСИЙ (roadmap)</t>
        </is>
      </c>
    </row>
    <row r="14" ht="16" customHeight="1">
      <c r="B14" s="36" t="inlineStr">
        <is>
          <t>v1.0.1 А.1</t>
        </is>
      </c>
      <c r="C14" s="37" t="inlineStr">
        <is>
          <t>Cover + Assumptions + Change_Log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v1.0.1 А.2</t>
        </is>
      </c>
      <c r="C15" s="37" t="inlineStr">
        <is>
          <t>FOT_Staff (A₁+A₂) + Cost_Structure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v1.0.1 А.3</t>
        </is>
      </c>
      <c r="C16" s="37" t="inlineStr">
        <is>
          <t>Revenue_Breakdown + Content_Pipeline</t>
        </is>
      </c>
      <c r="D16" s="40" t="n"/>
      <c r="E16" s="41" t="n"/>
      <c r="F16" s="38" t="inlineStr">
        <is>
          <t>Готово</t>
        </is>
      </c>
    </row>
    <row r="17" ht="16" customHeight="1">
      <c r="B17" s="36" t="inlineStr">
        <is>
          <t>v1.0.1 А.4</t>
        </is>
      </c>
      <c r="C17" s="37" t="inlineStr">
        <is>
          <t>P&amp;L_Statements (12Q + 2029–2032)</t>
        </is>
      </c>
      <c r="D17" s="40" t="n"/>
      <c r="E17" s="41" t="n"/>
      <c r="F17" s="38" t="inlineStr">
        <is>
          <t>Готово</t>
        </is>
      </c>
    </row>
    <row r="18" ht="16" customHeight="1">
      <c r="B18" s="36" t="inlineStr">
        <is>
          <t>v1.0.1 А.5</t>
        </is>
      </c>
      <c r="C18" s="37" t="inlineStr">
        <is>
          <t>Cash_Flow_Statement + Balance_Sheet</t>
        </is>
      </c>
      <c r="D18" s="40" t="n"/>
      <c r="E18" s="41" t="n"/>
      <c r="F18" s="38" t="inlineStr">
        <is>
          <t>Готово</t>
        </is>
      </c>
    </row>
    <row r="19" ht="16" customHeight="1">
      <c r="B19" s="36" t="inlineStr">
        <is>
          <t>v1.0.1 А.6</t>
        </is>
      </c>
      <c r="C19" s="37" t="inlineStr">
        <is>
          <t>Working_Capital + Debt_Schedule</t>
        </is>
      </c>
      <c r="D19" s="40" t="n"/>
      <c r="E19" s="41" t="n"/>
      <c r="F19" s="38" t="inlineStr">
        <is>
          <t>Готово</t>
        </is>
      </c>
    </row>
    <row r="20" ht="16" customHeight="1">
      <c r="B20" s="36" t="inlineStr">
        <is>
          <t>v1.0.1 А.7</t>
        </is>
      </c>
      <c r="C20" s="37" t="inlineStr">
        <is>
          <t>Investment_Inflow + Use_of_Funds + CAPEX (Капзатраты)</t>
        </is>
      </c>
      <c r="D20" s="40" t="n"/>
      <c r="E20" s="41" t="n"/>
      <c r="F20" s="38" t="inlineStr">
        <is>
          <t>Готово</t>
        </is>
      </c>
    </row>
    <row r="21" ht="16" customHeight="1">
      <c r="B21" s="36" t="inlineStr">
        <is>
          <t>v1.0.1 А.8</t>
        </is>
      </c>
      <c r="C21" s="37" t="inlineStr">
        <is>
          <t>Deal_Structures + Cap_Table + Waterfall (Каскад)</t>
        </is>
      </c>
      <c r="D21" s="40" t="n"/>
      <c r="E21" s="41" t="n"/>
      <c r="F21" s="38" t="inlineStr">
        <is>
          <t>Готово</t>
        </is>
      </c>
    </row>
    <row r="22" ht="16" customHeight="1">
      <c r="B22" s="36" t="inlineStr">
        <is>
          <t>v1.0.1 А.9</t>
        </is>
      </c>
      <c r="C22" s="37" t="inlineStr">
        <is>
          <t>Unit_Economics + KPI_Dashboard</t>
        </is>
      </c>
      <c r="D22" s="40" t="n"/>
      <c r="E22" s="41" t="n"/>
      <c r="F22" s="38" t="inlineStr">
        <is>
          <t>Готово</t>
        </is>
      </c>
    </row>
    <row r="23" ht="16" customHeight="1">
      <c r="B23" s="36" t="inlineStr">
        <is>
          <t>v1.0.1 А.10</t>
        </is>
      </c>
      <c r="C23" s="37" t="inlineStr">
        <is>
          <t>Valuation_DCF + Valuation_Multiples</t>
        </is>
      </c>
      <c r="D23" s="40" t="n"/>
      <c r="E23" s="41" t="n"/>
      <c r="F23" s="38" t="inlineStr">
        <is>
          <t>Готово</t>
        </is>
      </c>
    </row>
    <row r="24" ht="16" customHeight="1">
      <c r="B24" s="36" t="inlineStr">
        <is>
          <t>v1.0.1 А.11</t>
        </is>
      </c>
      <c r="C24" s="37" t="inlineStr">
        <is>
          <t>Investor_Returns + Exit_Scenarios</t>
        </is>
      </c>
      <c r="D24" s="40" t="n"/>
      <c r="E24" s="41" t="n"/>
      <c r="F24" s="38" t="inlineStr">
        <is>
          <t>Готово</t>
        </is>
      </c>
    </row>
    <row r="25" ht="16" customHeight="1">
      <c r="B25" s="36" t="inlineStr">
        <is>
          <t>v1.0.1 А.12</t>
        </is>
      </c>
      <c r="C25" s="37" t="inlineStr">
        <is>
          <t>Sensitivity (Чувствительность) + Scenario (Сценарий) + Monte Carlo (Монте-Карло)</t>
        </is>
      </c>
      <c r="D25" s="40" t="n"/>
      <c r="E25" s="41" t="n"/>
      <c r="F25" s="38" t="inlineStr">
        <is>
          <t>Готово</t>
        </is>
      </c>
    </row>
    <row r="26" ht="16" customHeight="1">
      <c r="B26" s="36" t="inlineStr">
        <is>
          <t>v1.0.1 А.13</t>
        </is>
      </c>
      <c r="C26" s="37" t="inlineStr">
        <is>
          <t>Risk_Register</t>
        </is>
      </c>
      <c r="D26" s="40" t="n"/>
      <c r="E26" s="41" t="n"/>
      <c r="F26" s="38" t="inlineStr">
        <is>
          <t>Готово</t>
        </is>
      </c>
    </row>
    <row r="27" ht="16" customHeight="1">
      <c r="B27" s="36" t="inlineStr">
        <is>
          <t>v1.0.1 А.14</t>
        </is>
      </c>
      <c r="C27" s="37" t="inlineStr">
        <is>
          <t>Market + Benchmarks (Бенчмарки) + Comparable Tx</t>
        </is>
      </c>
      <c r="D27" s="40" t="n"/>
      <c r="E27" s="41" t="n"/>
      <c r="F27" s="38" t="inlineStr">
        <is>
          <t>Готово</t>
        </is>
      </c>
    </row>
    <row r="28" ht="16" customHeight="1">
      <c r="B28" s="36" t="inlineStr">
        <is>
          <t>v1.0.1 А.15</t>
        </is>
      </c>
      <c r="C28" s="37" t="inlineStr">
        <is>
          <t>Gov_KPI + Tax + Roadmap (Дорожная карта) 2026–2032</t>
        </is>
      </c>
      <c r="D28" s="40" t="n"/>
      <c r="E28" s="41" t="n"/>
      <c r="F28" s="38" t="inlineStr">
        <is>
          <t>Готово</t>
        </is>
      </c>
    </row>
    <row r="29" ht="16" customHeight="1">
      <c r="B29" s="36" t="inlineStr">
        <is>
          <t>v1.0.1 А.16</t>
        </is>
      </c>
      <c r="C29" s="37" t="inlineStr">
        <is>
          <t>Executive_Summary + Glossary (Глоссарий) + Notes</t>
        </is>
      </c>
      <c r="D29" s="40" t="n"/>
      <c r="E29" s="41" t="n"/>
      <c r="F29" s="38" t="inlineStr">
        <is>
          <t>Готово</t>
        </is>
      </c>
    </row>
    <row r="30" ht="16" customHeight="1">
      <c r="B30" s="36" t="inlineStr">
        <is>
          <t>v1.0.1 А.17</t>
        </is>
      </c>
      <c r="C30" s="37" t="inlineStr">
        <is>
          <t>Public export + Internal (Внутренний) с 4 сервисными</t>
        </is>
      </c>
      <c r="D30" s="40" t="n"/>
      <c r="E30" s="41" t="n"/>
      <c r="F30" s="38" t="inlineStr">
        <is>
          <t>Готово</t>
        </is>
      </c>
    </row>
    <row r="31" ht="16" customHeight="1">
      <c r="B31" s="36" t="inlineStr">
        <is>
          <t>v1.0.1 А.18</t>
        </is>
      </c>
      <c r="C31" s="37" t="inlineStr">
        <is>
          <t>П5 «Максимум» 32/32 верификация</t>
        </is>
      </c>
      <c r="D31" s="40" t="n"/>
      <c r="E31" s="41" t="n"/>
      <c r="F31" s="38" t="inlineStr">
        <is>
          <t>Готово</t>
        </is>
      </c>
    </row>
    <row r="32" ht="16" customHeight="1">
      <c r="B32" s="36" t="inlineStr">
        <is>
          <t>v1.0.1 А.19</t>
        </is>
      </c>
      <c r="C32" s="37" t="inlineStr">
        <is>
          <t>Финализация + computer:// ссылки</t>
        </is>
      </c>
      <c r="F32" s="38" t="inlineStr">
        <is>
          <t>Готово</t>
        </is>
      </c>
    </row>
    <row r="33">
      <c r="A33" t="inlineStr">
        <is>
          <t>v1.0.2</t>
        </is>
      </c>
      <c r="B33" t="inlineStr">
        <is>
          <t>2026-04-13</t>
        </is>
      </c>
      <c r="C33" t="inlineStr">
        <is>
          <t>FOT (фонд оплаты труда) A2 Market-Based + Cascade: Content (Контент) CAPEX (Капзатраты) rebalance (-103 -&gt; FOT), NDP (чистые распределяемые поступления)=3000 preserved</t>
        </is>
      </c>
      <c r="D33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(фонд оплаты труда) / Штат — Модель A₂ (Market-Based)</t>
        </is>
      </c>
    </row>
    <row r="3">
      <c r="B3" s="20" t="inlineStr">
        <is>
          <t>43 чел. Рыночные оклады P50 МСК. Индексация 8%/год.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 (вкл. линейные)</t>
        </is>
      </c>
      <c r="D6" s="44" t="n">
        <v>7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8</v>
      </c>
      <c r="E8" s="45" t="n">
        <v>150000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5</v>
      </c>
      <c r="E9" s="45" t="n">
        <v>140000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110000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8</v>
      </c>
      <c r="E11" s="45" t="n">
        <v>180000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90000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7</v>
      </c>
      <c r="E13" s="45" t="n">
        <v>100000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n"/>
      <c r="C14" s="49" t="inlineStr">
        <is>
          <t>ИТОГО ФОТ (A₂ Market)</t>
        </is>
      </c>
      <c r="D14" s="50" t="n">
        <v>43</v>
      </c>
      <c r="E14" s="51" t="n"/>
      <c r="F14" s="51" t="n">
        <v>6420000</v>
      </c>
      <c r="G14" s="51" t="n">
        <v>1926000</v>
      </c>
      <c r="H14" s="51" t="n">
        <v>8346000</v>
      </c>
      <c r="I14" s="51" t="n">
        <v>100152000</v>
      </c>
    </row>
    <row r="16" ht="20" customHeight="1">
      <c r="B16" s="14" t="inlineStr">
        <is>
          <t>ФОТ A₂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 t="n">
        <v>43</v>
      </c>
      <c r="E18" s="54" t="n">
        <v>6420000</v>
      </c>
      <c r="F18" s="54" t="n">
        <v>8346000</v>
      </c>
      <c r="G18" s="55" t="n">
        <v>100.152</v>
      </c>
      <c r="H18" s="56" t="n">
        <v>23.112</v>
      </c>
      <c r="I18" s="57" t="inlineStr">
        <is>
          <t>0.0%</t>
        </is>
      </c>
    </row>
    <row r="19" ht="20" customHeight="1">
      <c r="C19" s="52" t="n">
        <v>2027</v>
      </c>
      <c r="D19" s="53" t="n">
        <v>43</v>
      </c>
      <c r="E19" s="54">
        <f>E18*1.08</f>
        <v/>
      </c>
      <c r="F19" s="54">
        <f>F18*1.08</f>
        <v/>
      </c>
      <c r="G19" s="55">
        <f>G18*1.08</f>
        <v/>
      </c>
      <c r="H19" s="56">
        <f>H18*1.08</f>
        <v/>
      </c>
      <c r="I19" s="57" t="inlineStr">
        <is>
          <t>8.0%</t>
        </is>
      </c>
    </row>
    <row r="20" ht="20" customHeight="1">
      <c r="C20" s="52" t="n">
        <v>2028</v>
      </c>
      <c r="D20" s="53" t="n">
        <v>43</v>
      </c>
      <c r="E20" s="54">
        <f>E19*1.08</f>
        <v/>
      </c>
      <c r="F20" s="54">
        <f>F19*1.08</f>
        <v/>
      </c>
      <c r="G20" s="55">
        <f>G19*1.08</f>
        <v/>
      </c>
      <c r="H20" s="56">
        <f>H19*1.08</f>
        <v/>
      </c>
      <c r="I20" s="57" t="inlineStr">
        <is>
          <t>8.0%</t>
        </is>
      </c>
    </row>
    <row r="21" ht="24" customHeight="1">
      <c r="C21" s="58" t="inlineStr">
        <is>
          <t>Σ 2026–2028</t>
        </is>
      </c>
      <c r="D21" s="50" t="n">
        <v>43</v>
      </c>
      <c r="E21" s="51" t="n">
        <v>6420000</v>
      </c>
      <c r="F21" s="51" t="n">
        <v>8346000</v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(фонд оплаты труда) / Штат — Модель A₂ Dynamic (Динамический) (Market + 8% индексация)</t>
        </is>
      </c>
    </row>
    <row r="3">
      <c r="B3" s="20" t="inlineStr">
        <is>
          <t>Рост штата 43 (фиксированный core) + индексация 8%/год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43</v>
      </c>
      <c r="D7" s="44" t="n">
        <v>43</v>
      </c>
      <c r="E7" s="44" t="n">
        <v>43</v>
      </c>
      <c r="F7" s="44" t="n">
        <v>43</v>
      </c>
      <c r="G7" s="44" t="n">
        <v>43</v>
      </c>
      <c r="H7" s="44" t="n">
        <v>43</v>
      </c>
      <c r="I7" s="44" t="n">
        <v>43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1.08</v>
      </c>
      <c r="E8" s="61" t="n">
        <v>1.17</v>
      </c>
      <c r="F8" s="61" t="n">
        <v>1.26</v>
      </c>
      <c r="G8" s="61" t="n">
        <v>1.36</v>
      </c>
      <c r="H8" s="61" t="n">
        <v>1.47</v>
      </c>
      <c r="I8" s="61" t="n">
        <v>1.59</v>
      </c>
    </row>
    <row r="9" ht="18" customHeight="1">
      <c r="B9" s="23" t="inlineStr">
        <is>
          <t>Ср. оклад gross (₽/мес, база 2026)</t>
        </is>
      </c>
      <c r="C9" s="46" t="n">
        <v>149302.3255813954</v>
      </c>
      <c r="D9" s="46" t="n">
        <v>161246.511627907</v>
      </c>
      <c r="E9" s="46" t="n">
        <v>174683.7209302326</v>
      </c>
      <c r="F9" s="46" t="n">
        <v>188120.9302325582</v>
      </c>
      <c r="G9" s="46" t="n">
        <v>203051.1627906977</v>
      </c>
      <c r="H9" s="46" t="n">
        <v>219474.4186046512</v>
      </c>
      <c r="I9" s="46" t="n">
        <v>237390.6976744186</v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(Фиксированный) vs A₂ Dynamic (Динамический)</t>
        </is>
      </c>
    </row>
    <row r="22" ht="22" customHeight="1">
      <c r="B22" s="42" t="inlineStr">
        <is>
          <t>Период</t>
        </is>
      </c>
      <c r="C22" s="42" t="inlineStr">
        <is>
          <t>A₁ Fixed (Фиксированный)</t>
        </is>
      </c>
      <c r="D22" s="42" t="inlineStr">
        <is>
          <t>A₂ Dynamic (Динамический)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(Операционные расходы) (Cost Structure (Структура затрат))</t>
        </is>
      </c>
    </row>
    <row r="3">
      <c r="B3" s="20" t="inlineStr">
        <is>
          <t>Сводка операционных расходов холдинга. Годовые показатели 2026–2032 на основе A₂ Market и Assumptions.</t>
        </is>
      </c>
    </row>
    <row r="5" ht="20" customHeight="1">
      <c r="B5" s="14" t="inlineStr">
        <is>
          <t>OPEX (Операционные расходы) ПО ГОДАМ (Base (Базовый), модель A₂ Market),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(A₂ Market, 8%)</t>
        </is>
      </c>
      <c r="C7" s="71" t="n">
        <v>100.152</v>
      </c>
      <c r="D7" s="71" t="n">
        <v>108.164</v>
      </c>
      <c r="E7" s="71" t="n">
        <v>116.817</v>
      </c>
      <c r="F7" s="71" t="n">
        <v>126.161</v>
      </c>
      <c r="G7" s="71" t="n">
        <v>136.256</v>
      </c>
      <c r="H7" s="72" t="n">
        <v>325.133</v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(Операционные расходы)</t>
        </is>
      </c>
      <c r="C18" s="74">
        <f>SUM(C7:C17)</f>
        <v/>
      </c>
      <c r="D18" s="74" t="n">
        <v>123.673</v>
      </c>
      <c r="E18" s="74" t="n">
        <v>133.333</v>
      </c>
      <c r="F18" s="74" t="n">
        <v>143.752</v>
      </c>
      <c r="G18" s="74" t="n">
        <v>154.989</v>
      </c>
      <c r="H18" s="74" t="n">
        <v>371.72</v>
      </c>
    </row>
    <row r="20" ht="20" customHeight="1">
      <c r="B20" s="14" t="inlineStr">
        <is>
          <t>СТРУКТУРА OPEX (Операционные расходы)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C7</f>
        <v/>
      </c>
      <c r="D22" s="78">
        <f>C22/C18</f>
        <v/>
      </c>
      <c r="E22" s="79" t="inlineStr">
        <is>
          <t>ключевая статья (~87%)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C8+C9</f>
        <v/>
      </c>
      <c r="D23" s="78">
        <f>C23/C18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C10+C11+C15</f>
        <v/>
      </c>
      <c r="D24" s="78">
        <f>C24/C18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C12+C13</f>
        <v/>
      </c>
      <c r="D25" s="78">
        <f>C25/C18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 t="n">
        <v>1.5</v>
      </c>
      <c r="D26" s="78">
        <f>C26/C18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C16+C17</f>
        <v/>
      </c>
      <c r="D27" s="78">
        <f>C27/C18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(Операционные расходы) total</t>
        </is>
      </c>
      <c r="C28" s="81">
        <f>SUM(C22:C27)</f>
        <v/>
      </c>
      <c r="D28" s="82">
        <f>SUM(D22:D27)</f>
        <v/>
      </c>
      <c r="E28" s="83" t="inlineStr">
        <is>
          <t>✓ Совпадает с ИТОГО OPEX (Операционные расходы) 2026 (114.7 млн) = 100%</t>
        </is>
      </c>
      <c r="F28" s="40" t="n"/>
      <c r="G28" s="40" t="n"/>
      <c r="H28" s="41" t="n"/>
    </row>
    <row r="30" ht="20" customHeight="1">
      <c r="B30" s="14" t="inlineStr">
        <is>
          <t>COGS (себестоимость)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(Итого) content budget (бюджет)</t>
        </is>
      </c>
      <c r="C32" s="84" t="n">
        <v>1746.8</v>
      </c>
      <c r="D32" s="22" t="inlineStr">
        <is>
          <t>млн ₽</t>
        </is>
      </c>
      <c r="E32" s="79" t="inlineStr">
        <is>
          <t>7 проектов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145.6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(капитал продюсера)</t>
        </is>
      </c>
      <c r="C34" s="84" t="n">
        <v>600</v>
      </c>
      <c r="D34" s="22" t="inlineStr">
        <is>
          <t>млн ₽</t>
        </is>
      </c>
      <c r="E34" s="79" t="inlineStr">
        <is>
          <t>600 / 1747 = 34.3%</t>
        </is>
      </c>
      <c r="F34" s="40" t="n"/>
      <c r="G34" s="40" t="n"/>
      <c r="H34" s="41" t="n"/>
    </row>
    <row r="35" ht="20" customHeight="1">
      <c r="B35" s="23" t="inlineStr">
        <is>
          <t>Investor (Инвестор) funding</t>
        </is>
      </c>
      <c r="C35" s="84" t="n">
        <v>1250</v>
      </c>
      <c r="D35" s="22" t="inlineStr">
        <is>
          <t>млн ₽</t>
        </is>
      </c>
      <c r="E35" s="79" t="inlineStr">
        <is>
          <t>1250 / 1747 = 71.6%</t>
        </is>
      </c>
      <c r="F35" s="40" t="n"/>
      <c r="G35" s="40" t="n"/>
      <c r="H35" s="41" t="n"/>
    </row>
    <row r="36" ht="20" customHeight="1">
      <c r="B36" s="23" t="inlineStr">
        <is>
          <t>Amortization (Амортизация)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(тиражирование и реклама) (Print &amp; Advertising (Тиражирование и реклама))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 (Структура выручки))</t>
        </is>
      </c>
    </row>
    <row r="3">
      <c r="B3" s="20" t="inlineStr">
        <is>
          <t>8 источников выручки × 2026–2028. Якорь Σ = 4 545 млн ₽ (5 фильмов + 2 сериала).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 (среднегодовой темп роста)</t>
        </is>
      </c>
    </row>
    <row r="7" ht="20" customHeight="1">
      <c r="B7" s="23" t="inlineStr">
        <is>
          <t>Box Office (Кассовые сборы)</t>
        </is>
      </c>
      <c r="C7" s="85" t="n">
        <v>0.38</v>
      </c>
      <c r="D7" s="86" t="n">
        <v>216.6</v>
      </c>
      <c r="E7" s="86" t="n">
        <v>940.5</v>
      </c>
      <c r="F7" s="86" t="n">
        <v>570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(подписной стриминг)</t>
        </is>
      </c>
      <c r="C8" s="85" t="n">
        <v>0.28</v>
      </c>
      <c r="D8" s="86" t="n">
        <v>159.6</v>
      </c>
      <c r="E8" s="86" t="n">
        <v>693</v>
      </c>
      <c r="F8" s="86" t="n">
        <v>420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(телевидение) rights</t>
        </is>
      </c>
      <c r="C9" s="85" t="n">
        <v>0.12</v>
      </c>
      <c r="D9" s="86" t="n">
        <v>68.40000000000001</v>
      </c>
      <c r="E9" s="86" t="n">
        <v>297</v>
      </c>
      <c r="F9" s="86" t="n">
        <v>180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Международные продажи</t>
        </is>
      </c>
      <c r="C10" s="85" t="n">
        <v>0.1</v>
      </c>
      <c r="D10" s="86" t="n">
        <v>57</v>
      </c>
      <c r="E10" s="86" t="n">
        <v>247.5</v>
      </c>
      <c r="F10" s="86" t="n">
        <v>150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(транзакционный)</t>
        </is>
      </c>
      <c r="C11" s="85" t="n">
        <v>0.04</v>
      </c>
      <c r="D11" s="86" t="n">
        <v>22.8</v>
      </c>
      <c r="E11" s="86" t="n">
        <v>99</v>
      </c>
      <c r="F11" s="86" t="n">
        <v>60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Спонсорство / продакт-плейсмент (Спонсорство / продакт-плейсмент)</t>
        </is>
      </c>
      <c r="C12" s="85" t="n">
        <v>0.04</v>
      </c>
      <c r="D12" s="86" t="n">
        <v>22.8</v>
      </c>
      <c r="E12" s="86" t="n">
        <v>99</v>
      </c>
      <c r="F12" s="86" t="n">
        <v>60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Мерчандайзинг</t>
        </is>
      </c>
      <c r="C13" s="85" t="n">
        <v>0.01</v>
      </c>
      <c r="D13" s="86" t="n">
        <v>5.7</v>
      </c>
      <c r="E13" s="86" t="n">
        <v>24.75</v>
      </c>
      <c r="F13" s="86" t="n">
        <v>15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17.1</v>
      </c>
      <c r="E14" s="86" t="n">
        <v>74.25</v>
      </c>
      <c r="F14" s="86" t="n">
        <v>45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(Выручка) 2026–2028 (якорь)</t>
        </is>
      </c>
      <c r="C18" s="40" t="n"/>
      <c r="D18" s="41" t="n"/>
      <c r="E18" s="95" t="n">
        <v>4545</v>
      </c>
      <c r="F18" s="41" t="n"/>
      <c r="G18" s="79" t="inlineStr">
        <is>
          <t>7 проектов × 649.29 млн ср.</t>
        </is>
      </c>
      <c r="H18" s="41" t="n"/>
    </row>
    <row r="19" ht="22" customHeight="1">
      <c r="B19" s="94" t="inlineStr">
        <is>
          <t>Actual Σ Revenue (Выручка)</t>
        </is>
      </c>
      <c r="C19" s="40" t="n"/>
      <c r="D19" s="41" t="n"/>
      <c r="E19" s="96">
        <f>G15</f>
        <v/>
      </c>
      <c r="F19" s="41" t="n"/>
      <c r="G19" s="79" t="inlineStr">
        <is>
          <t>Sum-check (Контрольная сумма)</t>
        </is>
      </c>
      <c r="H19" s="41" t="n"/>
    </row>
    <row r="20" ht="22" customHeight="1">
      <c r="B20" s="97" t="inlineStr">
        <is>
          <t>Δ = Факт − План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(Пессимистичный) / Base (Базовый) / Bull (Оптимистичный)),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 (Выручка)</t>
        </is>
      </c>
      <c r="E23" s="42" t="inlineStr">
        <is>
          <t>EBITDA (прибыль до вычетов)</t>
        </is>
      </c>
      <c r="F23" s="42" t="inlineStr">
        <is>
          <t>Net Profit (Чистая прибыль)</t>
        </is>
      </c>
      <c r="G23" s="42" t="inlineStr">
        <is>
          <t>IRR (внутренняя норма доходности)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(Пессимистичный)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(Оптимистичный)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Структура выручки v3 учитывает включение 2 сериалов в пайплайн: повышенная доля SVOD (28%) и TV (12%) отражает серийный контент. Box Office снижен до 38%. Распределение по годам (570/2475/1500) отражает производственный цикл: 2026 — 1 релиз Q4, 2027 — 3 проекта, 2028 — 3 проекта.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7 проектов (Content Pipeline (Портфель контента))</t>
        </is>
      </c>
    </row>
    <row r="3">
      <c r="B3" s="20" t="inlineStr">
        <is>
          <t>Жанровое распределение, бюджеты, прогнозная выручка и ROI для 5 фильмов и 2 сериалов</t>
        </is>
      </c>
    </row>
    <row r="5" ht="20" customHeight="1">
      <c r="B5" s="14" t="inlineStr">
        <is>
          <t>ПОРТФЕЛЬ 5 ФИЛЬМОВ + 2 СЕРИАЛА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(тиражирование и реклама) (15%)</t>
        </is>
      </c>
      <c r="H6" s="42" t="inlineStr">
        <is>
          <t>Σ затраты</t>
        </is>
      </c>
      <c r="I6" s="42" t="inlineStr">
        <is>
          <t>Revenue (Выручка)</t>
        </is>
      </c>
      <c r="J6" s="42" t="inlineStr">
        <is>
          <t>ROI (возврат на инвестиции), %</t>
        </is>
      </c>
      <c r="K6" s="42" t="inlineStr">
        <is>
          <t>Margin (Маржа)</t>
        </is>
      </c>
      <c r="L6" s="42" t="inlineStr">
        <is>
          <t>Payback (Окупаемость)</t>
        </is>
      </c>
      <c r="M6" s="42" t="inlineStr">
        <is>
          <t>Tier (Уровень)</t>
        </is>
      </c>
    </row>
    <row r="7" ht="22" customHeight="1">
      <c r="B7" s="111" t="n">
        <v>1</v>
      </c>
      <c r="C7" s="60" t="inlineStr">
        <is>
          <t>Ночной патруль</t>
        </is>
      </c>
      <c r="D7" s="79" t="inlineStr">
        <is>
          <t>Боевик</t>
        </is>
      </c>
      <c r="E7" s="112" t="inlineStr">
        <is>
          <t>Q4 2026</t>
        </is>
      </c>
      <c r="F7" s="27" t="n">
        <v>250</v>
      </c>
      <c r="G7" s="113">
        <f>F7*0.15</f>
        <v/>
      </c>
      <c r="H7" s="114">
        <f>F7+G7</f>
        <v/>
      </c>
      <c r="I7" s="115" t="n">
        <v>570</v>
      </c>
      <c r="J7" s="116">
        <f>(I7-H7)/H7</f>
        <v/>
      </c>
      <c r="K7" s="117">
        <f>(I7-H7)/I7</f>
        <v/>
      </c>
      <c r="L7" s="118" t="n">
        <v>12</v>
      </c>
      <c r="M7" s="119" t="inlineStr">
        <is>
          <t>A+</t>
        </is>
      </c>
    </row>
    <row r="8" ht="22" customHeight="1">
      <c r="B8" s="111" t="n">
        <v>2</v>
      </c>
      <c r="C8" s="60" t="inlineStr">
        <is>
          <t>Тёмная сторона</t>
        </is>
      </c>
      <c r="D8" s="79" t="inlineStr">
        <is>
          <t>Сериал 8 эп. · Криминальный триллер</t>
        </is>
      </c>
      <c r="E8" s="112" t="inlineStr">
        <is>
          <t>Q2 2027</t>
        </is>
      </c>
      <c r="F8" s="27" t="n">
        <v>400</v>
      </c>
      <c r="G8" s="113">
        <f>F8*0.15</f>
        <v/>
      </c>
      <c r="H8" s="114">
        <f>F8+G8</f>
        <v/>
      </c>
      <c r="I8" s="115" t="n">
        <v>980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A+</t>
        </is>
      </c>
    </row>
    <row r="9" ht="22" customHeight="1">
      <c r="B9" s="111" t="n">
        <v>3</v>
      </c>
      <c r="C9" s="60" t="inlineStr">
        <is>
          <t>Время героев</t>
        </is>
      </c>
      <c r="D9" s="79" t="inlineStr">
        <is>
          <t>Исторический эпос</t>
        </is>
      </c>
      <c r="E9" s="112" t="inlineStr">
        <is>
          <t>Q3 2027</t>
        </is>
      </c>
      <c r="F9" s="27" t="n">
        <v>280</v>
      </c>
      <c r="G9" s="113">
        <f>F9*0.15</f>
        <v/>
      </c>
      <c r="H9" s="114">
        <f>F9+G9</f>
        <v/>
      </c>
      <c r="I9" s="115" t="n">
        <v>700</v>
      </c>
      <c r="J9" s="116">
        <f>(I9-H9)/H9</f>
        <v/>
      </c>
      <c r="K9" s="117">
        <f>(I9-H9)/I9</f>
        <v/>
      </c>
      <c r="L9" s="118" t="n">
        <v>14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Наследие</t>
        </is>
      </c>
      <c r="D10" s="79" t="inlineStr">
        <is>
          <t>Сериал 10 эп. · Семейная сага</t>
        </is>
      </c>
      <c r="E10" s="112" t="inlineStr">
        <is>
          <t>Q4 2027</t>
        </is>
      </c>
      <c r="F10" s="27" t="n">
        <v>340</v>
      </c>
      <c r="G10" s="113">
        <f>F10*0.15</f>
        <v/>
      </c>
      <c r="H10" s="114">
        <f>F10+G10</f>
        <v/>
      </c>
      <c r="I10" s="115" t="n">
        <v>795</v>
      </c>
      <c r="J10" s="116">
        <f>(I10-H10)/H10</f>
        <v/>
      </c>
      <c r="K10" s="117">
        <f>(I10-H10)/I10</f>
        <v/>
      </c>
      <c r="L10" s="118" t="n">
        <v>20</v>
      </c>
      <c r="M10" s="120" t="inlineStr">
        <is>
          <t>A</t>
        </is>
      </c>
    </row>
    <row r="11" ht="22" customHeight="1">
      <c r="B11" s="111" t="n">
        <v>5</v>
      </c>
      <c r="C11" s="60" t="inlineStr">
        <is>
          <t>Сказка наяву</t>
        </is>
      </c>
      <c r="D11" s="79" t="inlineStr">
        <is>
          <t>Семейный фэнтези</t>
        </is>
      </c>
      <c r="E11" s="112" t="inlineStr">
        <is>
          <t>Q1 2028</t>
        </is>
      </c>
      <c r="F11" s="27" t="n">
        <v>200</v>
      </c>
      <c r="G11" s="113">
        <f>F11*0.15</f>
        <v/>
      </c>
      <c r="H11" s="114">
        <f>F11+G11</f>
        <v/>
      </c>
      <c r="I11" s="115" t="n">
        <v>520</v>
      </c>
      <c r="J11" s="116">
        <f>(I11-H11)/H11</f>
        <v/>
      </c>
      <c r="K11" s="117">
        <f>(I11-H11)/I11</f>
        <v/>
      </c>
      <c r="L11" s="118" t="n">
        <v>13</v>
      </c>
      <c r="M11" s="35" t="inlineStr">
        <is>
          <t>A</t>
        </is>
      </c>
    </row>
    <row r="12" ht="22" customHeight="1">
      <c r="B12" s="111" t="n">
        <v>6</v>
      </c>
      <c r="C12" s="60" t="inlineStr">
        <is>
          <t>Северный ветер</t>
        </is>
      </c>
      <c r="D12" s="79" t="inlineStr">
        <is>
          <t>Приключенческий</t>
        </is>
      </c>
      <c r="E12" s="112" t="inlineStr">
        <is>
          <t>Q3 2028</t>
        </is>
      </c>
      <c r="F12" s="27" t="n">
        <v>200</v>
      </c>
      <c r="G12" s="113">
        <f>F12*0.15</f>
        <v/>
      </c>
      <c r="H12" s="114">
        <f>F12+G12</f>
        <v/>
      </c>
      <c r="I12" s="115" t="n">
        <v>530</v>
      </c>
      <c r="J12" s="116">
        <f>(I12-H12)/H12</f>
        <v/>
      </c>
      <c r="K12" s="117">
        <f>(I12-H12)/I12</f>
        <v/>
      </c>
      <c r="L12" s="118" t="n">
        <v>13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Горизонт событий</t>
        </is>
      </c>
      <c r="D13" s="79" t="inlineStr">
        <is>
          <t>Фантастика</t>
        </is>
      </c>
      <c r="E13" s="112" t="inlineStr">
        <is>
          <t>Q4 2028</t>
        </is>
      </c>
      <c r="F13" s="27" t="n">
        <v>180</v>
      </c>
      <c r="G13" s="113">
        <f>F13*0.15</f>
        <v/>
      </c>
      <c r="H13" s="114">
        <f>F13+G13</f>
        <v/>
      </c>
      <c r="I13" s="115" t="n">
        <v>450</v>
      </c>
      <c r="J13" s="116">
        <f>(I13-H13)/H13</f>
        <v/>
      </c>
      <c r="K13" s="117">
        <f>(I13-H13)/I13</f>
        <v/>
      </c>
      <c r="L13" s="118" t="n">
        <v>14</v>
      </c>
      <c r="M13" s="119" t="inlineStr">
        <is>
          <t>A</t>
        </is>
      </c>
    </row>
    <row r="14" ht="22" customHeight="1">
      <c r="C14" s="60" t="n"/>
      <c r="D14" s="79" t="n"/>
      <c r="E14" s="112" t="n"/>
      <c r="F14" s="27" t="n"/>
      <c r="M14" s="121" t="n"/>
    </row>
    <row r="15" ht="22" customHeight="1">
      <c r="C15" s="60" t="n"/>
      <c r="D15" s="79" t="n"/>
      <c r="E15" s="112" t="n"/>
      <c r="F15" s="27" t="n"/>
      <c r="M15" s="120" t="n"/>
    </row>
    <row r="16" ht="22" customHeight="1">
      <c r="C16" s="60" t="n"/>
      <c r="D16" s="79" t="n"/>
      <c r="E16" s="112" t="n"/>
      <c r="F16" s="27" t="n"/>
      <c r="M16" s="119" t="n"/>
    </row>
    <row r="17" ht="22" customHeight="1">
      <c r="C17" s="60" t="n"/>
      <c r="D17" s="79" t="n"/>
      <c r="E17" s="112" t="n"/>
      <c r="F17" s="27" t="n"/>
      <c r="M17" s="121" t="n"/>
    </row>
    <row r="18" ht="22" customHeight="1">
      <c r="C18" s="60" t="n"/>
      <c r="D18" s="79" t="n"/>
      <c r="E18" s="112" t="n"/>
      <c r="F18" s="27" t="n"/>
      <c r="M18" s="119" t="n"/>
    </row>
    <row r="19" ht="28" customHeight="1">
      <c r="B19" s="73" t="inlineStr">
        <is>
          <t>ИТОГО ПОРТФЕЛЬ 5+2</t>
        </is>
      </c>
      <c r="C19" s="40" t="n"/>
      <c r="D19" s="40" t="n"/>
      <c r="E19" s="41" t="n"/>
      <c r="F19" s="122">
        <f>SUM(F7:F13)</f>
        <v/>
      </c>
      <c r="G19" s="123">
        <f>SUM(G7:G13)</f>
        <v/>
      </c>
      <c r="H19" s="123">
        <f>SUM(H7:H13)</f>
        <v/>
      </c>
      <c r="I19" s="124">
        <f>SUM(I7:I13)</f>
        <v/>
      </c>
      <c r="J19" s="125">
        <f>(I19-H19)/H19</f>
        <v/>
      </c>
      <c r="K19" s="89">
        <f>(I19-H19)/I19</f>
        <v/>
      </c>
      <c r="L19" s="126">
        <f>AVERAGE(L7:L13)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План:</t>
        </is>
      </c>
      <c r="G22" s="129" t="n">
        <v>1850</v>
      </c>
      <c r="H22" s="128" t="inlineStr">
        <is>
          <t>Факт: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(Выручка) 4545 млн</t>
        </is>
      </c>
      <c r="C23" s="40" t="n"/>
      <c r="D23" s="40" t="n"/>
      <c r="E23" s="41" t="n"/>
      <c r="F23" s="128" t="inlineStr">
        <is>
          <t>План:</t>
        </is>
      </c>
      <c r="G23" s="129" t="n">
        <v>4545</v>
      </c>
      <c r="H23" s="128" t="inlineStr">
        <is>
          <t>Факт: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проект</t>
        </is>
      </c>
      <c r="C24" s="40" t="n"/>
      <c r="D24" s="40" t="n"/>
      <c r="E24" s="41" t="n"/>
      <c r="F24" s="128" t="inlineStr">
        <is>
          <t>План:</t>
        </is>
      </c>
      <c r="G24" s="129" t="n">
        <v>264.2857142857143</v>
      </c>
      <c r="H24" s="128" t="inlineStr">
        <is>
          <t>Факт:</t>
        </is>
      </c>
      <c r="I24" s="130">
        <f>F19/7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проект</t>
        </is>
      </c>
      <c r="C25" s="40" t="n"/>
      <c r="D25" s="40" t="n"/>
      <c r="E25" s="41" t="n"/>
      <c r="F25" s="128" t="inlineStr">
        <is>
          <t>План:</t>
        </is>
      </c>
      <c r="G25" s="129" t="n">
        <v>649.2857142857143</v>
      </c>
      <c r="H25" s="128" t="inlineStr">
        <is>
          <t>Факт:</t>
        </is>
      </c>
      <c r="I25" s="130">
        <f>I19/7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 (Выручка) множитель</t>
        </is>
      </c>
      <c r="C26" s="40" t="n"/>
      <c r="D26" s="40" t="n"/>
      <c r="E26" s="41" t="n"/>
      <c r="F26" s="128" t="inlineStr">
        <is>
          <t>План:</t>
        </is>
      </c>
      <c r="G26" s="129" t="n">
        <v>2.457</v>
      </c>
      <c r="H26" s="128" t="inlineStr">
        <is>
          <t>Факт: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 (Выручка)</t>
        </is>
      </c>
      <c r="K29" s="42" t="inlineStr">
        <is>
          <t>Средний ROI (возврат на инвестиции)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Ночной патруль</t>
        </is>
      </c>
      <c r="E30" s="40" t="n"/>
      <c r="F30" s="40" t="n"/>
      <c r="G30" s="40" t="n"/>
      <c r="H30" s="41" t="n"/>
      <c r="I30" s="134" t="n">
        <v>250</v>
      </c>
      <c r="J30" s="108" t="n">
        <v>570</v>
      </c>
      <c r="K30" s="116" t="n">
        <v>0.9826086956521739</v>
      </c>
      <c r="L30" s="40" t="n"/>
      <c r="M30" s="41" t="n"/>
    </row>
    <row r="31" ht="28" customHeight="1">
      <c r="B31" s="62" t="inlineStr">
        <is>
          <t>Q2 2027</t>
        </is>
      </c>
      <c r="C31" s="132" t="n">
        <v>1</v>
      </c>
      <c r="D31" s="133" t="inlineStr">
        <is>
          <t>Тёмная сторона</t>
        </is>
      </c>
      <c r="E31" s="40" t="n"/>
      <c r="F31" s="40" t="n"/>
      <c r="G31" s="40" t="n"/>
      <c r="H31" s="41" t="n"/>
      <c r="I31" s="134" t="n">
        <v>400</v>
      </c>
      <c r="J31" s="108" t="n">
        <v>980</v>
      </c>
      <c r="K31" s="116" t="n">
        <v>1.130434782608696</v>
      </c>
      <c r="L31" s="40" t="n"/>
      <c r="M31" s="41" t="n"/>
    </row>
    <row r="32" ht="28" customHeight="1">
      <c r="B32" s="62" t="inlineStr">
        <is>
          <t>Q3 2027</t>
        </is>
      </c>
      <c r="C32" s="132" t="n">
        <v>1</v>
      </c>
      <c r="D32" s="133" t="inlineStr">
        <is>
          <t>Время героев</t>
        </is>
      </c>
      <c r="E32" s="40" t="n"/>
      <c r="F32" s="40" t="n"/>
      <c r="G32" s="40" t="n"/>
      <c r="H32" s="41" t="n"/>
      <c r="I32" s="134" t="n">
        <v>280</v>
      </c>
      <c r="J32" s="108" t="n">
        <v>700</v>
      </c>
      <c r="K32" s="116" t="n">
        <v>1.173913043478261</v>
      </c>
      <c r="L32" s="40" t="n"/>
      <c r="M32" s="41" t="n"/>
    </row>
    <row r="33" ht="28" customHeight="1">
      <c r="B33" s="62" t="inlineStr">
        <is>
          <t>Q4 2027</t>
        </is>
      </c>
      <c r="C33" s="132" t="n">
        <v>1</v>
      </c>
      <c r="D33" s="133" t="inlineStr">
        <is>
          <t>Наследие</t>
        </is>
      </c>
      <c r="E33" s="40" t="n"/>
      <c r="F33" s="40" t="n"/>
      <c r="G33" s="40" t="n"/>
      <c r="H33" s="41" t="n"/>
      <c r="I33" s="134" t="n">
        <v>340</v>
      </c>
      <c r="J33" s="108" t="n">
        <v>795</v>
      </c>
      <c r="K33" s="116" t="n">
        <v>1.033248081841432</v>
      </c>
      <c r="L33" s="40" t="n"/>
      <c r="M33" s="41" t="n"/>
    </row>
    <row r="34" ht="28" customHeight="1">
      <c r="B34" s="62" t="inlineStr">
        <is>
          <t>Q1 2028</t>
        </is>
      </c>
      <c r="C34" s="132" t="n">
        <v>1</v>
      </c>
      <c r="D34" s="133" t="inlineStr">
        <is>
          <t>Сказка наяву</t>
        </is>
      </c>
      <c r="E34" s="40" t="n"/>
      <c r="F34" s="40" t="n"/>
      <c r="G34" s="40" t="n"/>
      <c r="H34" s="41" t="n"/>
      <c r="I34" s="134" t="n">
        <v>200</v>
      </c>
      <c r="J34" s="108" t="n">
        <v>520</v>
      </c>
      <c r="K34" s="116" t="n">
        <v>1.260869565217391</v>
      </c>
      <c r="L34" s="40" t="n"/>
      <c r="M34" s="41" t="n"/>
    </row>
    <row r="35" ht="28" customHeight="1">
      <c r="B35" s="62" t="inlineStr">
        <is>
          <t>Q3 2028</t>
        </is>
      </c>
      <c r="C35" s="132" t="n">
        <v>1</v>
      </c>
      <c r="D35" s="133" t="inlineStr">
        <is>
          <t>Северный ветер</t>
        </is>
      </c>
      <c r="E35" s="40" t="n"/>
      <c r="F35" s="40" t="n"/>
      <c r="G35" s="40" t="n"/>
      <c r="H35" s="41" t="n"/>
      <c r="I35" s="134" t="n">
        <v>200</v>
      </c>
      <c r="J35" s="108" t="n">
        <v>530</v>
      </c>
      <c r="K35" s="116" t="n">
        <v>1.304347826086957</v>
      </c>
      <c r="L35" s="40" t="n"/>
      <c r="M35" s="41" t="n"/>
    </row>
    <row r="36" ht="28" customHeight="1">
      <c r="B36" s="62" t="inlineStr">
        <is>
          <t>Q4 2028</t>
        </is>
      </c>
      <c r="C36" s="132" t="n">
        <v>1</v>
      </c>
      <c r="D36" s="133" t="inlineStr">
        <is>
          <t>Горизонт событий</t>
        </is>
      </c>
      <c r="E36" s="40" t="n"/>
      <c r="F36" s="40" t="n"/>
      <c r="G36" s="40" t="n"/>
      <c r="H36" s="41" t="n"/>
      <c r="I36" s="134" t="n">
        <v>180</v>
      </c>
      <c r="J36" s="108" t="n">
        <v>450</v>
      </c>
      <c r="K36" s="116" t="n">
        <v>1.173913043478261</v>
      </c>
      <c r="L36" s="40" t="n"/>
      <c r="M36" s="41" t="n"/>
    </row>
    <row r="37" ht="28" customHeight="1">
      <c r="B37" s="62" t="n"/>
      <c r="D37" s="133" t="n"/>
      <c r="E37" s="40" t="n"/>
      <c r="F37" s="40" t="n"/>
      <c r="G37" s="40" t="n"/>
      <c r="H37" s="41" t="n"/>
      <c r="K37" s="116" t="n"/>
      <c r="L37" s="40" t="n"/>
      <c r="M37" s="41" t="n"/>
    </row>
    <row r="38" ht="28" customHeight="1">
      <c r="B38" s="62" t="n"/>
      <c r="D38" s="133" t="n"/>
      <c r="E38" s="40" t="n"/>
      <c r="F38" s="40" t="n"/>
      <c r="G38" s="40" t="n"/>
      <c r="H38" s="41" t="n"/>
      <c r="K38" s="116" t="n"/>
      <c r="L38" s="40" t="n"/>
      <c r="M38" s="41" t="n"/>
    </row>
    <row r="40" ht="60" customHeight="1">
      <c r="B40" s="18" t="inlineStr">
        <is>
          <t>⚫ 5 фильмов для кинотеатрального проката + 2 оригинальных сериала для SVOD/ТВ-платформ</t>
        </is>
      </c>
    </row>
    <row r="42">
      <c r="B42" s="569" t="inlineStr">
        <is>
          <t>NDP (чистые распределяемые поступления) DISTRIBUTION TIMING (fast A+C pattern (паттерн) под W₅)</t>
        </is>
      </c>
    </row>
    <row r="43" ht="32" customHeight="1">
      <c r="B43" s="570" t="inlineStr">
        <is>
          <t>Revenue (Выручка) 4545 (2026–2028) → NDP (чистые распределяемые поступления) pool 3000 (EBITDA (прибыль до вычетов) 2152 + producer equity (доля в капитале) 600 + WC/credit timing 248) → распределение к LP (ограниченный партнёр)/Producer (Продюсер) по fast A+C pattern (паттерн)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 (чистые распределяемые поступления), млн ₽</t>
        </is>
      </c>
      <c r="D45" s="571" t="inlineStr">
        <is>
          <t>Share (Доля)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(Внутренний рынок) 540 + SVoD advance (аванс) 270 + Intl (Междунар.)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(Внутренний рынок) 2700 × 50% — пик монетизации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(Внутренний рынок) 405 − 135 (SVoD аванс перенесён)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(хвостовой период)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(чистые распределяемые поступления)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ГРАФИК ОБОРОТНОГО КАПИТАЛА  ·  AR / Prepaid / AP / NWC (чистый оборотный капитал) / ΔNWC (изменение оборотного капитала)</t>
        </is>
      </c>
    </row>
    <row r="3">
      <c r="B3" s="189" t="inlineStr">
        <is>
          <t>Предпосылки: AR = 25% Q revenue (60-day lag) · Prepaid = 5% Q revenue · AP = 30% (OpEx + P&amp;A (тиражирование и реклама)).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Дебиторская задолженность (25% квартальной выручки)</t>
        </is>
      </c>
      <c r="D7" s="193" t="n">
        <v>0</v>
      </c>
      <c r="E7" s="193" t="n">
        <v>0</v>
      </c>
      <c r="F7" s="193" t="n">
        <v>0</v>
      </c>
      <c r="G7" s="193" t="n">
        <v>142.5</v>
      </c>
      <c r="H7" s="193" t="n">
        <v>0</v>
      </c>
      <c r="I7" s="193" t="n">
        <v>245</v>
      </c>
      <c r="J7" s="193" t="n">
        <v>175</v>
      </c>
      <c r="K7" s="193" t="n">
        <v>198.75</v>
      </c>
      <c r="L7" s="193" t="n">
        <v>130</v>
      </c>
      <c r="M7" s="193" t="n">
        <v>0</v>
      </c>
      <c r="N7" s="193" t="n">
        <v>132.5</v>
      </c>
      <c r="O7" s="193" t="n">
        <v>112.5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(Выручка) квартала</t>
        </is>
      </c>
    </row>
    <row r="8" ht="18" customHeight="1">
      <c r="B8" s="191" t="inlineStr">
        <is>
          <t>1.2</t>
        </is>
      </c>
      <c r="C8" s="192" t="inlineStr">
        <is>
          <t>Prepaid expenses (Авансовые платежи) / Inventory</t>
        </is>
      </c>
      <c r="D8" s="193" t="n">
        <v>0</v>
      </c>
      <c r="E8" s="193" t="n">
        <v>0</v>
      </c>
      <c r="F8" s="193" t="n">
        <v>0</v>
      </c>
      <c r="G8" s="193" t="n">
        <v>28.5</v>
      </c>
      <c r="H8" s="193" t="n">
        <v>0</v>
      </c>
      <c r="I8" s="193" t="n">
        <v>49</v>
      </c>
      <c r="J8" s="193" t="n">
        <v>35</v>
      </c>
      <c r="K8" s="193" t="n">
        <v>39.75</v>
      </c>
      <c r="L8" s="193" t="n">
        <v>26</v>
      </c>
      <c r="M8" s="193" t="n">
        <v>0</v>
      </c>
      <c r="N8" s="193" t="n">
        <v>26.5</v>
      </c>
      <c r="O8" s="193" t="n">
        <v>22.5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 (Выручка)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 (тиражирование и реклама))</t>
        </is>
      </c>
      <c r="D10" s="202" t="n">
        <v>8.6</v>
      </c>
      <c r="E10" s="202" t="n">
        <v>8.6</v>
      </c>
      <c r="F10" s="202" t="n">
        <v>8.6</v>
      </c>
      <c r="G10" s="202" t="n">
        <v>18.46</v>
      </c>
      <c r="H10" s="202" t="n">
        <v>9.199999999999999</v>
      </c>
      <c r="I10" s="202" t="n">
        <v>26.15</v>
      </c>
      <c r="J10" s="202" t="n">
        <v>21.31</v>
      </c>
      <c r="K10" s="202" t="n">
        <v>22.95</v>
      </c>
      <c r="L10" s="202" t="n">
        <v>18.85</v>
      </c>
      <c r="M10" s="202" t="n">
        <v>9.85</v>
      </c>
      <c r="N10" s="202" t="n">
        <v>19.02</v>
      </c>
      <c r="O10" s="202" t="n">
        <v>17.63</v>
      </c>
      <c r="P10" s="202" t="n">
        <v>48.79</v>
      </c>
      <c r="Q10" s="202" t="n">
        <v>50.43</v>
      </c>
      <c r="R10" s="202" t="n">
        <v>52.32</v>
      </c>
      <c r="S10" s="202" t="n">
        <v>54.64</v>
      </c>
      <c r="T10" s="203" t="n">
        <v>189.2</v>
      </c>
      <c r="U10" s="204" t="inlineStr">
        <is>
          <t>AP = 30% × (OpEx + P&amp;A (тиражирование и реклама))</t>
        </is>
      </c>
    </row>
    <row r="11" ht="20" customHeight="1">
      <c r="B11" s="168" t="inlineStr">
        <is>
          <t>III.  ЧИСТЫЙ ОБОРОТНЫЙ КАПИТАЛ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(чистый оборотный капитал) = AR + Prepaid − AP</t>
        </is>
      </c>
      <c r="D12" s="197" t="n">
        <v>-8.6</v>
      </c>
      <c r="E12" s="197" t="n">
        <v>-8.6</v>
      </c>
      <c r="F12" s="197" t="n">
        <v>-8.6</v>
      </c>
      <c r="G12" s="197" t="n">
        <v>152.54</v>
      </c>
      <c r="H12" s="197" t="n">
        <v>-9.199999999999999</v>
      </c>
      <c r="I12" s="197" t="n">
        <v>267.85</v>
      </c>
      <c r="J12" s="197" t="n">
        <v>188.69</v>
      </c>
      <c r="K12" s="197" t="n">
        <v>215.55</v>
      </c>
      <c r="L12" s="197" t="n">
        <v>137.15</v>
      </c>
      <c r="M12" s="197" t="n">
        <v>-9.85</v>
      </c>
      <c r="N12" s="197" t="n">
        <v>139.98</v>
      </c>
      <c r="O12" s="197" t="n">
        <v>117.37</v>
      </c>
      <c r="P12" s="197" t="n">
        <v>65.20999999999999</v>
      </c>
      <c r="Q12" s="197" t="n">
        <v>39.57</v>
      </c>
      <c r="R12" s="197" t="n">
        <v>13.68</v>
      </c>
      <c r="S12" s="197" t="n">
        <v>-9.640000000000001</v>
      </c>
      <c r="T12" s="198" t="n">
        <v>1174.3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-8.6</v>
      </c>
      <c r="E13" s="197" t="n">
        <v>0</v>
      </c>
      <c r="F13" s="197" t="n">
        <v>0</v>
      </c>
      <c r="G13" s="197" t="n">
        <v>161.14</v>
      </c>
      <c r="H13" s="197" t="n">
        <v>-161.74</v>
      </c>
      <c r="I13" s="197" t="n">
        <v>277.05</v>
      </c>
      <c r="J13" s="197" t="n">
        <v>-79.16</v>
      </c>
      <c r="K13" s="197" t="n">
        <v>26.86</v>
      </c>
      <c r="L13" s="197" t="n">
        <v>-78.40000000000001</v>
      </c>
      <c r="M13" s="197" t="n">
        <v>-147</v>
      </c>
      <c r="N13" s="197" t="n">
        <v>149.83</v>
      </c>
      <c r="O13" s="197" t="n">
        <v>-22.61</v>
      </c>
      <c r="P13" s="197" t="n">
        <v>-52.16</v>
      </c>
      <c r="Q13" s="197" t="n">
        <v>-25.64</v>
      </c>
      <c r="R13" s="197" t="n">
        <v>-25.89</v>
      </c>
      <c r="S13" s="197" t="n">
        <v>-23.32</v>
      </c>
      <c r="T13" s="198" t="n">
        <v>117.4</v>
      </c>
      <c r="U13" s="199" t="inlineStr">
        <is>
          <t>Рост NWC (чистый оборотный капитал) = отток cash</t>
        </is>
      </c>
    </row>
    <row r="14" ht="18" customHeight="1">
      <c r="B14" s="216" t="inlineStr">
        <is>
          <t>3.3</t>
        </is>
      </c>
      <c r="C14" s="217" t="inlineStr">
        <is>
          <t>Cash (Денежные средства) impact (−ΔNWC (изменение оборотного капитала))</t>
        </is>
      </c>
      <c r="D14" s="198" t="n">
        <v>8.6</v>
      </c>
      <c r="E14" s="198" t="n">
        <v>0</v>
      </c>
      <c r="F14" s="198" t="n">
        <v>0</v>
      </c>
      <c r="G14" s="198" t="n">
        <v>-161.14</v>
      </c>
      <c r="H14" s="198" t="n">
        <v>161.74</v>
      </c>
      <c r="I14" s="198" t="n">
        <v>-277.05</v>
      </c>
      <c r="J14" s="198" t="n">
        <v>79.16</v>
      </c>
      <c r="K14" s="198" t="n">
        <v>-26.86</v>
      </c>
      <c r="L14" s="198" t="n">
        <v>78.40000000000001</v>
      </c>
      <c r="M14" s="198" t="n">
        <v>147</v>
      </c>
      <c r="N14" s="198" t="n">
        <v>-149.83</v>
      </c>
      <c r="O14" s="198" t="n">
        <v>22.61</v>
      </c>
      <c r="P14" s="198" t="n">
        <v>52.16</v>
      </c>
      <c r="Q14" s="198" t="n">
        <v>25.64</v>
      </c>
      <c r="R14" s="198" t="n">
        <v>25.89</v>
      </c>
      <c r="S14" s="198" t="n">
        <v>23.32</v>
      </c>
      <c r="T14" s="198" t="n">
        <v>-117.4</v>
      </c>
      <c r="U14" s="183" t="inlineStr">
        <is>
          <t>Влияние на OCF: − при росте NWC (чистый оборотный капитал)</t>
        </is>
      </c>
    </row>
    <row r="16" ht="22" customHeight="1">
      <c r="B16" s="211" t="inlineStr">
        <is>
          <t>✓ NWC end Q4'28 = 117.4 млн ₽ | ΔNWC Σ = 117.4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ГРАФИК ЗАДОЛЖЕННОСТИ  ·  T₁ Legacy (Базовый вариант)  ·  1 250 млн ₽  ·  4 tranches (транши) 20/28/28/24%</t>
        </is>
      </c>
    </row>
    <row r="3">
      <c r="B3" s="189" t="inlineStr">
        <is>
          <t>T₁ Legacy (Базовый вариант): bullet-loan структура с распределением через waterfall (каскад) W₅ V-D ★ default (по умолчанию) v1.0.1 (1× Liq Pref (Ликвидационная привилегия) 1 250 + 12% pref × 5y + catch-up 70/30 + carry 60/40, base IRR (внутренняя норма доходности) 24.75%, MoIC 2.13×, см. 19_Waterfall + 24_Investor_Returns Section II); legacy (базовый вариант) W₃ остался опцией (8% coupon (купон) × 5y 500 + 60/40 от residual (остаток)).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ПРИВЛЕЧЕНИЕ СРЕДСТВ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Начальный остаток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 (транши))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(ПРОЦЕНТНЫЕ РАСХОДЫ)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(Проценты)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(Проценты)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ПОГАШЕНИЕ ОСНОВНОГО ДОЛГА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Погашение основного долга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КОНЕЧНЫЙ ОСТАТОК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Конечный остаток основного долга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КУМУЛЯТИВ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(Накопительный)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(Накопительный)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(Накопительный)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ПОТЕНЦИАЛ РОСТА КАПИТАЛА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(Собственный капитал)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(Накопительный) equity (доля в капитале)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(доля в капитале)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(ИНВЕСТИЦИИ) INFLOW SCHEDULE  ·  T₁ Legacy (Базовый вариант) Tranche (Транш) Structure</t>
        </is>
      </c>
    </row>
    <row r="3">
      <c r="B3" s="189" t="inlineStr">
        <is>
          <t>4 tranches (транши)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ГРАФИК ТРАНШЕЙ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(Пре-продакшн)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«Ночной патруль»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«Ночной патруль», пре-продакшн «Тёмная сторона» и «Время героев»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«Наследие»+«Сказка наяву», релизы «Тёмная сторона»+«Время героев»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всех 7 проектов,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ТРАНШИ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(КУМУЛЯТИВНЫЕ ПОСТУПЛЕНИЯ)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(Накопительный)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Покрытие % (привлечено / итого)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УПРАВЛЕНИЕ И УСЛОВИЯ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(Релиз) condition для транша №1</t>
        </is>
      </c>
      <c r="D18" s="159" t="inlineStr">
        <is>
          <t>Подписание SPA + Investment (Инвестиция)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(Релиз)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(Релиз)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(Релиз) condition для транша №4</t>
        </is>
      </c>
      <c r="D21" s="159" t="inlineStr">
        <is>
          <t>Релиз ≥ 4 проектов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(Отчётность) cadence (Периодичность отчётности)</t>
        </is>
      </c>
      <c r="D22" s="159" t="inlineStr">
        <is>
          <t>Ежеквартальный financial report + KPI (ключевые показатели)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Права на информацию</t>
        </is>
      </c>
      <c r="D23" s="159" t="inlineStr">
        <is>
          <t>Read-only (Только чтение)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Расторжение clause (Оговорка о расторжении)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(Базовый вариант)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ИСПОЛЬЗОВАНИЕ СРЕДСТВ  ·  Распределение 1 250 млн ₽ инвестиций</t>
        </is>
      </c>
    </row>
    <row r="3">
      <c r="B3" s="189" t="inlineStr">
        <is>
          <t>Разбивка инвестиционного тикета T₁ Legacy (Базовый вариант) (1 250) по производственным категориям для 7 проектов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Мин (−10%)</t>
        </is>
      </c>
      <c r="G5" s="166" t="inlineStr">
        <is>
          <t>Макс (+10%)</t>
        </is>
      </c>
      <c r="H5" s="166" t="inlineStr">
        <is>
          <t>Allowance (Допуск)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(Пре-продакшн)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Гибкость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(Основной 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Гибкость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 (визуальные эффекты),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Гибкость ±10%</t>
        </is>
      </c>
      <c r="I8" s="159" t="inlineStr">
        <is>
          <t>Монтаж, цветокоррекция, VFX (визуальные эффекты),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Лимит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(Базовый вариант) Investment (Инвестиция)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ЯКОРЬ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(Базовый вариант) (1 250) → Full Production Budget (Бюджет)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(Базовый вариант) Investor (Инвестор)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(капитал продюсера) (JV (совместное предприятие) capital (капитал))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(бюджет)  (7 проектов × avg 264.3 млн) (Полный бюджет производства)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(Расходы на P&amp;A) (separate from CAPEX (Капзатраты))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 (Тиражирование и реклама),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(Итого)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(Использование средств) = 1 250 (5+65+20+10%)  |  Bridge: 1 250 + 600 = 1 850 (budget (бюджет))  |  + P&amp;A (тиражирование и реклама) 277.5 = 2 127.5 (COGS (себестоимость)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7 проектов (5 фильмов + 2 сериала)  ·  Σ 1 850 млн ₽</t>
        </is>
      </c>
    </row>
    <row r="3">
      <c r="B3" s="189" t="inlineStr">
        <is>
          <t>Распределение производственных затрат по 7 проектам: 5/45/35/15% (pre-prod/prod/post-prod/release)</t>
        </is>
      </c>
    </row>
    <row r="5" ht="22" customHeight="1">
      <c r="B5" s="166" t="inlineStr">
        <is>
          <t>#</t>
        </is>
      </c>
      <c r="C5" s="190" t="inlineStr">
        <is>
          <t>Film (Фильм)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 (Капзатраты)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P01</t>
        </is>
      </c>
      <c r="C6" s="206" t="inlineStr">
        <is>
          <t>Ночной патруль</t>
        </is>
      </c>
      <c r="D6" s="202" t="n">
        <v>12.5</v>
      </c>
      <c r="E6" s="202" t="n">
        <v>112.5</v>
      </c>
      <c r="F6" s="202" t="n">
        <v>87.5</v>
      </c>
      <c r="G6" s="202" t="n">
        <v>37.5</v>
      </c>
      <c r="H6" s="207" t="n">
        <v>0</v>
      </c>
      <c r="I6" s="207" t="n">
        <v>0</v>
      </c>
      <c r="J6" s="207" t="n">
        <v>0</v>
      </c>
      <c r="K6" s="207" t="n">
        <v>0</v>
      </c>
      <c r="L6" s="207" t="n">
        <v>0</v>
      </c>
      <c r="M6" s="207" t="n">
        <v>0</v>
      </c>
      <c r="N6" s="207" t="n">
        <v>0</v>
      </c>
      <c r="O6" s="207" t="n">
        <v>0</v>
      </c>
      <c r="P6" s="197" t="n">
        <v>250</v>
      </c>
      <c r="Q6" s="205" t="inlineStr">
        <is>
          <t>Q4'26</t>
        </is>
      </c>
      <c r="R6" s="223" t="inlineStr">
        <is>
          <t>A+</t>
        </is>
      </c>
    </row>
    <row r="7" ht="20" customHeight="1">
      <c r="B7" s="212" t="inlineStr">
        <is>
          <t>P02</t>
        </is>
      </c>
      <c r="C7" s="206" t="inlineStr">
        <is>
          <t>Тёмная сторона</t>
        </is>
      </c>
      <c r="D7" s="224" t="n">
        <v>0</v>
      </c>
      <c r="E7" s="202" t="n">
        <v>0</v>
      </c>
      <c r="F7" s="202" t="n">
        <v>20</v>
      </c>
      <c r="G7" s="202" t="n">
        <v>180</v>
      </c>
      <c r="H7" s="202" t="n">
        <v>140</v>
      </c>
      <c r="I7" s="207" t="n">
        <v>60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7" t="n">
        <v>400</v>
      </c>
      <c r="Q7" s="205" t="inlineStr">
        <is>
          <t>Q2'27</t>
        </is>
      </c>
      <c r="R7" s="223" t="inlineStr">
        <is>
          <t>A+</t>
        </is>
      </c>
    </row>
    <row r="8" ht="20" customHeight="1">
      <c r="B8" s="212" t="inlineStr">
        <is>
          <t>P03</t>
        </is>
      </c>
      <c r="C8" s="206" t="inlineStr">
        <is>
          <t>Время героев</t>
        </is>
      </c>
      <c r="D8" s="224" t="n">
        <v>0</v>
      </c>
      <c r="E8" s="207" t="n">
        <v>0</v>
      </c>
      <c r="F8" s="202" t="n">
        <v>0</v>
      </c>
      <c r="G8" s="202" t="n">
        <v>14</v>
      </c>
      <c r="H8" s="202" t="n">
        <v>126</v>
      </c>
      <c r="I8" s="202" t="n">
        <v>98</v>
      </c>
      <c r="J8" s="207" t="n">
        <v>42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7" t="n">
        <v>280</v>
      </c>
      <c r="Q8" s="205" t="inlineStr">
        <is>
          <t>Q3'27</t>
        </is>
      </c>
      <c r="R8" s="223" t="inlineStr">
        <is>
          <t>A+</t>
        </is>
      </c>
    </row>
    <row r="9" ht="20" customHeight="1">
      <c r="B9" s="212" t="inlineStr">
        <is>
          <t>P04</t>
        </is>
      </c>
      <c r="C9" s="206" t="inlineStr">
        <is>
          <t>Наследие</t>
        </is>
      </c>
      <c r="D9" s="224" t="n">
        <v>0</v>
      </c>
      <c r="E9" s="207" t="n">
        <v>0</v>
      </c>
      <c r="F9" s="202" t="n">
        <v>0</v>
      </c>
      <c r="G9" s="202" t="n">
        <v>0</v>
      </c>
      <c r="H9" s="202" t="n">
        <v>17</v>
      </c>
      <c r="I9" s="202" t="n">
        <v>153</v>
      </c>
      <c r="J9" s="207" t="n">
        <v>119</v>
      </c>
      <c r="K9" s="207" t="n">
        <v>51</v>
      </c>
      <c r="L9" s="207" t="n">
        <v>0</v>
      </c>
      <c r="M9" s="207" t="n">
        <v>0</v>
      </c>
      <c r="N9" s="207" t="n">
        <v>0</v>
      </c>
      <c r="O9" s="207" t="n">
        <v>0</v>
      </c>
      <c r="P9" s="197" t="n">
        <v>340</v>
      </c>
      <c r="Q9" s="205" t="inlineStr">
        <is>
          <t>Q4'27</t>
        </is>
      </c>
      <c r="R9" s="223" t="inlineStr">
        <is>
          <t>A</t>
        </is>
      </c>
    </row>
    <row r="10" ht="20" customHeight="1">
      <c r="B10" s="212" t="inlineStr">
        <is>
          <t>P05</t>
        </is>
      </c>
      <c r="C10" s="206" t="inlineStr">
        <is>
          <t>Сказка наяву</t>
        </is>
      </c>
      <c r="D10" s="224" t="n">
        <v>0</v>
      </c>
      <c r="E10" s="207" t="n">
        <v>0</v>
      </c>
      <c r="F10" s="207" t="n">
        <v>0</v>
      </c>
      <c r="G10" s="202" t="n">
        <v>0</v>
      </c>
      <c r="H10" s="202" t="n">
        <v>0</v>
      </c>
      <c r="I10" s="202" t="n">
        <v>10</v>
      </c>
      <c r="J10" s="202" t="n">
        <v>90</v>
      </c>
      <c r="K10" s="207" t="n">
        <v>70</v>
      </c>
      <c r="L10" s="207" t="n">
        <v>30</v>
      </c>
      <c r="M10" s="207" t="n">
        <v>0</v>
      </c>
      <c r="N10" s="207" t="n">
        <v>0</v>
      </c>
      <c r="O10" s="207" t="n">
        <v>0</v>
      </c>
      <c r="P10" s="197" t="n">
        <v>200</v>
      </c>
      <c r="Q10" s="205" t="inlineStr">
        <is>
          <t>Q1'28</t>
        </is>
      </c>
      <c r="R10" s="223" t="inlineStr">
        <is>
          <t>A</t>
        </is>
      </c>
    </row>
    <row r="11" ht="20" customHeight="1">
      <c r="B11" s="212" t="inlineStr">
        <is>
          <t>P06</t>
        </is>
      </c>
      <c r="C11" s="206" t="inlineStr">
        <is>
          <t>Северный ветер</t>
        </is>
      </c>
      <c r="D11" s="224" t="n">
        <v>0</v>
      </c>
      <c r="E11" s="207" t="n">
        <v>0</v>
      </c>
      <c r="F11" s="207" t="n">
        <v>0</v>
      </c>
      <c r="G11" s="207" t="n">
        <v>0</v>
      </c>
      <c r="H11" s="202" t="n">
        <v>0</v>
      </c>
      <c r="I11" s="202" t="n">
        <v>0</v>
      </c>
      <c r="J11" s="202" t="n">
        <v>0</v>
      </c>
      <c r="K11" s="202" t="n">
        <v>10</v>
      </c>
      <c r="L11" s="207" t="n">
        <v>90</v>
      </c>
      <c r="M11" s="207" t="n">
        <v>70</v>
      </c>
      <c r="N11" s="207" t="n">
        <v>30</v>
      </c>
      <c r="O11" s="207" t="n">
        <v>0</v>
      </c>
      <c r="P11" s="197" t="n">
        <v>200</v>
      </c>
      <c r="Q11" s="205" t="inlineStr">
        <is>
          <t>Q3'28</t>
        </is>
      </c>
      <c r="R11" s="223" t="inlineStr">
        <is>
          <t>A</t>
        </is>
      </c>
    </row>
    <row r="12" ht="20" customHeight="1">
      <c r="B12" s="212" t="inlineStr">
        <is>
          <t>P07</t>
        </is>
      </c>
      <c r="C12" s="206" t="inlineStr">
        <is>
          <t>Горизонт событий</t>
        </is>
      </c>
      <c r="D12" s="224" t="n">
        <v>0</v>
      </c>
      <c r="E12" s="207" t="n">
        <v>0</v>
      </c>
      <c r="F12" s="207" t="n">
        <v>0</v>
      </c>
      <c r="G12" s="207" t="n">
        <v>0</v>
      </c>
      <c r="H12" s="207" t="n">
        <v>0</v>
      </c>
      <c r="I12" s="202" t="n">
        <v>0</v>
      </c>
      <c r="J12" s="202" t="n">
        <v>0</v>
      </c>
      <c r="K12" s="202" t="n">
        <v>0</v>
      </c>
      <c r="L12" s="202" t="n">
        <v>9</v>
      </c>
      <c r="M12" s="207" t="n">
        <v>81</v>
      </c>
      <c r="N12" s="207" t="n">
        <v>63</v>
      </c>
      <c r="O12" s="207" t="n">
        <v>27</v>
      </c>
      <c r="P12" s="197" t="n">
        <v>180</v>
      </c>
      <c r="Q12" s="205" t="inlineStr">
        <is>
          <t>Q4'28</t>
        </is>
      </c>
      <c r="R12" s="223" t="inlineStr">
        <is>
          <t>A</t>
        </is>
      </c>
    </row>
    <row r="13" ht="20" customHeight="1">
      <c r="B13" s="212" t="inlineStr"/>
      <c r="C13" s="206" t="inlineStr"/>
      <c r="D13" s="224" t="n">
        <v>0</v>
      </c>
      <c r="E13" s="207" t="n">
        <v>0</v>
      </c>
      <c r="F13" s="207" t="n">
        <v>0</v>
      </c>
      <c r="G13" s="207" t="n">
        <v>0</v>
      </c>
      <c r="H13" s="207" t="n">
        <v>0</v>
      </c>
      <c r="I13" s="207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7" t="n">
        <v>0</v>
      </c>
      <c r="O13" s="207" t="n">
        <v>0</v>
      </c>
      <c r="P13" s="197" t="n">
        <v>0</v>
      </c>
      <c r="Q13" s="205" t="inlineStr"/>
      <c r="R13" s="223" t="inlineStr"/>
    </row>
    <row r="14" ht="20" customHeight="1">
      <c r="B14" s="212" t="inlineStr"/>
      <c r="C14" s="206" t="inlineStr"/>
      <c r="D14" s="224" t="n">
        <v>0</v>
      </c>
      <c r="E14" s="207" t="n">
        <v>0</v>
      </c>
      <c r="F14" s="207" t="n">
        <v>0</v>
      </c>
      <c r="G14" s="207" t="n">
        <v>0</v>
      </c>
      <c r="H14" s="207" t="n">
        <v>0</v>
      </c>
      <c r="I14" s="207" t="n">
        <v>0</v>
      </c>
      <c r="J14" s="202" t="n">
        <v>0</v>
      </c>
      <c r="K14" s="202" t="n">
        <v>0</v>
      </c>
      <c r="L14" s="202" t="n">
        <v>0</v>
      </c>
      <c r="M14" s="202" t="n">
        <v>0</v>
      </c>
      <c r="N14" s="207" t="n">
        <v>0</v>
      </c>
      <c r="O14" s="207" t="n">
        <v>0</v>
      </c>
      <c r="P14" s="197" t="n">
        <v>0</v>
      </c>
      <c r="Q14" s="205" t="inlineStr"/>
      <c r="R14" s="223" t="inlineStr"/>
    </row>
    <row r="15" ht="20" customHeight="1">
      <c r="B15" s="212" t="inlineStr"/>
      <c r="C15" s="206" t="inlineStr"/>
      <c r="D15" s="224" t="n">
        <v>0</v>
      </c>
      <c r="E15" s="207" t="n">
        <v>0</v>
      </c>
      <c r="F15" s="207" t="n">
        <v>0</v>
      </c>
      <c r="G15" s="207" t="n">
        <v>0</v>
      </c>
      <c r="H15" s="207" t="n">
        <v>0</v>
      </c>
      <c r="I15" s="207" t="n">
        <v>0</v>
      </c>
      <c r="J15" s="207" t="n">
        <v>0</v>
      </c>
      <c r="K15" s="202" t="n">
        <v>0</v>
      </c>
      <c r="L15" s="202" t="n">
        <v>0</v>
      </c>
      <c r="M15" s="202" t="n">
        <v>0</v>
      </c>
      <c r="N15" s="202" t="n">
        <v>0</v>
      </c>
      <c r="O15" s="207" t="n">
        <v>0</v>
      </c>
      <c r="P15" s="197" t="n">
        <v>0</v>
      </c>
      <c r="Q15" s="205" t="inlineStr"/>
      <c r="R15" s="223" t="inlineStr"/>
    </row>
    <row r="16" ht="20" customHeight="1">
      <c r="B16" s="212" t="inlineStr"/>
      <c r="C16" s="206" t="inlineStr"/>
      <c r="D16" s="224" t="n">
        <v>0</v>
      </c>
      <c r="E16" s="207" t="n">
        <v>0</v>
      </c>
      <c r="F16" s="207" t="n">
        <v>0</v>
      </c>
      <c r="G16" s="207" t="n">
        <v>0</v>
      </c>
      <c r="H16" s="207" t="n">
        <v>0</v>
      </c>
      <c r="I16" s="207" t="n">
        <v>0</v>
      </c>
      <c r="J16" s="207" t="n">
        <v>0</v>
      </c>
      <c r="K16" s="202" t="n">
        <v>0</v>
      </c>
      <c r="L16" s="202" t="n">
        <v>0</v>
      </c>
      <c r="M16" s="202" t="n">
        <v>0</v>
      </c>
      <c r="N16" s="202" t="n">
        <v>0</v>
      </c>
      <c r="O16" s="207" t="n">
        <v>0</v>
      </c>
      <c r="P16" s="197" t="n">
        <v>0</v>
      </c>
      <c r="Q16" s="205" t="inlineStr"/>
      <c r="R16" s="223" t="inlineStr"/>
    </row>
    <row r="17" ht="20" customHeight="1">
      <c r="B17" s="212" t="inlineStr"/>
      <c r="C17" s="206" t="inlineStr"/>
      <c r="D17" s="224" t="n">
        <v>0</v>
      </c>
      <c r="E17" s="207" t="n">
        <v>0</v>
      </c>
      <c r="F17" s="207" t="n">
        <v>0</v>
      </c>
      <c r="G17" s="207" t="n">
        <v>0</v>
      </c>
      <c r="H17" s="207" t="n">
        <v>0</v>
      </c>
      <c r="I17" s="207" t="n">
        <v>0</v>
      </c>
      <c r="J17" s="207" t="n">
        <v>0</v>
      </c>
      <c r="K17" s="207" t="n">
        <v>0</v>
      </c>
      <c r="L17" s="202" t="n">
        <v>0</v>
      </c>
      <c r="M17" s="202" t="n">
        <v>0</v>
      </c>
      <c r="N17" s="202" t="n">
        <v>0</v>
      </c>
      <c r="O17" s="202" t="n">
        <v>0</v>
      </c>
      <c r="P17" s="197" t="n">
        <v>0</v>
      </c>
      <c r="Q17" s="205" t="inlineStr"/>
      <c r="R17" s="223" t="inlineStr"/>
    </row>
    <row r="18" ht="24" customHeight="1">
      <c r="B18" s="216" t="inlineStr">
        <is>
          <t>Σ</t>
        </is>
      </c>
      <c r="C18" s="217" t="inlineStr">
        <is>
          <t>ИТОГО Production CAPEX (7 проектов)</t>
        </is>
      </c>
      <c r="D18" s="198" t="n">
        <v>12.5</v>
      </c>
      <c r="E18" s="198" t="n">
        <v>112.5</v>
      </c>
      <c r="F18" s="198" t="n">
        <v>107.5</v>
      </c>
      <c r="G18" s="198" t="n">
        <v>231.5</v>
      </c>
      <c r="H18" s="198" t="n">
        <v>283</v>
      </c>
      <c r="I18" s="198" t="n">
        <v>321</v>
      </c>
      <c r="J18" s="198" t="n">
        <v>251</v>
      </c>
      <c r="K18" s="198" t="n">
        <v>131</v>
      </c>
      <c r="L18" s="198" t="n">
        <v>129</v>
      </c>
      <c r="M18" s="198" t="n">
        <v>151</v>
      </c>
      <c r="N18" s="198" t="n">
        <v>93</v>
      </c>
      <c r="O18" s="198" t="n">
        <v>27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(7 проектов: 5 фильмов + 2 сериала)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СТРУКТУРЫ СДЕЛОК  ·  T₁ Legacy (Базовый вариант)  &amp;  T₂ New</t>
        </is>
      </c>
    </row>
    <row r="3">
      <c r="B3" s="189" t="inlineStr">
        <is>
      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 (Базовый вариант)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 (якорь);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(Собственный капитал) диапазон,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(доля в капитале) upside</t>
        </is>
      </c>
    </row>
    <row r="10" ht="22" customHeight="1">
      <c r="B10" s="205" t="inlineStr">
        <is>
          <t>1.4</t>
        </is>
      </c>
      <c r="C10" s="213" t="inlineStr">
        <is>
          <t>Seniority (Старшинство)</t>
        </is>
      </c>
      <c r="D10" s="225" t="inlineStr">
        <is>
          <t>Старший (1L)</t>
        </is>
      </c>
      <c r="E10" s="226" t="inlineStr">
        <is>
          <t>Pari-passu (Паритетное (pari-passu))</t>
        </is>
      </c>
      <c r="F10" s="159" t="inlineStr">
        <is>
          <t>T₁ — приоритет, T₂ — equity (доля в капитале)</t>
        </is>
      </c>
    </row>
    <row r="11" ht="22" customHeight="1">
      <c r="B11" s="205" t="inlineStr">
        <is>
          <t>1.5</t>
        </is>
      </c>
      <c r="C11" s="213" t="inlineStr">
        <is>
          <t>Tranche (Транш) schedule</t>
        </is>
      </c>
      <c r="D11" s="225" t="inlineStr">
        <is>
          <t>4 × (20/28/28/24)%</t>
        </is>
      </c>
      <c r="E11" s="226" t="inlineStr">
        <is>
          <t>Единовременная выплата</t>
        </is>
      </c>
      <c r="F11" s="159" t="inlineStr">
        <is>
          <t>T₁ milestone-based (по вехам); T₂ — cash upfront (авансом)</t>
        </is>
      </c>
    </row>
    <row r="12" ht="22" customHeight="1">
      <c r="B12" s="205" t="inlineStr">
        <is>
          <t>1.6</t>
        </is>
      </c>
      <c r="C12" s="213" t="inlineStr">
        <is>
          <t>Service fee / coupon (купон)</t>
        </is>
      </c>
      <c r="D12" s="225" t="inlineStr">
        <is>
          <t>Service fee 15 млн</t>
        </is>
      </c>
      <c r="E12" s="226" t="inlineStr">
        <is>
          <t>8% cumulative (кумулятивный)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Приоритет возмещения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(Каскад) order: LP (ограниченный партнёр) return of capital (капитал) → coupon (купон) → residual (остаток) split (разделение) (W₅ V-D ★ default (по умолчанию) v1.0.1: 1×LP + 12% pref × 5y + catch-up 70/30 + carry 60/40)</t>
        </is>
      </c>
    </row>
    <row r="15" ht="22" customHeight="1">
      <c r="B15" s="205" t="inlineStr">
        <is>
          <t>2.2</t>
        </is>
      </c>
      <c r="C15" s="213" t="inlineStr">
        <is>
          <t>Preferred return (Привилегированная доходность)</t>
        </is>
      </c>
      <c r="D15" s="225" t="inlineStr">
        <is>
          <t>—</t>
        </is>
      </c>
      <c r="E15" s="226" t="inlineStr">
        <is>
          <t>8 % cumulative (кумулятивный)</t>
        </is>
      </c>
      <c r="F15" s="159" t="inlineStr">
        <is>
          <t>До equity (доля в капитале) conversion</t>
        </is>
      </c>
    </row>
    <row r="16" ht="22" customHeight="1">
      <c r="B16" s="205" t="inlineStr">
        <is>
          <t>2.3</t>
        </is>
      </c>
      <c r="C16" s="213" t="inlineStr">
        <is>
          <t>Waterfall split (разделение каскада)</t>
        </is>
      </c>
      <c r="D16" s="225" t="inlineStr">
        <is>
          <t>60 / 40 (Инвестор/Продюсер)</t>
        </is>
      </c>
      <c r="E16" s="226" t="inlineStr">
        <is>
          <t>50 / 50 pro-rata (пропорционально)</t>
        </is>
      </c>
      <c r="F16" s="159" t="inlineStr">
        <is>
          <t>По default (по умолчанию) сценарию W₅ V-D ★ v1.0.1 (legacy (базовый вариант) W₃ доступен как опция)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Триггер выхода</t>
        </is>
      </c>
      <c r="D17" s="225" t="inlineStr">
        <is>
          <t>2029-2032 tail (хвостовой период)</t>
        </is>
      </c>
      <c r="E17" s="226" t="inlineStr">
        <is>
          <t>Event-based (IPO (первичное размещение)/M&amp;A (слияния и поглощения))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Механика конверсии</t>
        </is>
      </c>
      <c r="D18" s="225" t="inlineStr">
        <is>
          <t>Единовременное погашение</t>
        </is>
      </c>
      <c r="E18" s="226" t="inlineStr">
        <is>
          <t>Equity (Собственный капитал)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 (Отчётность)</t>
        </is>
      </c>
      <c r="D20" s="225" t="inlineStr">
        <is>
          <t>Quarterly financial (Ежеквартальная фин. отчётность)</t>
        </is>
      </c>
      <c r="E20" s="226" t="inlineStr">
        <is>
          <t>Quarterly + board seat (Ежекварт. + место в совете)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Права на информацию</t>
        </is>
      </c>
      <c r="D21" s="225" t="inlineStr">
        <is>
          <t>Read-only (Только чтение)</t>
        </is>
      </c>
      <c r="E21" s="226" t="inlineStr">
        <is>
          <t>Полный + вето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(Право принудительной продажи) / Tag-along (Право присоединения к продаже)</t>
        </is>
      </c>
      <c r="D22" s="225" t="inlineStr">
        <is>
          <t>Standard (Стандартный)</t>
        </is>
      </c>
      <c r="E22" s="226" t="inlineStr">
        <is>
          <t>Drag (Принуд. продажа) + ROFR (Преимущ. право)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Расторжение</t>
        </is>
      </c>
      <c r="D24" s="225" t="inlineStr">
        <is>
          <t>Milestone default (по умолчанию)</t>
        </is>
      </c>
      <c r="E24" s="226" t="inlineStr">
        <is>
          <t>Существенное нарушение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(ИНВЕСТИЦИИ) ENVELOPE (СОВОКУПНЫЙ ИНВЕСТИЦИОННЫЙ ПАКЕТ)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(Базовый вариант)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 (автономный)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(капитал продюсера) (off-P&amp;L)</t>
        </is>
      </c>
      <c r="D30" s="205" t="inlineStr">
        <is>
          <t>600 млн ₽</t>
        </is>
      </c>
      <c r="E30" s="187" t="n"/>
      <c r="F30" s="159" t="inlineStr">
        <is>
          <t>JV (совместное предприятие) capital (капитал)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(Итого) capital (капитал)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ТАБЛИЦА КАПИТАЛИЗАЦИИ  ·  Ownership Structure (Структура собственности) (2 сценария)</t>
        </is>
      </c>
    </row>
    <row r="3">
      <c r="B3" s="189" t="inlineStr">
        <is>
          <t>Сценарий A: Только T₁ Legacy (Базовый вариант) (1 250 млн, 30% equity (доля в капитале)).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 (Базовый вариант)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Акционер</t>
        </is>
      </c>
      <c r="D6" s="166" t="inlineStr">
        <is>
          <t>Pre-money vkl, млн ₽</t>
        </is>
      </c>
      <c r="E6" s="166" t="inlineStr">
        <is>
          <t>Shares (Акции)</t>
        </is>
      </c>
      <c r="F6" s="166" t="inlineStr">
        <is>
          <t>Доля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 (Комментарий)</t>
        </is>
      </c>
    </row>
    <row r="7" ht="22" customHeight="1">
      <c r="B7" s="205" t="inlineStr">
        <is>
          <t>A.1</t>
        </is>
      </c>
      <c r="C7" s="206" t="inlineStr">
        <is>
          <t>Founder / Producer (Продюсер)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 (доля в капитале)</t>
        </is>
      </c>
    </row>
    <row r="8" ht="22" customHeight="1">
      <c r="B8" s="205" t="inlineStr">
        <is>
          <t>A.2</t>
        </is>
      </c>
      <c r="C8" s="206" t="inlineStr">
        <is>
          <t>T₁ Legacy (Базовый вариант) Investor (Инвестор)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Новые деньги, 30% stake</t>
        </is>
      </c>
    </row>
    <row r="9" ht="22" customHeight="1">
      <c r="B9" s="216" t="inlineStr">
        <is>
          <t>Σ</t>
        </is>
      </c>
      <c r="C9" s="217" t="inlineStr">
        <is>
          <t>TOTAL (ИТОГО)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(Базовый вариант) + T₂ New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Акционер</t>
        </is>
      </c>
      <c r="D13" s="166" t="inlineStr">
        <is>
          <t>Pre-money vkl, млн ₽</t>
        </is>
      </c>
      <c r="E13" s="166" t="inlineStr">
        <is>
          <t>Shares (Акции)</t>
        </is>
      </c>
      <c r="F13" s="166" t="inlineStr">
        <is>
          <t>Доля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 (Комментарий)</t>
        </is>
      </c>
    </row>
    <row r="14" ht="22" customHeight="1">
      <c r="B14" s="205" t="inlineStr">
        <is>
          <t>B.1</t>
        </is>
      </c>
      <c r="C14" s="206" t="inlineStr">
        <is>
          <t>Founder / Producer (Продюсер)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 (Доинвестиц., 50% сохранено)</t>
        </is>
      </c>
    </row>
    <row r="15" ht="22" customHeight="1">
      <c r="B15" s="205" t="inlineStr">
        <is>
          <t>B.2</t>
        </is>
      </c>
      <c r="C15" s="206" t="inlineStr">
        <is>
          <t>T₁ Legacy (Базовый вариант) Investor (Инвестор)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 (транш)</t>
        </is>
      </c>
    </row>
    <row r="16" ht="22" customHeight="1">
      <c r="B16" s="205" t="inlineStr">
        <is>
          <t>B.3</t>
        </is>
      </c>
      <c r="C16" s="206" t="inlineStr">
        <is>
          <t>T₂ New Investor (Инвестор)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 (доля в капитале)</t>
        </is>
      </c>
    </row>
    <row r="17" ht="22" customHeight="1">
      <c r="B17" s="216" t="inlineStr">
        <is>
          <t>Σ</t>
        </is>
      </c>
      <c r="C17" s="217" t="inlineStr">
        <is>
          <t>TOTAL (ИТОГО)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(Полное разводнение)  ·  Implied Exit Valuation (Подразумеваемая оценка при выходе)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(прибыль до вычетов) GAAP, Y5 run-rate</t>
        </is>
      </c>
      <c r="D21" s="205" t="inlineStr">
        <is>
          <t>640 млн ₽</t>
        </is>
      </c>
      <c r="E21" s="186" t="n"/>
      <c r="F21" s="187" t="n"/>
      <c r="G21" s="159" t="inlineStr">
        <is>
          <t>Base case год 2030 (going-concern)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(Базовый) multiple (5×)</t>
        </is>
      </c>
      <c r="D22" s="205" t="inlineStr">
        <is>
          <t>5.0 ×</t>
        </is>
      </c>
      <c r="E22" s="186" t="n"/>
      <c r="F22" s="187" t="n"/>
      <c r="G22" s="159" t="inlineStr">
        <is>
          <t>Российский медиа-сектор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 (Стоимость предприятия)</t>
        </is>
      </c>
      <c r="D23" s="205" t="inlineStr">
        <is>
          <t>3 200 млн ₽</t>
        </is>
      </c>
      <c r="E23" s="186" t="n"/>
      <c r="F23" s="187" t="n"/>
      <c r="G23" s="159" t="inlineStr">
        <is>
          <t>= EBITDA (прибыль до вычетов) × multiple</t>
        </is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 (Долг)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(Собственный капитал) value</t>
        </is>
      </c>
      <c r="D25" s="205" t="inlineStr">
        <is>
          <t>3 200 млн ₽</t>
        </is>
      </c>
      <c r="E25" s="186" t="n"/>
      <c r="F25" s="187" t="n"/>
      <c r="G25" s="159" t="inlineStr">
        <is>
          <t>= EV (стоимость предприятия) − Net Debt (Долг)</t>
        </is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(чистые распределяемые поступления) tail (хвостовой период) distributions</t>
        </is>
      </c>
      <c r="D26" s="205" t="inlineStr">
        <is>
          <t>— млн ₽</t>
        </is>
      </c>
      <c r="E26" s="186" t="n"/>
      <c r="F26" s="187" t="n"/>
      <c r="G26" s="159" t="inlineStr">
        <is>
          <t>NDP anchor для waterfall — независимый от EV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(Итого)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(чистые распределяемые поступления) anchor (якорь)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(чистые распределяемые поступления) anchor (якорь)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КАСКАД РАСПРЕДЕЛЕНИЯ  ·  4 варианта распределения NDP (чистые распределяемые поступления) 3 000 млн ₽ ·  T₁ Legacy (Базовый вариант) (invest 1 250 + producer 600)</t>
        </is>
      </c>
    </row>
    <row r="3" ht="28" customHeight="1">
      <c r="B3" s="258" t="inlineStr">
        <is>
      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 (Этап)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(Этап)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(Этап)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(ИТОГО)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 (Этап)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(пропорц.) инвестор: 1 250 / 1 850 = 67,57%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(пропорц.) продюсер: 600 / 1 850 = 32,43%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(ИТОГО)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(купон) + 60/40 на остаток  (★ DEFAULT (ПО УМОЛЧАНИЮ) с v1.0.1)</t>
        </is>
      </c>
    </row>
    <row r="18">
      <c r="B18" s="530" t="inlineStr">
        <is>
          <t>#</t>
        </is>
      </c>
      <c r="C18" s="530" t="inlineStr">
        <is>
          <t>Stage (Этап)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(Этап) 1: 1× Liquidation (Ликвидация) Preference (ликвидационная привилегия)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(Инвестор) recoups 1 × principal = 1 250</t>
        </is>
      </c>
    </row>
    <row r="20">
      <c r="B20" s="205" t="n">
        <v>2</v>
      </c>
      <c r="C20" s="206" t="inlineStr">
        <is>
          <t>Stage (Этап) 2: 8% coupon (купон)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 (Привилегированная доходность): 1 250 × 8% × 5y = 500</t>
        </is>
      </c>
    </row>
    <row r="21">
      <c r="B21" s="205" t="n">
        <v>3</v>
      </c>
      <c r="C21" s="206" t="inlineStr">
        <is>
          <t>Stage (Этап)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 (премия): 60% инвестор / 40% продюсер</t>
        </is>
      </c>
    </row>
    <row r="22">
      <c r="B22" s="537" t="inlineStr">
        <is>
          <t>Σ</t>
        </is>
      </c>
      <c r="C22" s="538" t="inlineStr">
        <is>
          <t>TOTAL (ИТОГО)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(Инвестор) 83.3% / Producer (Продюсер) 16.7% — BASE CASE</t>
        </is>
      </c>
    </row>
    <row r="24" ht="22" customHeight="1">
      <c r="B24" s="541" t="inlineStr">
        <is>
          <t>W₄  ·  PREMIUM  ·  1× + 12% preferred × 5y + 65/35 + exit 6× (premium (премия) negotiation)</t>
        </is>
      </c>
    </row>
    <row r="25">
      <c r="B25" s="530" t="inlineStr">
        <is>
          <t>#</t>
        </is>
      </c>
      <c r="C25" s="530" t="inlineStr">
        <is>
          <t>Stage (Этап)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(Этап) 1: 1× Liquidation (Ликвидация) Preference (ликвидационная привилегия)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(Инвестор) recoups 1 × principal = 1 250</t>
        </is>
      </c>
    </row>
    <row r="27">
      <c r="B27" s="205" t="n">
        <v>2</v>
      </c>
      <c r="C27" s="206" t="inlineStr">
        <is>
          <t>Stage (Этап)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 (Накопленный привилегированный доход): 1 250 × 12% × 5y = 750</t>
        </is>
      </c>
    </row>
    <row r="28">
      <c r="B28" s="205" t="n">
        <v>3</v>
      </c>
      <c r="C28" s="206" t="inlineStr">
        <is>
          <t>Stage (Этап)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 (премия): 65% инвестор / 35% продюсер</t>
        </is>
      </c>
    </row>
    <row r="29">
      <c r="B29" s="532" t="inlineStr">
        <is>
          <t>Σ</t>
        </is>
      </c>
      <c r="C29" s="533" t="inlineStr">
        <is>
          <t>TOTAL (ИТОГО)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(Инвестор) 88.3% / Producer (Продюсер) 11.7% — PREMIUM</t>
        </is>
      </c>
    </row>
    <row r="31" ht="22" customHeight="1">
      <c r="B31" s="529" t="inlineStr">
        <is>
          <t>IV  ·  COMPARISON TABLE  ·  4 варианта (IRR (внутренняя норма доходности)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(Порог)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 (Продюсер)-friendly, weakest for LP (ограниченный партнёр)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 (капитал), no hurdle (порог)</t>
        </is>
      </c>
    </row>
    <row r="35">
      <c r="B35" s="543" t="inlineStr">
        <is>
          <t>W₃</t>
        </is>
      </c>
      <c r="C35" s="544" t="inlineStr">
        <is>
          <t>1× Liq Pref (Ликвидационная привилегия)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v1.0.1 (Базовый)</t>
        </is>
      </c>
    </row>
    <row r="36">
      <c r="B36" s="205" t="inlineStr">
        <is>
          <t>W₄</t>
        </is>
      </c>
      <c r="C36" s="206" t="inlineStr">
        <is>
          <t>1× Liq Pref (Ликвидационная привилегия)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(Премия)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(ПО УМОЛЧАНИЮ)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(ПО УМОЛЧАНИЮ) v1.0.1)  |  IRR (внутренняя норма доходности) cash-on-cash: см. 24_Investor_Returns Matrix 3×5</t>
        </is>
      </c>
    </row>
    <row r="40">
      <c r="B40" s="569" t="inlineStr">
        <is>
          <t>W₅  ·  L8+L4 V-D  ·  1× + 12% × 5y + Catch-up 70/30 + Carry 60/40  ·  ★ DEFAULT (ПО УМОЛЧАНИЮ) v1.0.1</t>
        </is>
      </c>
    </row>
    <row r="41">
      <c r="B41" s="571" t="inlineStr">
        <is>
          <t>#</t>
        </is>
      </c>
      <c r="C41" s="571" t="inlineStr">
        <is>
          <t>Stage (Этап)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(Этап) 1: 1× Liquidation (Ликвидация) Preference (ликвидационная привилегия)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(Инвестор) recoups 1× principal = 1 250 (Tranche (Транш) 1, T₁)</t>
        </is>
      </c>
    </row>
    <row r="43">
      <c r="B43" s="572" t="inlineStr">
        <is>
          <t>2</t>
        </is>
      </c>
      <c r="C43" s="572" t="inlineStr">
        <is>
          <t>Stage (Этап)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 (Накопленный привилегированный доход): 1 250 × 12% × 5 ≈ 750 (Tranche (Транш) 2)</t>
        </is>
      </c>
    </row>
    <row r="44">
      <c r="B44" s="572" t="inlineStr">
        <is>
          <t>3</t>
        </is>
      </c>
      <c r="C44" s="572" t="inlineStr">
        <is>
          <t>Stage (Этап) 3: Catch-up 70/30 до hurdle (порог)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 (транш): pool 574 = 2402 − (1250+750+pre-hurdle (порог)), 70% LP (ограниченный партнёр) / 30% Producer (Продюсер) until LP IRR (внутренняя норма доходности) hits 18% hurdle (порог)</t>
        </is>
      </c>
    </row>
    <row r="45">
      <c r="B45" s="572" t="inlineStr">
        <is>
          <t>4</t>
        </is>
      </c>
      <c r="C45" s="572" t="inlineStr">
        <is>
          <t>Stage (Этап) 4: Carry 60/40 на residual (остаток)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 (Остаток): 3000 − 2402 = 426. Carry split (разделение) 60% LP (ограниченный партнёр) / 40% Producer (Продюсер)</t>
        </is>
      </c>
    </row>
    <row r="46">
      <c r="B46" s="357" t="inlineStr">
        <is>
          <t>Σ</t>
        </is>
      </c>
      <c r="C46" s="357" t="inlineStr">
        <is>
          <t>TOTAL (ИТОГО) W₅ ★ DEFAULT (ПО УМОЛЧАНИЮ)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(Инвестор) 88.6% / Producer (Продюсер) 11.4% · LP (ограниченный партнёр) MoIC 2.13× · Hurdle (Порог)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 (внутренняя норма доходности)&gt;18%)=74.7%.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t="inlineStr">
        <is>
          <t>ЮНИТ-ЭКОНОМИКА НА ПРОЕКТ — ПОРТФЕЛЬ 7 ПРОЕКТОВ (5 ФИЛЬМОВ + 2 СЕРИАЛА) 2026–2028</t>
        </is>
      </c>
    </row>
    <row r="3"/>
    <row r="4">
      <c r="B4" t="inlineStr">
        <is>
          <t>Валовая экономика на проект: бюджет, P&amp;A (тиражирование и реклама), выручка за жизненный цикл (2026–2032), маржа, ROI (возврат на инвестиции), payback в кварталах и break-even attendance</t>
        </is>
      </c>
    </row>
    <row r="6">
      <c r="B6" t="inlineStr">
        <is>
          <t>№</t>
        </is>
      </c>
      <c r="C6" t="inlineStr">
        <is>
          <t>Название</t>
        </is>
      </c>
      <c r="D6" t="inlineStr">
        <is>
          <t>Жанр</t>
        </is>
      </c>
      <c r="E6" t="inlineStr">
        <is>
          <t>Релиз</t>
        </is>
      </c>
      <c r="F6" t="inlineStr">
        <is>
          <t>Бюджет</t>
        </is>
      </c>
      <c r="G6" t="inlineStr">
        <is>
          <t>P&amp;A</t>
        </is>
      </c>
      <c r="H6" t="inlineStr">
        <is>
          <t>Total Cost</t>
        </is>
      </c>
      <c r="I6" t="inlineStr">
        <is>
          <t>Revenue
(lifetime)</t>
        </is>
      </c>
      <c r="J6" t="inlineStr">
        <is>
          <t>Gross
Profit</t>
        </is>
      </c>
      <c r="K6" t="inlineStr">
        <is>
          <t>Margin</t>
        </is>
      </c>
      <c r="L6" t="inlineStr">
        <is>
          <t>Multiple</t>
        </is>
      </c>
      <c r="M6" t="inlineStr">
        <is>
          <t>GM %</t>
        </is>
      </c>
      <c r="N6" t="inlineStr">
        <is>
          <t>Payback (Q)</t>
        </is>
      </c>
      <c r="O6" t="inlineStr">
        <is>
          <t>Risk</t>
        </is>
      </c>
    </row>
    <row r="7">
      <c r="B7" t="inlineStr">
        <is>
          <t>П01</t>
        </is>
      </c>
      <c r="C7" t="inlineStr">
        <is>
          <t>Родные стены</t>
        </is>
      </c>
      <c r="D7" t="inlineStr">
        <is>
          <t>Драма</t>
        </is>
      </c>
      <c r="E7" t="inlineStr">
        <is>
          <t>Q4'26</t>
        </is>
      </c>
      <c r="F7" t="n">
        <v>250</v>
      </c>
      <c r="G7" t="n">
        <v>37.5</v>
      </c>
      <c r="H7" t="n">
        <v>287.5</v>
      </c>
      <c r="I7" t="n">
        <v>825</v>
      </c>
      <c r="J7" t="n">
        <v>537.5</v>
      </c>
      <c r="K7" t="n">
        <v>65.15000000000001</v>
      </c>
      <c r="L7" t="n">
        <v>3.3</v>
      </c>
      <c r="M7" t="inlineStr">
        <is>
          <t>55.8%</t>
        </is>
      </c>
      <c r="N7" t="n">
        <v>3.4</v>
      </c>
      <c r="O7" t="inlineStr">
        <is>
          <t>Medium</t>
        </is>
      </c>
    </row>
    <row r="8">
      <c r="B8" t="inlineStr">
        <is>
          <t>П02</t>
        </is>
      </c>
      <c r="C8" t="inlineStr">
        <is>
          <t>Два сердца</t>
        </is>
      </c>
      <c r="D8" t="inlineStr">
        <is>
          <t>Мелодрама</t>
        </is>
      </c>
      <c r="E8" t="inlineStr">
        <is>
          <t>Q2'27</t>
        </is>
      </c>
      <c r="F8" t="n">
        <v>200</v>
      </c>
      <c r="G8" t="n">
        <v>30</v>
      </c>
      <c r="H8" t="n">
        <v>230</v>
      </c>
      <c r="I8" t="n">
        <v>500</v>
      </c>
      <c r="J8" t="n">
        <v>270</v>
      </c>
      <c r="K8" t="n">
        <v>54</v>
      </c>
      <c r="L8" t="n">
        <v>2.5</v>
      </c>
      <c r="M8" t="inlineStr">
        <is>
          <t>55.8%</t>
        </is>
      </c>
      <c r="N8" t="n">
        <v>3</v>
      </c>
      <c r="O8" t="inlineStr">
        <is>
          <t>Low</t>
        </is>
      </c>
    </row>
    <row r="9">
      <c r="B9" t="inlineStr">
        <is>
          <t>П03</t>
        </is>
      </c>
      <c r="C9" t="inlineStr">
        <is>
          <t>Ночной патруль</t>
        </is>
      </c>
      <c r="D9" t="inlineStr">
        <is>
          <t>Экшн</t>
        </is>
      </c>
      <c r="E9" t="inlineStr">
        <is>
          <t>Q2'27</t>
        </is>
      </c>
      <c r="F9" t="n">
        <v>300</v>
      </c>
      <c r="G9" t="n">
        <v>45</v>
      </c>
      <c r="H9" t="n">
        <v>345</v>
      </c>
      <c r="I9" t="n">
        <v>840</v>
      </c>
      <c r="J9" t="n">
        <v>495</v>
      </c>
      <c r="K9" t="n">
        <v>58.93</v>
      </c>
      <c r="L9" t="n">
        <v>2.8</v>
      </c>
      <c r="M9" t="inlineStr">
        <is>
          <t>55.8%</t>
        </is>
      </c>
      <c r="N9" t="n">
        <v>3.5</v>
      </c>
      <c r="O9" t="inlineStr">
        <is>
          <t>Medium</t>
        </is>
      </c>
    </row>
    <row r="10">
      <c r="B10" t="inlineStr">
        <is>
          <t>П04</t>
        </is>
      </c>
      <c r="C10" t="inlineStr">
        <is>
          <t>Время героев</t>
        </is>
      </c>
      <c r="D10" t="inlineStr">
        <is>
          <t>Блокбастер</t>
        </is>
      </c>
      <c r="E10" t="inlineStr">
        <is>
          <t>Q3'27</t>
        </is>
      </c>
      <c r="F10" t="n">
        <v>250</v>
      </c>
      <c r="G10" t="n">
        <v>37.5</v>
      </c>
      <c r="H10" t="n">
        <v>287.5</v>
      </c>
      <c r="I10" t="n">
        <v>875</v>
      </c>
      <c r="J10" t="n">
        <v>587.5</v>
      </c>
      <c r="K10" t="n">
        <v>67.14</v>
      </c>
      <c r="L10" t="n">
        <v>3.5</v>
      </c>
      <c r="M10" t="inlineStr">
        <is>
          <t>55.8%</t>
        </is>
      </c>
      <c r="N10" t="n">
        <v>3.6</v>
      </c>
      <c r="O10" t="inlineStr">
        <is>
          <t>High</t>
        </is>
      </c>
    </row>
    <row r="11">
      <c r="B11" t="inlineStr">
        <is>
          <t>П05</t>
        </is>
      </c>
      <c r="C11" t="inlineStr">
        <is>
          <t>Сказка наяву</t>
        </is>
      </c>
      <c r="D11" t="inlineStr">
        <is>
          <t>Семейный</t>
        </is>
      </c>
      <c r="E11" t="inlineStr">
        <is>
          <t>Q1'28</t>
        </is>
      </c>
      <c r="F11" t="n">
        <v>200</v>
      </c>
      <c r="G11" t="n">
        <v>30</v>
      </c>
      <c r="H11" t="n">
        <v>230</v>
      </c>
      <c r="I11" t="n">
        <v>480</v>
      </c>
      <c r="J11" t="n">
        <v>250</v>
      </c>
      <c r="K11" t="n">
        <v>52.08</v>
      </c>
      <c r="L11" t="n">
        <v>2.4</v>
      </c>
      <c r="M11" t="inlineStr">
        <is>
          <t>55.8%</t>
        </is>
      </c>
      <c r="N11" t="n">
        <v>2.8</v>
      </c>
      <c r="O11" t="inlineStr">
        <is>
          <t>Low</t>
        </is>
      </c>
    </row>
    <row r="12">
      <c r="B12" t="inlineStr">
        <is>
          <t>П06С</t>
        </is>
      </c>
      <c r="C12" t="inlineStr">
        <is>
          <t>Северный ветер</t>
        </is>
      </c>
      <c r="D12" t="inlineStr">
        <is>
          <t>Приключения (сериал)</t>
        </is>
      </c>
      <c r="E12" t="inlineStr">
        <is>
          <t>Q3'28</t>
        </is>
      </c>
      <c r="F12" t="n">
        <v>350</v>
      </c>
      <c r="G12" t="n">
        <v>52.5</v>
      </c>
      <c r="H12" t="n">
        <v>402.5</v>
      </c>
      <c r="I12" t="n">
        <v>1120</v>
      </c>
      <c r="J12" t="n">
        <v>717.5</v>
      </c>
      <c r="K12" t="n">
        <v>64.06</v>
      </c>
      <c r="L12" t="n">
        <v>3.2</v>
      </c>
      <c r="M12" t="inlineStr">
        <is>
          <t>47.0%</t>
        </is>
      </c>
      <c r="N12" t="n">
        <v>3.2</v>
      </c>
      <c r="O12" t="inlineStr">
        <is>
          <t>Medium</t>
        </is>
      </c>
    </row>
    <row r="13">
      <c r="B13" t="inlineStr">
        <is>
          <t>П07С</t>
        </is>
      </c>
      <c r="C13" t="inlineStr">
        <is>
          <t>Горизонт событий</t>
        </is>
      </c>
      <c r="D13" t="inlineStr">
        <is>
          <t>Фантастика (сериал)</t>
        </is>
      </c>
      <c r="E13" t="inlineStr">
        <is>
          <t>Q4'28</t>
        </is>
      </c>
      <c r="F13" t="n">
        <v>300</v>
      </c>
      <c r="G13" t="n">
        <v>45</v>
      </c>
      <c r="H13" t="n">
        <v>345</v>
      </c>
      <c r="I13" t="n">
        <v>955</v>
      </c>
      <c r="J13" t="n">
        <v>610</v>
      </c>
      <c r="K13" t="n">
        <v>63.87</v>
      </c>
      <c r="L13" t="n">
        <v>3.18</v>
      </c>
      <c r="M13" t="inlineStr">
        <is>
          <t>47.0%</t>
        </is>
      </c>
      <c r="N13" t="n">
        <v>3.8</v>
      </c>
      <c r="O13" t="inlineStr">
        <is>
          <t>High</t>
        </is>
      </c>
    </row>
    <row r="14">
      <c r="B14" t="inlineStr">
        <is>
          <t>ИТОГО ПОРТФЕЛЬ (5 фильмов + 2 сериала)</t>
        </is>
      </c>
      <c r="F14" t="n">
        <v>1850</v>
      </c>
      <c r="G14" t="n">
        <v>277.5</v>
      </c>
      <c r="H14" t="n">
        <v>2127.5</v>
      </c>
      <c r="I14" t="n">
        <v>5595</v>
      </c>
      <c r="J14" t="n">
        <v>3467.5</v>
      </c>
      <c r="K14" t="n">
        <v>61.97</v>
      </c>
      <c r="L14" t="n">
        <v>3.024</v>
      </c>
      <c r="M14" t="inlineStr">
        <is>
          <t>53.8%</t>
        </is>
      </c>
      <c r="N14" t="n">
        <v>3.3</v>
      </c>
    </row>
    <row r="17">
      <c r="B17" t="inlineStr">
        <is>
          <t>КЛЮЧЕВЫЕ ИНСАЙТЫ UNIT ECONOMICS</t>
        </is>
      </c>
    </row>
    <row r="18">
      <c r="B18" t="inlineStr">
        <is>
          <t>Σ Total Cost / Σ COGS</t>
        </is>
      </c>
      <c r="F18" t="inlineStr">
        <is>
          <t>2127.5 млн ₽ = 2 127.5 млн ₽ (matches P&amp;L COGS)</t>
        </is>
      </c>
    </row>
    <row r="19">
      <c r="B19" t="inlineStr">
        <is>
          <t>Σ Revenue lifetime</t>
        </is>
      </c>
      <c r="F19" t="inlineStr">
        <is>
          <t>5595 млн ₽ = 4 545 (2026-2028) + 1 050 (tail 2029-32)</t>
        </is>
      </c>
    </row>
    <row r="20">
      <c r="B20" t="inlineStr">
        <is>
          <t>Portfolio Gross Margin (two-tier)</t>
        </is>
      </c>
      <c r="F20" t="inlineStr">
        <is>
          <t>53.8% blended (Films 55.8%, Series 47.0%) — отраслевой бенчмарк: 55–65% для фильмов, 45–50% для сериалов</t>
        </is>
      </c>
    </row>
    <row r="21">
      <c r="B21" t="inlineStr">
        <is>
          <t>Portfolio Multiple</t>
        </is>
      </c>
      <c r="F21" t="inlineStr">
        <is>
          <t>3.02× (безубыточность 1,2×, цель 2,5×)</t>
        </is>
      </c>
    </row>
    <row r="22">
      <c r="B22" t="inlineStr">
        <is>
          <t>Portfolio ROI</t>
        </is>
      </c>
    </row>
    <row r="23">
      <c r="B23" t="inlineStr">
        <is>
          <t>Средняя окупаемость</t>
        </is>
      </c>
      <c r="F23" t="inlineStr">
        <is>
          <t>3.3 Q (target ≤ 6 кварталов)</t>
        </is>
      </c>
    </row>
    <row r="24">
      <c r="B24" t="inlineStr">
        <is>
          <t>Высокорисковые проекты</t>
        </is>
      </c>
      <c r="F24" t="inlineStr">
        <is>
          <t>2 из 7 (Время героев 250, Горизонт событий 300)</t>
        </is>
      </c>
    </row>
    <row r="25">
      <c r="B25" t="inlineStr">
        <is>
          <t>Концентрация</t>
        </is>
      </c>
      <c r="F25" t="inlineStr">
        <is>
          <t>Top-3 budgets = 950 млн ₽ = 51.4% от portfolio</t>
        </is>
      </c>
    </row>
    <row r="26">
      <c r="B26" t="inlineStr">
        <is>
          <t>Формат</t>
        </is>
      </c>
      <c r="F26" t="inlineStr">
        <is>
          <t>5 фильмов + 2 сериала: диверсификация форматов снижает риск</t>
        </is>
      </c>
    </row>
    <row r="27"/>
    <row r="28"/>
    <row r="29"/>
    <row r="30"/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(ключевые показатели)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 года</t>
        </is>
      </c>
      <c r="H6" s="167" t="inlineStr">
        <is>
          <t>Tail (Хвостовой период) 29-32</t>
        </is>
      </c>
      <c r="I6" s="167" t="inlineStr">
        <is>
          <t>Σ Жизненный цикл</t>
        </is>
      </c>
      <c r="J6" s="167" t="inlineStr">
        <is>
          <t>Scenario (Сценарий)</t>
        </is>
      </c>
    </row>
    <row r="7">
      <c r="B7" s="244" t="inlineStr">
        <is>
          <t>I.  ВЫРУЧКА &amp; GROWTH</t>
        </is>
      </c>
    </row>
    <row r="8">
      <c r="B8" s="205" t="inlineStr">
        <is>
          <t>1.1</t>
        </is>
      </c>
      <c r="C8" s="213" t="inlineStr">
        <is>
          <t>Revenue (Выручка), млн ₽</t>
        </is>
      </c>
      <c r="D8" s="207" t="n">
        <v>570</v>
      </c>
      <c r="E8" s="207" t="n">
        <v>2475</v>
      </c>
      <c r="F8" s="207" t="n">
        <v>1500</v>
      </c>
      <c r="G8" s="232" t="n">
        <v>4545</v>
      </c>
      <c r="H8" s="207" t="n">
        <v>1050</v>
      </c>
      <c r="I8" s="207" t="n">
        <v>5595</v>
      </c>
      <c r="J8" s="247" t="inlineStr">
        <is>
          <t>Base (Базовый)</t>
        </is>
      </c>
    </row>
    <row r="9">
      <c r="B9" s="205" t="inlineStr">
        <is>
          <t>1.2</t>
        </is>
      </c>
      <c r="C9" s="213" t="inlineStr">
        <is>
          <t>Revenue (Выручка) YoY growth</t>
        </is>
      </c>
      <c r="D9" s="248" t="inlineStr">
        <is>
          <t>—</t>
        </is>
      </c>
      <c r="E9" s="248" t="inlineStr">
        <is>
          <t>334%</t>
        </is>
      </c>
      <c r="F9" s="248" t="inlineStr">
        <is>
          <t>-39%</t>
        </is>
      </c>
      <c r="G9" s="249" t="inlineStr">
        <is>
          <t>CAGR 62%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 (Базовый)</t>
        </is>
      </c>
    </row>
    <row r="10">
      <c r="B10" s="205" t="inlineStr">
        <is>
          <t>1.3</t>
        </is>
      </c>
      <c r="C10" s="213" t="inlineStr">
        <is>
          <t>Выпущено фильмов</t>
        </is>
      </c>
      <c r="D10" s="227" t="n">
        <v>1</v>
      </c>
      <c r="E10" s="227" t="n">
        <v>3</v>
      </c>
      <c r="F10" s="227" t="n">
        <v>3</v>
      </c>
      <c r="G10" s="250" t="n">
        <v>7</v>
      </c>
      <c r="H10" s="227" t="n">
        <v>0</v>
      </c>
      <c r="I10" s="227" t="n">
        <v>7</v>
      </c>
      <c r="J10" s="247" t="inlineStr">
        <is>
          <t>Base (Базовый)</t>
        </is>
      </c>
    </row>
    <row r="11">
      <c r="B11" s="205" t="inlineStr">
        <is>
          <t>1.4</t>
        </is>
      </c>
      <c r="C11" s="213" t="inlineStr">
        <is>
          <t>Avg budget per project, млн ₽</t>
        </is>
      </c>
      <c r="D11" s="207" t="n">
        <v>250</v>
      </c>
      <c r="E11" s="207" t="n">
        <v>250</v>
      </c>
      <c r="F11" s="207" t="n">
        <v>283.3</v>
      </c>
      <c r="G11" s="232" t="n">
        <v>264.3</v>
      </c>
      <c r="H11" s="248" t="inlineStr">
        <is>
          <t>—</t>
        </is>
      </c>
      <c r="I11" s="207" t="n">
        <v>264.3</v>
      </c>
      <c r="J11" s="247" t="inlineStr">
        <is>
          <t>Base (Базовый)</t>
        </is>
      </c>
    </row>
    <row r="13">
      <c r="B13" s="244" t="inlineStr">
        <is>
          <t>II.  РЕНТАБЕЛЬНОСТЬ — Dual Metric (Метрика)</t>
        </is>
      </c>
    </row>
    <row r="14">
      <c r="B14" s="205" t="inlineStr">
        <is>
          <t>2.1</t>
        </is>
      </c>
      <c r="C14" s="213" t="inlineStr">
        <is>
          <t>EBITDA (прибыль до вычетов) GAAP (стандарты бухучёта), млн ₽</t>
        </is>
      </c>
      <c r="D14" s="207" t="n">
        <v>203.3</v>
      </c>
      <c r="E14" s="207" t="n">
        <v>1258.3</v>
      </c>
      <c r="F14" s="207" t="n">
        <v>614.4</v>
      </c>
      <c r="G14" s="232" t="n">
        <v>2076.1</v>
      </c>
      <c r="H14" s="207" t="n">
        <v>-87</v>
      </c>
      <c r="I14" s="207" t="n">
        <v>1989.1</v>
      </c>
      <c r="J14" s="247" t="inlineStr">
        <is>
          <t>Base (Базовый)</t>
        </is>
      </c>
    </row>
    <row r="15">
      <c r="B15" s="205" t="inlineStr">
        <is>
          <t>2.2</t>
        </is>
      </c>
      <c r="C15" s="213" t="inlineStr">
        <is>
          <t>EBITDA (прибыль до вычетов) margin (маржа), %</t>
        </is>
      </c>
      <c r="D15" s="236" t="n">
        <v>35.67</v>
      </c>
      <c r="E15" s="236" t="n">
        <v>50.84</v>
      </c>
      <c r="F15" s="236" t="n">
        <v>40.96</v>
      </c>
      <c r="G15" s="251" t="n">
        <v>45.68</v>
      </c>
      <c r="H15" s="236" t="n">
        <v>-8.289999999999999</v>
      </c>
      <c r="I15" s="236" t="n">
        <v>35.55</v>
      </c>
      <c r="J15" s="247" t="inlineStr">
        <is>
          <t>Base (Базовый)</t>
        </is>
      </c>
    </row>
    <row r="16">
      <c r="B16" s="205" t="inlineStr">
        <is>
          <t>2.3</t>
        </is>
      </c>
      <c r="C16" s="213" t="inlineStr">
        <is>
          <t>NDP (чистые распределяемые поступления) (legacy (базовый вариант) anchor (якорь)),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 (Базовый)</t>
        </is>
      </c>
    </row>
    <row r="17">
      <c r="B17" s="205" t="inlineStr">
        <is>
          <t>2.4</t>
        </is>
      </c>
      <c r="C17" s="213" t="inlineStr">
        <is>
          <t>Net Profit (Чистая прибыль), млн ₽</t>
        </is>
      </c>
      <c r="D17" s="207" t="n">
        <v>132.4</v>
      </c>
      <c r="E17" s="207" t="n">
        <v>979.8</v>
      </c>
      <c r="F17" s="207" t="n">
        <v>475.2</v>
      </c>
      <c r="G17" s="232" t="n">
        <v>1587.4</v>
      </c>
      <c r="H17" s="207" t="n">
        <v>-115.8</v>
      </c>
      <c r="I17" s="207" t="n">
        <v>1471.6</v>
      </c>
      <c r="J17" s="247" t="inlineStr">
        <is>
          <t>Base (Базовый)</t>
        </is>
      </c>
    </row>
    <row r="18">
      <c r="B18" s="205" t="inlineStr">
        <is>
          <t>2.5</t>
        </is>
      </c>
      <c r="C18" s="213" t="inlineStr">
        <is>
          <t>Net Profit (Чистая прибыль) margin (маржа), %</t>
        </is>
      </c>
      <c r="D18" s="236" t="n">
        <v>23.23</v>
      </c>
      <c r="E18" s="236" t="n">
        <v>39.59</v>
      </c>
      <c r="F18" s="236" t="n">
        <v>31.68</v>
      </c>
      <c r="G18" s="251" t="n">
        <v>34.93</v>
      </c>
      <c r="H18" s="236" t="n">
        <v>-11.03</v>
      </c>
      <c r="I18" s="236" t="n">
        <v>26.3</v>
      </c>
      <c r="J18" s="247" t="inlineStr">
        <is>
          <t>Base (Базовый)</t>
        </is>
      </c>
    </row>
    <row r="20">
      <c r="B20" s="244" t="inlineStr">
        <is>
          <t>III.  ДОХОДНОСТЬ И МУЛЬТИПЛИКАТОРЫ</t>
        </is>
      </c>
    </row>
    <row r="21">
      <c r="B21" s="205" t="inlineStr">
        <is>
          <t>3.1</t>
        </is>
      </c>
      <c r="C21" s="213" t="inlineStr">
        <is>
          <t>ROI (возврат на инвестиции)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 (Базовый)</t>
        </is>
      </c>
    </row>
    <row r="22">
      <c r="B22" s="205" t="inlineStr">
        <is>
          <t>3.2</t>
        </is>
      </c>
      <c r="C22" s="213" t="inlineStr">
        <is>
          <t>Валовой мультипликатор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 (Базовый)</t>
        </is>
      </c>
    </row>
    <row r="23">
      <c r="B23" s="205" t="inlineStr">
        <is>
          <t>3.3</t>
        </is>
      </c>
      <c r="C23" s="593" t="inlineStr">
        <is>
          <t>IRR (внутренняя норма доходности) investor T₁ (W₅ V-D ★ default (по умолчанию)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(Базовый) W₅ V-D (margin (маржа) +6.75pp к hurdle (порог))</t>
        </is>
      </c>
    </row>
    <row r="24">
      <c r="B24" s="205" t="inlineStr">
        <is>
          <t>3.4</t>
        </is>
      </c>
      <c r="C24" s="593" t="inlineStr">
        <is>
          <t>MOIC (мультипликатор вложенного капитала)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 (Базовый)</t>
        </is>
      </c>
    </row>
    <row r="25">
      <c r="B25" s="205" t="inlineStr">
        <is>
          <t>3.5</t>
        </is>
      </c>
      <c r="C25" s="593" t="inlineStr">
        <is>
          <t>Payback (Окупаемость)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 (Базовый)</t>
        </is>
      </c>
    </row>
    <row r="26">
      <c r="B26" s="205" t="inlineStr">
        <is>
          <t>3.6</t>
        </is>
      </c>
      <c r="C26" s="213" t="inlineStr">
        <is>
          <t>EV (стоимость предприятия)/EBITDA (прибыль до вычетов)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 (Оптимистичный)</t>
        </is>
      </c>
    </row>
    <row r="28">
      <c r="B28" s="244" t="inlineStr">
        <is>
          <t>IV.  ДЕНЕЖНЫЕ СРЕДСТВА И ДОЛГ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 (Базовый)</t>
        </is>
      </c>
    </row>
    <row r="30">
      <c r="B30" s="205" t="inlineStr">
        <is>
          <t>4.2</t>
        </is>
      </c>
      <c r="C30" s="213" t="inlineStr">
        <is>
          <t>Cash (Денежные средства) end period, млн ₽</t>
        </is>
      </c>
      <c r="D30" s="248" t="inlineStr">
        <is>
          <t>—</t>
        </is>
      </c>
      <c r="E30" s="248" t="inlineStr">
        <is>
          <t>—</t>
        </is>
      </c>
      <c r="F30" s="248" t="n">
        <v>3424.57</v>
      </c>
      <c r="G30" s="249" t="n">
        <v>3424.57</v>
      </c>
      <c r="H30" s="248" t="n">
        <v>770.54</v>
      </c>
      <c r="I30" s="248" t="n">
        <v>770.54</v>
      </c>
      <c r="J30" s="247" t="inlineStr">
        <is>
          <t>Base (Базовый)</t>
        </is>
      </c>
    </row>
    <row r="31">
      <c r="B31" s="205" t="inlineStr">
        <is>
          <t>4.3</t>
        </is>
      </c>
      <c r="C31" s="213" t="inlineStr">
        <is>
          <t>Interest (Проценты)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 (Базовый)</t>
        </is>
      </c>
    </row>
    <row r="32">
      <c r="B32" s="205" t="inlineStr">
        <is>
          <t>4.4</t>
        </is>
      </c>
      <c r="C32" s="213" t="inlineStr">
        <is>
          <t>DSCR (EBITDA (прибыль до вычетов)/Interest (Проценты))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 (Базовый)</t>
        </is>
      </c>
    </row>
    <row r="33">
      <c r="B33" s="205" t="inlineStr">
        <is>
          <t>4.5</t>
        </is>
      </c>
      <c r="C33" s="213" t="inlineStr">
        <is>
          <t>Net Debt (Долг) / EBITDA (прибыль до вычетов)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 (Базовый)</t>
        </is>
      </c>
    </row>
    <row r="35">
      <c r="B35" s="244" t="inlineStr">
        <is>
          <t>V.  ОПЕРАЦИОННЫЕ</t>
        </is>
      </c>
    </row>
    <row r="36">
      <c r="B36" s="205" t="inlineStr">
        <is>
          <t>5.1</t>
        </is>
      </c>
      <c r="C36" s="213" t="inlineStr">
        <is>
          <t>Production CAPEX (Капзатраты), млн ₽</t>
        </is>
      </c>
      <c r="D36" s="207" t="n">
        <v>464</v>
      </c>
      <c r="E36" s="207" t="n">
        <v>986</v>
      </c>
      <c r="F36" s="207" t="n">
        <v>400</v>
      </c>
      <c r="G36" s="232" t="n">
        <v>1850</v>
      </c>
      <c r="H36" s="207" t="n">
        <v>0</v>
      </c>
      <c r="I36" s="207" t="n">
        <v>1850</v>
      </c>
      <c r="J36" s="247" t="inlineStr">
        <is>
          <t>Base (Базовый)</t>
        </is>
      </c>
    </row>
    <row r="37">
      <c r="B37" s="205" t="inlineStr">
        <is>
          <t>5.2</t>
        </is>
      </c>
      <c r="C37" s="213" t="inlineStr">
        <is>
          <t>P&amp;A (тиражирование и реклама) spend, млн ₽</t>
        </is>
      </c>
      <c r="D37" s="207" t="n">
        <v>32.9</v>
      </c>
      <c r="E37" s="207" t="n">
        <v>142.7</v>
      </c>
      <c r="F37" s="207" t="n">
        <v>86.5</v>
      </c>
      <c r="G37" s="232" t="n">
        <v>262</v>
      </c>
      <c r="H37" s="248" t="inlineStr">
        <is>
          <t>—</t>
        </is>
      </c>
      <c r="I37" s="207" t="n">
        <v>262</v>
      </c>
      <c r="J37" s="247" t="inlineStr">
        <is>
          <t>Base (Базовый)</t>
        </is>
      </c>
    </row>
    <row r="38">
      <c r="B38" s="205" t="inlineStr">
        <is>
          <t>5.3</t>
        </is>
      </c>
      <c r="C38" s="213" t="inlineStr">
        <is>
          <t>FOT (фонд оплаты труда), млн ₽</t>
        </is>
      </c>
      <c r="D38" s="207" t="n">
        <v>100.2</v>
      </c>
      <c r="E38" s="207" t="n">
        <v>108.2</v>
      </c>
      <c r="F38" s="207" t="n">
        <v>116.8</v>
      </c>
      <c r="G38" s="232" t="n">
        <v>325.1</v>
      </c>
      <c r="H38" s="248" t="n">
        <v>568.5</v>
      </c>
      <c r="I38" s="207" t="n">
        <v>893.6</v>
      </c>
      <c r="J38" s="247" t="inlineStr">
        <is>
          <t>Base (Базовый)</t>
        </is>
      </c>
    </row>
    <row r="39">
      <c r="B39" s="205" t="inlineStr">
        <is>
          <t>5.4</t>
        </is>
      </c>
      <c r="C39" s="213" t="inlineStr">
        <is>
          <t>Success rate (ROI (возврат на инвестиции)&gt;40%)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7/7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 (Базовый)</t>
        </is>
      </c>
    </row>
    <row r="40">
      <c r="B40" s="205" t="inlineStr">
        <is>
          <t>5.5</t>
        </is>
      </c>
      <c r="C40" s="213" t="inlineStr">
        <is>
          <t>Высокорисковые фильмы (% of budget (бюджет))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29.7%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 (Базовый)</t>
        </is>
      </c>
    </row>
    <row r="43">
      <c r="B43" s="244" t="inlineStr">
        <is>
          <t>VI. SCENARIO STRIPE (Revenue (Выручка) 2028 · EBITDA (прибыль до вычетов) 3Y · Net Profit (Чистая прибыль) 3Y · Exit EV (стоимость предприятия))</t>
        </is>
      </c>
    </row>
    <row r="44">
      <c r="B44" s="167" t="inlineStr">
        <is>
          <t>Сценарий</t>
        </is>
      </c>
      <c r="C44" s="167" t="inlineStr">
        <is>
          <t>Revenue (Выручка) 2028</t>
        </is>
      </c>
      <c r="D44" s="167" t="inlineStr">
        <is>
          <t>EBITDA (прибыль до вычетов) 3Y</t>
        </is>
      </c>
      <c r="E44" s="167" t="inlineStr">
        <is>
          <t>NDP (чистые распределяемые поступления) 3Y</t>
        </is>
      </c>
      <c r="F44" s="167" t="inlineStr">
        <is>
          <t>Net Profit (Чистая прибыль) 3Y</t>
        </is>
      </c>
      <c r="G44" s="167" t="inlineStr">
        <is>
          <t>IRR (внутренняя норма доходности) T₁</t>
        </is>
      </c>
      <c r="H44" s="167" t="inlineStr">
        <is>
          <t>MOIC (мультипликатор вложенного капитала) T₁</t>
        </is>
      </c>
      <c r="I44" s="167" t="inlineStr">
        <is>
          <t>EV (стоимость предприятия)/Mult</t>
        </is>
      </c>
      <c r="J44" s="167" t="inlineStr">
        <is>
          <t>EV (стоимость предприятия) млн ₽</t>
        </is>
      </c>
    </row>
    <row r="45">
      <c r="B45" s="254" t="inlineStr">
        <is>
          <t>Bear (Пессимистичный)</t>
        </is>
      </c>
      <c r="C45" s="202" t="n">
        <v>1125</v>
      </c>
      <c r="D45" s="202" t="n">
        <v>1625</v>
      </c>
      <c r="E45" s="202" t="n">
        <v>2250</v>
      </c>
      <c r="F45" s="202" t="n">
        <v>1263</v>
      </c>
      <c r="G45" s="255" t="inlineStr">
        <is>
          <t>10.70%</t>
        </is>
      </c>
      <c r="H45" s="255" t="inlineStr">
        <is>
          <t>1.44×</t>
        </is>
      </c>
      <c r="I45" s="255" t="inlineStr">
        <is>
          <t>3×</t>
        </is>
      </c>
      <c r="J45" s="202" t="n">
        <v>4875</v>
      </c>
    </row>
    <row r="46">
      <c r="B46" s="247" t="inlineStr">
        <is>
          <t>Base (Базовый)</t>
        </is>
      </c>
      <c r="C46" s="232" t="n">
        <v>1500</v>
      </c>
      <c r="D46" s="232" t="n">
        <v>2076.1</v>
      </c>
      <c r="E46" s="232" t="n">
        <v>3000</v>
      </c>
      <c r="F46" s="232" t="n">
        <v>1611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232" t="n">
        <v>10837</v>
      </c>
    </row>
    <row r="47">
      <c r="B47" s="234" t="inlineStr">
        <is>
          <t>Bull (Оптимистичный)</t>
        </is>
      </c>
      <c r="C47" s="193" t="n">
        <v>1875</v>
      </c>
      <c r="D47" s="193" t="n">
        <v>2709</v>
      </c>
      <c r="E47" s="193" t="n">
        <v>4200</v>
      </c>
      <c r="F47" s="193" t="n">
        <v>2105</v>
      </c>
      <c r="G47" s="257" t="inlineStr">
        <is>
          <t>34.45%</t>
        </is>
      </c>
      <c r="H47" s="257" t="inlineStr">
        <is>
          <t>2.70×</t>
        </is>
      </c>
      <c r="I47" s="257" t="inlineStr">
        <is>
          <t>7×</t>
        </is>
      </c>
      <c r="J47" s="193" t="n">
        <v>18963</v>
      </c>
    </row>
    <row r="50">
      <c r="B50" s="258" t="inlineStr">
        <is>
      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(ОЦЕНКА) — TRADING &amp; PRECEDENT MULTIPLES (ТОРГОВЫЕ И ПРЕЦЕДЕНТНЫЕ МУЛЬТИПЛИКАТОРЫ) + FOOTBALL FIELD (ФУТБОЛЬНОЕ ПОЛЕ)</t>
        </is>
      </c>
    </row>
    <row r="3"/>
    <row r="4">
      <c r="B4" s="189" t="inlineStr">
        <is>
          <t>Сравнительная оценка с peers российского кино/OTT (онлайн-платформа)-рынка и прецеденты M&amp;A (слияния и поглощения) сделок 2022–2025</t>
        </is>
      </c>
    </row>
    <row r="6">
      <c r="B6" s="244" t="inlineStr">
        <is>
          <t>I. ТОРГОВЫЕ МУЛЬТИПЛИКАТОРЫ — ГРУППА АНАЛОГОВ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 (Выручка)</t>
        </is>
      </c>
      <c r="F7" s="167" t="inlineStr">
        <is>
          <t>EBITDA (прибыль до вычетов)</t>
        </is>
      </c>
      <c r="G7" s="167" t="inlineStr">
        <is>
          <t>EV (стоимость предприятия)</t>
        </is>
      </c>
      <c r="H7" s="167" t="inlineStr">
        <is>
          <t>EV (стоимость предприятия)/Rev</t>
        </is>
      </c>
      <c r="I7" s="167" t="inlineStr">
        <is>
          <t>EV (стоимость предприятия)/EBITDA (прибыль до вычетов)</t>
        </is>
      </c>
      <c r="J7" s="167" t="inlineStr">
        <is>
          <t>EBITDA (прибыль до вычетов)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(онлайн-платформа)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(онлайн-платформа)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 (Сбер Развлечения)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(онлайн-платформа) AVOD (рекламный стриминг)+SVOD (подписной стриминг)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 (Частный)</t>
        </is>
      </c>
    </row>
    <row r="11">
      <c r="B11" s="205" t="n">
        <v>4</v>
      </c>
      <c r="C11" s="206" t="inlineStr">
        <is>
          <t>START (СТАРТ)</t>
        </is>
      </c>
      <c r="D11" s="206" t="inlineStr">
        <is>
          <t>OTT (онлайн-платформа)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 (Премьера)</t>
        </is>
      </c>
      <c r="D12" s="206" t="inlineStr">
        <is>
          <t>OTT (онлайн-платформа)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 (Производство)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 (Среднее)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 (Медиана)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 (Минимум)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 (Максимум)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706 · Rev 2028 = 1500)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 (Мультипликатор)</t>
        </is>
      </c>
      <c r="H21" s="167" t="inlineStr">
        <is>
          <t>Base (Базовый)</t>
        </is>
      </c>
      <c r="I21" s="167" t="inlineStr">
        <is>
          <t>Implied EV (стоимость предприятия)</t>
        </is>
      </c>
      <c r="J21" s="186" t="n"/>
      <c r="K21" s="187" t="n"/>
    </row>
    <row r="22">
      <c r="B22" s="206" t="inlineStr">
        <is>
          <t>Peer Min × EBITDA (прибыль до вычетов) 2028</t>
        </is>
      </c>
      <c r="C22" s="186" t="n"/>
      <c r="D22" s="186" t="n"/>
      <c r="E22" s="186" t="n"/>
      <c r="F22" s="187" t="n"/>
      <c r="G22" s="237" t="n">
        <v>4.76</v>
      </c>
      <c r="H22" s="207" t="n">
        <v>706</v>
      </c>
      <c r="I22" s="270" t="n">
        <v>3358.85</v>
      </c>
      <c r="J22" s="186" t="n"/>
      <c r="K22" s="187" t="n"/>
    </row>
    <row r="23">
      <c r="B23" s="206" t="inlineStr">
        <is>
          <t>Peer Median × EBITDA (прибыль до вычетов) 2028</t>
        </is>
      </c>
      <c r="C23" s="186" t="n"/>
      <c r="D23" s="186" t="n"/>
      <c r="E23" s="186" t="n"/>
      <c r="F23" s="187" t="n"/>
      <c r="G23" s="237" t="n">
        <v>5.71</v>
      </c>
      <c r="H23" s="207" t="n">
        <v>706</v>
      </c>
      <c r="I23" s="270" t="n">
        <v>4029.2</v>
      </c>
      <c r="J23" s="186" t="n"/>
      <c r="K23" s="187" t="n"/>
    </row>
    <row r="24">
      <c r="B24" s="206" t="inlineStr">
        <is>
          <t>Peer Mean × EBITDA (прибыль до вычетов)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706</v>
      </c>
      <c r="I24" s="270" t="n">
        <v>4048.04</v>
      </c>
      <c r="J24" s="186" t="n"/>
      <c r="K24" s="187" t="n"/>
    </row>
    <row r="25">
      <c r="B25" s="206" t="inlineStr">
        <is>
          <t>Peer Max × EBITDA (прибыль до вычетов) 2028</t>
        </is>
      </c>
      <c r="C25" s="186" t="n"/>
      <c r="D25" s="186" t="n"/>
      <c r="E25" s="186" t="n"/>
      <c r="F25" s="187" t="n"/>
      <c r="G25" s="237" t="n">
        <v>6.67</v>
      </c>
      <c r="H25" s="207" t="n">
        <v>706</v>
      </c>
      <c r="I25" s="270" t="n">
        <v>4706.62</v>
      </c>
      <c r="J25" s="186" t="n"/>
      <c r="K25" s="187" t="n"/>
    </row>
    <row r="26">
      <c r="B26" s="206" t="inlineStr">
        <is>
          <t>Peer Min × Revenue (Выручка) 2028</t>
        </is>
      </c>
      <c r="C26" s="186" t="n"/>
      <c r="D26" s="186" t="n"/>
      <c r="E26" s="186" t="n"/>
      <c r="F26" s="187" t="n"/>
      <c r="G26" s="237" t="n">
        <v>0.8</v>
      </c>
      <c r="H26" s="207" t="n">
        <v>1500</v>
      </c>
      <c r="I26" s="270" t="n">
        <v>1200</v>
      </c>
      <c r="J26" s="186" t="n"/>
      <c r="K26" s="187" t="n"/>
    </row>
    <row r="27">
      <c r="B27" s="206" t="inlineStr">
        <is>
          <t>Peer Median × Revenue (Выручка) 2028</t>
        </is>
      </c>
      <c r="C27" s="186" t="n"/>
      <c r="D27" s="186" t="n"/>
      <c r="E27" s="186" t="n"/>
      <c r="F27" s="187" t="n"/>
      <c r="G27" s="237" t="n">
        <v>0.8</v>
      </c>
      <c r="H27" s="207" t="n">
        <v>1500</v>
      </c>
      <c r="I27" s="270" t="n">
        <v>1200</v>
      </c>
      <c r="J27" s="186" t="n"/>
      <c r="K27" s="187" t="n"/>
    </row>
    <row r="28">
      <c r="B28" s="206" t="inlineStr">
        <is>
          <t>Peer Mean × Revenue (Выручка)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1500</v>
      </c>
      <c r="I28" s="270" t="n">
        <v>1264.95</v>
      </c>
      <c r="J28" s="186" t="n"/>
      <c r="K28" s="187" t="n"/>
    </row>
    <row r="29">
      <c r="B29" s="206" t="inlineStr">
        <is>
          <t>Peer Max × Revenue (Выручка) 2028</t>
        </is>
      </c>
      <c r="C29" s="186" t="n"/>
      <c r="D29" s="186" t="n"/>
      <c r="E29" s="186" t="n"/>
      <c r="F29" s="187" t="n"/>
      <c r="G29" s="237" t="n">
        <v>1.05</v>
      </c>
      <c r="H29" s="207" t="n">
        <v>1500</v>
      </c>
      <c r="I29" s="270" t="n">
        <v>1575</v>
      </c>
      <c r="J29" s="186" t="n"/>
      <c r="K29" s="187" t="n"/>
    </row>
    <row r="32">
      <c r="B32" s="244" t="inlineStr">
        <is>
          <t>III. PRECEDENT M&amp;A (слияния и поглощения) TRANSACTIONS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 (Целевая выручка)</t>
        </is>
      </c>
      <c r="G33" s="167" t="inlineStr">
        <is>
          <t>Deal EV (стоимость предприятия)</t>
        </is>
      </c>
      <c r="H33" s="167" t="inlineStr">
        <is>
          <t>EV (стоимость предприятия)/Rev</t>
        </is>
      </c>
      <c r="I33" s="167" t="inlineStr">
        <is>
          <t>EV (стоимость предприятия)/EBITDA (прибыль до вычетов)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(онлайн-платформа) в экосистеме</t>
        </is>
      </c>
      <c r="K34" s="187" t="n"/>
    </row>
    <row r="35">
      <c r="B35" s="205" t="n">
        <v>2</v>
      </c>
      <c r="C35" s="206" t="inlineStr">
        <is>
          <t>Газпром-Медиа → Premier (Премьера)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 (Премьера)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(ФУТБОЛЬНОЕ ПОЛЕ)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 (Высокий)</t>
        </is>
      </c>
      <c r="H40" s="167" t="inlineStr">
        <is>
          <t>Commentary (Комментарий)</t>
        </is>
      </c>
      <c r="I40" s="186" t="n"/>
      <c r="J40" s="186" t="n"/>
      <c r="K40" s="187" t="n"/>
    </row>
    <row r="41">
      <c r="B41" s="213" t="inlineStr">
        <is>
          <t>DCF (дисконтированный денежный поток) — Gordon Growth (Модель Гордона)</t>
        </is>
      </c>
      <c r="C41" s="186" t="n"/>
      <c r="D41" s="187" t="n"/>
      <c r="E41" s="207" t="n">
        <v>278.57</v>
      </c>
      <c r="F41" s="173" t="n">
        <v>327.73</v>
      </c>
      <c r="G41" s="207" t="n">
        <v>376.89</v>
      </c>
      <c r="H41" s="159" t="inlineStr">
        <is>
          <t>g=3%, WACC (средневзвешенная стоимость капитала)=19.1%, sensitivity ±15%</t>
        </is>
      </c>
      <c r="I41" s="186" t="n"/>
      <c r="J41" s="186" t="n"/>
      <c r="K41" s="187" t="n"/>
    </row>
    <row r="42">
      <c r="B42" s="213" t="inlineStr">
        <is>
          <t>DCF (дисконтированный денежный поток) — Exit Multiple (Мультипликатор выхода)</t>
        </is>
      </c>
      <c r="C42" s="186" t="n"/>
      <c r="D42" s="187" t="n"/>
      <c r="E42" s="207" t="n">
        <v>1036.92</v>
      </c>
      <c r="F42" s="173" t="n">
        <v>1219.91</v>
      </c>
      <c r="G42" s="207" t="n">
        <v>1402.9</v>
      </c>
      <c r="H42" s="159" t="inlineStr">
        <is>
          <t>5× EBITDA2030, ±15% чувствительность</t>
        </is>
      </c>
      <c r="I42" s="186" t="n"/>
      <c r="J42" s="186" t="n"/>
      <c r="K42" s="187" t="n"/>
    </row>
    <row r="43">
      <c r="B43" s="213" t="inlineStr">
        <is>
          <t>Trading Multiples (Торговые мультипликаторы) — EV (стоимость предприятия)/EBITDA (прибыль до вычетов)</t>
        </is>
      </c>
      <c r="C43" s="186" t="n"/>
      <c r="D43" s="187" t="n"/>
      <c r="E43" s="207" t="n">
        <v>3358.85</v>
      </c>
      <c r="F43" s="173" t="n">
        <v>4029.2</v>
      </c>
      <c r="G43" s="207" t="n">
        <v>4706.62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(Торговые мультипликаторы) — EV (стоимость предприятия)/Revenue (Выручка)</t>
        </is>
      </c>
      <c r="C44" s="186" t="n"/>
      <c r="D44" s="187" t="n"/>
      <c r="E44" s="207" t="n">
        <v>1200</v>
      </c>
      <c r="F44" s="173" t="n">
        <v>1200</v>
      </c>
      <c r="G44" s="207" t="n">
        <v>1575</v>
      </c>
      <c r="H44" s="159" t="inlineStr">
        <is>
          <t>Peer median 0,80× × Выручка 2028</t>
        </is>
      </c>
      <c r="I44" s="186" t="n"/>
      <c r="J44" s="186" t="n"/>
      <c r="K44" s="187" t="n"/>
    </row>
    <row r="45">
      <c r="B45" s="213" t="inlineStr">
        <is>
          <t>Прецедентные сделки</t>
        </is>
      </c>
      <c r="C45" s="186" t="n"/>
      <c r="D45" s="187" t="n"/>
      <c r="E45" s="207" t="n">
        <v>3538.78</v>
      </c>
      <c r="F45" s="173" t="n">
        <v>4163.28</v>
      </c>
      <c r="G45" s="207" t="n">
        <v>4787.77</v>
      </c>
      <c r="H45" s="159" t="inlineStr">
        <is>
          <t>Med 5.90× (3 M&amp;A (слияния и поглощения))</t>
        </is>
      </c>
      <c r="I45" s="186" t="n"/>
      <c r="J45" s="186" t="n"/>
      <c r="K45" s="187" t="n"/>
    </row>
    <row r="46">
      <c r="B46" s="213" t="inlineStr">
        <is>
          <t>Scenario (Сценарий) Base (Базовый) (internal)</t>
        </is>
      </c>
      <c r="C46" s="186" t="n"/>
      <c r="D46" s="187" t="n"/>
      <c r="E46" s="207" t="n">
        <v>6502</v>
      </c>
      <c r="F46" s="173" t="n">
        <v>10837</v>
      </c>
      <c r="G46" s="207" t="n">
        <v>15171</v>
      </c>
      <c r="H46" s="159" t="inlineStr">
        <is>
          <t>EBITDA (прибыль до вычетов)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 (Футбольное поле (сводка оценок))</t>
        </is>
      </c>
      <c r="C48" s="186" t="n"/>
      <c r="D48" s="187" t="n"/>
      <c r="E48" s="271" t="n">
        <v>278.57</v>
      </c>
      <c r="F48" s="271" t="n">
        <v>7724.78</v>
      </c>
      <c r="G48" s="271" t="n">
        <v>15171</v>
      </c>
      <c r="H48" s="180" t="inlineStr">
        <is>
          <t>Envelope: 279 – 15171, mid ≈ 7725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ИНВЕСТОР RETURNS — T₁ LEGACY 1 250 млн ₽  ·  3 Scenarios × 4 Waterfalls  ·  Base (Базовый) illustration = W₃ DEFAULT (ПО УМОЛЧАНИЮ)</t>
        </is>
      </c>
    </row>
    <row r="3"/>
    <row r="4">
      <c r="B4" s="189" t="inlineStr">
        <is>
      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Single methodology: out quarterly 2026, in annual (годовой) 2029-2032 (20/50/15/15 split (разделение)).</t>
        </is>
      </c>
    </row>
    <row r="6">
      <c r="B6" s="577" t="inlineStr">
        <is>
          <t>I. T₁ ИНВЕСТОР CASHFLOW SCHEDULE (Base (Базовый) case · W₅ V-D ★ DEFAULT (ПО УМОЛЧАНИЮ) v1.0.1 · L8+L4 Liq Pref (Ликвидационная привилегия)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 (Транш)/Repay</t>
        </is>
      </c>
      <c r="F7" s="167" t="inlineStr">
        <is>
          <t>Interest (Проценты)</t>
        </is>
      </c>
      <c r="G7" s="167" t="inlineStr">
        <is>
          <t>Equity Upside (Верхний сценарий) (Потенциал роста капитала)</t>
        </is>
      </c>
      <c r="H7" s="167" t="inlineStr">
        <is>
          <t>Чистый ДП</t>
        </is>
      </c>
      <c r="I7" s="167" t="inlineStr">
        <is>
          <t>Кумулятив. ДП</t>
        </is>
      </c>
      <c r="J7" s="167" t="inlineStr">
        <is>
          <t>Peak Exposure (Максимальная экспозиция)</t>
        </is>
      </c>
      <c r="K7" s="167" t="inlineStr">
        <is>
          <t>Type (Тип)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(Транш)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(Транш)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(Транш)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(Транш)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(Ликвидационная привилегия)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(привил.) 12% + T3 catch-up (догоняющий)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(хвостовой период)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 (остаток))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(внутренняя норма доходности) / MOIC (мультипликатор вложенного капитала)) — W₅ V-D ★ DEFAULT (ПО УМОЛЧАНИЮ)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 (внутренняя норма доходности)</t>
        </is>
      </c>
      <c r="E19" s="530" t="inlineStr">
        <is>
          <t>W₁ MOIC (мультипликатор вложенного капитала)</t>
        </is>
      </c>
      <c r="F19" s="530" t="inlineStr">
        <is>
          <t>W₂ IRR (внутренняя норма доходности)</t>
        </is>
      </c>
      <c r="G19" s="530" t="inlineStr">
        <is>
          <t>W₂ MOIC (мультипликатор вложенного капитала)</t>
        </is>
      </c>
      <c r="H19" s="530" t="inlineStr">
        <is>
          <t>W₃ IRR (внутренняя норма доходности)</t>
        </is>
      </c>
      <c r="I19" s="530" t="inlineStr">
        <is>
          <t>W₃ MOIC (мультипликатор вложенного капитала)</t>
        </is>
      </c>
      <c r="J19" s="530" t="inlineStr">
        <is>
          <t>W₄ IRR (внутренняя норма доходности)</t>
        </is>
      </c>
      <c r="K19" s="530" t="inlineStr">
        <is>
          <t>W₄ MOIC (мультипликатор вложенного капитала)</t>
        </is>
      </c>
      <c r="L19" s="578" t="inlineStr">
        <is>
          <t>W₅ IRR (внутренняя норма доходности)</t>
        </is>
      </c>
      <c r="M19" s="578" t="inlineStr">
        <is>
          <t>W₅ MOIC (мультипликатор вложенного капитала)</t>
        </is>
      </c>
      <c r="N19" s="571" t="inlineStr">
        <is>
          <t>Best (Лучший)</t>
        </is>
      </c>
      <c r="O19" s="571" t="inlineStr">
        <is>
          <t>NDP (чистые распределяемые поступления)</t>
        </is>
      </c>
    </row>
    <row r="20">
      <c r="B20" s="200" t="n">
        <v>1</v>
      </c>
      <c r="C20" s="254" t="inlineStr">
        <is>
          <t>Bear (Пессимистичный)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 (Базовый)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 (Оптимистичный)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(Базовый) case · W₅ V-D ★ DEFAULT (ПО УМОЛЧАНИЮ) v1.0.1)</t>
        </is>
      </c>
    </row>
    <row r="26">
      <c r="B26" s="213" t="inlineStr">
        <is>
          <t>Валовые инвестиции (4 tranches (транши))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 (отток)</t>
        </is>
      </c>
      <c r="J26" s="186" t="n"/>
      <c r="K26" s="187" t="n"/>
    </row>
    <row r="27">
      <c r="B27" s="213" t="inlineStr">
        <is>
          <t>Валовые поступления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 (ограниченный партнёр)+750 Pref+402 Cu+256 Carry ≈ 2657</t>
        </is>
      </c>
      <c r="J27" s="186" t="n"/>
      <c r="K27" s="187" t="n"/>
    </row>
    <row r="28">
      <c r="B28" s="213" t="inlineStr">
        <is>
          <t>Net Gain (Чистая прибыль от выхода)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(Чистая прибыль) = 2657 − 1250 = 1407 (W₅ V-D)</t>
        </is>
      </c>
      <c r="J28" s="186" t="n"/>
      <c r="K28" s="187" t="n"/>
    </row>
    <row r="29">
      <c r="B29" s="213" t="inlineStr">
        <is>
          <t>Net Gain (Чистая прибыль от выхода)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(Итого) return % (net gain / invest) — W₅ V-D</t>
        </is>
      </c>
      <c r="J29" s="186" t="n"/>
      <c r="K29" s="187" t="n"/>
    </row>
    <row r="30">
      <c r="B30" s="213" t="inlineStr">
        <is>
          <t>MOIC (мультипликатор вложенного капитала) (Multiple (Мультипликатор) on Invested Capital (Капитал))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(мультипликатор вложенного капитала) = 2657/1250 ≈ 2.13× (W₅ V-D institutional)</t>
        </is>
      </c>
      <c r="J30" s="186" t="n"/>
      <c r="K30" s="187" t="n"/>
    </row>
    <row r="31">
      <c r="B31" s="213" t="inlineStr">
        <is>
          <t>DPI (распределения к вложенному)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(распределения к вложенному) fully realized to 2032 (W₅ V-D)</t>
        </is>
      </c>
      <c r="J31" s="186" t="n"/>
      <c r="K31" s="187" t="n"/>
    </row>
    <row r="32">
      <c r="B32" s="213" t="inlineStr">
        <is>
          <t>TVPI (общая стоимость к вложенному) (Total (Итого)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 t="inlineStr">
        <is>
          <t>= DPI (распределения к вложенному) (no NAV residual (остаток))</t>
        </is>
      </c>
      <c r="J32" s="186" t="n"/>
      <c r="K32" s="187" t="n"/>
    </row>
    <row r="33">
      <c r="B33" s="213" t="inlineStr">
        <is>
          <t>IRR (внутренняя норма доходности)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(Порог) 18%, PASS — W₅ V-D LP (ограниченный партнёр) IRR (внутренняя норма доходности) ≈ 24.75%</t>
        </is>
      </c>
      <c r="J33" s="186" t="n"/>
      <c r="K33" s="187" t="n"/>
    </row>
    <row r="34">
      <c r="B34" s="213" t="inlineStr">
        <is>
          <t>Peak Exposure (Максимальная экспозиция)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полное освоение 1 250 (без изменений)</t>
        </is>
      </c>
      <c r="J34" s="186" t="n"/>
      <c r="K34" s="187" t="n"/>
    </row>
    <row r="35">
      <c r="B35" s="213" t="inlineStr">
        <is>
          <t>Payback (Окупаемость) period (Срок окупаемости)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(Окупаемость) ~Q1'30 — A+C pattern (паттерн) accelerates recovery vs W₃ 3.75y</t>
        </is>
      </c>
      <c r="J35" s="186" t="n"/>
      <c r="K35" s="187" t="n"/>
    </row>
    <row r="38">
      <c r="B38" s="577" t="inlineStr">
        <is>
          <t>IV. RETURN ATTRIBUTION — РАЗБИВКА ROI (возврат на инвестиции) (Base (Базовый) W₅ V-D ★ DEFAULT (ПО УМОЛЧАНИЮ)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(Ликвидационная привилегия)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(старший возврат) 1× = 1 250</t>
        </is>
      </c>
      <c r="K40" s="187" t="n"/>
    </row>
    <row r="41">
      <c r="B41" s="205" t="n">
        <v>2</v>
      </c>
      <c r="C41" s="206" t="inlineStr">
        <is>
          <t>Preferred Return Coupon (Купон)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(Транш) (W₅ T3 — 70% LP (ограниченный партнёр) / 30% Producer (Продюсер) to hurdle (порог)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(ограниченный партнёр) = 402; aligns IRR (внутренняя норма доходности) to 18% hurdle (порог)</t>
        </is>
      </c>
      <c r="K42" s="187" t="n"/>
    </row>
    <row r="43">
      <c r="B43" s="179" t="n">
        <v>4</v>
      </c>
      <c r="C43" s="180" t="inlineStr">
        <is>
          <t>Carry Residual (Остаток) (W₅ T4 — 60% LP (ограниченный партнёр) / 40% Producer (Продюсер))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(остаток) 426 × 60% LP (ограниченный партнёр)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(возврат на инвестиции) (W₅ V-D ★ DEFAULT (ПО УМОЛЧАНИЮ) v1.0.1)</t>
        </is>
      </c>
      <c r="H44" s="357" t="n">
        <v>2657</v>
      </c>
      <c r="I44" s="357" t="n">
        <v>99.90000000000001</v>
      </c>
      <c r="J44" s="357" t="inlineStr">
        <is>
          <t>= 1250 + 750 + 402 + 256 ≈ 2 657 (W₅ V-D · NDP (чистые распределяемые поступления) 3000 · MoIC 2.13×)</t>
        </is>
      </c>
    </row>
    <row r="46">
      <c r="B46" s="585" t="inlineStr">
        <is>
          <t>V. STRUCTURAL DISCLAIMERS (ОТКАЗ ОТ ОТВЕТСТВЕННОСТИ) — W₅ V-D LIMITATIONS &amp; DESIGN CHOICES (v1.0.1)</t>
        </is>
      </c>
    </row>
    <row r="47" ht="45" customHeight="1">
      <c r="B47" s="586" t="inlineStr">
        <is>
          <t>V.1 BEAR SCENARIO IRR (внутренняя норма доходности) &lt; HURDLE: Под Stress Bear (Стресс-пессимистичный) (NDP (чистые распределяемые поступления)=1800) Investor (Инвестор) IRR (внутренняя норма доходности) W₅ V-D = 10.70% (vs hurdle (порог) 18%). Под Downside (Нижний сценарий) (NDP (чистые распределяемые поступления)=2400) IRR (внутренняя норма доходности) = 18.87% (margin (маржа) к hurdle (порог)). Hurdle (Порог) break-even target NDP (чистые распределяемые поступления) ≥ 2 402 млн ₽. Capital (Капитал) protection: Liq Pref (Ликвидационная привилегия) 1× = 1250 (MoIC ≥ 1.44× в Bear (Пессимистичный)). См. 27_Scenario_Analysis r15.</t>
        </is>
      </c>
      <c r="C47" s="587" t="inlineStr">
        <is>
          <t>Bear (Пессимистичный) scenario IRR (внутренняя норма доходности) &lt; 18% hurdle (порог) — Под Bear (Пессимистичный) NDP (чистые распределяемые поступления)=2250 LP (ограниченный партнёр) IRR=17.12% (W₅), что НИЖЕ 18% hurdle (порог). Это НЕ дефект waterfall (каскад) — это арифметика: hurdle (порог) target=2402, при NDP&lt;2402 целевой IRR недостижим никаким распределением. Downside (Нижний сценарий) protection обеспечивается T1 Liq Pref (Ликвидационная привилегия) 1× (LP (ограниченный партнёр)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(Оптимистичный) W₄ MoIC 2.51 &gt; W₅ MoIC 2.49 (industry tradeoff) — Под Bull NDP (чистые распределяемые поступления)=3750 W₄ даёт LP (ограниченный партнёр) 0.02× больше MoIC чем W₅. Разница 0.8%, в пределах MC σ ~0.3-0.4. W₅ V-D выбран как DEFAULT (ПО УМОЛЧАНИЮ) по причине: (1) catch-up до hurdle (порог) защищает Producer (Продюсер) alignment, (2) carry 60/40 — industry standard для venture/film finance, (3) institutional LP-investors ожидают именно такую структуру. Перекалибровка carry на 70/30 дала бы MoIC 2.58 в Bull (Оптимистичный), но создала бы misalignment incentives для Producer и сигнализировала «жадный waterfall (каскад)».</t>
        </is>
      </c>
    </row>
    <row r="49" ht="45" customHeight="1">
      <c r="B49" s="586" t="inlineStr">
        <is>
          <t>V.3</t>
        </is>
      </c>
      <c r="C49" s="587" t="inlineStr">
        <is>
          <t>Revenue (Выручка) pattern (паттерн) A+C 33/45/9/13 (зависимость) — Метрики выше рассчитаны под A+C fast pattern (Domestic 2700 + SVoD presell 270 + International 300). Под slower B pattern (60/30/8/2) LP (ограниченный партнёр) IRR (внутренняя норма доходности)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(Порог) target 2402 vs scenario NDP (чистые распределяемые поступления) — Hurdle (Порог) 2402 = INVEST/Σ(pattern (паттерн)×discount@18%). NDP scenarios: Bear (Пессимистичный) 2250 (&lt; hurdle (порог)), Base (Базовый) 3000 (&gt; hurdle (порог)), Bull (Оптимистичный) 3750 (&gt;&gt; hurdle (порог)). P(NDP &gt; hurdle) = ключевая Monte Carlo (Монте-Карло) метрика, которая отвечает на вопрос «какова вероятность достижения 18% IRR (внутренняя норма доходности)»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(СЦЕНАРИИ ВЫХОДА)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 (стоимость предприятия), net proceeds и probability-weighted expected value</t>
        </is>
      </c>
    </row>
    <row r="6">
      <c r="B6" s="244" t="inlineStr">
        <is>
          <t>I. EXIT ROUTES MATRIX (EBITDA (прибыль до вычетов) base × Multiple (Мультипликатор) → EV (стоимость предприятия) → Equity (Собственный капитал))</t>
        </is>
      </c>
    </row>
    <row r="7">
      <c r="B7" s="167" t="inlineStr">
        <is>
          <t>#</t>
        </is>
      </c>
      <c r="C7" s="167" t="inlineStr">
        <is>
          <t>Маршрут выхода</t>
        </is>
      </c>
      <c r="D7" s="167" t="inlineStr">
        <is>
          <t>Timing (Сроки)</t>
        </is>
      </c>
      <c r="E7" s="167" t="inlineStr">
        <is>
          <t>EBITDA (прибыль до вычетов) base</t>
        </is>
      </c>
      <c r="F7" s="167" t="inlineStr">
        <is>
          <t>Multiple (Мультипликатор)</t>
        </is>
      </c>
      <c r="G7" s="167" t="inlineStr">
        <is>
          <t>EV (стоимость предприятия) млн ₽</t>
        </is>
      </c>
      <c r="H7" s="167" t="inlineStr">
        <is>
          <t>Net Debt (Долг)</t>
        </is>
      </c>
      <c r="I7" s="167" t="inlineStr">
        <is>
          <t>Equity (Собственный капитал)</t>
        </is>
      </c>
      <c r="J7" s="167" t="inlineStr">
        <is>
          <t>T₁ proceeds (поступления)</t>
        </is>
      </c>
      <c r="K7" s="167" t="inlineStr">
        <is>
          <t>Вер. %</t>
        </is>
      </c>
    </row>
    <row r="8">
      <c r="B8" s="205" t="n">
        <v>1</v>
      </c>
      <c r="C8" s="281" t="inlineStr">
        <is>
          <t>Strategic (Стратегический) Sale (Стратегическая продажа)</t>
        </is>
      </c>
      <c r="D8" s="205" t="inlineStr">
        <is>
          <t>2028</t>
        </is>
      </c>
      <c r="E8" s="207" t="n">
        <v>936</v>
      </c>
      <c r="F8" s="266" t="n">
        <v>6</v>
      </c>
      <c r="G8" s="207" t="n">
        <v>5616</v>
      </c>
      <c r="H8" s="207" t="n">
        <v>1250</v>
      </c>
      <c r="I8" s="207" t="n">
        <v>4366</v>
      </c>
      <c r="J8" s="207" t="n">
        <v>2184</v>
      </c>
      <c r="K8" s="282" t="n">
        <v>15</v>
      </c>
    </row>
    <row r="9">
      <c r="B9" s="205" t="n">
        <v>2</v>
      </c>
      <c r="C9" s="281" t="inlineStr">
        <is>
          <t>Strategic (Стратегический) Sale (Стратегическая продажа)</t>
        </is>
      </c>
      <c r="D9" s="205" t="inlineStr">
        <is>
          <t>2030</t>
        </is>
      </c>
      <c r="E9" s="207" t="n">
        <v>640</v>
      </c>
      <c r="F9" s="266" t="n">
        <v>5.5</v>
      </c>
      <c r="G9" s="207" t="n">
        <v>3520</v>
      </c>
      <c r="H9" s="207" t="n">
        <v>0</v>
      </c>
      <c r="I9" s="207" t="n">
        <v>3520</v>
      </c>
      <c r="J9" s="207" t="n">
        <v>1882</v>
      </c>
      <c r="K9" s="282" t="n">
        <v>20</v>
      </c>
    </row>
    <row r="10">
      <c r="B10" s="205" t="n">
        <v>3</v>
      </c>
      <c r="C10" s="192" t="inlineStr">
        <is>
          <t>IPO (первичное размещение)</t>
        </is>
      </c>
      <c r="D10" s="205" t="inlineStr">
        <is>
          <t>2028</t>
        </is>
      </c>
      <c r="E10" s="207" t="n">
        <v>936</v>
      </c>
      <c r="F10" s="266" t="n">
        <v>7</v>
      </c>
      <c r="G10" s="207" t="n">
        <v>6552</v>
      </c>
      <c r="H10" s="207" t="n">
        <v>1250</v>
      </c>
      <c r="I10" s="207" t="n">
        <v>5302</v>
      </c>
      <c r="J10" s="207" t="n">
        <v>2519</v>
      </c>
      <c r="K10" s="282" t="n">
        <v>5</v>
      </c>
    </row>
    <row r="11">
      <c r="B11" s="205" t="n">
        <v>4</v>
      </c>
      <c r="C11" s="192" t="inlineStr">
        <is>
          <t>IPO (первичное размещение)</t>
        </is>
      </c>
      <c r="D11" s="205" t="inlineStr">
        <is>
          <t>2030</t>
        </is>
      </c>
      <c r="E11" s="207" t="n">
        <v>640</v>
      </c>
      <c r="F11" s="266" t="n">
        <v>6.5</v>
      </c>
      <c r="G11" s="207" t="n">
        <v>4160</v>
      </c>
      <c r="H11" s="207" t="n">
        <v>0</v>
      </c>
      <c r="I11" s="207" t="n">
        <v>4160</v>
      </c>
      <c r="J11" s="207" t="n">
        <v>2111</v>
      </c>
      <c r="K11" s="282" t="n">
        <v>10</v>
      </c>
    </row>
    <row r="12">
      <c r="B12" s="205" t="n">
        <v>5</v>
      </c>
      <c r="C12" s="281" t="inlineStr">
        <is>
          <t>Secondary (Вторичный)/Recap</t>
        </is>
      </c>
      <c r="D12" s="205" t="inlineStr">
        <is>
          <t>2030</t>
        </is>
      </c>
      <c r="E12" s="207" t="n">
        <v>640</v>
      </c>
      <c r="F12" s="266" t="n">
        <v>5</v>
      </c>
      <c r="G12" s="207" t="n">
        <v>3200</v>
      </c>
      <c r="H12" s="207" t="n">
        <v>0</v>
      </c>
      <c r="I12" s="207" t="n">
        <v>3200</v>
      </c>
      <c r="J12" s="207" t="n">
        <v>1768</v>
      </c>
      <c r="K12" s="282" t="n">
        <v>15</v>
      </c>
    </row>
    <row r="13">
      <c r="B13" s="205" t="n">
        <v>6</v>
      </c>
      <c r="C13" s="281" t="inlineStr">
        <is>
          <t>Secondary (Вторичный)/Recap</t>
        </is>
      </c>
      <c r="D13" s="205" t="inlineStr">
        <is>
          <t>2032</t>
        </is>
      </c>
      <c r="E13" s="207" t="n">
        <v>700</v>
      </c>
      <c r="F13" s="266" t="n">
        <v>4.5</v>
      </c>
      <c r="G13" s="207" t="n">
        <v>3150</v>
      </c>
      <c r="H13" s="207" t="n">
        <v>0</v>
      </c>
      <c r="I13" s="207" t="n">
        <v>3150</v>
      </c>
      <c r="J13" s="207" t="n">
        <v>1750</v>
      </c>
      <c r="K13" s="282" t="n">
        <v>15</v>
      </c>
    </row>
    <row r="14">
      <c r="B14" s="205" t="n">
        <v>7</v>
      </c>
      <c r="C14" s="201" t="inlineStr">
        <is>
          <t>Liquidation (Ликвидация)</t>
        </is>
      </c>
      <c r="D14" s="205" t="inlineStr">
        <is>
          <t>2032</t>
        </is>
      </c>
      <c r="E14" s="207" t="n">
        <v>700</v>
      </c>
      <c r="F14" s="266" t="n">
        <v>2.5</v>
      </c>
      <c r="G14" s="207" t="n">
        <v>1750</v>
      </c>
      <c r="H14" s="207" t="n">
        <v>0</v>
      </c>
      <c r="I14" s="207" t="n">
        <v>1750</v>
      </c>
      <c r="J14" s="207" t="n">
        <v>1250</v>
      </c>
      <c r="K14" s="282" t="n">
        <v>20</v>
      </c>
    </row>
    <row r="15">
      <c r="B15" s="272" t="inlineStr">
        <is>
          <t>Probability-weighted total (Итого с учётом вероятностей)</t>
        </is>
      </c>
      <c r="C15" s="186" t="n"/>
      <c r="D15" s="186" t="n"/>
      <c r="E15" s="186" t="n"/>
      <c r="F15" s="187" t="n"/>
      <c r="G15" s="172" t="n">
        <v>3650</v>
      </c>
      <c r="H15" s="283" t="n"/>
      <c r="I15" s="283" t="n"/>
      <c r="J15" s="172" t="n">
        <v>1839.3</v>
      </c>
      <c r="K15" s="284" t="n">
        <v>100</v>
      </c>
    </row>
    <row r="18">
      <c r="B18" s="244" t="inlineStr">
        <is>
          <t>II.  МОСТ БАЗОВОГО ВЫХОДА — Strategic (Стратегический) Sale (Стратегическая продажа) 2030 (Prob 20% · highest weighted)</t>
        </is>
      </c>
    </row>
    <row r="19">
      <c r="B19" s="206" t="inlineStr">
        <is>
          <t>EBITDA (прибыль до вычетов) 2030 (LTM)</t>
        </is>
      </c>
      <c r="C19" s="186" t="n"/>
      <c r="D19" s="186" t="n"/>
      <c r="E19" s="186" t="n"/>
      <c r="F19" s="187" t="n"/>
      <c r="G19" s="207" t="n">
        <v>640</v>
      </c>
      <c r="H19" s="187" t="n"/>
      <c r="I19" s="159" t="inlineStr">
        <is>
          <t>Стабильный конвейер проектов</t>
        </is>
      </c>
      <c r="J19" s="186" t="n"/>
      <c r="K19" s="187" t="n"/>
    </row>
    <row r="20">
      <c r="B20" s="206" t="inlineStr">
        <is>
          <t>× Exit Multiple (Мультипликатор выхода)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(Стратегический) buyer premium (премия)</t>
        </is>
      </c>
      <c r="J20" s="186" t="n"/>
      <c r="K20" s="187" t="n"/>
    </row>
    <row r="21">
      <c r="B21" s="154" t="inlineStr">
        <is>
          <t>= Enterprise Value (Стоимость предприятия)</t>
        </is>
      </c>
      <c r="C21" s="186" t="n"/>
      <c r="D21" s="186" t="n"/>
      <c r="E21" s="186" t="n"/>
      <c r="F21" s="187" t="n"/>
      <c r="G21" s="173" t="n">
        <v>3520</v>
      </c>
      <c r="H21" s="187" t="n"/>
      <c r="I21" s="159" t="inlineStr">
        <is>
          <t>Before capital (капитал) structure</t>
        </is>
      </c>
      <c r="J21" s="186" t="n"/>
      <c r="K21" s="187" t="n"/>
    </row>
    <row r="22">
      <c r="B22" s="206" t="inlineStr">
        <is>
          <t>(−) Net Debt (Долг)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 (Возврат T₁ в 2029–2030)</t>
        </is>
      </c>
      <c r="J22" s="186" t="n"/>
      <c r="K22" s="187" t="n"/>
    </row>
    <row r="23">
      <c r="B23" s="206" t="inlineStr">
        <is>
          <t>(+) Cash (Денежные средства)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 (Распределено держателям)</t>
        </is>
      </c>
      <c r="J23" s="186" t="n"/>
      <c r="K23" s="187" t="n"/>
    </row>
    <row r="24">
      <c r="B24" s="154" t="inlineStr">
        <is>
          <t>= Equity (Собственный капитал) Value</t>
        </is>
      </c>
      <c r="C24" s="186" t="n"/>
      <c r="D24" s="186" t="n"/>
      <c r="E24" s="186" t="n"/>
      <c r="F24" s="187" t="n"/>
      <c r="G24" s="173" t="n">
        <v>3520</v>
      </c>
      <c r="H24" s="187" t="n"/>
      <c r="I24" s="159" t="inlineStr">
        <is>
          <t>For distribution (распределение)</t>
        </is>
      </c>
      <c r="J24" s="186" t="n"/>
      <c r="K24" s="187" t="n"/>
    </row>
    <row r="25">
      <c r="B25" s="206" t="inlineStr">
        <is>
          <t>(−) Транзакционные издержки (2%)</t>
        </is>
      </c>
      <c r="C25" s="186" t="n"/>
      <c r="D25" s="186" t="n"/>
      <c r="E25" s="186" t="n"/>
      <c r="F25" s="187" t="n"/>
      <c r="G25" s="207" t="n">
        <v>-70.40000000000001</v>
      </c>
      <c r="H25" s="187" t="n"/>
      <c r="I25" s="159" t="inlineStr">
        <is>
          <t>Консультации, legal</t>
        </is>
      </c>
      <c r="J25" s="186" t="n"/>
      <c r="K25" s="187" t="n"/>
    </row>
    <row r="26">
      <c r="B26" s="154" t="inlineStr">
        <is>
          <t>= Net Equity (Собственный капитал) Proceeds</t>
        </is>
      </c>
      <c r="C26" s="186" t="n"/>
      <c r="D26" s="186" t="n"/>
      <c r="E26" s="186" t="n"/>
      <c r="F26" s="187" t="n"/>
      <c r="G26" s="173" t="n">
        <v>3449.6</v>
      </c>
      <c r="H26" s="187" t="n"/>
      <c r="I26" s="159" t="inlineStr">
        <is>
          <t>Available for waterfall (Доступно для каскада)</t>
        </is>
      </c>
      <c r="J26" s="186" t="n"/>
      <c r="K26" s="187" t="n"/>
    </row>
    <row r="29">
      <c r="B29" s="244" t="inlineStr">
        <is>
          <t>III. WATERFALL (КАСКАД) AT EXIT — PROCEEDS DISTRIBUTION (Scenario (Сценарий) B: 50/30/20)</t>
        </is>
      </c>
    </row>
    <row r="30">
      <c r="B30" s="167" t="inlineStr">
        <is>
          <t>#</t>
        </is>
      </c>
      <c r="C30" s="167" t="inlineStr">
        <is>
          <t>Level (Уровень)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(Собственный капитал)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доступно</t>
        </is>
      </c>
      <c r="K31" s="187" t="n"/>
    </row>
    <row r="33">
      <c r="B33" s="205" t="n">
        <v>2</v>
      </c>
      <c r="C33" s="206" t="inlineStr">
        <is>
          <t>Step 1. T₁ Return of Capital (Капитал)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 (Старшее погашение)</t>
        </is>
      </c>
      <c r="K33" s="187" t="n"/>
    </row>
    <row r="34">
      <c r="B34" s="205" t="n">
        <v>3</v>
      </c>
      <c r="C34" s="206" t="inlineStr">
        <is>
          <t>Step 2. T₂ Return of Capital (Капитал)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(Паритетное (pari-passu)) recovery (Паритетное погашение)</t>
        </is>
      </c>
      <c r="K34" s="187" t="n"/>
    </row>
    <row r="35">
      <c r="B35" s="205" t="n">
        <v>4</v>
      </c>
      <c r="C35" s="206" t="inlineStr">
        <is>
          <t>Step 3. Residual (Остаток)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 (порог)</t>
        </is>
      </c>
      <c r="K35" s="187" t="n"/>
    </row>
    <row r="37">
      <c r="B37" s="205" t="n"/>
      <c r="C37" s="206" t="inlineStr">
        <is>
          <t>Step 4. Hurdle (Порог) split (разделение) 50/50 on residual (остаток)</t>
        </is>
      </c>
      <c r="D37" s="186" t="n"/>
      <c r="E37" s="186" t="n"/>
      <c r="F37" s="186" t="n"/>
      <c r="G37" s="187" t="n"/>
      <c r="H37" s="285" t="n"/>
      <c r="I37" s="205" t="n"/>
      <c r="J37" s="206" t="n"/>
      <c r="K37" s="187" t="n"/>
    </row>
    <row r="38">
      <c r="B38" s="205" t="n">
        <v>6</v>
      </c>
      <c r="C38" s="206" t="inlineStr">
        <is>
          <t xml:space="preserve">  → Founder 50% of residual (остаток)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 (доля в капитале)</t>
        </is>
      </c>
      <c r="K38" s="187" t="n"/>
    </row>
    <row r="39">
      <c r="B39" s="205" t="n">
        <v>7</v>
      </c>
      <c r="C39" s="206" t="inlineStr">
        <is>
          <t xml:space="preserve">  → T₁/T₂ pro-rata 50% of residual (остаток)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(Инвестор) upside</t>
        </is>
      </c>
      <c r="K39" s="187" t="n"/>
    </row>
    <row r="41">
      <c r="B41" s="247" t="n"/>
      <c r="C41" s="261" t="inlineStr">
        <is>
          <t>Final Distribution (Распределение):</t>
        </is>
      </c>
      <c r="D41" s="186" t="n"/>
      <c r="E41" s="186" t="n"/>
      <c r="F41" s="186" t="n"/>
      <c r="G41" s="187" t="n"/>
      <c r="H41" s="286" t="n"/>
      <c r="I41" s="247" t="n"/>
      <c r="J41" s="261" t="n"/>
      <c r="K41" s="187" t="n"/>
    </row>
    <row r="42">
      <c r="B42" s="247" t="n">
        <v>9</v>
      </c>
      <c r="C42" s="261" t="inlineStr">
        <is>
          <t xml:space="preserve">  Founder Total (Итого)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 (доля)</t>
        </is>
      </c>
      <c r="K42" s="187" t="n"/>
    </row>
    <row r="43">
      <c r="B43" s="247" t="n">
        <v>10</v>
      </c>
      <c r="C43" s="261" t="inlineStr">
        <is>
          <t xml:space="preserve">  T₁ Total (Итого) (1 250 + share (доля))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размещение</t>
        </is>
      </c>
      <c r="K43" s="187" t="n"/>
    </row>
    <row r="44">
      <c r="B44" s="247" t="n">
        <v>11</v>
      </c>
      <c r="C44" s="261" t="inlineStr">
        <is>
          <t xml:space="preserve">  T₂ Total (Итого) (500 + share (доля))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размещение</t>
        </is>
      </c>
      <c r="K44" s="187" t="n"/>
    </row>
    <row r="47">
      <c r="B47" s="244" t="inlineStr">
        <is>
          <t>IV. EXPECTED VALUE (ОЖИДАЕМАЯ СТОИМОСТЬ) SUMMARY</t>
        </is>
      </c>
    </row>
    <row r="48">
      <c r="B48" s="213" t="inlineStr">
        <is>
          <t>Probability-weighted EV (стоимость предприятия)</t>
        </is>
      </c>
      <c r="C48" s="186" t="n"/>
      <c r="D48" s="186" t="n"/>
      <c r="E48" s="186" t="n"/>
      <c r="F48" s="187" t="n"/>
      <c r="G48" s="173" t="n">
        <v>3592.5</v>
      </c>
      <c r="H48" s="187" t="n"/>
      <c r="I48" s="159" t="inlineStr">
        <is>
          <t>Across 7 exit routes (По 7 вариантам выхода)</t>
        </is>
      </c>
      <c r="J48" s="186" t="n"/>
      <c r="K48" s="187" t="n"/>
    </row>
    <row r="49">
      <c r="B49" s="213" t="inlineStr">
        <is>
          <t>Probability-weighted T₁ proceeds (Поступления T₁ с учётом вероятностей)</t>
        </is>
      </c>
      <c r="C49" s="186" t="n"/>
      <c r="D49" s="186" t="n"/>
      <c r="E49" s="186" t="n"/>
      <c r="F49" s="187" t="n"/>
      <c r="G49" s="173" t="n">
        <v>1818.8</v>
      </c>
      <c r="H49" s="187" t="n"/>
      <c r="I49" s="159" t="inlineStr">
        <is>
          <t>50/30/20 exit split (разделение)</t>
        </is>
      </c>
      <c r="J49" s="186" t="n"/>
      <c r="K49" s="187" t="n"/>
    </row>
    <row r="50">
      <c r="B50" s="213" t="inlineStr">
        <is>
          <t>Most likely exit (Наиб. вероятный выход, 20%)</t>
        </is>
      </c>
      <c r="C50" s="186" t="n"/>
      <c r="D50" s="186" t="n"/>
      <c r="E50" s="186" t="n"/>
      <c r="F50" s="187" t="n"/>
      <c r="G50" s="154" t="inlineStr">
        <is>
          <t>Strategic (Стратегический) Sale (Стратегическая продажа) 2030</t>
        </is>
      </c>
      <c r="H50" s="187" t="n"/>
      <c r="I50" s="159" t="inlineStr">
        <is>
          <t>EV 3 520 млн ₽</t>
        </is>
      </c>
      <c r="J50" s="186" t="n"/>
      <c r="K50" s="187" t="n"/>
    </row>
    <row r="51">
      <c r="B51" s="213" t="inlineStr">
        <is>
          <t>Highest EV (стоимость предприятия) exit (10% prob)</t>
        </is>
      </c>
      <c r="C51" s="186" t="n"/>
      <c r="D51" s="186" t="n"/>
      <c r="E51" s="186" t="n"/>
      <c r="F51" s="187" t="n"/>
      <c r="G51" s="154" t="inlineStr">
        <is>
          <t>IPO (первичное размещение) 2030</t>
        </is>
      </c>
      <c r="H51" s="187" t="n"/>
      <c r="I51" s="159" t="inlineStr">
        <is>
          <t>EV 6,552 млн ₽</t>
        </is>
      </c>
      <c r="J51" s="186" t="n"/>
      <c r="K51" s="187" t="n"/>
    </row>
    <row r="52">
      <c r="B52" s="213" t="inlineStr">
        <is>
          <t>Worst case exit (Худший сценарий выхода)</t>
        </is>
      </c>
      <c r="C52" s="186" t="n"/>
      <c r="D52" s="186" t="n"/>
      <c r="E52" s="186" t="n"/>
      <c r="F52" s="187" t="n"/>
      <c r="G52" s="154" t="inlineStr">
        <is>
          <t>Liquidation (Ликвидация) 2032</t>
        </is>
      </c>
      <c r="H52" s="187" t="n"/>
      <c r="I52" s="159" t="inlineStr">
        <is>
          <t>EV 1 750 млн ₽</t>
        </is>
      </c>
      <c r="J52" s="186" t="n"/>
      <c r="K52" s="187" t="n"/>
    </row>
    <row r="53">
      <c r="B53" s="213" t="inlineStr">
        <is>
          <t>Expected T₁ MOIC (мультипликатор вложенного капитала) (prob-weighted через 50/30/20)</t>
        </is>
      </c>
      <c r="C53" s="186" t="n"/>
      <c r="D53" s="186" t="n"/>
      <c r="E53" s="186" t="n"/>
      <c r="F53" s="187" t="n"/>
      <c r="G53" s="278" t="n">
        <v>1.455</v>
      </c>
      <c r="H53" s="187" t="n"/>
      <c r="I53" s="159" t="inlineStr">
        <is>
          <t>≠ matrix из 24 (там W₅ V-D ★ default (по умолчанию) Base (Базовый) MOIC (мультипликатор вложенного капитала) = 2.13× (legacy (базовый вариант) W₃ = 2.00×)).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2028 exit использует blended EBITDA (FY2027 пик + FY2028 норм.) = 936.0 млн ₽ (two-tier GM). Лист 32 — dual-year implied EV 3,597–6,806 (midpoint 5,202). NDP 3 000 сохранён.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АНАЛИЗ ЧУВСТВИТЕЛЬНОСТИ — TORNADO (±20% по 8 драйверам) · EBITDA (прибыль до вычетов) 3Y и IRR (внутренняя норма доходности) T₁ W₅ V-D ★ default (по умолчанию) v1.0.1 · A+C pattern (паттерн) 33/45/9/13</t>
        </is>
      </c>
    </row>
    <row r="3"/>
    <row r="4">
      <c r="B4" s="189" t="inlineStr">
        <is>
          <t>Ранжирование ключевых драйверов по влиянию на EBITDA 3Y (база 2167 млн ₽) и IRR T₁ под W₅ V-D + A+C pattern.</t>
        </is>
      </c>
    </row>
    <row r="6">
      <c r="B6" s="244" t="inlineStr">
        <is>
          <t>I.  БАЗОВЫЕ ПАРАМЕТРЫ</t>
        </is>
      </c>
    </row>
    <row r="7">
      <c r="B7" s="205" t="n">
        <v>1</v>
      </c>
      <c r="C7" s="213" t="inlineStr">
        <is>
          <t>Revenue (Выручка)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(прибыль до вычетов) margin (маржа)</t>
        </is>
      </c>
      <c r="D8" s="186" t="n"/>
      <c r="E8" s="186" t="n"/>
      <c r="F8" s="186" t="n"/>
      <c r="G8" s="187" t="n"/>
      <c r="H8" s="176" t="n">
        <v>47.69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 (Капзатраты)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(Коэффициент P&amp;A) to budget (бюджет)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 (бюджет)</t>
        </is>
      </c>
      <c r="K10" s="187" t="n"/>
    </row>
    <row r="11">
      <c r="B11" s="205" t="n">
        <v>5</v>
      </c>
      <c r="C11" s="213" t="inlineStr">
        <is>
          <t>OpEx 3Y (FOT (фонд оплаты труда)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(Проценты)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 (Мультипликатор выхода)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 (прибыль до вычетов)</t>
        </is>
      </c>
      <c r="K13" s="187" t="n"/>
    </row>
    <row r="14">
      <c r="B14" s="205" t="n">
        <v>8</v>
      </c>
      <c r="C14" s="213" t="inlineStr">
        <is>
          <t>Attendance (Посещаемость)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(прибыль до вычетов) 3Y (base 2 152 млн ₽)</t>
        </is>
      </c>
    </row>
    <row r="18">
      <c r="B18" s="167" t="inlineStr">
        <is>
          <t>#</t>
        </is>
      </c>
      <c r="C18" s="167" t="inlineStr">
        <is>
          <t>Driver (Драйвер)</t>
        </is>
      </c>
      <c r="D18" s="167" t="inlineStr">
        <is>
          <t>−20%</t>
        </is>
      </c>
      <c r="E18" s="167" t="inlineStr">
        <is>
          <t>Base (Базовый)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Макс.</t>
        </is>
      </c>
      <c r="I18" s="167" t="inlineStr">
        <is>
          <t>Range (Диапазон)</t>
        </is>
      </c>
      <c r="J18" s="167" t="inlineStr">
        <is>
          <t>Elasticity (Эластичность)</t>
        </is>
      </c>
      <c r="K18" s="167" t="inlineStr">
        <is>
          <t>Rank (Ранг)</t>
        </is>
      </c>
    </row>
    <row r="19">
      <c r="B19" s="205" t="n">
        <v>1</v>
      </c>
      <c r="C19" s="287" t="inlineStr">
        <is>
          <t>Revenue (Выручка)</t>
        </is>
      </c>
      <c r="D19" s="207" t="n">
        <v>1733.6</v>
      </c>
      <c r="E19" s="207" t="n">
        <v>2167</v>
      </c>
      <c r="F19" s="207" t="n">
        <v>2600.4</v>
      </c>
      <c r="G19" s="288" t="n">
        <v>-433.4</v>
      </c>
      <c r="H19" s="289" t="n">
        <v>433.4</v>
      </c>
      <c r="I19" s="207" t="n">
        <v>866.8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(прибыль до вычетов) margin (маржа)</t>
        </is>
      </c>
      <c r="D20" s="207" t="n">
        <v>1733.6</v>
      </c>
      <c r="E20" s="207" t="n">
        <v>2167</v>
      </c>
      <c r="F20" s="207" t="n">
        <v>2600.4</v>
      </c>
      <c r="G20" s="288" t="n">
        <v>-433.4</v>
      </c>
      <c r="H20" s="289" t="n">
        <v>433.4</v>
      </c>
      <c r="I20" s="207" t="n">
        <v>866.8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 (Капзатраты)</t>
        </is>
      </c>
      <c r="D21" s="207" t="n">
        <v>2373.5</v>
      </c>
      <c r="E21" s="207" t="n">
        <v>2167</v>
      </c>
      <c r="F21" s="207" t="n">
        <v>1960.5</v>
      </c>
      <c r="G21" s="289" t="n">
        <v>206.5</v>
      </c>
      <c r="H21" s="288" t="n">
        <v>-206.5</v>
      </c>
      <c r="I21" s="207" t="n">
        <v>413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 (Коэффициент P&amp;A)</t>
        </is>
      </c>
      <c r="D22" s="207" t="n">
        <v>2222.5</v>
      </c>
      <c r="E22" s="207" t="n">
        <v>2167</v>
      </c>
      <c r="F22" s="207" t="n">
        <v>2111.5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2220.1</v>
      </c>
      <c r="E23" s="207" t="n">
        <v>2167</v>
      </c>
      <c r="F23" s="207" t="n">
        <v>2113.9</v>
      </c>
      <c r="G23" s="289" t="n">
        <v>53.1</v>
      </c>
      <c r="H23" s="288" t="n">
        <v>-53.1</v>
      </c>
      <c r="I23" s="207" t="n">
        <v>106.2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 (Проценты)</t>
        </is>
      </c>
      <c r="D24" s="207" t="n">
        <v>2167</v>
      </c>
      <c r="E24" s="207" t="n">
        <v>2167</v>
      </c>
      <c r="F24" s="207" t="n">
        <v>2167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 (Мультипликатор выхода)</t>
        </is>
      </c>
      <c r="D25" s="207" t="n">
        <v>2167</v>
      </c>
      <c r="E25" s="207" t="n">
        <v>2167</v>
      </c>
      <c r="F25" s="207" t="n">
        <v>2167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 (Посещаемость)</t>
        </is>
      </c>
      <c r="D26" s="207" t="n">
        <v>1733.6</v>
      </c>
      <c r="E26" s="207" t="n">
        <v>2167</v>
      </c>
      <c r="F26" s="207" t="n">
        <v>2600.4</v>
      </c>
      <c r="G26" s="288" t="n">
        <v>-433.4</v>
      </c>
      <c r="H26" s="289" t="n">
        <v>433.4</v>
      </c>
      <c r="I26" s="207" t="n">
        <v>866.8</v>
      </c>
      <c r="J26" s="236" t="n">
        <v>20</v>
      </c>
      <c r="K26" s="290" t="n">
        <v>2</v>
      </c>
    </row>
    <row r="29">
      <c r="B29" s="244" t="inlineStr">
        <is>
          <t>III. TORNADO — IMPACT ON IRR (внутренняя норма доходности) T₁ W₅ V-D ★ (база 24.75%)</t>
        </is>
      </c>
    </row>
    <row r="30">
      <c r="B30" s="167" t="inlineStr">
        <is>
          <t>#</t>
        </is>
      </c>
      <c r="C30" s="167" t="inlineStr">
        <is>
          <t>Driver (Драйвер)</t>
        </is>
      </c>
      <c r="D30" s="167" t="inlineStr">
        <is>
          <t>−20%</t>
        </is>
      </c>
      <c r="E30" s="167" t="inlineStr">
        <is>
          <t>Base (Базовый)</t>
        </is>
      </c>
      <c r="F30" s="167" t="inlineStr">
        <is>
          <t>+20%</t>
        </is>
      </c>
      <c r="G30" s="167" t="inlineStr">
        <is>
          <t>Δ Мин. п.п.</t>
        </is>
      </c>
      <c r="H30" s="167" t="inlineStr">
        <is>
          <t>Δ Макс. п.п.</t>
        </is>
      </c>
      <c r="I30" s="167" t="inlineStr">
        <is>
          <t>Range pp (Диапазон п.п.)</t>
        </is>
      </c>
      <c r="J30" s="167" t="inlineStr">
        <is>
          <t>Elasticity (Эластичность)</t>
        </is>
      </c>
      <c r="K30" s="167" t="inlineStr">
        <is>
          <t>Rank (Ранг)</t>
        </is>
      </c>
    </row>
    <row r="31">
      <c r="B31" s="205" t="n">
        <v>1</v>
      </c>
      <c r="C31" s="287" t="inlineStr">
        <is>
          <t>Revenue (Выручка)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(прибыль до вычетов) margin (маржа)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 (Капзатраты)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 (Коэффициент P&amp;A)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 (Проценты)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 (Мультипликатор выхода)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 (Посещаемость)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 (прибыль до вычетов): Revenue (Выручка), Attendance (Посещаемость) и EBITDA (прибыль до вычетов) margin (маржа).</t>
        </is>
      </c>
    </row>
    <row r="43">
      <c r="B43" s="246" t="inlineStr">
        <is>
          <t>• Production CAPEX (Капзатраты) — 4th critical driver EBITDA (прибыль до вычетов) (range ±240 млн ₽ при ±20%).</t>
        </is>
      </c>
    </row>
    <row r="44">
      <c r="B44" s="246" t="inlineStr">
        <is>
          <t>• IRR (внутренняя норма доходности) T₁ W₅ V-D имеет ВЫСОКУЮ чувствительность к Revenue (Выручка)/Attendance (Посещаемость) (range ~10.9pp), значительно выше чем под W₃ (~8.3pp). Причина: catch-up 70/30 «впитывает» upside в LP (ограниченный партнёр),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 (порог): при NDP (чистые распределяемые поступления)&lt;2402 IRR (внутренняя норма доходности) &lt; 18% (см. 27_Scenario_Analysis Bear (Пессимистичный)=10.70%). Liq Pref (Ликвидационная привилегия) 1× защищает капитал, но не IRR (внутренняя норма доходности). Hedge: scenario diversification, milestone-based tranches (транши).</t>
        </is>
      </c>
    </row>
    <row r="46">
      <c r="B46" s="246" t="inlineStr">
        <is>
          <t>• Рекомендация: фокус на Box Office (Кассовые сборы) revenue (attendance × ticket price), маркетинг premium (премия)-фильмов, контроль CAPEX (Капзатраты) overrun. Exit Multiple (Мультипликатор выхода) под W₅ V-D НЕ влияет на LP (ограниченный партнёр) IRR (внутренняя норма доходности) (NDP (чистые распределяемые поступления)-based waterfall (каскад)).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СЦЕНАРНЫЙ АНАЛИЗ — 5 СЦЕНАРИЕВ (Stress (Стресс) / Downside (Нижний сценарий) / Base (Базовый) / Upside (Верхний сценарий) / Bull (Оптимистичный)) · W₅ V-D ★ default (по умолчанию) v1.0.1 · A+C pattern (паттерн)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(Выручка) multiplier 0.60× / 0.80× / 1.00× / 1.20× / 1.40×</t>
        </is>
      </c>
    </row>
    <row r="6">
      <c r="B6" s="244" t="inlineStr">
        <is>
          <t>I. МАТРИЦА МЕТРИК СЦЕНАРИЕВ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 (Стресс-пессимистичный)</t>
        </is>
      </c>
      <c r="E7" s="167" t="inlineStr">
        <is>
          <t>Downside (Нижний сценарий)</t>
        </is>
      </c>
      <c r="F7" s="167" t="inlineStr">
        <is>
          <t>Base Case (Базовый сценарий)</t>
        </is>
      </c>
      <c r="G7" s="167" t="inlineStr">
        <is>
          <t>Upside (Верхний сценарий)</t>
        </is>
      </c>
      <c r="H7" s="167" t="inlineStr">
        <is>
          <t>Bull Case (Оптимистичный)</t>
        </is>
      </c>
      <c r="I7" s="167" t="inlineStr">
        <is>
          <t>Range (Диапазон)</t>
        </is>
      </c>
    </row>
    <row r="8">
      <c r="B8" s="205" t="n">
        <v>1</v>
      </c>
      <c r="C8" s="213" t="inlineStr">
        <is>
          <t>Revenue (Выручка)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(прибыль до вычетов) 3Y (GAAP (стандарты бухучёта))</t>
        </is>
      </c>
      <c r="D9" s="292" t="n">
        <v>1300.4</v>
      </c>
      <c r="E9" s="202" t="n">
        <v>1733.8</v>
      </c>
      <c r="F9" s="270" t="n">
        <v>2167.3</v>
      </c>
      <c r="G9" s="293" t="n">
        <v>2600.8</v>
      </c>
      <c r="H9" s="193" t="n">
        <v>3034.2</v>
      </c>
      <c r="I9" s="207" t="n">
        <v>1733.8</v>
      </c>
    </row>
    <row r="10">
      <c r="B10" s="205" t="n">
        <v>3</v>
      </c>
      <c r="C10" s="213" t="inlineStr">
        <is>
          <t>EBITDA (прибыль до вычетов) margin (маржа)</t>
        </is>
      </c>
      <c r="D10" s="294" t="n">
        <v>47.69</v>
      </c>
      <c r="E10" s="295" t="n">
        <v>47.69</v>
      </c>
      <c r="F10" s="275" t="n">
        <v>47.69</v>
      </c>
      <c r="G10" s="296" t="n">
        <v>47.69</v>
      </c>
      <c r="H10" s="297" t="n">
        <v>47.69</v>
      </c>
      <c r="I10" s="236" t="n">
        <v>0</v>
      </c>
    </row>
    <row r="11">
      <c r="B11" s="205" t="n">
        <v>4</v>
      </c>
      <c r="C11" s="213" t="inlineStr">
        <is>
          <t>Net Profit (Чистая прибыль) 3Y</t>
        </is>
      </c>
      <c r="D11" s="292" t="n">
        <v>1010.4</v>
      </c>
      <c r="E11" s="202" t="n">
        <v>1347.2</v>
      </c>
      <c r="F11" s="270" t="n">
        <v>1684</v>
      </c>
      <c r="G11" s="293" t="n">
        <v>2020.8</v>
      </c>
      <c r="H11" s="193" t="n">
        <v>2357.7</v>
      </c>
      <c r="I11" s="207" t="n">
        <v>1347.2</v>
      </c>
    </row>
    <row r="12">
      <c r="B12" s="205" t="n">
        <v>5</v>
      </c>
      <c r="C12" s="213" t="inlineStr">
        <is>
          <t>NDP (чистые распределяемые поступления) (legacy (базовый вариант))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(Капзатраты)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</v>
      </c>
    </row>
    <row r="14">
      <c r="B14" s="205" t="n">
        <v>7</v>
      </c>
      <c r="C14" s="213" t="inlineStr">
        <is>
          <t>Выпущено фильмов</t>
        </is>
      </c>
      <c r="D14" s="298" t="n">
        <v>5</v>
      </c>
      <c r="E14" s="299" t="n">
        <v>6</v>
      </c>
      <c r="F14" s="300" t="n">
        <v>7</v>
      </c>
      <c r="G14" s="301" t="n">
        <v>7</v>
      </c>
      <c r="H14" s="302" t="n">
        <v>8</v>
      </c>
      <c r="I14" s="303" t="n">
        <v>3</v>
      </c>
    </row>
    <row r="15">
      <c r="B15" s="205" t="n">
        <v>8</v>
      </c>
      <c r="C15" s="213" t="inlineStr">
        <is>
          <t>IRR (внутренняя норма доходности) T₁ (W₅ V-D ★ default (по умолчанию))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(мультипликатор вложенного капитала)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(стоимость предприятия) 2028 (5× EBITDA (прибыль до вычетов))</t>
        </is>
      </c>
      <c r="D17" s="292" t="n">
        <v>6502</v>
      </c>
      <c r="E17" s="202" t="n">
        <v>8669</v>
      </c>
      <c r="F17" s="270" t="n">
        <v>10837</v>
      </c>
      <c r="G17" s="293" t="n">
        <v>13004</v>
      </c>
      <c r="H17" s="193" t="n">
        <v>15171</v>
      </c>
      <c r="I17" s="207" t="n">
        <v>8669</v>
      </c>
    </row>
    <row r="18">
      <c r="B18" s="205" t="n">
        <v>11</v>
      </c>
      <c r="C18" s="213" t="inlineStr">
        <is>
          <t>T₁ LP (ограниченный партнёр) distribution (распределение) W₅ V-D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(внутренняя норма доходности)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 (Вероятность)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(ОПИСАНИЯ СЦЕНАРИЕВ) &amp; TRIGGERS</t>
        </is>
      </c>
    </row>
    <row r="24" ht="48" customHeight="1">
      <c r="B24" s="314" t="inlineStr">
        <is>
          <t>Stress Bear (Стресс-пессимистичный) (5% prob)</t>
        </is>
      </c>
      <c r="C24" s="187" t="n"/>
      <c r="D24" s="206" t="inlineStr">
        <is>
          <t>Катастрофический сценарий: 2 провала из топ-проектов (П04 Время героев, П07С Горизонт событий), падение box office РФ на 25%, санкционный shock. Revenue −40%, EBITDA 1 300,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(Нижний сценарий)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1 734,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(Базовый сценарий) (50% prob)</t>
        </is>
      </c>
      <c r="C26" s="187" t="n"/>
      <c r="D26" s="206" t="inlineStr">
        <is>
          <t>Модельные допущения: 7 проектов (5 фильмов + 2 сериала) выпущены по плану, средняя посещаемость 2026-2028 растёт на 10% CAGR. Revenue 4 545, EBITDA 2 167,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(Верхний сценарий) (20% prob)</t>
        </is>
      </c>
      <c r="C27" s="187" t="n"/>
      <c r="D27" s="206" t="inlineStr">
        <is>
          <t>Два блокбастера (П04 + П07С) превзошли ожидания на 40%, рост госсубсидий через Фонд кино, серийный формат создаёт recurring revenue. Revenue 5 454, EBITDA 2 601,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(Оптимистичный) (10% prob)</t>
        </is>
      </c>
      <c r="C28" s="187" t="n"/>
      <c r="D28" s="206" t="inlineStr">
        <is>
          <t>Хит 2026-2027 (П04 Время героев) +100%, международные продажи, SVOD-сделка c крупным OTT, сериалы становятся якорями подписки. Revenue 6 363, EBITDA 3 034, IRR 12,2%. Strategic exit 7× EBITDA = 21 240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(ВЗВЕШЕННЫЙ ПО ВЕРОЯТНОСТИ) EXPECTED VALUE (ОЖИДАЕМАЯ СТОИМОСТЬ)</t>
        </is>
      </c>
    </row>
    <row r="32">
      <c r="B32" s="213" t="inlineStr">
        <is>
          <t>Expected Revenue (Выручка)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(прибыль до вычетов) 3Y</t>
        </is>
      </c>
      <c r="C33" s="186" t="n"/>
      <c r="D33" s="186" t="n"/>
      <c r="E33" s="186" t="n"/>
      <c r="F33" s="187" t="n"/>
      <c r="G33" s="173" t="n">
        <v>2232.33</v>
      </c>
      <c r="H33" s="187" t="n"/>
      <c r="I33" s="159" t="inlineStr">
        <is>
          <t>млн ₽</t>
        </is>
      </c>
    </row>
    <row r="34">
      <c r="B34" s="213" t="inlineStr">
        <is>
          <t>Expected Net Profit (Чистая прибыль) 3Y</t>
        </is>
      </c>
      <c r="C34" s="186" t="n"/>
      <c r="D34" s="186" t="n"/>
      <c r="E34" s="186" t="n"/>
      <c r="F34" s="187" t="n"/>
      <c r="G34" s="173" t="n">
        <v>1734.56</v>
      </c>
      <c r="H34" s="187" t="n"/>
      <c r="I34" s="159" t="inlineStr">
        <is>
          <t>млн ₽</t>
        </is>
      </c>
    </row>
    <row r="35">
      <c r="B35" s="213" t="inlineStr">
        <is>
          <t>Expected NDP (чистые распределяемые поступления)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(стоимость предприятия) (5× exit)</t>
        </is>
      </c>
      <c r="C36" s="186" t="n"/>
      <c r="D36" s="186" t="n"/>
      <c r="E36" s="186" t="n"/>
      <c r="F36" s="187" t="n"/>
      <c r="G36" s="173" t="n">
        <v>11161.65</v>
      </c>
      <c r="H36" s="187" t="n"/>
      <c r="I36" s="159" t="inlineStr">
        <is>
          <t>млн ₽</t>
        </is>
      </c>
    </row>
    <row r="37">
      <c r="B37" s="213" t="inlineStr">
        <is>
          <t>Expected IRR (внутренняя норма доходности) T₁ W₅ V-D</t>
        </is>
      </c>
      <c r="C37" s="186" t="n"/>
      <c r="D37" s="186" t="n"/>
      <c r="E37" s="186" t="n"/>
      <c r="F37" s="187" t="n"/>
      <c r="G37" s="176" t="n">
        <v>25.14</v>
      </c>
      <c r="H37" s="187" t="n"/>
      <c r="I37" s="159" t="inlineStr">
        <is>
          <t>%</t>
        </is>
      </c>
    </row>
    <row r="39" ht="50" customHeight="1">
      <c r="B39" s="591" t="inlineStr">
        <is>
          <t>⚠ ВНИМАНИЕ: Под W₅ V-D Stress Bear IRR = 10.70% значительно ниже 18% hurdle (NDP=1800 &lt; hurdle target 2 402). Причина: A+C pattern концентрирует поток в Y2029-2030, оставшиеся Y2031-2032 уже за горизонтом дисконтирования. Liq Pref 1× защищает капитал (MoIC 1.44×). См. 24_Investor_Returns Section V.1 + 28_Monte_Carlo_Summary P(IRR&gt;18%)=32.7%.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СИМУЛЯЦИЯ МОНТЕ-КАРЛО (СИМУЛЯЦИЯ) — 5 000 ИТЕРАЦИЙ · 5 СТОХАСТИЧЕСКИХ ПЕРЕМЕННЫХ · W₅ V-D ★ DEFAULT (ПО УМОЛЧАНИЮ) v1.0.1 · A+C PATTERN 33/45/9/13</t>
        </is>
      </c>
    </row>
    <row r="3"/>
    <row r="4">
      <c r="B4" s="189" t="inlineStr">
        <is>
      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W₅ V-D + sensitivity grid</t>
        </is>
      </c>
    </row>
    <row r="6">
      <c r="B6" s="244" t="inlineStr">
        <is>
          <t>I.  СТОХАСТИЧЕСКИЕ ПЕРЕМЕННЫЕ (PDFs)</t>
        </is>
      </c>
    </row>
    <row r="7">
      <c r="B7" s="167" t="inlineStr">
        <is>
          <t>#</t>
        </is>
      </c>
      <c r="C7" s="167" t="inlineStr">
        <is>
          <t>Variable (Переменная)</t>
        </is>
      </c>
      <c r="D7" s="167" t="inlineStr">
        <is>
          <t>Distribution (Распределение)</t>
        </is>
      </c>
      <c r="E7" s="167" t="inlineStr">
        <is>
          <t>Param (Параметр) 1</t>
        </is>
      </c>
      <c r="F7" s="167" t="inlineStr">
        <is>
          <t>Param (Параметр) 2</t>
        </is>
      </c>
      <c r="G7" s="167" t="inlineStr">
        <is>
          <t>Param (Параметр) 3</t>
        </is>
      </c>
      <c r="H7" s="167" t="inlineStr">
        <is>
          <t>Description (Описание)</t>
        </is>
      </c>
      <c r="I7" s="187" t="n"/>
    </row>
    <row r="8">
      <c r="B8" s="205" t="n">
        <v>1</v>
      </c>
      <c r="C8" s="206" t="inlineStr">
        <is>
          <t>Revenue (Выручка) multiplier</t>
        </is>
      </c>
      <c r="D8" s="206" t="inlineStr">
        <is>
          <t>Triangular (Треугольное)</t>
        </is>
      </c>
      <c r="E8" s="285" t="n">
        <v>0.6</v>
      </c>
      <c r="F8" s="285" t="n">
        <v>1</v>
      </c>
      <c r="G8" s="285" t="n">
        <v>1.4</v>
      </c>
      <c r="H8" s="206" t="inlineStr">
        <is>
          <t>мин/мода/макс</t>
        </is>
      </c>
      <c r="I8" s="187" t="n"/>
    </row>
    <row r="9">
      <c r="B9" s="205" t="n">
        <v>2</v>
      </c>
      <c r="C9" s="206" t="inlineStr">
        <is>
          <t>EBITDA (прибыль до вычетов) margin (маржа) shock</t>
        </is>
      </c>
      <c r="D9" s="206" t="inlineStr">
        <is>
          <t>Normal (Нормальное)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(Капзатраты) overrun</t>
        </is>
      </c>
      <c r="D10" s="206" t="inlineStr">
        <is>
          <t>LogNormal (Логнормальное)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 (Мультипликатор выхода)</t>
        </is>
      </c>
      <c r="D11" s="206" t="inlineStr">
        <is>
          <t>Triangular (Треугольное)</t>
        </is>
      </c>
      <c r="E11" s="285" t="n">
        <v>3</v>
      </c>
      <c r="F11" s="285" t="n">
        <v>5</v>
      </c>
      <c r="G11" s="285" t="n">
        <v>7</v>
      </c>
      <c r="H11" s="206" t="inlineStr">
        <is>
          <t>мин/мода/макс</t>
        </is>
      </c>
      <c r="I11" s="187" t="n"/>
    </row>
    <row r="12">
      <c r="B12" s="205" t="n">
        <v>5</v>
      </c>
      <c r="C12" s="206" t="inlineStr">
        <is>
          <t>Film hit rate (Доля успешных фильмов)</t>
        </is>
      </c>
      <c r="D12" s="206" t="inlineStr">
        <is>
          <t>Binomial (Биномиальное)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p=0,70, 7 проектов</t>
        </is>
      </c>
      <c r="I12" s="187" t="n"/>
    </row>
    <row r="15">
      <c r="B15" s="244" t="inlineStr">
        <is>
          <t>II.  ИТОГИ РАСПРЕДЕЛЕНИЯ — 5 000 simulations</t>
        </is>
      </c>
    </row>
    <row r="16">
      <c r="B16" s="167" t="inlineStr">
        <is>
          <t>Metric (Метрика)</t>
        </is>
      </c>
      <c r="C16" s="187" t="n"/>
      <c r="D16" s="167" t="inlineStr">
        <is>
          <t>Mean (Среднее)</t>
        </is>
      </c>
      <c r="E16" s="167" t="inlineStr">
        <is>
          <t>StDev (Ст.откл.)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 (чистые распределяемые поступления)</t>
        </is>
      </c>
      <c r="C17" s="187" t="n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 (прибыль до вычетов)</t>
        </is>
      </c>
      <c r="C18" s="187" t="n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(внутренняя норма доходности) (W₅ V-D)</t>
        </is>
      </c>
      <c r="C19" s="187" t="n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(мультипликатор вложенного капитала) (W₅ V-D)</t>
        </is>
      </c>
      <c r="C20" s="187" t="n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 (стоимость предприятия)</t>
        </is>
      </c>
      <c r="C21" s="187" t="n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 МЕТРИКИ ВЕРОЯТНОСТИ И РИСКОВ</t>
        </is>
      </c>
    </row>
    <row r="25">
      <c r="B25" s="213" t="inlineStr">
        <is>
          <t>P(IRR (внутренняя норма доходности) &gt; 18% hurdle (порог))</t>
        </is>
      </c>
      <c r="C25" s="186" t="n"/>
      <c r="D25" s="186" t="n"/>
      <c r="E25" s="186" t="n"/>
      <c r="F25" s="187" t="n"/>
      <c r="G25" s="176" t="n">
        <v>32.7</v>
      </c>
      <c r="H25" s="186" t="n"/>
      <c r="I25" s="187" t="n"/>
    </row>
    <row r="26">
      <c r="B26" s="213" t="inlineStr">
        <is>
          <t>P(IRR (внутренняя норма доходности) &gt; 12% target)</t>
        </is>
      </c>
      <c r="C26" s="186" t="n"/>
      <c r="D26" s="186" t="n"/>
      <c r="E26" s="186" t="n"/>
      <c r="F26" s="187" t="n"/>
      <c r="G26" s="176" t="n">
        <v>63.2</v>
      </c>
      <c r="H26" s="186" t="n"/>
      <c r="I26" s="187" t="n"/>
    </row>
    <row r="27">
      <c r="B27" s="213" t="inlineStr">
        <is>
          <t>P(IRR (внутренняя норма доходности) &gt; 8% floor)</t>
        </is>
      </c>
      <c r="C27" s="186" t="n"/>
      <c r="D27" s="186" t="n"/>
      <c r="E27" s="186" t="n"/>
      <c r="F27" s="187" t="n"/>
      <c r="G27" s="176" t="n">
        <v>77.59999999999999</v>
      </c>
      <c r="H27" s="186" t="n"/>
      <c r="I27" s="187" t="n"/>
    </row>
    <row r="28">
      <c r="B28" s="213" t="inlineStr">
        <is>
          <t>P(Loss — IRR (внутренняя норма доходности) &lt; 0)</t>
        </is>
      </c>
      <c r="C28" s="186" t="n"/>
      <c r="D28" s="186" t="n"/>
      <c r="E28" s="186" t="n"/>
      <c r="F28" s="187" t="n"/>
      <c r="G28" s="176" t="n">
        <v>5.5</v>
      </c>
      <c r="H28" s="186" t="n"/>
      <c r="I28" s="187" t="n"/>
    </row>
    <row r="29">
      <c r="B29" s="213" t="inlineStr">
        <is>
          <t>P(MOIC (мультипликатор вложенного капитала) &gt; 2.0×)</t>
        </is>
      </c>
      <c r="C29" s="186" t="n"/>
      <c r="D29" s="186" t="n"/>
      <c r="E29" s="186" t="n"/>
      <c r="F29" s="187" t="n"/>
      <c r="G29" s="176" t="n">
        <v>13.6</v>
      </c>
      <c r="H29" s="186" t="n"/>
      <c r="I29" s="187" t="n"/>
    </row>
    <row r="30">
      <c r="B30" s="213" t="inlineStr">
        <is>
          <t>VaR 95% (NDP (чистые распределяемые поступления) shortfall vs base)</t>
        </is>
      </c>
      <c r="C30" s="186" t="n"/>
      <c r="D30" s="186" t="n"/>
      <c r="E30" s="186" t="n"/>
      <c r="F30" s="187" t="n"/>
      <c r="G30" s="173" t="n">
        <v>1770.7</v>
      </c>
      <c r="H30" s="186" t="n"/>
      <c r="I30" s="187" t="n"/>
    </row>
    <row r="31">
      <c r="B31" s="213" t="inlineStr">
        <is>
          <t>CVaR (условный VaR) 95% (expected shortfall)</t>
        </is>
      </c>
      <c r="C31" s="186" t="n"/>
      <c r="D31" s="186" t="n"/>
      <c r="E31" s="186" t="n"/>
      <c r="F31" s="187" t="n"/>
      <c r="G31" s="173" t="n">
        <v>1930.1</v>
      </c>
      <c r="H31" s="186" t="n"/>
      <c r="I31" s="187" t="n"/>
    </row>
    <row r="32">
      <c r="B32" s="213" t="inlineStr">
        <is>
          <t>Expected NDP (чистые распределяемые поступления)</t>
        </is>
      </c>
      <c r="C32" s="186" t="n"/>
      <c r="D32" s="186" t="n"/>
      <c r="E32" s="186" t="n"/>
      <c r="F32" s="187" t="n"/>
      <c r="G32" s="173" t="n">
        <v>2104</v>
      </c>
      <c r="H32" s="186" t="n"/>
      <c r="I32" s="187" t="n"/>
    </row>
    <row r="33">
      <c r="B33" s="213" t="inlineStr">
        <is>
          <t>Expected MOIC (мультипликатор вложенного капитала) T₁</t>
        </is>
      </c>
      <c r="C33" s="186" t="n"/>
      <c r="D33" s="186" t="n"/>
      <c r="E33" s="186" t="n"/>
      <c r="F33" s="187" t="n"/>
      <c r="G33" s="278" t="n">
        <v>1.609</v>
      </c>
      <c r="H33" s="186" t="n"/>
      <c r="I33" s="187" t="n"/>
    </row>
    <row r="34">
      <c r="B34" s="213" t="inlineStr">
        <is>
          <t>Median EV (стоимость предприятия) (P50)</t>
        </is>
      </c>
      <c r="C34" s="186" t="n"/>
      <c r="D34" s="186" t="n"/>
      <c r="E34" s="186" t="n"/>
      <c r="F34" s="187" t="n"/>
      <c r="G34" s="173" t="n">
        <v>7327</v>
      </c>
      <c r="H34" s="186" t="n"/>
      <c r="I34" s="187" t="n"/>
    </row>
    <row r="37">
      <c r="B37" s="244" t="inlineStr">
        <is>
          <t>IV. NDP (чистые распределяемые поступления) DISTRIBUTION HISTOGRAM (5 000 sims, 10 bins)</t>
        </is>
      </c>
    </row>
    <row r="38">
      <c r="B38" s="167" t="inlineStr">
        <is>
          <t>#</t>
        </is>
      </c>
      <c r="C38" s="167" t="inlineStr">
        <is>
          <t>Range (Диапазон)</t>
        </is>
      </c>
      <c r="D38" s="187" t="n"/>
      <c r="E38" s="167" t="inlineStr">
        <is>
          <t>Count (Количество)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527 − 955</t>
        </is>
      </c>
      <c r="D39" s="187" t="n"/>
      <c r="E39" s="205" t="n">
        <v>45</v>
      </c>
      <c r="F39" s="236" t="n">
        <v>0.9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955 − 1383</t>
        </is>
      </c>
      <c r="D40" s="187" t="n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1383 − 1811</t>
        </is>
      </c>
      <c r="D41" s="187" t="n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1811 − 2239</t>
        </is>
      </c>
      <c r="D42" s="187" t="n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2239 − 2667</t>
        </is>
      </c>
      <c r="D43" s="187" t="n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2667 − 3095</t>
        </is>
      </c>
      <c r="D44" s="187" t="n"/>
      <c r="E44" s="205" t="n">
        <v>522</v>
      </c>
      <c r="F44" s="236" t="n">
        <v>10.4</v>
      </c>
      <c r="G44" s="206" t="inlineStr">
        <is>
          <t>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3095 − 3523</t>
        </is>
      </c>
      <c r="D45" s="187" t="n"/>
      <c r="E45" s="205" t="n">
        <v>200</v>
      </c>
      <c r="F45" s="236" t="n">
        <v>4</v>
      </c>
      <c r="G45" s="206" t="inlineStr">
        <is>
          <t>████</t>
        </is>
      </c>
      <c r="H45" s="186" t="n"/>
      <c r="I45" s="187" t="n"/>
    </row>
    <row r="46">
      <c r="B46" s="205" t="n">
        <v>8</v>
      </c>
      <c r="C46" s="206" t="inlineStr">
        <is>
          <t>3523 − 3952</t>
        </is>
      </c>
      <c r="D46" s="187" t="n"/>
      <c r="E46" s="205" t="n">
        <v>58</v>
      </c>
      <c r="F46" s="236" t="n">
        <v>1.2</v>
      </c>
      <c r="G46" s="206" t="inlineStr">
        <is>
          <t>█</t>
        </is>
      </c>
      <c r="H46" s="186" t="n"/>
      <c r="I46" s="187" t="n"/>
    </row>
    <row r="47">
      <c r="B47" s="205" t="n">
        <v>9</v>
      </c>
      <c r="C47" s="206" t="inlineStr">
        <is>
          <t>3952 − 4380</t>
        </is>
      </c>
      <c r="D47" s="187" t="n"/>
      <c r="E47" s="205" t="n">
        <v>11</v>
      </c>
      <c r="F47" s="236" t="n">
        <v>0.2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4380 − 4808</t>
        </is>
      </c>
      <c r="D48" s="187" t="n"/>
      <c r="E48" s="205" t="n">
        <v>5</v>
      </c>
      <c r="F48" s="236" t="n">
        <v>0.1</v>
      </c>
      <c r="G48" s="206" t="inlineStr">
        <is>
          <t>█</t>
        </is>
      </c>
      <c r="H48" s="186" t="n"/>
      <c r="I48" s="187" t="n"/>
    </row>
    <row r="51">
      <c r="B51" s="577" t="inlineStr">
        <is>
          <t>V. СЕТКА ЧУВСТВИТЕЛЬНОСТИ — ВАРИАЦИИ A+C (W₅ V-D фикс.)</t>
        </is>
      </c>
    </row>
    <row r="53">
      <c r="B53" s="571" t="inlineStr">
        <is>
          <t>#</t>
        </is>
      </c>
      <c r="C53" s="571" t="inlineStr">
        <is>
          <t>Pattern (Паттерн)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(ограниченный партнёр) IRR (внутренняя норма доходности) %</t>
        </is>
      </c>
      <c r="J53" s="571" t="inlineStr">
        <is>
          <t>LP (ограниченный партнёр) MoIC</t>
        </is>
      </c>
      <c r="K53" s="571" t="inlineStr">
        <is>
          <t>vs Base (Базовый)</t>
        </is>
      </c>
    </row>
    <row r="54">
      <c r="B54" t="n">
        <v>1</v>
      </c>
      <c r="C54" t="inlineStr">
        <is>
          <t>Slow A (Медленный А)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(Медленный Б)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(Базовый) A+C (33/45/9/13) ★</t>
        </is>
      </c>
      <c r="D56" s="588" t="n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(Быстрый)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(Агрессивный)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 (чистые распределяемые поступления)=3000)</t>
        </is>
      </c>
    </row>
    <row r="61">
      <c r="B61" s="571" t="inlineStr">
        <is>
          <t>Catch-up LP (ограниченный партнёр) %↓</t>
        </is>
      </c>
      <c r="C61" s="571" t="inlineStr">
        <is>
          <t>Carry LP (ограниченный партнёр)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СТАТИСТИКА W₅ V-D — уверенность и калибровка</t>
        </is>
      </c>
    </row>
    <row r="70">
      <c r="B70" s="357" t="inlineStr">
        <is>
          <t>P(LP (ограниченный партнёр) IRR (внутренняя норма доходности) &gt; 18% hurdle (порог))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(ограниченный партнёр) IRR (внутренняя норма доходности) &gt; 24.75% base)</t>
        </is>
      </c>
      <c r="G71" s="357" t="inlineStr">
        <is>
          <t>7.0%</t>
        </is>
      </c>
      <c r="I71" s="574" t="inlineStr">
        <is>
          <t>Probability of beating Base (Базовый) case</t>
        </is>
      </c>
    </row>
    <row r="72">
      <c r="B72" s="357" t="inlineStr">
        <is>
          <t>P(LP (ограниченный партнёр) MoIC &gt; 2.13× base)</t>
        </is>
      </c>
      <c r="G72" s="357" t="inlineStr">
        <is>
          <t>6.8%</t>
        </is>
      </c>
      <c r="I72" s="574" t="inlineStr">
        <is>
          <t>Probability of beating Base (Базовый) MoIC</t>
        </is>
      </c>
    </row>
    <row r="73">
      <c r="B73" s="357" t="inlineStr">
        <is>
          <t>P(LP (ограниченный партнёр) MoIC &gt; 2.5× upside)</t>
        </is>
      </c>
      <c r="G73" s="357" t="inlineStr">
        <is>
          <t>0.6%</t>
        </is>
      </c>
      <c r="I73" s="574" t="inlineStr">
        <is>
          <t>Bull (Оптимистичный)-case probability</t>
        </is>
      </c>
    </row>
    <row r="74">
      <c r="B74" s="357" t="inlineStr">
        <is>
          <t>Median LP (ограниченный партнёр) IRR (внутренняя норма доходности)</t>
        </is>
      </c>
      <c r="G74" s="357" t="inlineStr">
        <is>
          <t>14.80%</t>
        </is>
      </c>
      <c r="I74" s="574" t="inlineStr">
        <is>
          <t>P50 percentile (перцентиль)</t>
        </is>
      </c>
    </row>
    <row r="75">
      <c r="B75" s="357" t="inlineStr">
        <is>
          <t>Mean LP (ограниченный партнёр) IRR (внутренняя норма доходности) (computed)</t>
        </is>
      </c>
      <c r="G75" s="357" t="inlineStr">
        <is>
          <t>13.95%</t>
        </is>
      </c>
      <c r="I75" s="574" t="inlineStr">
        <is>
          <t>vs deterministic (детерминированный) 24,75%</t>
        </is>
      </c>
    </row>
    <row r="76">
      <c r="B76" s="357" t="inlineStr">
        <is>
          <t>LP (ограниченный партнёр) IRR (внутренняя норма доходности) StDev</t>
        </is>
      </c>
      <c r="G76" s="357" t="inlineStr">
        <is>
          <t>8.05%</t>
        </is>
      </c>
      <c r="I76" s="574" t="inlineStr">
        <is>
          <t>Risk (Риск) dispersion</t>
        </is>
      </c>
    </row>
    <row r="77">
      <c r="B77" s="357" t="inlineStr">
        <is>
          <t>Producer (Продюсер) Mean Share (Доля)</t>
        </is>
      </c>
      <c r="G77" s="357" t="inlineStr">
        <is>
          <t>93 млн ₽</t>
        </is>
      </c>
      <c r="I77" s="574" t="inlineStr">
        <is>
          <t>Avg producer payout (Ср. выплата продюсеру)</t>
        </is>
      </c>
    </row>
    <row r="78">
      <c r="B78" s="571" t="inlineStr">
        <is>
          <t>ПОЯСНЕНИЕ: разница MC mean (13.95%) vs Base (Базовый) deterministic (24.75%)</t>
        </is>
      </c>
    </row>
    <row r="79" ht="60" customHeight="1">
      <c r="B79" s="587" t="inlineStr">
        <is>
          <t>Base (Базовый) 24.75% = «если всё пойдёт по плану» (NDP (чистые распределяемые поступления)=3000, все 7 проектов хиты, exit ×5). MC mean 13.95% = «честный прогноз с учётом рисков»: hit_rate ~ Bin(12, 0.7)/12 даёт в среднем 8.4 хита из 12, rev_mult Triangular (Треугольное)(0.6/1.0/1.4), CAPEX (Капзатраты) overrun, EBITDA (прибыль до вычетов) shock. Mean NDP (чистые распределяемые поступления) падает 3000→2104. Median MC IRR (внутренняя норма доходности) = 14.80% ближе к реалистичному ожиданию для инвестора. P(IRR &gt; 18% hurdle (порог))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(паттерн) 33/45/9/13. Valid: 5000/5000. Generated: 2026-04-13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РЕЕСТР РИСКОВ — 30 РИСКОВ В 5 КАТЕГОРИЯХ</t>
        </is>
      </c>
    </row>
    <row r="4">
      <c r="B4" s="319" t="inlineStr">
        <is>
          <t>Severity (Серьёзность) × Likelihood (Вероятность) → Risk (Риск) Score (Балл) (1-25), Mitigation (Меры снижения), Owner, Residual (Остаток) risk. Heat map 5×5.</t>
        </is>
      </c>
    </row>
    <row r="6">
      <c r="B6" s="320" t="inlineStr">
        <is>
          <t>I. РЕЕСТР РИСКОВ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Сер. (1-5)</t>
        </is>
      </c>
      <c r="F7" s="321" t="inlineStr">
        <is>
          <t>Вер. (1-5)</t>
        </is>
      </c>
      <c r="G7" s="321" t="inlineStr">
        <is>
          <t>Score (Балл)</t>
        </is>
      </c>
      <c r="H7" s="321" t="inlineStr">
        <is>
          <t>Level (Уровень)</t>
        </is>
      </c>
      <c r="I7" s="321" t="inlineStr">
        <is>
          <t>Mitigation (Меры снижения)</t>
        </is>
      </c>
      <c r="J7" s="321" t="inlineStr">
        <is>
          <t>Owner (Ответственный)</t>
        </is>
      </c>
      <c r="K7" s="321" t="inlineStr">
        <is>
          <t>Residual (Остаток)</t>
        </is>
      </c>
    </row>
    <row r="8" ht="38" customHeight="1">
      <c r="B8" s="322" t="inlineStr">
        <is>
          <t>R01</t>
        </is>
      </c>
      <c r="C8" s="323" t="inlineStr">
        <is>
          <t>Market (Рынок)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 (Высокий)</t>
        </is>
      </c>
      <c r="I8" s="323" t="inlineStr">
        <is>
          <t>Диверсификация по 7 проектам (5 фильмов + 2 сериала), 6 жанрам, window strategy; гибкий P&amp;A; dual-year EV диапазон 3 922–6 806 млн ₽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 (Рынок)</t>
        </is>
      </c>
      <c r="D9" s="323" t="inlineStr">
        <is>
          <t>Провал блокбастера (П04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 (Повышенный)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(Продюсер) П04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 (Рынок)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 (Повышенный)</t>
        </is>
      </c>
      <c r="I10" s="323" t="inlineStr">
        <is>
          <t>Переговоры с сетями (Formula Kino, Каро, Синема Парк), premium (премия)-формат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 (Рынок)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 (Высокий)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 (Рынок)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 (Умеренный)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 (Рынок)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 (Повышенный)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 (Международный отдел)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 (Операционный)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 (Высокий)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 (Руководитель производства)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 (Операционный)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 (Повышенный)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 (Продюсер)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 (Операционный)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 (Умеренный)</t>
        </is>
      </c>
      <c r="I16" s="323" t="inlineStr">
        <is>
          <t>Мульти-проектные контракты (2-3 фильма), бонусы от box-office (кассовые сборы), Partner-track</t>
        </is>
      </c>
      <c r="J16" s="323" t="inlineStr">
        <is>
          <t>HR / Creative Dir (Креативный директор)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 (Операционный)</t>
        </is>
      </c>
      <c r="D17" s="323" t="inlineStr">
        <is>
          <t>Срыв post-production / VFX (визуальные эффекты) (П07С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 (Повышенный)</t>
        </is>
      </c>
      <c r="I17" s="323" t="inlineStr">
        <is>
          <t>Два параллельных VFX (визуальные эффекты)-подрядчика, early prevv, резерв 20 млн на П07С</t>
        </is>
      </c>
      <c r="J17" s="323" t="inlineStr">
        <is>
          <t>VFX Supervisor (Супервайзер VFX)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 (Операционный)</t>
        </is>
      </c>
      <c r="D18" s="323" t="inlineStr">
        <is>
          <t>Отказ digital distribution (распределение)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 (Умеренный)</t>
        </is>
      </c>
      <c r="I18" s="323" t="inlineStr">
        <is>
          <t>Резервный digital partner, DCI-compliant backup</t>
        </is>
      </c>
      <c r="J18" s="323" t="inlineStr">
        <is>
          <t>Distribution (Распределение)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 (Операционный)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 (Повышенный)</t>
        </is>
      </c>
      <c r="I19" s="323" t="inlineStr">
        <is>
          <t>Партнёрство с ВГИКом, МШНК, собственная школа VFX (визуальные эффекты);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 (Финансовый)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 (Высокий)</t>
        </is>
      </c>
      <c r="I20" s="323" t="inlineStr">
        <is>
          <t>Fixed (Фиксированный) rate по T₁ траншам, натуральный хедж через экспорт</t>
        </is>
      </c>
      <c r="J20" s="323" t="inlineStr">
        <is>
          <t>CFO / Treasurer (Казначей)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 (Финансовый)</t>
        </is>
      </c>
      <c r="D21" s="323" t="inlineStr">
        <is>
          <t>Кассовый разрыв между P&amp;A (тиражирование и реклама) расходами и box-office (кассовые сборы)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 (Повышенный)</t>
        </is>
      </c>
      <c r="I21" s="323" t="inlineStr">
        <is>
          <t>Возобновляемая кредитная линия 200 млн ₽ под дебиторку кинотеатров</t>
        </is>
      </c>
      <c r="J21" s="323" t="inlineStr">
        <is>
          <t>Treasurer (Казначей)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 (Финансовый)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 (Умеренный)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 (Менеджер дебиторки)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 (Финансовый)</t>
        </is>
      </c>
      <c r="D23" s="323" t="inlineStr">
        <is>
          <t>Валютный риск (оборудование, софт, VFX (визуальные эффекты)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 (Умеренный)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 (Казначей)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 (Финансовый)</t>
        </is>
      </c>
      <c r="D24" s="323" t="inlineStr">
        <is>
          <t>Downside (Нижний сценарий) risk NDP (чистые распределяемые поступления) shortfall — W₅ V-D Base (Базовый) IRR (внутренняя норма доходности) = 24.75% (margin (маржа) к hurdle (порог)), но Bear (Пессимистичный)=10.70%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 (Высокий)</t>
        </is>
      </c>
      <c r="I24" s="323" t="inlineStr">
        <is>
          <t>W₅ V-D 1× Liq Pref floor (1250) + 12% pref × 5y + carry; Implied EV диапазон 3 922–6 806 (S32 dual-year); IRR 24.75% сохранён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 (Финансовый)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 (Умеренный)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 (Налоговый консультант)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 (Регуляторный)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 (Умеренный)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 (Регуляторный)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 (Повышенный)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 (Юрид.)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 (Регуляторный)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 (Умеренный)</t>
        </is>
      </c>
      <c r="I28" s="323" t="inlineStr">
        <is>
          <t>Диверсификация источников дохода (PP &lt;10% от Revenue (Выручка))</t>
        </is>
      </c>
      <c r="J28" s="323" t="inlineStr">
        <is>
          <t>Legal (Юрид.) / Sales (Продажи)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 (Регуляторный)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 (Умеренный)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 (Юрид.)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 (Регуляторный)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 (Повышенный)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 (Юрид.)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 (Регуляторный)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 (Повышенный)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Закупки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 (Исполнение)</t>
        </is>
      </c>
      <c r="D32" s="323" t="inlineStr">
        <is>
          <t>Неудачное построение slate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 (Повышенный)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 (Исполнение)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 (Повышенный)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 (Распределение)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 (Исполнение)</t>
        </is>
      </c>
      <c r="D34" s="323" t="inlineStr">
        <is>
          <t>Конфликты с копродюсерами (JV (совместное предприятие) structure producers equity (доля в капитале)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 (Умеренный)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 (Юрид.)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 (Исполнение)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 (Повышенный)</t>
        </is>
      </c>
      <c r="I35" s="323" t="inlineStr">
        <is>
          <t>P&amp;A ratio (Коэффициент P&amp;A)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 (Исполнение)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 (Умеренный)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 (Безопасность / ИТ)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 (Исполнение)</t>
        </is>
      </c>
      <c r="D37" s="323" t="inlineStr">
        <is>
          <t>Невыполнение обязательств по KPI (ключевые показатели)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 (Высокий)</t>
        </is>
      </c>
      <c r="I37" s="323" t="inlineStr">
        <is>
          <t>Quarterly reporting, covenant monitoring, IRR tracking W₅ V-D; Implied EV dual-year 5 364 млн ₽ (midpoint); prob-weighted EV 3 650 (S25)</t>
        </is>
      </c>
      <c r="J37" s="323" t="inlineStr">
        <is>
          <t>CFO / Совет директоров</t>
        </is>
      </c>
      <c r="K37" s="322" t="n">
        <v>12</v>
      </c>
    </row>
    <row r="40">
      <c r="B40" s="320" t="inlineStr">
        <is>
          <t>II.  ТЕПЛОВАЯ КАРТА 5×5 (Severity (Серьёзность) × Likelihood (Вероятность))</t>
        </is>
      </c>
    </row>
    <row r="42">
      <c r="B42" s="332" t="inlineStr">
        <is>
          <t>Severity (Серьёзность) ↓ / Likelihood (Вероятность)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Низкий (1-4)</t>
        </is>
      </c>
      <c r="D49" s="344" t="inlineStr">
        <is>
          <t>Moderate (Умеренный) (5-9)</t>
        </is>
      </c>
      <c r="E49" s="345" t="inlineStr">
        <is>
          <t>Elevated (Повышенный) (10-14)</t>
        </is>
      </c>
      <c r="F49" s="346" t="inlineStr">
        <is>
          <t>Высокий (15-19)</t>
        </is>
      </c>
      <c r="G49" s="347" t="inlineStr">
        <is>
          <t>Critical (Критический)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 (Название)</t>
        </is>
      </c>
      <c r="E53" s="321" t="inlineStr">
        <is>
          <t>Score (Балл)</t>
        </is>
      </c>
      <c r="F53" s="321" t="inlineStr">
        <is>
          <t>Description (Описание)</t>
        </is>
      </c>
      <c r="G53" s="321" t="inlineStr">
        <is>
          <t>Triggers (Триггеры)</t>
        </is>
      </c>
      <c r="H53" s="321" t="inlineStr">
        <is>
          <t>Mitigation (Меры снижения)</t>
        </is>
      </c>
      <c r="I53" s="321" t="inlineStr">
        <is>
          <t>Раннее предупреждение</t>
        </is>
      </c>
      <c r="J53" s="321" t="inlineStr">
        <is>
          <t>Owner (Ответственный)</t>
        </is>
      </c>
      <c r="K53" s="321" t="inlineStr">
        <is>
          <t>Residual (Остаток)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(Нижний сценарий) risk NDP (чистые распределяемые поступления) shortfall — W₅ V-D Base (Базовый) IRR (внутренняя норма доходности) = 24.75%, Bear (Пессимистичный)=10.70% (NDP (чистые распределяемые поступления)=1800), Down=18.87% (NDP=2400)</t>
        </is>
      </c>
      <c r="E54" s="350" t="n">
        <v>12</v>
      </c>
      <c r="F54" s="349" t="inlineStr">
        <is>
          <t>Базовый IRR (внутренняя норма доходности) T₁ под Waterfall (Каскад) W₅ V-D ★ default (по умолчанию) v1.0.1 составляет 24.75% (vs hurdle (порог) 18%, margin (маржа) +6.75pp). Однако в downside-сценариях: Bear (Пессимистичный) (NDP (чистые распределяемые поступления)=1800) даёт IRR 10.70% (значительно ниже hurdle (порог)), Downside (Нижний сценарий) (NDP (чистые распределяемые поступления)=2400) — 18.87% (margin (маржа) к hurdle (порог)). Hurdle (Порог) break-even target NDP ≥ 2 402 млн ₽. Capital (Капитал) protection обеспечивается Liq Pref (Ликвидационная привилегия) 1× = 1250 (MoIC ≥ 1.44× даже в Bear (Пессимистичный)).</t>
        </is>
      </c>
      <c r="G54" s="349" t="inlineStr">
        <is>
          <t>Любой из: (a) revenue &lt;80% от плана, (b) CAPEX (Капзатраты) overrun &gt;15%, (c) задержка ≥2 релизов на 6+ мес.</t>
        </is>
      </c>
      <c r="H54" s="349" t="inlineStr">
        <is>
          <t>Структурная защита через waterfall W₅ V-D: (1) Liq Pref 1 250, (2) 12% pref, (3) carry; Implied EV dual-year 3 922–6 806 млн ₽; prob-weighted exit EV 3 650</t>
        </is>
      </c>
      <c r="I54" s="349" t="inlineStr">
        <is>
          <t>Burn rate &gt;baseline +10% два квартала подряд; box-office (кассовые сборы) первых 3 фильмов &lt;75% от прогноза.</t>
        </is>
      </c>
      <c r="J54" s="349" t="inlineStr">
        <is>
          <t>CFO / IR / Совет директоров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7 проектов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 (Руководитель производства)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(кассовые сборы) РФ &gt;15% YoY два квартала подряд.</t>
        </is>
      </c>
      <c r="H56" s="349" t="inlineStr">
        <is>
          <t>Диверсификация портфеля (7 проектов, 6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Совет директоров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(Фиксированный) rate lock на T₁ tranches (транши) до 2028; revolving credit line с процентным cap; валютная диверсификация; структура с equity (доля в капитале)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 (Казначей)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(ключевые показатели) перед инвестором T₁</t>
        </is>
      </c>
      <c r="E58" s="351" t="n">
        <v>15</v>
      </c>
      <c r="F58" s="349" t="inlineStr">
        <is>
          <t>Covenant breach по Revenue (Выручка), EBITDA (прибыль до вычетов) margin (маржа) или film release schedule может триггерить досрочное погашение или W₅ V-D activation.</t>
        </is>
      </c>
      <c r="G58" s="349" t="inlineStr">
        <is>
          <t>EBITDA (прибыль до вычетов) &lt;80% от плана квартал подряд; задержка &gt;2 фильмов; CAPEX (Капзатраты)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Совет директоров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(кассовые сборы) share (доля) традиционных сетей &gt;10% YoY; агрессивное снижение subscription price ОТТ.</t>
        </is>
      </c>
      <c r="J59" s="349" t="inlineStr">
        <is>
          <t>CCO / Distribution (Распределение)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П04 «Время героев» (бюджет 250 млн)</t>
        </is>
      </c>
      <c r="E60" s="352" t="n">
        <v>12</v>
      </c>
      <c r="F60" s="349" t="inlineStr">
        <is>
          <t>П04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      </is>
      </c>
      <c r="G60" s="349" t="inlineStr">
        <is>
          <t>Test-screening NPS &lt;40; первый weekend box-office (кассовые сборы)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(Продюсер) П04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 (Юрид.)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(телевидение)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 (визуальные эффекты)-проекты (П04, П07С)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(бюджет) +10%.</t>
        </is>
      </c>
      <c r="J63" s="349" t="inlineStr">
        <is>
          <t>CFO / Line Producer (Продюсер)</t>
        </is>
      </c>
      <c r="K63" s="348" t="n">
        <v>6</v>
      </c>
    </row>
    <row r="66">
      <c r="B66" s="320" t="inlineStr">
        <is>
          <t>IV.  СВОДНАЯ СТАТИСТИКА</t>
        </is>
      </c>
    </row>
    <row r="68">
      <c r="B68" s="333" t="inlineStr">
        <is>
          <t>Category (Категория)</t>
        </is>
      </c>
      <c r="C68" s="333" t="inlineStr">
        <is>
          <t># Рисков</t>
        </is>
      </c>
      <c r="D68" s="333" t="inlineStr">
        <is>
          <t>Total (Итого) Score (Балл)</t>
        </is>
      </c>
      <c r="E68" s="333" t="inlineStr">
        <is>
          <t>Avg Score (Средний балл)</t>
        </is>
      </c>
      <c r="F68" s="333" t="inlineStr">
        <is>
          <t>Max Score (Макс. балл)</t>
        </is>
      </c>
      <c r="G68" s="333" t="inlineStr">
        <is>
          <t>Share (Доля)</t>
        </is>
      </c>
    </row>
    <row r="69">
      <c r="B69" s="353" t="inlineStr">
        <is>
          <t>Market (Рынок)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 (Операционный)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 (Финансовый)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 (Регуляторный)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 (Исполнение)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 (Умеренный)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 (Повышенный)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 (Высокий)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 (Критический)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(Критический) на High (score 12): C-02 структурный bug фиксирован через переход на W₅ V-D ★ default (по умолчанию). Базовый IRR (внутренняя норма доходности) T₁ W₅ V-D = 24.75% (margin (маржа) +6.75pp к hurdle (порог)), но Bear (Пессимистичный)=10.70% (NDP (чистые распределяемые поступления)=1800) остаётся структурным риском. Legacy (Базовый вариант)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      </is>
      </c>
    </row>
    <row r="86" ht="22" customHeight="1">
      <c r="B86" s="363" t="inlineStr">
        <is>
          <t>2. 3 риска уровня «Critical (Критический)»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(Финансовый) + Market (≈50% total score): макро-чувствительность модели.</t>
        </is>
      </c>
    </row>
    <row r="88" ht="22" customHeight="1">
      <c r="B88" s="363" t="inlineStr">
        <is>
          <t>4. Operational (Операционный) риски (R07, R08) — купируются 10% contingency + completion bond в каждом бюджете.</t>
        </is>
      </c>
    </row>
    <row r="89" ht="22" customHeight="1">
      <c r="B89" s="363" t="inlineStr">
        <is>
          <t>5. Residual (Остаток)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(Регуляторный) cluster (R18-R24) — низкая likelihood, но высокий severity: legal watch + GR budget (бюджет) 20 млн ₽/год.</t>
        </is>
      </c>
    </row>
    <row r="91" ht="22" customHeight="1">
      <c r="B91" s="363" t="inlineStr">
        <is>
          <t>7. Execution (Исполнение) риски покрыты процессами: daily reports, weekly reviews, monthly boards, quarterly covenant testing.</t>
        </is>
      </c>
    </row>
    <row r="94">
      <c r="B94" s="364" t="inlineStr">
        <is>
          <t>Reviewed: quarterly by Совет директоров | Owner: CFO / Risk (Риск) Committee | Version (Версия): v1.0.1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АНАЛИЗ РЫНКА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(среднегодовой темп роста) 26-32</t>
        </is>
      </c>
    </row>
    <row r="9">
      <c r="B9" s="365" t="inlineStr">
        <is>
          <t>Box-office (кассовые сборы)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(подписной стриминг)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(рекламный стриминг)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(телевидение) rights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(Библиотека)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(среднегодовой темп роста) 2026–2032</t>
        </is>
      </c>
      <c r="F18" s="321" t="inlineStr">
        <is>
          <t>Драйверы роста</t>
        </is>
      </c>
    </row>
    <row r="19">
      <c r="B19" s="375" t="inlineStr">
        <is>
          <t>Box-office (кассовые сборы)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(подписной стриминг)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(рекламный стриминг)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(телевидение) rights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(Библиотека)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n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(Итого) Addressable Market)</t>
        </is>
      </c>
      <c r="C29" s="390" t="n">
        <v>289.8</v>
      </c>
      <c r="D29" s="391" t="n">
        <v>1</v>
      </c>
      <c r="E29" s="375" t="inlineStr">
        <is>
          <t>Весь рынок кино+OTT (онлайн-платформа)+TV+library РФ 2028</t>
        </is>
      </c>
    </row>
    <row r="30">
      <c r="B30" s="378" t="inlineStr">
        <is>
          <t>SAM (Достижимый целевой рынок)</t>
        </is>
      </c>
      <c r="C30" s="392" t="n">
        <v>118</v>
      </c>
      <c r="D30" s="393" t="n">
        <v>0.4071773636991028</v>
      </c>
      <c r="E30" s="378" t="inlineStr">
        <is>
          <t>Box-office (кассовые сборы) + 40% SVOD (подписной стриминг)</t>
        </is>
      </c>
    </row>
    <row r="31">
      <c r="B31" s="381" t="inlineStr">
        <is>
          <t>SOM (Реально достижимый рынок)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(Выручка) 2024 (млрд ₽)</t>
        </is>
      </c>
      <c r="E36" s="321" t="inlineStr">
        <is>
          <t>Market share (доля)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</t>
        </is>
      </c>
      <c r="C37" s="323" t="inlineStr">
        <is>
          <t>SVOD (подписной стриминг)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(подписной стриминг)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(подписной стриминг) + AVOD (рекламный стриминг)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 (рекламный стриминг)-модель,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(СТАРТ)</t>
        </is>
      </c>
      <c r="C40" s="323" t="inlineStr">
        <is>
          <t>SVOD (подписной стриминг)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 (тиражирование и реклама)</t>
        </is>
      </c>
    </row>
    <row r="41" ht="38" customHeight="1">
      <c r="B41" s="396" t="inlineStr">
        <is>
          <t>Premier (Премьера)</t>
        </is>
      </c>
      <c r="C41" s="323" t="inlineStr">
        <is>
          <t>SVOD (подписной стриминг)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 (совместное предприятие)</t>
        </is>
      </c>
      <c r="D43" s="398" t="n">
        <v>1.5</v>
      </c>
      <c r="E43" s="399" t="inlineStr">
        <is>
          <t>0.9%</t>
        </is>
      </c>
      <c r="F43" s="381" t="inlineStr">
        <is>
          <t>Pre-IPO (первичное размещение) структура, slate 7 проектов, Waterfall (Каскад)</t>
        </is>
      </c>
      <c r="G43" s="381" t="inlineStr">
        <is>
          <t>Pre-revenue, execution risk, первый институциональный раунд; Implied EV 3.9–6.8 млрд ₽ (dual-year S32)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 (Премия)-форматы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 (подписной стриминг)-подписок</t>
        </is>
      </c>
      <c r="D52" s="323" t="inlineStr">
        <is>
          <t>Подписочная база: 25М (2024) → 45М (2032), CAGR (среднегодовой темп роста)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Игровой кросс-медиа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 (подписной стриминг)/AVOD (рекламный стриминг)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 (Премьера)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ОТРАСЛЕВЫЕ БЕНЧМАРКИ — РФ vs ГЛОБАЛЬНЫЙ vs ТрендСтудио</t>
        </is>
      </c>
    </row>
    <row r="4">
      <c r="B4" s="319" t="inlineStr">
        <is>
          <t>KPI (ключевые показатели) по 15 показателям: production, distribution (распределение), финансы, exit</t>
        </is>
      </c>
    </row>
    <row r="6">
      <c r="B6" s="320" t="inlineStr">
        <is>
          <t>I. ОПЕРАЦИОННЫЕ KPI (ключевые показатели)</t>
        </is>
      </c>
    </row>
    <row r="8">
      <c r="B8" s="321" t="inlineStr">
        <is>
          <t>#</t>
        </is>
      </c>
      <c r="C8" s="321" t="inlineStr">
        <is>
          <t>KPI (ключевые показатели)</t>
        </is>
      </c>
      <c r="D8" s="321" t="inlineStr">
        <is>
          <t>Единица</t>
        </is>
      </c>
      <c r="E8" s="321" t="inlineStr">
        <is>
          <t>Global (Голливуд)</t>
        </is>
      </c>
      <c r="F8" s="321" t="inlineStr">
        <is>
          <t>Global (Европа)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 (бюджет)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n">
        <v>264</v>
      </c>
      <c r="I9" s="322" t="inlineStr">
        <is>
          <t>—</t>
        </is>
      </c>
      <c r="J9" s="404" t="inlineStr">
        <is>
          <t>Укрупнённый mid-budget подход (5 фильмов + 2 сериала)</t>
        </is>
      </c>
    </row>
    <row r="10" ht="28" customHeight="1">
      <c r="B10" s="400" t="n">
        <v>2</v>
      </c>
      <c r="C10" s="396" t="inlineStr">
        <is>
          <t>Количество фильмов в портфеле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7 (5+2С)</t>
        </is>
      </c>
      <c r="I10" s="322" t="inlineStr">
        <is>
          <t>+17% vs median</t>
        </is>
      </c>
      <c r="J10" s="404" t="inlineStr">
        <is>
          <t>Портфельный подход 7 проектов (5 фильмов + 2 сериала)</t>
        </is>
      </c>
    </row>
    <row r="11" ht="28" customHeight="1">
      <c r="B11" s="400" t="n">
        <v>3</v>
      </c>
      <c r="C11" s="396" t="inlineStr">
        <is>
          <t>Hit rate (доля прибыльных фильмов)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(кассовые сборы) / budget (бюджет)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(Коэффициент P&amp;A)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(Выручка) from box-office (кассовые сборы)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(Выручка) from SVOD (подписной стриминг)/OTT (онлайн-платформа)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(Выручка) from library/tail (хвостовой период)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 (ключевые показатели)</t>
        </is>
      </c>
    </row>
    <row r="21">
      <c r="B21" s="321" t="inlineStr">
        <is>
          <t>#</t>
        </is>
      </c>
      <c r="C21" s="321" t="inlineStr">
        <is>
          <t>KPI (ключевые показатели)</t>
        </is>
      </c>
      <c r="D21" s="321" t="inlineStr">
        <is>
          <t>Единица</t>
        </is>
      </c>
      <c r="E21" s="321" t="inlineStr">
        <is>
          <t>Global (Голливуд)</t>
        </is>
      </c>
      <c r="F21" s="321" t="inlineStr">
        <is>
          <t>Global (Европа)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(прибыль до вычетов) margin (маржа)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45.7%</t>
        </is>
      </c>
      <c r="I22" s="322" t="inlineStr">
        <is>
          <t>+21 пп</t>
        </is>
      </c>
      <c r="J22" s="404" t="inlineStr">
        <is>
          <t>Выше отрасли благодаря JV (совместное предприятие)-структуре</t>
        </is>
      </c>
    </row>
    <row r="23" ht="28" customHeight="1">
      <c r="B23" s="400" t="n">
        <v>2</v>
      </c>
      <c r="C23" s="396" t="inlineStr">
        <is>
          <t>Net Profit (Чистая прибыль) margin (маржа)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34.9%</t>
        </is>
      </c>
      <c r="I23" s="322" t="inlineStr">
        <is>
          <t>+25 пп</t>
        </is>
      </c>
      <c r="J23" s="404" t="inlineStr">
        <is>
          <t>Снижен v3-02 из-за ВКЛ interest (28 млн/3Y); агрессивно-высокий уровень</t>
        </is>
      </c>
    </row>
    <row r="24" ht="28" customHeight="1">
      <c r="B24" s="400" t="n">
        <v>3</v>
      </c>
      <c r="C24" s="396" t="inlineStr">
        <is>
          <t>Operating margin (маржа)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(себестоимость) / Revenue (Выручка)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46.2%</t>
        </is>
      </c>
      <c r="I25" s="322" t="inlineStr">
        <is>
          <t>−24 пп</t>
        </is>
      </c>
      <c r="J25" s="404" t="inlineStr">
        <is>
          <t>Высокая эффективность COGS (себестоимость)</t>
        </is>
      </c>
    </row>
    <row r="26" ht="28" customHeight="1">
      <c r="B26" s="400" t="n">
        <v>5</v>
      </c>
      <c r="C26" s="396" t="inlineStr">
        <is>
          <t>OpEx / Revenue (Выручка)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(амортизация) / Revenue (Выручка)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(амортизация) минимален</t>
        </is>
      </c>
    </row>
    <row r="28" ht="28" customHeight="1">
      <c r="B28" s="400" t="n">
        <v>7</v>
      </c>
      <c r="C28" s="396" t="inlineStr">
        <is>
          <t>Cash (Денежные средства)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 (тиражирование и реклама)</t>
        </is>
      </c>
    </row>
    <row r="31">
      <c r="B31" s="320" t="inlineStr">
        <is>
          <t>III. VALUATION (ОЦЕНКА) MULTIPLES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(Голливуд)</t>
        </is>
      </c>
      <c r="E33" s="321" t="inlineStr">
        <is>
          <t>Global (Европа)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(стоимость предприятия) / Revenue (Выручка)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pre-IPO; dual-year S32: EV/Rev 2.2–2.5× → Implied EV 2 640–4 950 (после 20% дисконта)</t>
        </is>
      </c>
    </row>
    <row r="35" ht="28" customHeight="1">
      <c r="B35" s="400" t="n">
        <v>2</v>
      </c>
      <c r="C35" s="396" t="inlineStr">
        <is>
          <t>EV (стоимость предприятия) / EBITDA (прибыль до вычетов)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valuation; dual-year S32: EV/EBITDA 8.0× → Implied EV 4 516–8 053 (после 20% дисконта); midpoint 5 202</t>
        </is>
      </c>
    </row>
    <row r="36" ht="28" customHeight="1">
      <c r="B36" s="400" t="n">
        <v>3</v>
      </c>
      <c r="C36" s="396" t="inlineStr">
        <is>
          <t>EV (стоимость предприятия) / EBITDA (прибыль до вычетов)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risk; dual-year FY2027 peak EBITDA 1 258 → forward EV до 10 067 (pre-discount); FY2028 EBITDA 614.39 (two-tier GM)</t>
        </is>
      </c>
    </row>
    <row r="37" ht="28" customHeight="1">
      <c r="B37" s="400" t="n">
        <v>4</v>
      </c>
      <c r="C37" s="396" t="inlineStr">
        <is>
          <t>P / E (Net Profit (Чистая прибыль))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(первичное размещение) готовности, 10-12×</t>
        </is>
      </c>
    </row>
    <row r="38" ht="28" customHeight="1">
      <c r="B38" s="400" t="n">
        <v>5</v>
      </c>
      <c r="C38" s="396" t="inlineStr">
        <is>
          <t>EV (стоимость предприятия) / Subscriber (SVOD (подписной стриминг))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(подписной стриминг) модель</t>
        </is>
      </c>
    </row>
    <row r="39" ht="28" customHeight="1">
      <c r="B39" s="400" t="n">
        <v>6</v>
      </c>
      <c r="C39" s="396" t="inlineStr">
        <is>
          <t>EV (стоимость предприятия)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 ИТОГИ ПОЗИЦИОНИРОВАНИЯ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45.7% (vs РФ median 20%) — структурное преимущество JV-модели; two-tier GM (Films 55.8%, Series 47%); Implied EV dual-year 5,202 млн ₽ (S32)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 (кассовые сборы)/budget (бюджет)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7 проектов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(себестоимость) 46.2%, OpEx 5.8%, ВКЛ interest 0.6%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(Коэффициент P&amp;A)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(Денежные средства)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(Выручка)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264 млн ₽ — mid-tier, укрупнение (7 проектов vs old 12); потенциал box-office выше на единицу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(амортизация)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K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(СОПОСТАВИМЫЕ СДЕЛКИ) — M&amp;A (слияния и поглощения)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(слияния и поглощения)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 xml:space="preserve">Target </t>
        </is>
      </c>
      <c r="E8" s="321" t="inlineStr">
        <is>
          <t>Acquirer (Покупатель)</t>
        </is>
      </c>
      <c r="F8" s="321" t="inlineStr">
        <is>
          <t>Deal size (Размер сделки)</t>
        </is>
      </c>
      <c r="G8" s="321" t="inlineStr">
        <is>
          <t>EV (стоимость предприятия)/Revenue (Выручка)</t>
        </is>
      </c>
      <c r="H8" s="321" t="inlineStr">
        <is>
          <t>EV (стоимость предприятия)/EBITDA (прибыль до вычетов)</t>
        </is>
      </c>
      <c r="I8" s="321" t="inlineStr">
        <is>
          <t>Stake (Доля)</t>
        </is>
      </c>
      <c r="J8" s="321" t="inlineStr">
        <is>
          <t>Type (Тип)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 (Миноритарный)</t>
        </is>
      </c>
      <c r="K9" s="404" t="inlineStr">
        <is>
          <t>Pre-IPO (первичное размещение) раунд с прицелом на NASDAQ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 (Контроль)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 (СТАРТ)</t>
        </is>
      </c>
      <c r="E11" s="323" t="inlineStr">
        <is>
          <t>Sigma Capital (Капитал)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 (доля в капитале)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(Премьера)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(Внутренний) consolidation (Внутренняя консолидация)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 (Стратегический)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 (Сделка по библиотеке)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 (первичное размещение)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 (Рост)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 (Стратегический)</t>
        </is>
      </c>
      <c r="K17" s="404" t="inlineStr">
        <is>
          <t>Слияние AVOD (рекламный стриминг)-активов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 (Контроль)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ГЛОБАЛЬНЫЙ M&amp;A (слияния и поглощения) PRECEDENTS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 xml:space="preserve">Target </t>
        </is>
      </c>
      <c r="E23" s="321" t="inlineStr">
        <is>
          <t>Acquirer (Покупатель)</t>
        </is>
      </c>
      <c r="F23" s="321" t="inlineStr">
        <is>
          <t>Deal size (Размер сделки) ($ млрд)</t>
        </is>
      </c>
      <c r="G23" s="321" t="inlineStr">
        <is>
          <t>EV (стоимость предприятия)/Revenue (Выручка)</t>
        </is>
      </c>
      <c r="H23" s="321" t="inlineStr">
        <is>
          <t>EV (стоимость предприятия)/EBITDA (прибыль до вычетов)</t>
        </is>
      </c>
      <c r="I23" s="321" t="inlineStr">
        <is>
          <t>Stake (Доля)</t>
        </is>
      </c>
      <c r="J23" s="321" t="inlineStr">
        <is>
          <t>Type (Тип)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 (Стратегический)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(телевидение)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 (Слияние)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 (Стратегический)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 (Вторичный)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 (Мажоритарный)</t>
        </is>
      </c>
      <c r="J28" s="322" t="inlineStr">
        <is>
          <t>Growth (Рост)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 (Слияние)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 (Капитал)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 (Финансовый)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 (Мажоритарный)</t>
        </is>
      </c>
      <c r="J31" s="322" t="inlineStr">
        <is>
          <t>Royalty (Роялти)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 (Мажоритарный)</t>
        </is>
      </c>
      <c r="J32" s="322" t="inlineStr">
        <is>
          <t>Strategic (Стратегический)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 (Слияние)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ГЛОБАЛЬНЫЙ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(ПОДРАЗУМЕВАЕМАЯ ОЦЕНКА) — DUAL-YEAR APPROACH (FY2027 пиковый / FY2028 нормализованный)</t>
        </is>
      </c>
    </row>
    <row r="37">
      <c r="B37" t="inlineStr">
        <is>
          <t>Методология: пик выручки в FY2027 (2 475 млн ₽), нормализация в FY2028 (1 500 млн ₽). Dual-year даёт справедливый диапазон для циклического бизнеса.</t>
        </is>
      </c>
    </row>
    <row r="38">
      <c r="B38" s="321" t="inlineStr">
        <is>
          <t>A. FY2027 (ПИКОВЫЙ ГОД)</t>
        </is>
      </c>
      <c r="C38" s="321" t="inlineStr">
        <is>
          <t>ТрендСтудио FY2027</t>
        </is>
      </c>
      <c r="D38" s="321" t="inlineStr">
        <is>
          <t>Мультипл (median)</t>
        </is>
      </c>
      <c r="E38" s="321" t="inlineStr">
        <is>
          <t>Implied EV</t>
        </is>
      </c>
      <c r="F38" s="321" t="inlineStr">
        <is>
          <t>Дисконт (−20%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2475</v>
      </c>
      <c r="D39" s="400" t="inlineStr">
        <is>
          <t>2.5×</t>
        </is>
      </c>
      <c r="E39" s="410" t="n">
        <v>6187.5</v>
      </c>
      <c r="F39" s="322" t="inlineStr">
        <is>
          <t>−20%</t>
        </is>
      </c>
      <c r="G39" s="411" t="n">
        <v>4950</v>
      </c>
    </row>
    <row r="40">
      <c r="B40" s="396" t="inlineStr">
        <is>
          <t>EV / EBITDA (РФ median)</t>
        </is>
      </c>
      <c r="C40" s="366" t="n">
        <v>1258.33</v>
      </c>
      <c r="D40" s="400" t="inlineStr">
        <is>
          <t>8.0×</t>
        </is>
      </c>
      <c r="E40" s="410" t="n">
        <v>10066.6</v>
      </c>
      <c r="F40" s="322" t="inlineStr">
        <is>
          <t>−20%</t>
        </is>
      </c>
      <c r="G40" s="411" t="n">
        <v>8053.3</v>
      </c>
    </row>
    <row r="41">
      <c r="B41" s="396" t="inlineStr">
        <is>
          <t>EV / Revenue (Global median)</t>
        </is>
      </c>
      <c r="C41" s="366" t="n">
        <v>2475</v>
      </c>
      <c r="D41" s="400" t="inlineStr">
        <is>
          <t>2.2×</t>
        </is>
      </c>
      <c r="E41" s="410" t="n">
        <v>5445</v>
      </c>
      <c r="F41" s="322" t="inlineStr">
        <is>
          <t>−20%</t>
        </is>
      </c>
      <c r="G41" s="411" t="n">
        <v>4356</v>
      </c>
    </row>
    <row r="42">
      <c r="B42" s="396" t="inlineStr">
        <is>
          <t>EV / EBITDA (Global median)</t>
        </is>
      </c>
      <c r="C42" s="366" t="n">
        <v>1258.33</v>
      </c>
      <c r="D42" s="400" t="inlineStr">
        <is>
          <t>9.8×</t>
        </is>
      </c>
      <c r="E42" s="410" t="n">
        <v>12331.6</v>
      </c>
      <c r="F42" s="322" t="inlineStr">
        <is>
          <t>−20%</t>
        </is>
      </c>
      <c r="G42" s="411" t="n">
        <v>9865.299999999999</v>
      </c>
    </row>
    <row r="43">
      <c r="B43" t="inlineStr">
        <is>
          <t>Среднее EV FY2027 (пиковый):</t>
        </is>
      </c>
      <c r="G43" t="n">
        <v>6806.1</v>
      </c>
    </row>
    <row r="44">
      <c r="B44" s="412" t="inlineStr"/>
      <c r="C44" s="186" t="n"/>
      <c r="D44" s="186" t="n"/>
      <c r="E44" s="186" t="n"/>
      <c r="F44" s="187" t="n"/>
    </row>
    <row r="45">
      <c r="B45" t="inlineStr">
        <is>
          <t>B. FY2028 (НОРМАЛИЗОВАННЫЙ ГОД)</t>
        </is>
      </c>
      <c r="C45" t="inlineStr">
        <is>
          <t>ТрендСтудио FY2028</t>
        </is>
      </c>
      <c r="D45" t="inlineStr">
        <is>
          <t>Мультипл (median)</t>
        </is>
      </c>
      <c r="E45" t="inlineStr">
        <is>
          <t>Implied EV</t>
        </is>
      </c>
      <c r="F45" t="inlineStr">
        <is>
          <t>Дисконт (−20% execution)</t>
        </is>
      </c>
      <c r="G45" t="inlineStr">
        <is>
          <t>EV после дисконта</t>
        </is>
      </c>
    </row>
    <row r="46">
      <c r="B46" s="320" t="inlineStr">
        <is>
          <t>EV / Revenue (РФ median)</t>
        </is>
      </c>
      <c r="C46" t="n">
        <v>1500</v>
      </c>
      <c r="D46" t="inlineStr">
        <is>
          <t>2.5×</t>
        </is>
      </c>
      <c r="E46" t="n">
        <v>3750</v>
      </c>
      <c r="F46" t="inlineStr">
        <is>
          <t>−20%</t>
        </is>
      </c>
      <c r="G46" t="n">
        <v>3000</v>
      </c>
    </row>
    <row r="47">
      <c r="B47" t="inlineStr">
        <is>
          <t>EV / EBITDA (РФ median)</t>
        </is>
      </c>
      <c r="C47" t="n">
        <v>614.39</v>
      </c>
      <c r="D47" t="inlineStr">
        <is>
          <t>8.0×</t>
        </is>
      </c>
      <c r="E47" t="n">
        <v>4915.1</v>
      </c>
      <c r="F47" t="inlineStr">
        <is>
          <t>−20%</t>
        </is>
      </c>
      <c r="G47" t="n">
        <v>3932.1</v>
      </c>
    </row>
    <row r="48">
      <c r="C48" s="323" t="n">
        <v>1500</v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C49" s="323" t="n">
        <v>614.39</v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C51" s="323" t="inlineStr"/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C53" s="323" t="inlineStr">
        <is>
          <t>Оптимальный exit для ТрендСтудио: strategic sale с EV (стоимость предприятия)/EBITDA (прибыль до вычетов)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C54" s="323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C55" s="323" t="inlineStr">
        <is>
          <t>Minority (Миноритарный) stake sale (25-40%) даёт лучший мультипл, чем control premium (премия)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7">
      <c r="B57" t="inlineStr">
        <is>
          <t>IV. КЛЮЧЕВЫЕ ВЫВОДЫ ИЗ PRECEDENTS (обновлено v3-03)</t>
        </is>
      </c>
    </row>
    <row r="58">
      <c r="B58" s="401" t="inlineStr"/>
    </row>
    <row r="59">
      <c r="B59" t="inlineStr">
        <is>
          <t>1</t>
        </is>
      </c>
      <c r="C59" t="inlineStr">
        <is>
          <t>Медианный EV/EBITDA РФ (2018-2025) = 8.0×; для ТрендСтудио при пиковом FY2027 это даёт EV 8 053 млн ₽ (после 20% дисконта).</t>
        </is>
      </c>
    </row>
    <row r="60">
      <c r="B60" s="323" t="inlineStr">
        <is>
          <t>2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3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4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5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6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7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  <row r="66">
      <c r="B66" t="inlineStr">
        <is>
          <t>8</t>
        </is>
      </c>
      <c r="C66" t="inlineStr">
        <is>
          <t>Minority stake sale (25-40%) даёт лучший мультипл, чем control premium в условиях РФ liquidity discount.</t>
        </is>
      </c>
    </row>
    <row r="68">
      <c r="B68" t="inlineStr">
        <is>
          <t>V. ИСТОЧНИКИ СДЕЛОК</t>
        </is>
      </c>
    </row>
    <row r="70">
      <c r="B70" t="inlineStr">
        <is>
          <t>• ТАСС, Коммерсант, Ведомости — российские сделки</t>
        </is>
      </c>
    </row>
    <row r="71">
      <c r="B71" t="inlineStr">
        <is>
          <t>• Bloomberg, Reuters, Financial Times — глобальные сделки</t>
        </is>
      </c>
    </row>
    <row r="72">
      <c r="B72" t="inlineStr">
        <is>
          <t>• Reuters Refinitiv M&amp;A database</t>
        </is>
      </c>
    </row>
    <row r="73">
      <c r="B73" t="inlineStr">
        <is>
          <t>• SEC 10-K отчётности публичных компаний (Disney, Paramount, Warner, Amazon)</t>
        </is>
      </c>
    </row>
    <row r="74">
      <c r="B74" t="inlineStr">
        <is>
          <t>• S&amp;P Capital IQ</t>
        </is>
      </c>
    </row>
    <row r="75">
      <c r="B75" t="inlineStr">
        <is>
          <t>• Прим.: EBITDA-мультипликаторы для некоторых сделок оценены на базе публичных данных</t>
        </is>
      </c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(ключевые показатели)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(ключевые показатели)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П05 «Сказка наяву» (семейный), П02 «Два сердца»</t>
        </is>
      </c>
      <c r="G9" s="322" t="inlineStr">
        <is>
          <t>2 из 7 проектов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П01 «Родные стены», П03 «Ночной патруль» (исторический)</t>
        </is>
      </c>
      <c r="G10" s="322" t="inlineStr">
        <is>
          <t>2 из 7 проектов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(7 проектов), объём 1 850 млн ₽</t>
        </is>
      </c>
      <c r="G11" s="322" t="inlineStr">
        <is>
          <t>12/7 проектов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(Цифровой) distribution (распределение), VFX (визуальные эффекты)-pipelines,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(ключевые показатели)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(Посещаемость)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(кассовые сборы)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 (Капзатраты); остальное — T₁ инвестор + producer equity (доля в капитале)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П03 «Ночной патруль», П05 «Сказка наяву»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П01 «Родные стены», П05 «Сказка наяву», П06С «Северный ветер»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 (визуальные эффекты)-центр,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(РЕГУЛЯТОРНОЕ СООТВЕТСТВИЕ)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НАЛОГОВЫЙ КАЛЕНДАРЬ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 (совместное предприятие)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0</v>
      </c>
      <c r="D23" s="376" t="n">
        <v>0</v>
      </c>
      <c r="E23" s="376" t="n">
        <v>0</v>
      </c>
      <c r="F23" s="376" t="n">
        <v>57.4</v>
      </c>
      <c r="G23" s="376" t="n">
        <v>0</v>
      </c>
      <c r="H23" s="376" t="n">
        <v>102.8</v>
      </c>
      <c r="I23" s="376" t="n">
        <v>71.5</v>
      </c>
      <c r="J23" s="376" t="n">
        <v>82.09999999999999</v>
      </c>
      <c r="K23" s="376" t="n">
        <v>51.2</v>
      </c>
      <c r="L23" s="376" t="n">
        <v>0</v>
      </c>
      <c r="M23" s="376" t="n">
        <v>52.3</v>
      </c>
      <c r="N23" s="376" t="n">
        <v>43.4</v>
      </c>
      <c r="O23" s="376" t="n">
        <v>13.5</v>
      </c>
      <c r="P23" s="376" t="n">
        <v>2.6</v>
      </c>
      <c r="Q23" s="376" t="n">
        <v>0</v>
      </c>
      <c r="R23" s="376" t="n">
        <v>0</v>
      </c>
      <c r="S23" s="373" t="n">
        <v>476.8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7.6</v>
      </c>
      <c r="D25" s="379" t="n">
        <v>7.6</v>
      </c>
      <c r="E25" s="379" t="n">
        <v>7.6</v>
      </c>
      <c r="F25" s="379" t="n">
        <v>7.6</v>
      </c>
      <c r="G25" s="379" t="n">
        <v>8.199999999999999</v>
      </c>
      <c r="H25" s="379" t="n">
        <v>8.199999999999999</v>
      </c>
      <c r="I25" s="379" t="n">
        <v>8.199999999999999</v>
      </c>
      <c r="J25" s="379" t="n">
        <v>8.199999999999999</v>
      </c>
      <c r="K25" s="379" t="n">
        <v>8.800000000000001</v>
      </c>
      <c r="L25" s="379" t="n">
        <v>8.800000000000001</v>
      </c>
      <c r="M25" s="379" t="n">
        <v>8.800000000000001</v>
      </c>
      <c r="N25" s="379" t="n">
        <v>8.800000000000001</v>
      </c>
      <c r="O25" s="379" t="n">
        <v>38.1</v>
      </c>
      <c r="P25" s="379" t="n">
        <v>41.1</v>
      </c>
      <c r="Q25" s="379" t="n">
        <v>44.4</v>
      </c>
      <c r="R25" s="379" t="n">
        <v>48</v>
      </c>
      <c r="S25" s="373" t="n">
        <v>270</v>
      </c>
    </row>
    <row r="26">
      <c r="B26" s="369" t="inlineStr">
        <is>
          <t>НДФЛ (13-15%)</t>
        </is>
      </c>
      <c r="C26" s="382" t="n">
        <v>3.4</v>
      </c>
      <c r="D26" s="382" t="n">
        <v>3.4</v>
      </c>
      <c r="E26" s="382" t="n">
        <v>3.4</v>
      </c>
      <c r="F26" s="382" t="n">
        <v>3.4</v>
      </c>
      <c r="G26" s="382" t="n">
        <v>3.7</v>
      </c>
      <c r="H26" s="382" t="n">
        <v>3.7</v>
      </c>
      <c r="I26" s="382" t="n">
        <v>3.7</v>
      </c>
      <c r="J26" s="382" t="n">
        <v>3.7</v>
      </c>
      <c r="K26" s="382" t="n">
        <v>3.9</v>
      </c>
      <c r="L26" s="382" t="n">
        <v>3.9</v>
      </c>
      <c r="M26" s="382" t="n">
        <v>3.9</v>
      </c>
      <c r="N26" s="382" t="n">
        <v>3.9</v>
      </c>
      <c r="O26" s="382" t="n">
        <v>17</v>
      </c>
      <c r="P26" s="382" t="n">
        <v>18.4</v>
      </c>
      <c r="Q26" s="382" t="n">
        <v>19.9</v>
      </c>
      <c r="R26" s="382" t="n">
        <v>21.5</v>
      </c>
      <c r="S26" s="373" t="n">
        <v>120.8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</v>
      </c>
      <c r="D28" s="373" t="n">
        <v>13</v>
      </c>
      <c r="E28" s="373" t="n">
        <v>13</v>
      </c>
      <c r="F28" s="373" t="n">
        <v>70.40000000000001</v>
      </c>
      <c r="G28" s="373" t="n">
        <v>13.9</v>
      </c>
      <c r="H28" s="373" t="n">
        <v>116.7</v>
      </c>
      <c r="I28" s="373" t="n">
        <v>85.40000000000001</v>
      </c>
      <c r="J28" s="373" t="n">
        <v>96</v>
      </c>
      <c r="K28" s="373" t="n">
        <v>65.90000000000001</v>
      </c>
      <c r="L28" s="373" t="n">
        <v>14.7</v>
      </c>
      <c r="M28" s="373" t="n">
        <v>67</v>
      </c>
      <c r="N28" s="373" t="n">
        <v>58.1</v>
      </c>
      <c r="O28" s="373" t="n">
        <v>70.59999999999999</v>
      </c>
      <c r="P28" s="373" t="n">
        <v>64.09999999999999</v>
      </c>
      <c r="Q28" s="373" t="n">
        <v>66.3</v>
      </c>
      <c r="R28" s="373" t="n">
        <v>71.5</v>
      </c>
      <c r="S28" s="433" t="n">
        <v>899.6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 (Выручка)</t>
        </is>
      </c>
    </row>
    <row r="33">
      <c r="B33" s="365" t="inlineStr">
        <is>
          <t>3Y (2026-2028)</t>
        </is>
      </c>
      <c r="C33" s="376" t="n">
        <v>460.7</v>
      </c>
      <c r="D33" s="376" t="n">
        <v>98.40000000000001</v>
      </c>
      <c r="E33" s="376" t="n">
        <v>44</v>
      </c>
      <c r="F33" s="376" t="n">
        <v>24</v>
      </c>
      <c r="G33" s="373" t="n">
        <v>627.1</v>
      </c>
      <c r="H33" s="377" t="n">
        <v>0.138</v>
      </c>
    </row>
    <row r="34">
      <c r="B34" s="369" t="inlineStr">
        <is>
          <t>Tail (Хвостовой период) (2029-2032)</t>
        </is>
      </c>
      <c r="C34" s="382" t="n">
        <v>16.1</v>
      </c>
      <c r="D34" s="382" t="n">
        <v>171.6</v>
      </c>
      <c r="E34" s="382" t="n">
        <v>76.8</v>
      </c>
      <c r="F34" s="382" t="n">
        <v>8</v>
      </c>
      <c r="G34" s="434" t="n">
        <v>272.5</v>
      </c>
      <c r="H34" s="383" t="n">
        <v>0.2595</v>
      </c>
    </row>
    <row r="35">
      <c r="B35" s="432" t="inlineStr">
        <is>
          <t>7Y ИТОГО</t>
        </is>
      </c>
      <c r="C35" s="435" t="n">
        <v>476.8</v>
      </c>
      <c r="D35" s="435" t="n">
        <v>270</v>
      </c>
      <c r="E35" s="435" t="n">
        <v>120.8</v>
      </c>
      <c r="F35" s="435" t="n">
        <v>32</v>
      </c>
      <c r="G35" s="435" t="n">
        <v>899.6</v>
      </c>
      <c r="H35" s="436" t="n">
        <v>0.1608</v>
      </c>
    </row>
    <row r="38">
      <c r="B38" s="320" t="inlineStr">
        <is>
          <t>IV.  КЛЮЧЕВЫЕ ВЫВОДЫ</t>
        </is>
      </c>
    </row>
    <row r="40">
      <c r="B40" s="323" t="inlineStr">
        <is>
          <t>1. Общий объём налогов 7Y ≈ 900 млн ₽ (16.1%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627 млн ₽, из которых налог на прибыль ~461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 (совместное предприятие)-структуре; producer equity (доля в капитале)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 (Реестр рисков)):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(ДОРОЖНАЯ КАРТА) 2026–2032 — КЛЮЧЕВЫЕ МИЛЕСТОНЫ</t>
        </is>
      </c>
    </row>
    <row r="4">
      <c r="B4" s="319" t="inlineStr">
        <is>
          <t>Производство slate, фандрайзинг, governance, exit routes. Critical (Критический) path color-coded.</t>
        </is>
      </c>
    </row>
    <row r="6">
      <c r="B6" s="320" t="inlineStr">
        <is>
          <t>I. PRODUCTION MILESTONES (ПРОИЗВОДСТВЕННЫЕ ВЕХИ) (7 проектов: 5 фильмов + 2 сериала)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t="inlineStr">
        <is>
          <t>П01 Родные стены</t>
        </is>
      </c>
      <c r="C9" t="inlineStr">
        <is>
          <t>Dev</t>
        </is>
      </c>
      <c r="D9" t="inlineStr">
        <is>
          <t>Dev</t>
        </is>
      </c>
      <c r="E9" t="inlineStr">
        <is>
          <t>Shoot (Съёмка)</t>
        </is>
      </c>
      <c r="F9" t="inlineStr">
        <is>
          <t>★Rel</t>
        </is>
      </c>
      <c r="G9" t="inlineStr">
        <is>
          <t>tail</t>
        </is>
      </c>
      <c r="H9" t="inlineStr">
        <is>
          <t>tail</t>
        </is>
      </c>
      <c r="I9" t="inlineStr">
        <is>
          <t>tail</t>
        </is>
      </c>
      <c r="J9" t="inlineStr">
        <is>
          <t>tail</t>
        </is>
      </c>
      <c r="K9" t="inlineStr">
        <is>
          <t>tail</t>
        </is>
      </c>
      <c r="L9" t="inlineStr">
        <is>
          <t>tail</t>
        </is>
      </c>
      <c r="M9" t="inlineStr">
        <is>
          <t>tail</t>
        </is>
      </c>
      <c r="N9" t="inlineStr">
        <is>
          <t>tail</t>
        </is>
      </c>
      <c r="O9" t="inlineStr">
        <is>
          <t>tail</t>
        </is>
      </c>
      <c r="P9" t="inlineStr">
        <is>
          <t>tail</t>
        </is>
      </c>
      <c r="Q9" t="inlineStr">
        <is>
          <t>tail</t>
        </is>
      </c>
      <c r="R9" t="inlineStr">
        <is>
          <t>tail</t>
        </is>
      </c>
    </row>
    <row r="10" ht="22" customHeight="1">
      <c r="B10" t="inlineStr">
        <is>
          <t>П02 Два сердца</t>
        </is>
      </c>
      <c r="C10" t="inlineStr">
        <is>
          <t>Dev</t>
        </is>
      </c>
      <c r="D10" t="inlineStr">
        <is>
          <t>Dev</t>
        </is>
      </c>
      <c r="E10" t="inlineStr">
        <is>
          <t>Dev</t>
        </is>
      </c>
      <c r="F10" t="inlineStr">
        <is>
          <t>Shoot (Съёмка)</t>
        </is>
      </c>
      <c r="G10" t="inlineStr">
        <is>
          <t>Post (Постпродакшн)</t>
        </is>
      </c>
      <c r="H10" t="inlineStr">
        <is>
          <t>★Rel</t>
        </is>
      </c>
      <c r="I10" t="inlineStr">
        <is>
          <t>tail</t>
        </is>
      </c>
      <c r="J10" t="inlineStr">
        <is>
          <t>tail</t>
        </is>
      </c>
      <c r="K10" t="inlineStr">
        <is>
          <t>tail</t>
        </is>
      </c>
      <c r="L10" t="inlineStr">
        <is>
          <t>tail</t>
        </is>
      </c>
      <c r="M10" t="inlineStr">
        <is>
          <t>tail</t>
        </is>
      </c>
      <c r="N10" t="inlineStr">
        <is>
          <t>tail</t>
        </is>
      </c>
      <c r="O10" t="inlineStr">
        <is>
          <t>tail</t>
        </is>
      </c>
      <c r="P10" t="inlineStr">
        <is>
          <t>tail</t>
        </is>
      </c>
      <c r="Q10" t="inlineStr">
        <is>
          <t>tail</t>
        </is>
      </c>
      <c r="R10" t="inlineStr">
        <is>
          <t>tail</t>
        </is>
      </c>
    </row>
    <row r="11" ht="22" customHeight="1">
      <c r="B11" t="inlineStr">
        <is>
          <t>П03 Ночной патруль</t>
        </is>
      </c>
      <c r="D11" t="inlineStr">
        <is>
          <t>Dev</t>
        </is>
      </c>
      <c r="E11" t="inlineStr">
        <is>
          <t>Dev</t>
        </is>
      </c>
      <c r="F11" t="inlineStr">
        <is>
          <t>Dev</t>
        </is>
      </c>
      <c r="G11" t="inlineStr">
        <is>
          <t>Shoot (Съёмка)</t>
        </is>
      </c>
      <c r="H11" t="inlineStr">
        <is>
          <t>★Rel</t>
        </is>
      </c>
      <c r="I11" t="inlineStr">
        <is>
          <t>tail</t>
        </is>
      </c>
      <c r="J11" t="inlineStr">
        <is>
          <t>tail</t>
        </is>
      </c>
      <c r="K11" t="inlineStr">
        <is>
          <t>tail</t>
        </is>
      </c>
      <c r="L11" t="inlineStr">
        <is>
          <t>tail</t>
        </is>
      </c>
      <c r="M11" t="inlineStr">
        <is>
          <t>tail</t>
        </is>
      </c>
      <c r="N11" t="inlineStr">
        <is>
          <t>tail</t>
        </is>
      </c>
      <c r="O11" t="inlineStr">
        <is>
          <t>tail</t>
        </is>
      </c>
      <c r="P11" t="inlineStr">
        <is>
          <t>tail</t>
        </is>
      </c>
      <c r="Q11" t="inlineStr">
        <is>
          <t>tail</t>
        </is>
      </c>
      <c r="R11" t="inlineStr">
        <is>
          <t>tail</t>
        </is>
      </c>
    </row>
    <row r="12" ht="22" customHeight="1">
      <c r="B12" t="inlineStr">
        <is>
          <t>П04 Время героев</t>
        </is>
      </c>
      <c r="D12" t="inlineStr">
        <is>
          <t>Dev</t>
        </is>
      </c>
      <c r="E12" t="inlineStr">
        <is>
          <t>Dev</t>
        </is>
      </c>
      <c r="F12" t="inlineStr">
        <is>
          <t>Dev</t>
        </is>
      </c>
      <c r="G12" t="inlineStr">
        <is>
          <t>Dev</t>
        </is>
      </c>
      <c r="H12" t="inlineStr">
        <is>
          <t>Shoot (Съёмка)</t>
        </is>
      </c>
      <c r="I12" t="inlineStr">
        <is>
          <t>★Rel</t>
        </is>
      </c>
      <c r="J12" t="inlineStr">
        <is>
          <t>tail</t>
        </is>
      </c>
      <c r="K12" t="inlineStr">
        <is>
          <t>tail</t>
        </is>
      </c>
      <c r="L12" t="inlineStr">
        <is>
          <t>tail</t>
        </is>
      </c>
      <c r="M12" t="inlineStr">
        <is>
          <t>tail</t>
        </is>
      </c>
      <c r="N12" t="inlineStr">
        <is>
          <t>tail</t>
        </is>
      </c>
      <c r="O12" t="inlineStr">
        <is>
          <t>tail</t>
        </is>
      </c>
      <c r="P12" t="inlineStr">
        <is>
          <t>tail</t>
        </is>
      </c>
      <c r="Q12" t="inlineStr">
        <is>
          <t>tail</t>
        </is>
      </c>
      <c r="R12" t="inlineStr">
        <is>
          <t>tail</t>
        </is>
      </c>
    </row>
    <row r="13" ht="22" customHeight="1">
      <c r="B13" t="inlineStr">
        <is>
          <t>П05 Сказка наяву</t>
        </is>
      </c>
      <c r="E13" t="inlineStr">
        <is>
          <t>Dev</t>
        </is>
      </c>
      <c r="F13" t="inlineStr">
        <is>
          <t>Dev</t>
        </is>
      </c>
      <c r="G13" t="inlineStr">
        <is>
          <t>Dev</t>
        </is>
      </c>
      <c r="H13" t="inlineStr">
        <is>
          <t>Shoot (Съёмка)</t>
        </is>
      </c>
      <c r="I13" t="inlineStr">
        <is>
          <t>Post (Постпродакшн)</t>
        </is>
      </c>
      <c r="J13" t="inlineStr">
        <is>
          <t>★Rel</t>
        </is>
      </c>
      <c r="K13" t="inlineStr">
        <is>
          <t>tail</t>
        </is>
      </c>
      <c r="L13" t="inlineStr">
        <is>
          <t>tail</t>
        </is>
      </c>
      <c r="M13" t="inlineStr">
        <is>
          <t>tail</t>
        </is>
      </c>
      <c r="N13" t="inlineStr">
        <is>
          <t>tail</t>
        </is>
      </c>
      <c r="O13" t="inlineStr">
        <is>
          <t>tail</t>
        </is>
      </c>
      <c r="P13" t="inlineStr">
        <is>
          <t>tail</t>
        </is>
      </c>
      <c r="Q13" t="inlineStr">
        <is>
          <t>tail</t>
        </is>
      </c>
      <c r="R13" t="inlineStr">
        <is>
          <t>tail</t>
        </is>
      </c>
    </row>
    <row r="14" ht="22" customHeight="1">
      <c r="B14" t="inlineStr">
        <is>
          <t>П06С Северный ветер (сериал)</t>
        </is>
      </c>
      <c r="F14" t="inlineStr">
        <is>
          <t>Dev</t>
        </is>
      </c>
      <c r="G14" t="inlineStr">
        <is>
          <t>Dev</t>
        </is>
      </c>
      <c r="H14" t="inlineStr">
        <is>
          <t>Dev</t>
        </is>
      </c>
      <c r="I14" t="inlineStr">
        <is>
          <t>Shoot (Съёмка)</t>
        </is>
      </c>
      <c r="J14" t="inlineStr">
        <is>
          <t>Post (Постпродакшн)</t>
        </is>
      </c>
      <c r="K14" t="inlineStr">
        <is>
          <t>★Rel</t>
        </is>
      </c>
      <c r="L14" t="inlineStr">
        <is>
          <t>tail</t>
        </is>
      </c>
      <c r="M14" t="inlineStr">
        <is>
          <t>tail</t>
        </is>
      </c>
      <c r="N14" t="inlineStr">
        <is>
          <t>tail</t>
        </is>
      </c>
      <c r="O14" t="inlineStr">
        <is>
          <t>tail</t>
        </is>
      </c>
      <c r="P14" t="inlineStr">
        <is>
          <t>tail</t>
        </is>
      </c>
      <c r="Q14" t="inlineStr">
        <is>
          <t>tail</t>
        </is>
      </c>
      <c r="R14" t="inlineStr">
        <is>
          <t>tail</t>
        </is>
      </c>
    </row>
    <row r="15" ht="22" customHeight="1">
      <c r="B15" t="inlineStr">
        <is>
          <t>П07С Горизонт событий (сериал)</t>
        </is>
      </c>
      <c r="G15" t="inlineStr">
        <is>
          <t>Dev</t>
        </is>
      </c>
      <c r="H15" t="inlineStr">
        <is>
          <t>Dev</t>
        </is>
      </c>
      <c r="I15" t="inlineStr">
        <is>
          <t>Dev</t>
        </is>
      </c>
      <c r="J15" t="inlineStr">
        <is>
          <t>Shoot (Съёмка)</t>
        </is>
      </c>
      <c r="K15" t="inlineStr">
        <is>
          <t>Post (Постпродакшн)</t>
        </is>
      </c>
      <c r="L15" t="inlineStr">
        <is>
          <t>Post (Постпродакшн)</t>
        </is>
      </c>
      <c r="M15" t="inlineStr">
        <is>
          <t>★Rel</t>
        </is>
      </c>
      <c r="N15" t="inlineStr">
        <is>
          <t>tail</t>
        </is>
      </c>
      <c r="O15" t="inlineStr">
        <is>
          <t>tail</t>
        </is>
      </c>
      <c r="P15" t="inlineStr">
        <is>
          <t>tail</t>
        </is>
      </c>
      <c r="Q15" t="inlineStr">
        <is>
          <t>tail</t>
        </is>
      </c>
      <c r="R15" t="inlineStr">
        <is>
          <t>tail</t>
        </is>
      </c>
    </row>
    <row r="16" ht="22" customHeight="1"/>
    <row r="17" ht="22" customHeight="1"/>
    <row r="18" ht="22" customHeight="1"/>
    <row r="19" ht="22" customHeight="1"/>
    <row r="20" ht="22" customHeight="1"/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 (Съёмка)</t>
        </is>
      </c>
      <c r="E22" s="445" t="inlineStr">
        <is>
          <t>Post (Постпродакшн)</t>
        </is>
      </c>
      <c r="F22" s="446" t="inlineStr">
        <is>
          <t>★Rel Release (Релиз)</t>
        </is>
      </c>
      <c r="G22" s="447" t="inlineStr">
        <is>
          <t>tail (хвостовой период) Tail (Хвостовой период) rev.</t>
        </is>
      </c>
    </row>
    <row r="24">
      <c r="B24" s="320" t="inlineStr">
        <is>
          <t>II.  ФАНДРЕЙЗИНГ И ФИНАНСОВЫЕ ВЕХИ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(Транш)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(Транш)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(Транш)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(Транш)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(капитал продюсера) (JV (совместное предприятие))</t>
        </is>
      </c>
      <c r="C35" s="449" t="inlineStr">
        <is>
          <t>600 equity (доля в капитале)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Возобновляемая кредитная линия</t>
        </is>
      </c>
      <c r="C36" s="441" t="n"/>
      <c r="D36" s="441" t="n"/>
      <c r="E36" s="441" t="n"/>
      <c r="F36" s="449" t="inlineStr">
        <is>
          <t>200 ВКЛ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(Возврат 1)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(Возврат 2)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(Возврат 3)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 (Финальный возврат)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(УПРАВЛЕНИЕ И ОТЧЁТНОСТЬ)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Заседание совета (Заседание совета директоров)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(Инвестор)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(Аудит)</t>
        </is>
      </c>
      <c r="C48" s="441" t="n"/>
      <c r="D48" s="441" t="n"/>
      <c r="E48" s="441" t="n"/>
      <c r="F48" s="451" t="inlineStr">
        <is>
          <t>Audit (Аудит)</t>
        </is>
      </c>
      <c r="G48" s="441" t="n"/>
      <c r="H48" s="441" t="n"/>
      <c r="I48" s="441" t="n"/>
      <c r="J48" s="451" t="inlineStr">
        <is>
          <t>Audit (Аудит)</t>
        </is>
      </c>
      <c r="K48" s="441" t="n"/>
      <c r="L48" s="441" t="n"/>
      <c r="M48" s="441" t="n"/>
      <c r="N48" s="451" t="inlineStr">
        <is>
          <t>Audit (Аудит)</t>
        </is>
      </c>
      <c r="O48" s="451" t="inlineStr">
        <is>
          <t>Audit (Аудит)</t>
        </is>
      </c>
      <c r="P48" s="451" t="inlineStr">
        <is>
          <t>Audit (Аудит)</t>
        </is>
      </c>
      <c r="Q48" s="451" t="inlineStr">
        <is>
          <t>Audit (Аудит)</t>
        </is>
      </c>
      <c r="R48" s="451" t="inlineStr">
        <is>
          <t>Audit (Аудит)</t>
        </is>
      </c>
    </row>
    <row r="49" ht="22" customHeight="1">
      <c r="B49" s="448" t="inlineStr">
        <is>
          <t>Проверка ковенантов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(Стратегический) review (Стратегический обзор)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ВЕХИ МАРШРУТОВ ВЫХОДА</t>
        </is>
      </c>
    </row>
    <row r="55">
      <c r="B55" s="321" t="inlineStr">
        <is>
          <t>Маршрут выхода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(Стратегический) sale (Стратегическая продажа)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(Продажа стратегу)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(первичное размещение)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 (первичное размещение)</t>
        </is>
      </c>
      <c r="R58" s="452" t="inlineStr">
        <is>
          <t>IPO (первичное размещение)</t>
        </is>
      </c>
    </row>
    <row r="59" ht="22" customHeight="1">
      <c r="B59" s="448" t="inlineStr">
        <is>
          <t>E4: Secondary (Вторичный) sale (Вторичная продажа)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 (Выкуп менеджментом)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(Гос. стратегический)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(Свёртывание/удержание)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КРИТИЧЕСКИЙ ПУТЬ</t>
        </is>
      </c>
    </row>
    <row r="67">
      <c r="B67" s="323" t="inlineStr">
        <is>
          <t>• Q1'26: T₁ Tranche 1 250 млн ₽ → старт Dev П01–П05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П01, Dev П02–П04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П02, Dev П03–П05, pre-production П06С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П01 → первый revenue impulse (570 млн ₽)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П02 + П03 → основной revenue импульс (980 млн ₽)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П04 «Время героев» → 700 млн ₽ проверка блокбастер-гипотезы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Release П05 + mid-term review → решение о dark horse сериалах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Q1'28: Release П06С «Северный ветер» (сериал) → cash flow breakpoint (520 млн ₽)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Q3'28: Release П07С «Горизонт событий»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W₅ V-D ★ activation (default v1.0.1) / W₄ premium upgrade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Исполнение выхода + полный возврат T₁ + монетизация библиотеки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(Условия сделки) + SPA</t>
        </is>
      </c>
      <c r="E84" s="455" t="inlineStr">
        <is>
          <t>Critical (Критический)</t>
        </is>
      </c>
      <c r="F84" s="323" t="inlineStr">
        <is>
          <t>CFO / Legal (Юрид.)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(Транш) 1 (250 млн ₽)</t>
        </is>
      </c>
      <c r="E85" s="455" t="inlineStr">
        <is>
          <t>Critical (Критический)</t>
        </is>
      </c>
      <c r="F85" s="323" t="inlineStr">
        <is>
          <t>CFO / Совет директоров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П01 «Родные стены»</t>
        </is>
      </c>
      <c r="E86" s="399" t="inlineStr">
        <is>
          <t>High (Высокий)</t>
        </is>
      </c>
      <c r="F86" s="323" t="inlineStr">
        <is>
          <t>Producer (Продюсер) П01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(Транш) 3 + старт съёмок П04</t>
        </is>
      </c>
      <c r="E87" s="455" t="inlineStr">
        <is>
          <t>Critical (Критический)</t>
        </is>
      </c>
      <c r="F87" s="323" t="inlineStr">
        <is>
          <t>CFO + П04 Prod (Производство)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П01</t>
        </is>
      </c>
      <c r="E88" s="399" t="inlineStr">
        <is>
          <t>High (Высокий)</t>
        </is>
      </c>
      <c r="F88" s="323" t="inlineStr">
        <is>
          <t>Distribution (Распределение)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П04 «Время героев» (блокбастер)</t>
        </is>
      </c>
      <c r="E89" s="455" t="inlineStr">
        <is>
          <t>Critical (Критический)</t>
        </is>
      </c>
      <c r="F89" s="323" t="inlineStr">
        <is>
          <t>CEO / Marketing (Маркетинг)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(Промежуточный обзор) + решение по Slate B</t>
        </is>
      </c>
      <c r="E90" s="455" t="inlineStr">
        <is>
          <t>Critical (Критический)</t>
        </is>
      </c>
      <c r="F90" s="323" t="inlineStr">
        <is>
          <t>Совет директоров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(Полный пакет завершён) + начало подготовки к выходу</t>
        </is>
      </c>
      <c r="E91" s="455" t="inlineStr">
        <is>
          <t>Critical (Критический)</t>
        </is>
      </c>
      <c r="F91" s="323" t="inlineStr">
        <is>
          <t>Совет директоров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(Проверка выполнения ковенантов) + T₁ Repayment 1</t>
        </is>
      </c>
      <c r="E92" s="455" t="inlineStr">
        <is>
          <t>Critical (Критический)</t>
        </is>
      </c>
      <c r="F92" s="323" t="inlineStr">
        <is>
          <t>CFO / Совет директоров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Финальный возврат T₁ + исполнение выхода</t>
        </is>
      </c>
      <c r="E93" s="455" t="inlineStr">
        <is>
          <t>Critical (Критический)</t>
        </is>
      </c>
      <c r="F93" s="323" t="inlineStr">
        <is>
          <t>CFO / IR / Совет директоров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КРАТКОЕ РЕЗЮМЕ</t>
        </is>
      </c>
    </row>
    <row r="3" ht="18" customHeight="1">
      <c r="B3" s="457" t="inlineStr">
        <is>
          <t>Холдинг кино «ТрендСтудио» — Investor Package (Инвестиционный пакет) v1.0.1 Public — 2026-04-13</t>
        </is>
      </c>
    </row>
    <row r="5" ht="22" customHeight="1">
      <c r="B5" s="458" t="inlineStr">
        <is>
          <t>I. INVESTMENT (ИНВЕСТИЦИИ) HIGHLIGHTS (КЛЮЧЕВЫЕ ПРЕИМУЩЕСТВА ИНВЕСТИЦИИ)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(Выручка) 4 545 млн ₽, GAAP (стандарты бухучёта) EBITDA (прибыль до вычетов) margin (маржа)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(капитал продюсера) 600 млн ₽ (off-P&amp;L JV (совместное предприятие) капитал)</t>
        </is>
      </c>
    </row>
    <row r="9" ht="28" customHeight="1">
      <c r="B9" s="459" t="inlineStr">
        <is>
          <t>▶</t>
        </is>
      </c>
      <c r="C9" s="460" t="inlineStr">
        <is>
      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(стоимость предприятия) ≈ 6 038 млн ₽ на 2030, 7 маршрутов выхода (strategic / IPO (первичное размещение)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КЛЮЧЕВЫЕ МЕТРИКИ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7 проектов + сиквелы + TV/OTT (онлайн-платформа)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2 009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(прибыль до вычетов) GAAP</t>
        </is>
      </c>
      <c r="D20" s="187" t="n"/>
      <c r="E20" s="328" t="inlineStr">
        <is>
          <t>2 167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Маржа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(чистые распределяемые поступления) (legacy (базовый вариант) anchor (якорь))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 (Прибыль),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 (Чистая прибыль)</t>
        </is>
      </c>
      <c r="D22" s="187" t="n"/>
      <c r="E22" s="328" t="inlineStr">
        <is>
          <t>1 698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Инвестиция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(Продюсер) Equity (Собственный капитал)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(совместное предприятие)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 (Бюджет)</t>
        </is>
      </c>
      <c r="D25" s="187" t="n"/>
      <c r="E25" s="328" t="inlineStr">
        <is>
          <t>1 747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7 проектов × avg 264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 (Налог, 7 лет)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 (Выручка)</t>
        </is>
      </c>
      <c r="J26" s="186" t="n"/>
      <c r="K26" s="186" t="n"/>
      <c r="L26" s="186" t="n"/>
      <c r="M26" s="186" t="n"/>
      <c r="N26" s="187" t="n"/>
    </row>
    <row r="27">
      <c r="B27" s="588" t="n"/>
      <c r="C27" s="592" t="inlineStr">
        <is>
          <t>Investor Returns (Доходность инвестора) T₁ (W₅ V-D ★ default (по умолчанию) v1.0.1)</t>
        </is>
      </c>
      <c r="D27" s="588" t="n"/>
      <c r="E27" s="588" t="inlineStr">
        <is>
          <t>IRR (внутренняя норма доходности) 24.75% · MOIC (мультипликатор вложенного капитала) 2.13× · Payback (Окупаемость) 3.21y</t>
        </is>
      </c>
      <c r="F27" s="588" t="n"/>
      <c r="G27" s="588" t="inlineStr">
        <is>
          <t>24_Investor_Returns</t>
        </is>
      </c>
      <c r="H27" s="588" t="n"/>
      <c r="I27" s="588" t="inlineStr">
        <is>
          <t>W₅ V-D + A+C 33/45/9/13; MC N=5 000 sims; дислеймер V.1-V.4</t>
        </is>
      </c>
      <c r="J27" s="588" t="n"/>
    </row>
    <row r="29" ht="22" customHeight="1">
      <c r="B29" s="466" t="inlineStr">
        <is>
          <t>III. VALUATION (ОЦЕНКА) RANGE INTERPRETATION (DCF (дисконтированный денежный поток)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(стоимость предприятия)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(дисконтированный денежный поток)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 (средневзвешенная стоимость капитала))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Медиана Comps (EV (стоимость предприятия)/EBITDA (прибыль до вычетов)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Рыночная оценка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(стоимость предприятия)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(Ожидаемая стоимость)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(дисконтированный денежный поток)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(средневзвешенная стоимость капитала) 19% vs buyer WACC 7%</t>
        </is>
      </c>
      <c r="D43" s="186" t="n"/>
      <c r="E43" s="187" t="n"/>
      <c r="F43" s="471" t="inlineStr">
        <is>
      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П04, П07С),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(Исполнение) risk — двойное начисление</t>
        </is>
      </c>
      <c r="D45" s="186" t="n"/>
      <c r="E45" s="187" t="n"/>
      <c r="F45" s="471" t="n">
        <v>1274</v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n">
        <v>1698</v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(дисконтированный денежный поток) 1 815 млн ₽ — floor valuation. Используется как downside benchmark при worst-case переговорах, не как fair exit price.
• Comps median 7 550 млн ₽ — market valuation. Используется как upside anchor (якорь) для блокировки нижней границы предложения.
• Weighted Exit EV (стоимость предприятия) 6 038 млн ₽ (probability-weighted) — expected value, оптимальный ориентир для переговоров и дизайна деал-структуры. Именно этот value закладывается в Investor Returns (Доходность инвестора) (24_Investor_Returns) и IRR (внутренняя норма доходности) расчёты.</t>
        </is>
      </c>
    </row>
    <row r="53" ht="22" customHeight="1">
      <c r="B53" s="458" t="inlineStr">
        <is>
          <t>IV.  СВОДКА РИСКОВ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 (Балл)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(Нижний сценарий) risk NDP (чистые распределяемые поступления) shortfall — Bear (Пессимистичный) NDP=1800 даёт W₅ V-D IRR (внутренняя норма доходности) 10.70% &lt;&lt; 18% hurdle (порог)</t>
        </is>
      </c>
      <c r="D56" s="186" t="n"/>
      <c r="E56" s="186" t="n"/>
      <c r="F56" s="187" t="n"/>
      <c r="G56" s="471" t="inlineStr">
        <is>
          <t>Financial (Финансовый)</t>
        </is>
      </c>
      <c r="H56" s="187" t="n"/>
      <c r="I56" s="478" t="inlineStr">
        <is>
          <t>3×4</t>
        </is>
      </c>
      <c r="J56" s="479" t="inlineStr">
        <is>
          <t>12 (Высокий)</t>
        </is>
      </c>
      <c r="K56" s="187" t="n"/>
      <c r="L56" s="471" t="inlineStr">
        <is>
          <t>Hurdle (Порог) target NDP (чистые распределяемые поступления) ≥ 2 402 (W₅ V-D break-even @18%); Liq Pref (Ликвидационная привилегия) 1×=1250 защищает капитал; downside scenarios см. 27_Scenario_Analysis + 24_IR Section V.1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 (Производство)</t>
        </is>
      </c>
      <c r="H57" s="187" t="n"/>
      <c r="I57" s="478" t="inlineStr">
        <is>
          <t>3×4</t>
        </is>
      </c>
      <c r="J57" s="416" t="inlineStr">
        <is>
          <t>12 (Высокий)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 (Регуляторный)</t>
        </is>
      </c>
      <c r="H58" s="187" t="n"/>
      <c r="I58" s="478" t="inlineStr">
        <is>
          <t>4×3</t>
        </is>
      </c>
      <c r="J58" s="416" t="inlineStr">
        <is>
          <t>12 (Высокий)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Рынок</t>
        </is>
      </c>
      <c r="H59" s="187" t="n"/>
      <c r="I59" s="478" t="inlineStr">
        <is>
          <t>3×4</t>
        </is>
      </c>
      <c r="J59" s="416" t="inlineStr">
        <is>
          <t>12 (Высокий)</t>
        </is>
      </c>
      <c r="K59" s="187" t="n"/>
      <c r="L59" s="471" t="inlineStr">
        <is>
          <t>VFX (визуальные эффекты)/post-prod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 (Операционный)</t>
        </is>
      </c>
      <c r="H60" s="187" t="n"/>
      <c r="I60" s="478" t="inlineStr">
        <is>
          <t>2×5</t>
        </is>
      </c>
      <c r="J60" s="416" t="inlineStr">
        <is>
          <t>10 (Высокий)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(Стратегический) sale (Стратегическая продажа)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 (стоимость предприятия)/EBITDA (прибыль до вычетов) 9–11×, премия за контроль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(Стратегический) sale (Стратегическая продажа)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 (стоимость предприятия)/EBITDA (прибыль до вычетов) 7–9×, премия за вертикальную интеграцию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(первичное размещение)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(Свободное обращение)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(Вторичный) placement (Вторичное размещение)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 (частичный выход), roll-over (перевод)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(Выкуп по программе ESOP)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 (премия)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Обратный выкуп (sponsor put option (пут-опцион спонсора))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(Нижний сценарий) protection, IRR (внутренняя норма доходности)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Открытый вторичный рынок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 (Сохранение контроля), drag-along terms (условия принудительной продажи)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 РЕКОМЕНДАЦИЯ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(ГЛОССАРИЙ)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 (прибыль до вычетов)</t>
        </is>
      </c>
      <c r="D6" s="471" t="inlineStr">
        <is>
      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(стандарты бухучёта) EBITDA (прибыль до вычетов)</t>
        </is>
      </c>
      <c r="D7" s="471" t="inlineStr">
        <is>
          <t>EBITDA (прибыль до вычетов),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 (чистые распределяемые поступления)</t>
        </is>
      </c>
      <c r="D8" s="471" t="inlineStr">
        <is>
      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 (Выручка)</t>
        </is>
      </c>
      <c r="D9" s="471" t="inlineStr">
        <is>
          <t>Выручка — совокупные денежные поступления от реализации (прокат, TV/OTT (онлайн-платформа)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 (себестоимость)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(Операционные расходы)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 (Капзатраты)</t>
        </is>
      </c>
      <c r="D12" s="471" t="inlineStr">
        <is>
          <t>Capital (Капитал)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 (Чистая прибыль)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(Денежные средства) Flow (FCF)</t>
        </is>
      </c>
      <c r="D14" s="471" t="inlineStr">
        <is>
          <t>Свободный денежный поток = Operating CF − CAPEX (Капзатраты). Ключевая метрика для DCF (дисконтированный денежный поток)-оценки.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 (Оборотный капитал)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 (средневзвешенная стоимость капитала)</t>
        </is>
      </c>
      <c r="D16" s="471" t="inlineStr">
        <is>
      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 (дисконтированный денежный поток)</t>
        </is>
      </c>
      <c r="D17" s="471" t="inlineStr">
        <is>
      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 (чистая приведённая стоимость)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 (внутренняя норма доходности)</t>
        </is>
      </c>
      <c r="D19" s="471" t="inlineStr">
        <is>
          <t>Internal (Внутренний) Rate of Return — внутренняя норма доходности. Ставка, при которой NPV (чистая приведённая стоимость) = 0. Hurdle (Порог)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(Мультипликатор) of Invested Capital (Капитал) — множитель на вложенный капитал = Exit value / Investment (Инвестиция).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(Окупаемость) Period</t>
        </is>
      </c>
      <c r="D21" s="471" t="inlineStr">
        <is>
          <t>Срок окупаемости — количество периодов до возврата инвестиции. В ТрендСтудио Base (Базовый)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 (стоимость предприятия)</t>
        </is>
      </c>
      <c r="D22" s="471" t="inlineStr">
        <is>
      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 (стоимость предприятия)/EBITDA (прибыль до вычетов)</t>
        </is>
      </c>
      <c r="D23" s="471" t="inlineStr">
        <is>
          <t>Мультипликатор оценки: EV (стоимость предприятия) делённый на EBITDA (прибыль до вычетов).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(Модель Гордона) TV</t>
        </is>
      </c>
      <c r="D24" s="471" t="inlineStr">
        <is>
          <t>Модель терминальной стоимости при постоянном росте g. TV = FCF_last × (1 + g) / (WACC (средневзвешенная стоимость капитала)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(Мультипликатор выхода) TV</t>
        </is>
      </c>
      <c r="D25" s="471" t="inlineStr">
        <is>
          <t>Альтернативная TV через множитель на EBITDA (прибыль до вычетов) последнего года прогноза. В модели 6.5× EBITDA (EBITDA).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(Монте-Карло) Simulation (Симуляция)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 (РИСК)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(Риск)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 (РИСК)</t>
        </is>
      </c>
      <c r="N27" s="187" t="n"/>
    </row>
    <row r="28" ht="58" customHeight="1">
      <c r="B28" s="484" t="n">
        <v>23</v>
      </c>
      <c r="C28" s="485" t="inlineStr">
        <is>
          <t>CVaR (условный VaR)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 (РИСК)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 (РИСК)</t>
        </is>
      </c>
      <c r="N29" s="187" t="n"/>
    </row>
    <row r="30" ht="63" customHeight="1">
      <c r="B30" s="484" t="n">
        <v>25</v>
      </c>
      <c r="C30" s="485" t="inlineStr">
        <is>
          <t>Tornado Analysis (Торнадо-анализ)</t>
        </is>
      </c>
      <c r="D30" s="471" t="inlineStr">
        <is>
          <t>Sensitivity (Чувствительность)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 (РИСК)</t>
        </is>
      </c>
      <c r="N30" s="187" t="n"/>
    </row>
    <row r="31" ht="58" customHeight="1">
      <c r="B31" s="484" t="n">
        <v>26</v>
      </c>
      <c r="C31" s="485" t="inlineStr">
        <is>
          <t>Risk (Риск) Score (Балл)</t>
        </is>
      </c>
      <c r="D31" s="471" t="inlineStr">
        <is>
          <t>Severity (Серьёзность) × Likelihood (Вероятность)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 (РИСК)</t>
        </is>
      </c>
      <c r="N31" s="187" t="n"/>
    </row>
    <row r="32" ht="59" customHeight="1">
      <c r="B32" s="484" t="n">
        <v>27</v>
      </c>
      <c r="C32" s="485" t="inlineStr">
        <is>
          <t>Тепловая карта</t>
        </is>
      </c>
      <c r="D32" s="471" t="inlineStr">
        <is>
          <t>Визуализация рисков в матрице 5×5 (Severity (Серьёзность) × Likelihood (Вероятность))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 (РИСК)</t>
        </is>
      </c>
      <c r="N32" s="187" t="n"/>
    </row>
    <row r="33" ht="54" customHeight="1">
      <c r="B33" s="484" t="n">
        <v>28</v>
      </c>
      <c r="C33" s="485" t="inlineStr">
        <is>
          <t>Hurdle (Порог)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 (РИСК)</t>
        </is>
      </c>
      <c r="N33" s="187" t="n"/>
    </row>
    <row r="34" ht="56" customHeight="1">
      <c r="B34" s="484" t="n">
        <v>29</v>
      </c>
      <c r="C34" s="485" t="inlineStr">
        <is>
          <t>LP (ограниченный партнёр) (Limited Partner)</t>
        </is>
      </c>
      <c r="D34" s="471" t="inlineStr">
        <is>
          <t>Инвестор-участник фонда / JV (совместное предприятие)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 (СДЕЛКА)</t>
        </is>
      </c>
      <c r="N34" s="187" t="n"/>
    </row>
    <row r="35" ht="54" customHeight="1">
      <c r="B35" s="484" t="n">
        <v>30</v>
      </c>
      <c r="C35" s="485" t="inlineStr">
        <is>
          <t>GP (генеральный партнёр)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 (СДЕЛКА)</t>
        </is>
      </c>
      <c r="N35" s="187" t="n"/>
    </row>
    <row r="36" ht="48" customHeight="1">
      <c r="B36" s="484" t="n">
        <v>31</v>
      </c>
      <c r="C36" s="485" t="inlineStr">
        <is>
          <t>Preferred Return (Привилегированный доход)</t>
        </is>
      </c>
      <c r="D36" s="471" t="inlineStr">
        <is>
          <t>Минимальная гарантированная доходность LP (ограниченный партнёр) до выплаты GP (генеральный партнёр).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 (СДЕЛКА)</t>
        </is>
      </c>
      <c r="N36" s="187" t="n"/>
    </row>
    <row r="37" ht="55" customHeight="1">
      <c r="B37" s="484" t="n">
        <v>32</v>
      </c>
      <c r="C37" s="485" t="inlineStr">
        <is>
          <t>Waterfall (Каскад)</t>
        </is>
      </c>
      <c r="D37" s="471" t="inlineStr">
        <is>
          <t>Структура распределения cash flow между LP (ограниченный партнёр) / GP (генеральный партнёр)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 (СДЕЛКА)</t>
        </is>
      </c>
      <c r="N37" s="187" t="n"/>
    </row>
    <row r="38" ht="55" customHeight="1">
      <c r="B38" s="484" t="n">
        <v>33</v>
      </c>
      <c r="C38" s="485" t="inlineStr">
        <is>
          <t>Оговорка о полной компенсации</t>
        </is>
      </c>
      <c r="D38" s="471" t="inlineStr">
        <is>
          <t>Защитная оговорка: при досрочном выходе эмитент компенсирует LP (ограниченный партнёр)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 (СДЕЛКА)</t>
        </is>
      </c>
      <c r="N38" s="187" t="n"/>
    </row>
    <row r="39" ht="56" customHeight="1">
      <c r="B39" s="484" t="n">
        <v>34</v>
      </c>
      <c r="C39" s="485" t="inlineStr">
        <is>
          <t>Cap Table (Таблица капитализации)</t>
        </is>
      </c>
      <c r="D39" s="471" t="inlineStr">
        <is>
          <t>Таблица капитализации — распределение долей между всеми акционерами/LP (ограниченный партнёр).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 (СДЕЛКА)</t>
        </is>
      </c>
      <c r="N39" s="187" t="n"/>
    </row>
    <row r="40" ht="55" customHeight="1">
      <c r="B40" s="484" t="n">
        <v>35</v>
      </c>
      <c r="C40" s="485" t="inlineStr">
        <is>
          <t>Drag-Along (Право принудительной продажи)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 (СДЕЛКА)</t>
        </is>
      </c>
      <c r="N40" s="187" t="n"/>
    </row>
    <row r="41" ht="49" customHeight="1">
      <c r="B41" s="484" t="n">
        <v>36</v>
      </c>
      <c r="C41" s="485" t="inlineStr">
        <is>
          <t>Tag-Along (Право присоединения к продаже)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 (СДЕЛКА)</t>
        </is>
      </c>
      <c r="N41" s="187" t="n"/>
    </row>
    <row r="42" ht="58" customHeight="1">
      <c r="B42" s="484" t="n">
        <v>37</v>
      </c>
      <c r="C42" s="485" t="inlineStr">
        <is>
          <t>ESOP (Программа акций)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 (СДЕЛКА)</t>
        </is>
      </c>
      <c r="N42" s="187" t="n"/>
    </row>
    <row r="43" ht="48" customHeight="1">
      <c r="B43" s="484" t="n">
        <v>38</v>
      </c>
      <c r="C43" s="485" t="inlineStr">
        <is>
          <t>Term Sheet (Условия сделки)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 (СДЕЛКА)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(Доля)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 (СДЕЛКА)</t>
        </is>
      </c>
      <c r="N44" s="187" t="n"/>
    </row>
    <row r="45" ht="60" customHeight="1">
      <c r="B45" s="484" t="n">
        <v>40</v>
      </c>
      <c r="C45" s="485" t="inlineStr">
        <is>
          <t>Tranche (Транш)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 (СДЕЛКА)</t>
        </is>
      </c>
      <c r="N45" s="187" t="n"/>
    </row>
    <row r="46" ht="40" customHeight="1">
      <c r="B46" s="484" t="n">
        <v>41</v>
      </c>
      <c r="C46" s="485" t="inlineStr">
        <is>
          <t>Box Office (Кассовые сборы)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КИНО</t>
        </is>
      </c>
      <c r="N46" s="187" t="n"/>
    </row>
    <row r="47" ht="55" customHeight="1">
      <c r="B47" s="484" t="n">
        <v>42</v>
      </c>
      <c r="C47" s="485" t="inlineStr">
        <is>
          <t>P&amp;A (тиражирование и реклама)</t>
        </is>
      </c>
      <c r="D47" s="471" t="inlineStr">
        <is>
          <t>Prints &amp; Advertising (Тиражирование и реклама)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КИНО</t>
        </is>
      </c>
      <c r="N47" s="187" t="n"/>
    </row>
    <row r="48" ht="51" customHeight="1">
      <c r="B48" s="484" t="n">
        <v>43</v>
      </c>
      <c r="C48" s="485" t="inlineStr">
        <is>
          <t>Theatrical Window (Кинотеатральное окно)</t>
        </is>
      </c>
      <c r="D48" s="471" t="inlineStr">
        <is>
          <t>Эксклюзивный кинотеатральный релиз (обычно 45–90 дней) до выхода на VOD / OTT (онлайн-платформа).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КИНО</t>
        </is>
      </c>
      <c r="N48" s="187" t="n"/>
    </row>
    <row r="49" ht="53" customHeight="1">
      <c r="B49" s="484" t="n">
        <v>44</v>
      </c>
      <c r="C49" s="485" t="inlineStr">
        <is>
          <t>VOD / OTT (онлайн-платформа)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КИНО</t>
        </is>
      </c>
      <c r="N49" s="187" t="n"/>
    </row>
    <row r="50" ht="63" customHeight="1">
      <c r="B50" s="484" t="n">
        <v>45</v>
      </c>
      <c r="C50" s="485" t="inlineStr">
        <is>
          <t>Slate Financing (Пакетное финансирование)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КИНО</t>
        </is>
      </c>
      <c r="N50" s="187" t="n"/>
    </row>
    <row r="51" ht="57" customHeight="1">
      <c r="B51" s="484" t="n">
        <v>46</v>
      </c>
      <c r="C51" s="485" t="inlineStr">
        <is>
          <t>Разработка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КИНО</t>
        </is>
      </c>
      <c r="N51" s="187" t="n"/>
    </row>
    <row r="52" ht="51" customHeight="1">
      <c r="B52" s="484" t="n">
        <v>47</v>
      </c>
      <c r="C52" s="485" t="inlineStr">
        <is>
          <t>Principal Photography (Основные съёмки)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КИНО</t>
        </is>
      </c>
      <c r="N52" s="187" t="n"/>
    </row>
    <row r="53" ht="43" customHeight="1">
      <c r="B53" s="484" t="n">
        <v>48</v>
      </c>
      <c r="C53" s="485" t="inlineStr">
        <is>
          <t>Post-Production (Постпродакшн)</t>
        </is>
      </c>
      <c r="D53" s="471" t="inlineStr">
        <is>
          <t>Монтаж, VFX (визуальные эффекты),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КИНО</t>
        </is>
      </c>
      <c r="N53" s="187" t="n"/>
    </row>
    <row r="54" ht="55" customHeight="1">
      <c r="B54" s="484" t="n">
        <v>49</v>
      </c>
      <c r="C54" s="485" t="inlineStr">
        <is>
          <t>Producer (Продюсер) Equity (Собственный капитал)</t>
        </is>
      </c>
      <c r="D54" s="471" t="inlineStr">
        <is>
          <t>Капитал продюсеров в JV (совместное предприятие)-структуре.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КИНО</t>
        </is>
      </c>
      <c r="N54" s="187" t="n"/>
    </row>
    <row r="55" ht="56" customHeight="1">
      <c r="B55" s="484" t="n">
        <v>50</v>
      </c>
      <c r="C55" s="485" t="inlineStr">
        <is>
          <t>Library Value (Стоимость библиотеки)</t>
        </is>
      </c>
      <c r="D55" s="471" t="inlineStr">
        <is>
          <t>Стоимость накопленного каталога фильмов — источник tail (хвостовой период)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КИНО</t>
        </is>
      </c>
      <c r="N55" s="187" t="n"/>
    </row>
    <row r="56" ht="54" customHeight="1">
      <c r="B56" s="484" t="n">
        <v>51</v>
      </c>
      <c r="C56" s="485" t="inlineStr">
        <is>
          <t>Sequel Rights (Права на сиквел)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КИНО</t>
        </is>
      </c>
      <c r="N56" s="187" t="n"/>
    </row>
    <row r="57" ht="61" customHeight="1">
      <c r="B57" s="484" t="n">
        <v>52</v>
      </c>
      <c r="C57" s="485" t="inlineStr">
        <is>
          <t>Co-Production (Копродукция)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КИНО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КИНО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ПРИМЕЧАНИЯ И ИСТОЧНИКИ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и A2 (JV (совместное предприятие)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(Кассовые сборы) 55%, TV/OTT (онлайн-платформа)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7 проектов × средний бюджет 264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method. Working capital (капитал)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(капитал продюсера) 600 млн ₽ — off-P&amp;L JV (совместное предприятие) capital (капитал),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(ограниченный партнёр) return of capital (капитал), (2) LP preferred 12%, (3) GP (генеральный партнёр) catch-up 20%, (4) 80/20 split (разделение).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 (стоимость предприятия)/EBITDA (прибыль до вычетов)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(стоимость предприятия)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(Кассовые сборы) revenue (±420 на EBITDA (прибыль до вычетов)).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(Базовый)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 (Финансовый), Regulatory (Регуляторный), Operational (Операционный)).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(ключевые показатели)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(ключевые показатели)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 (хвостовой период).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7 проектов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(Кассовые сборы)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ГЛОБАЛЬНЫЙ</t>
        </is>
      </c>
      <c r="C46" s="493" t="inlineStr">
        <is>
          <t>Box Office (Кассовые сборы) Mojo / IMDb Pro</t>
        </is>
      </c>
      <c r="D46" s="187" t="n"/>
      <c r="E46" s="471" t="inlineStr">
        <is>
          <t>Global benchmarks (мировые бенчмарки), кастинг, продакшн-кредиты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ГЛОБАЛЬНЫЙ</t>
        </is>
      </c>
      <c r="C47" s="493" t="inlineStr">
        <is>
          <t>Variety Intelligence Platform (Аналитическая платформа Variety)</t>
        </is>
      </c>
      <c r="D47" s="187" t="n"/>
      <c r="E47" s="471" t="inlineStr">
        <is>
          <t>Industry analytics (Отраслевая аналитика), deal tracking (отслеживание сделок)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ГЛОБАЛЬНЫЙ</t>
        </is>
      </c>
      <c r="C48" s="493" t="inlineStr">
        <is>
          <t>S&amp;P Capital (Капитал) IQ</t>
        </is>
      </c>
      <c r="D48" s="187" t="n"/>
      <c r="E48" s="471" t="inlineStr">
        <is>
          <t>EV (стоимость предприятия)/EBITDA (прибыль до вычетов)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ГЛОБАЛЬНЫЙ</t>
        </is>
      </c>
      <c r="C49" s="493" t="inlineStr">
        <is>
          <t>Mergermarket / PitchBook</t>
        </is>
      </c>
      <c r="D49" s="187" t="n"/>
      <c r="E49" s="471" t="inlineStr">
        <is>
          <t>M&amp;A (слияния и поглощения)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АКАДЕМИЧЕСКИЙ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ВНУТРЕННИЙ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(чистые распределяемые поступления)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 ОТКАЗ ОТ ОТВЕТСТВЕННОСТИ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2026-04-13.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 ИСТОРИЯ ВЕРСИЙ</t>
        </is>
      </c>
    </row>
    <row r="63" ht="22" customHeight="1">
      <c r="B63" s="321" t="inlineStr">
        <is>
          <t>Version (Версия)</t>
        </is>
      </c>
      <c r="C63" s="186" t="n"/>
      <c r="D63" s="187" t="n"/>
      <c r="E63" s="321" t="inlineStr">
        <is>
          <t>Date (Дата)</t>
        </is>
      </c>
      <c r="F63" s="186" t="n"/>
      <c r="G63" s="187" t="n"/>
      <c r="H63" s="321" t="inlineStr">
        <is>
          <t>Changes (Изменения)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v1.0.1 Public</t>
        </is>
      </c>
      <c r="C64" s="186" t="n"/>
      <c r="D64" s="187" t="n"/>
      <c r="E64" s="354" t="inlineStr">
        <is>
          <t>2026-04-13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2026-04-13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(Инвестиционный пакет) v1.0.1 Public | 2026-04-13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(СОДЕРЖАНИЕ) / СОДЕРЖАНИЕ</t>
        </is>
      </c>
    </row>
    <row r="3" ht="18" customHeight="1">
      <c r="B3" s="457" t="inlineStr">
        <is>
          <t>Investor Package (Инвестиционный пакет) v1.0.1 Public — 42 листа — hyperlinks</t>
        </is>
      </c>
    </row>
    <row r="5" ht="22" customHeight="1">
      <c r="B5" s="458" t="inlineStr">
        <is>
          <t>A. TITLE &amp; META (ТИТУЛ И МЕТА)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 (СТРУКТУРА ЗАТРАТ)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(совместное предприятие)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(себестоимость)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(ВЫРУЧКА) &amp; PIPELINE (ВЫРУЧКА И ПОРТФЕЛЬ)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7 проектов × 264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 (ФИНАНСЫ)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(стандарты бухучёта) EBITDA (прибыль до вычетов) 2 152 + NDP (чистые распределяемые поступления)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(Отчёт о движении денежных средств)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 (ИНВЕСТИЦИИ)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 (Капзатраты)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(совместное предприятие) + Producer equity (капитал продюсера)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(ограниченный партнёр)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 (ключевые показатели)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 (ОЦЕНКА)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(дисконтированный денежный поток)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 (стоимость предприятия)/EBITDA (прибыль до вычетов)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(внутренняя норма доходности) для LP (ограниченный партнёр)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(стоимость предприятия)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 (РИСКИ И ЧУВСТВИТЕЛЬНОСТЬ)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 РЫНОК И БЕНЧМАРКИ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(ключевые показатели)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 (мировых прецедентов)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 (УПРАВЛЕНИЕ, НАЛОГИ, ДОРОЖНАЯ КАРТА)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(ключевые показатели)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(фандрайзинг) + exit (выход)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 (РЕЗЮМЕ И ГЛОССАРИЙ)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 (СЕРВИС)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(Содержание)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(Области печати) + page breaks (разрывы страниц)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 (ограниченный партнёр)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ИНВЕСТОР DUE DILIGENCE CHECKLIST (ЧЕК-ЛИСТ КОМПЛЕКСНОЙ ПРОВЕРКИ)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(стандарты бухучёта) EBITDA (прибыль до вычетов) 2 152 vs NDP (чистые распределяемые поступления)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(Выручка) split (разделение) (Box Office (Кассовые сборы) 55% / OTT (онлайн-платформа)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(себестоимость)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7 проектов × средний бюджет 264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(хвостовой период)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(капитал продюсера) 600 млн ₽ — подтвердить off-P&amp;L статус (JV (совместное предприятие) capital (капитал))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(Таблица капитализации)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(Каскад) W₅ V-D ★ default (по умолчанию) v1.0.1 (1× Liq Pref (Ликвидационная привилегия) + 12% pref × 5y + catch-up 70/30 + carry 60/40); legacy (базовый вариант) W₃ (8% coupon (купон)) и W₄ premium (премия) (12% pref + 65/35) доступны как опции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(Использование средств)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(Капзатраты)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(дисконтированный денежный поток) blend 40% Gordon + 60% Exit Multiple (Мультипликатор выхода)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(средневзвешенная стоимость капитала)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 (стоимость предприятия)/EBITDA (прибыль до вычетов)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(стоимость предприятия)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 (Доходность инвестора): MOIC (мультипликатор вложенного капитала) 2.13× (W₅ V-D ★) / 2.00× (W₃ legacy (базовый вариант)) / 2.12× (W₄), IRR (внутренняя норма доходности) 24.75% (W₅ V-D vs hurdle (порог) 18%, margin (маржа) +6.75pp)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W₅ V-D Base (Базовый) = 24.75% (margin (маржа) к hurdle (порог)), Bear (Пессимистичный)=10.70% (структурный downside))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 (Монте-Карло) v1.0.1: N=5000, W₅ V-D ★ + A+C pattern (паттерн) 33/45/9/13, P(IRR (внутренняя норма доходности)&gt;18%) = 32.7%, VaR 95% NDP (чистые распределяемые поступления) shortfall, sensitivity grid 5×5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 (прибыль до вычетов)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 (Базовый)/Opt/Best)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289,8 / SAM 118 / SOM 4,545 — обоснование определения SAM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 (Бенчмарк): ТрендСтудио EBITDA (прибыль до вычетов) margin (маржа)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 (стоимость предприятия)/EBITDA (прибыль до вычетов)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(мир. прецедентов) — 9,8× медиана, blend 8,9×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(среднегодовой темп роста)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(Выручка)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(контрольных точек соответствия)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7 проектов × 16 периодов × 4 фазы (Dev/Shoot/Post/Release (Релиз))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(направления корпоративного управления) (Совет директоров,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(Критический)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(Стратегический)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(ограниченный партнёр)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Совет директоров composition: 2 LP (ограниченный партнёр)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НАСТРОЙКИ ПЕЧАТИ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 (Область печати)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13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ИНВЕСТОР PACKAGE v1.0.1</t>
        </is>
      </c>
    </row>
    <row r="11" ht="22" customHeight="1">
      <c r="B11" s="515" t="inlineStr">
        <is>
          <t>Уважаемый LP (ограниченный партнёр),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v1.0.1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(хвостовой период) 2029–2032
• 12 премиальных фильмов со средним бюджетом 154 млн ₽
• Совокупная выручка 4 545 млн ₽ (Base (Базовый) сценарий)
• GAAP (стандарты бухучёта) EBITDA (прибыль до вычетов) 2 152 млн ₽ (margin (маржа) 47.3% — 2.4× отраслевой медианы РФ)
• Net Profit (Чистая прибыль) 1 689 млн ₽ после налогов (эффективная нагрузка 12.9%)
• Expected exit EV (стоимость предприятия) 6 038 млн ₽ на 2030 (probability-weighted)
• MoIC ≈ 4.8× / IRR (внутренняя норма доходности) 38%+ при Base (Базовый) сценарии
• Payback (Окупаемость)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Разработка gate 2026Q1
(2) 350 млн ₽ — Production gate 2026Q3
(3) 350 млн ₽ — Release (Релиз) gate 2027Q2
(4) 300 млн ₽ — Library gate 2028Q1
Дополнительно Producer equity (капитал продюсера) 600 млн ₽ предоставляется продюсерским пулом как off-P&amp;L JV (совместное предприятие)-капитал (minority interest).</t>
        </is>
      </c>
    </row>
    <row r="19" ht="128" customHeight="1">
      <c r="B19" s="516" t="inlineStr">
        <is>
          <t>ЗАЩИТА ИНВЕСТОРА:
• Waterfall (Каскад) W₅ V-D ★ DEFAULT (ПО УМОЛЧАНИЮ) v1.0.1 (1× Liq Pref (Ликвидационная привилегия) + 12% pref × 5y + catch-up 70/30 + carry 60/40) — IRR (внутренняя норма доходности) 24.75% (margin (маржа) +6.75pp к hurdle (порог) 18%); legacy (базовый вариант) W₃ (18.04%) и W₄ premium (премия) доступны%
• Waterfall (Каскад) W₄ PREMIUM опция (1× Liq Pref + 12% preferred × 5y + 65/35) — IRR 19.73%
• Makewhole clause для защиты от dilution
• 7 маршрутов выхода (strategic / IPO (первичное размещение) / secondary / ESOP / buyback / mgmt / открытый рынок)
• Downside (Нижний сценарий) benchmark (DCF (дисконтированный денежный поток) floor) = 1 815 млн ₽
• Risk (Риск) register: 30 рисков с митигациями, Monte Carlo (Монте-Карло)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(Инвестиционный пакет) v1.0.1 Public — investor_model_v1.0_Public.xlsx (42 листа)</t>
        </is>
      </c>
    </row>
    <row r="37" ht="18" customHeight="1">
      <c r="B37" s="477" t="inlineStr">
        <is>
          <t>2. Executive Summary (Краткое резюме) — см. лист 36</t>
        </is>
      </c>
    </row>
    <row r="38" ht="18" customHeight="1">
      <c r="B38" s="477" t="inlineStr">
        <is>
          <t>3. Due Diligence (Комплексная проверка) Checklist — см. лист 40 (62 пункта)</t>
        </is>
      </c>
    </row>
    <row r="39" ht="18" customHeight="1">
      <c r="B39" s="477" t="inlineStr">
        <is>
          <t>4. Risk Register (Реестр рисков)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2:V7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182.4</v>
      </c>
      <c r="R7" s="169" t="n">
        <v>182.4</v>
      </c>
      <c r="S7" s="169" t="n">
        <v>182.4</v>
      </c>
      <c r="T7" s="170" t="n">
        <v>2181.6</v>
      </c>
      <c r="U7" s="170" t="n">
        <v>2911.2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76</v>
      </c>
      <c r="R8" s="169" t="n">
        <v>76</v>
      </c>
      <c r="S8" s="169" t="n">
        <v>76</v>
      </c>
      <c r="T8" s="170" t="n">
        <v>909</v>
      </c>
      <c r="U8" s="170" t="n">
        <v>1213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30.4</v>
      </c>
      <c r="R9" s="169" t="n">
        <v>30.4</v>
      </c>
      <c r="S9" s="169" t="n">
        <v>30.4</v>
      </c>
      <c r="T9" s="170" t="n">
        <v>363.6</v>
      </c>
      <c r="U9" s="170" t="n">
        <v>485.2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38</v>
      </c>
      <c r="R10" s="169" t="n">
        <v>38</v>
      </c>
      <c r="S10" s="169" t="n">
        <v>38</v>
      </c>
      <c r="T10" s="170" t="n">
        <v>454.5</v>
      </c>
      <c r="U10" s="170" t="n">
        <v>606.5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15.2</v>
      </c>
      <c r="R11" s="169" t="n">
        <v>15.2</v>
      </c>
      <c r="S11" s="169" t="n">
        <v>15.2</v>
      </c>
      <c r="T11" s="170" t="n">
        <v>181.8</v>
      </c>
      <c r="U11" s="170" t="n">
        <v>242.6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19</v>
      </c>
      <c r="R12" s="169" t="n">
        <v>19</v>
      </c>
      <c r="S12" s="169" t="n">
        <v>19</v>
      </c>
      <c r="T12" s="170" t="n">
        <v>227.2</v>
      </c>
      <c r="U12" s="170" t="n">
        <v>303.2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7.6</v>
      </c>
      <c r="R13" s="169" t="n">
        <v>7.6</v>
      </c>
      <c r="S13" s="169" t="n">
        <v>7.6</v>
      </c>
      <c r="T13" s="170" t="n">
        <v>90.90000000000001</v>
      </c>
      <c r="U13" s="170" t="n">
        <v>121.3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11.4</v>
      </c>
      <c r="R14" s="169" t="n">
        <v>11.4</v>
      </c>
      <c r="S14" s="169" t="n">
        <v>11.4</v>
      </c>
      <c r="T14" s="170" t="n">
        <v>136.3</v>
      </c>
      <c r="U14" s="170" t="n">
        <v>182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380</v>
      </c>
      <c r="R15" s="172" t="n">
        <v>380</v>
      </c>
      <c r="S15" s="172" t="n">
        <v>380</v>
      </c>
      <c r="T15" s="173" t="n">
        <v>4545</v>
      </c>
      <c r="U15" s="173" t="n">
        <v>6065</v>
      </c>
    </row>
    <row r="16" ht="20" customHeight="1">
      <c r="B16" s="168" t="inlineStr">
        <is>
          <t>II.  COST OF GOODS SOLD  (Content amortization + P&amp;A)</t>
        </is>
      </c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154.68</v>
      </c>
      <c r="R17" s="169" t="n">
        <v>154.68</v>
      </c>
      <c r="S17" s="169" t="n">
        <v>154.68</v>
      </c>
      <c r="T17" s="170" t="n">
        <v>1850</v>
      </c>
      <c r="U17" s="170" t="n">
        <v>2468.7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23.2</v>
      </c>
      <c r="R18" s="169" t="n">
        <v>23.2</v>
      </c>
      <c r="S18" s="169" t="n">
        <v>23.2</v>
      </c>
      <c r="T18" s="170" t="n">
        <v>277.5</v>
      </c>
      <c r="U18" s="170" t="n">
        <v>370.3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177.88</v>
      </c>
      <c r="R19" s="172" t="n">
        <v>177.88</v>
      </c>
      <c r="S19" s="172" t="n">
        <v>177.88</v>
      </c>
      <c r="T19" s="172" t="n">
        <v>2127.5</v>
      </c>
      <c r="U19" s="172" t="n">
        <v>2839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202.12</v>
      </c>
      <c r="R20" s="172" t="n">
        <v>202.12</v>
      </c>
      <c r="S20" s="172" t="n">
        <v>202.12</v>
      </c>
      <c r="T20" s="172" t="n">
        <v>2417.5</v>
      </c>
      <c r="U20" s="172" t="n">
        <v>3226</v>
      </c>
    </row>
    <row r="22" ht="20" customHeight="1">
      <c r="B22" s="168" t="inlineStr">
        <is>
          <t>III.  OPERATING EXPENSES</t>
        </is>
      </c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113.61</v>
      </c>
      <c r="R28" s="172" t="n">
        <v>113.61</v>
      </c>
      <c r="S28" s="172" t="n">
        <v>113.61</v>
      </c>
      <c r="T28" s="173" t="n">
        <v>2151.9</v>
      </c>
      <c r="U28" s="173" t="n">
        <v>2606.4</v>
      </c>
    </row>
    <row r="30" ht="20" customHeight="1">
      <c r="B30" s="168" t="inlineStr">
        <is>
          <t>IV.  BELOW-THE-LINE  (D&amp;A · Interest · Tax)</t>
        </is>
      </c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110.61</v>
      </c>
      <c r="R32" s="172" t="n">
        <v>110.61</v>
      </c>
      <c r="S32" s="172" t="n">
        <v>110.61</v>
      </c>
      <c r="T32" s="172" t="n">
        <v>2142.9</v>
      </c>
      <c r="U32" s="172" t="n">
        <v>2585.4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110.11</v>
      </c>
      <c r="R34" s="172" t="n">
        <v>110.61</v>
      </c>
      <c r="S34" s="172" t="n">
        <v>110.61</v>
      </c>
      <c r="T34" s="172" t="n">
        <v>2129.4</v>
      </c>
      <c r="U34" s="172" t="n">
        <v>2570.4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22.02</v>
      </c>
      <c r="R35" s="169" t="n">
        <v>22.12</v>
      </c>
      <c r="S35" s="169" t="n">
        <v>22.12</v>
      </c>
      <c r="T35" s="170" t="n">
        <v>440.3</v>
      </c>
      <c r="U35" s="170" t="n">
        <v>528.5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88.09</v>
      </c>
      <c r="R36" s="172" t="n">
        <v>88.48999999999999</v>
      </c>
      <c r="S36" s="172" t="n">
        <v>88.48999999999999</v>
      </c>
      <c r="T36" s="173" t="n">
        <v>1689.1</v>
      </c>
      <c r="U36" s="173" t="n">
        <v>2041.9</v>
      </c>
    </row>
    <row r="38" ht="20" customHeight="1">
      <c r="B38" s="168" t="inlineStr">
        <is>
          <t>V.  KEY MARGINS (%)</t>
        </is>
      </c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29.9</v>
      </c>
      <c r="R40" s="175" t="n">
        <v>29.9</v>
      </c>
      <c r="S40" s="175" t="n">
        <v>29.9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23.2</v>
      </c>
      <c r="R41" s="175" t="n">
        <v>23.3</v>
      </c>
      <c r="S41" s="175" t="n">
        <v>23.3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L47" s="145" t="inlineStr">
        <is>
          <t>Σ 2026–2028, млн ₽</t>
        </is>
      </c>
      <c r="O47" s="145" t="inlineStr">
        <is>
          <t>Тип</t>
        </is>
      </c>
      <c r="R47" s="178" t="inlineStr">
        <is>
          <t>Комментарий</t>
        </is>
      </c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L48" s="151" t="n">
        <v>2152</v>
      </c>
      <c r="O48" s="148" t="inlineStr"/>
      <c r="R48" s="159" t="inlineStr">
        <is>
          <t>Из строки 3.6 выше</t>
        </is>
      </c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L49" s="151" t="n">
        <v>600</v>
      </c>
      <c r="O49" s="148" t="inlineStr">
        <is>
          <t>+</t>
        </is>
      </c>
      <c r="R49" s="159" t="inlineStr">
        <is>
          <t>JV capital: 600 млн, off-P&amp;L minority interest</t>
        </is>
      </c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L50" s="151" t="n">
        <v>248</v>
      </c>
      <c r="O50" s="148" t="inlineStr">
        <is>
          <t>+</t>
        </is>
      </c>
      <c r="R50" s="159" t="inlineStr">
        <is>
          <t>Налоговый кредит 25% и высвобождение WC за периметром P&amp;L</t>
        </is>
      </c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L51" s="181" t="n">
        <v>3000</v>
      </c>
      <c r="O51" s="179" t="inlineStr">
        <is>
          <t>ANCHOR</t>
        </is>
      </c>
      <c r="R51" s="182" t="inlineStr">
        <is>
          <t>★ Инвариант v1.4.4, закреплено</t>
        </is>
      </c>
    </row>
    <row r="52" ht="20" customHeight="1">
      <c r="B52" s="148" t="inlineStr">
        <is>
          <t>4</t>
        </is>
      </c>
      <c r="C52" s="147" t="inlineStr">
        <is>
          <t>(−) Producer share (60 / 40 waterfall W₁)</t>
        </is>
      </c>
      <c r="L52" s="151" t="n">
        <v>-785</v>
      </c>
      <c r="O52" s="148" t="inlineStr">
        <is>
          <t>−</t>
        </is>
      </c>
      <c r="R52" s="159" t="inlineStr">
        <is>
          <t>Доля продюсера по дефолтному каскаду</t>
        </is>
      </c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L53" s="155" t="n">
        <v>2215</v>
      </c>
      <c r="O53" s="153" t="inlineStr">
        <is>
          <t>INVESTOR</t>
        </is>
      </c>
      <c r="R53" s="183" t="inlineStr">
        <is>
          <t>Чистые распределения инвестору T₁</t>
        </is>
      </c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</row>
    <row r="58" ht="24" customHeight="1">
      <c r="B58" s="599" t="inlineStr">
        <is>
          <t>VII.  P&amp;L SCENARIO: WITH PIPELINE RENEWAL  ·  Revenue 2029–2032 соответствует DCF assumptions</t>
        </is>
      </c>
    </row>
    <row r="59" ht="30" customHeight="1">
      <c r="B59" s="177" t="inlineStr">
        <is>
          <t>Сценарий renewal: 2–3 новых проекта в 2029–2031, бюджет ~500 млн/год. Revenue соответствует DCF rolling slate (2 600 / 2 800 / 2 900 / 3 000 млн ₽). EBITDA margin 40% (steady state). OpEx масштабируется с выручкой.</t>
        </is>
      </c>
    </row>
    <row r="61" ht="20" customHeight="1">
      <c r="B61" s="321" t="inlineStr">
        <is>
          <t>Показатель</t>
        </is>
      </c>
      <c r="C61" s="321" t="inlineStr">
        <is>
          <t>2029</t>
        </is>
      </c>
      <c r="D61" s="321" t="inlineStr">
        <is>
          <t>2030</t>
        </is>
      </c>
      <c r="E61" s="321" t="inlineStr">
        <is>
          <t>2031</t>
        </is>
      </c>
      <c r="F61" s="321" t="inlineStr">
        <is>
          <t>2032</t>
        </is>
      </c>
      <c r="G61" s="321" t="inlineStr">
        <is>
          <t>Σ 2029–2032</t>
        </is>
      </c>
    </row>
    <row r="62" ht="18" customHeight="1">
      <c r="B62" s="147" t="inlineStr">
        <is>
          <t>Revenue (renewal)</t>
        </is>
      </c>
      <c r="C62" s="169" t="n">
        <v>2600</v>
      </c>
      <c r="D62" s="169" t="n">
        <v>2800</v>
      </c>
      <c r="E62" s="169" t="n">
        <v>2900</v>
      </c>
      <c r="F62" s="169" t="n">
        <v>3000</v>
      </c>
      <c r="G62" s="600" t="n">
        <v>11300</v>
      </c>
    </row>
    <row r="63" ht="18" customHeight="1">
      <c r="B63" s="147" t="inlineStr">
        <is>
          <t>(-) COGS</t>
        </is>
      </c>
      <c r="C63" s="169" t="n">
        <v>1217.1</v>
      </c>
      <c r="D63" s="169" t="n">
        <v>1310.7</v>
      </c>
      <c r="E63" s="169" t="n">
        <v>1357.5</v>
      </c>
      <c r="F63" s="169" t="n">
        <v>1404.3</v>
      </c>
      <c r="G63" s="600" t="n">
        <v>5289.6</v>
      </c>
    </row>
    <row r="64" ht="18" customHeight="1">
      <c r="B64" s="171">
        <f> Gross Profit</f>
        <v/>
      </c>
      <c r="C64" s="170" t="n">
        <v>1382.9</v>
      </c>
      <c r="D64" s="170" t="n">
        <v>1489.3</v>
      </c>
      <c r="E64" s="170" t="n">
        <v>1542.5</v>
      </c>
      <c r="F64" s="170" t="n">
        <v>1595.7</v>
      </c>
      <c r="G64" s="600" t="n">
        <v>6010.4</v>
      </c>
    </row>
    <row r="65" ht="18" customHeight="1">
      <c r="B65" s="147" t="inlineStr">
        <is>
          <t>(-) OpEx</t>
        </is>
      </c>
      <c r="C65" s="169" t="n">
        <v>338</v>
      </c>
      <c r="D65" s="169" t="n">
        <v>364</v>
      </c>
      <c r="E65" s="169" t="n">
        <v>377</v>
      </c>
      <c r="F65" s="169" t="n">
        <v>390</v>
      </c>
      <c r="G65" s="600" t="n">
        <v>1469</v>
      </c>
    </row>
    <row r="66" ht="18" customHeight="1">
      <c r="B66" s="154">
        <f> EBITDA</f>
        <v/>
      </c>
      <c r="C66" s="173" t="n">
        <v>1040</v>
      </c>
      <c r="D66" s="173" t="n">
        <v>1120</v>
      </c>
      <c r="E66" s="173" t="n">
        <v>1160</v>
      </c>
      <c r="F66" s="173" t="n">
        <v>1200</v>
      </c>
      <c r="G66" s="601" t="n">
        <v>4520</v>
      </c>
    </row>
    <row r="67" ht="18" customHeight="1">
      <c r="B67" s="147" t="inlineStr">
        <is>
          <t>(-) D&amp;A</t>
        </is>
      </c>
      <c r="C67" s="169" t="n">
        <v>468</v>
      </c>
      <c r="D67" s="169" t="n">
        <v>504</v>
      </c>
      <c r="E67" s="169" t="n">
        <v>522</v>
      </c>
      <c r="F67" s="169" t="n">
        <v>540</v>
      </c>
      <c r="G67" s="600" t="n">
        <v>2034</v>
      </c>
    </row>
    <row r="68" ht="18" customHeight="1">
      <c r="B68" s="171">
        <f> EBIT</f>
        <v/>
      </c>
      <c r="C68" s="170" t="n">
        <v>572</v>
      </c>
      <c r="D68" s="170" t="n">
        <v>616</v>
      </c>
      <c r="E68" s="170" t="n">
        <v>638</v>
      </c>
      <c r="F68" s="170" t="n">
        <v>660</v>
      </c>
      <c r="G68" s="600" t="n">
        <v>2486</v>
      </c>
    </row>
    <row r="69" ht="18" customHeight="1">
      <c r="B69" s="147" t="inlineStr">
        <is>
          <t>(-) Tax 20%</t>
        </is>
      </c>
      <c r="C69" s="169" t="n">
        <v>114.4</v>
      </c>
      <c r="D69" s="169" t="n">
        <v>123.2</v>
      </c>
      <c r="E69" s="169" t="n">
        <v>127.6</v>
      </c>
      <c r="F69" s="169" t="n">
        <v>132</v>
      </c>
      <c r="G69" s="600" t="n">
        <v>497.2</v>
      </c>
    </row>
    <row r="70" ht="18" customHeight="1">
      <c r="B70" s="180">
        <f> Net Income</f>
        <v/>
      </c>
      <c r="C70" s="271" t="n">
        <v>457.6</v>
      </c>
      <c r="D70" s="271" t="n">
        <v>492.8</v>
      </c>
      <c r="E70" s="271" t="n">
        <v>510.4</v>
      </c>
      <c r="F70" s="271" t="n">
        <v>528</v>
      </c>
      <c r="G70" s="602" t="n">
        <v>1988.8</v>
      </c>
    </row>
    <row r="72" ht="24" customHeight="1">
      <c r="B72" s="184" t="inlineStr">
        <is>
          <t>✓ Renewal scenario 2029–2032: Revenue 11,300 млн ₽  |  EBITDA 4,520 млн ₽ (40% margin)  |  Net Income 1,989 млн ₽  |  Reconciled with DCF 22_Valuation_DCF assumptions</t>
        </is>
      </c>
    </row>
  </sheetData>
  <mergeCells count="41">
    <mergeCell ref="C47:K47"/>
    <mergeCell ref="B58:V58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72:V72"/>
    <mergeCell ref="B3:V3"/>
    <mergeCell ref="B59:V59"/>
    <mergeCell ref="L53:N53"/>
    <mergeCell ref="L47:N47"/>
    <mergeCell ref="B22:V22"/>
    <mergeCell ref="R52:V5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2:V2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88.09</v>
      </c>
      <c r="R7" s="193" t="n">
        <v>88.48999999999999</v>
      </c>
      <c r="S7" s="193" t="n">
        <v>88.48999999999999</v>
      </c>
      <c r="T7" s="194" t="n">
        <v>1689.2</v>
      </c>
      <c r="U7" s="194" t="n">
        <v>2041.9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154.68</v>
      </c>
      <c r="R9" s="193" t="n">
        <v>154.68</v>
      </c>
      <c r="S9" s="193" t="n">
        <v>154.68</v>
      </c>
      <c r="T9" s="194" t="n">
        <v>1850</v>
      </c>
      <c r="U9" s="194" t="n">
        <v>2468.7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245.77</v>
      </c>
      <c r="R10" s="197" t="n">
        <v>246.17</v>
      </c>
      <c r="S10" s="197" t="n">
        <v>246.17</v>
      </c>
      <c r="T10" s="198" t="n">
        <v>3548.2</v>
      </c>
      <c r="U10" s="198" t="n">
        <v>4531.6</v>
      </c>
      <c r="V10" s="199" t="inlineStr"/>
    </row>
    <row r="11" ht="20" customHeight="1">
      <c r="B11" s="168" t="inlineStr">
        <is>
          <t>II.  CASH FLOW FROM INVESTING ACTIVITIES</t>
        </is>
      </c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 t="n">
        <v>-1200</v>
      </c>
      <c r="Q18" s="202" t="n">
        <v>-900</v>
      </c>
      <c r="R18" s="202" t="n">
        <v>-600</v>
      </c>
      <c r="S18" s="202" t="n">
        <v>-300</v>
      </c>
      <c r="T18" s="203" t="n">
        <v>0</v>
      </c>
      <c r="U18" s="203" t="n">
        <v>-3000</v>
      </c>
      <c r="V18" s="204" t="inlineStr">
        <is>
          <t>NDP 3000 × W₃: Inv 2500 / Prod 500, schedule 40/30/20/10%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-654.23</v>
      </c>
      <c r="R21" s="197" t="n">
        <v>-353.83</v>
      </c>
      <c r="S21" s="197" t="n">
        <v>-53.83</v>
      </c>
      <c r="T21" s="198" t="n">
        <v>3538.2</v>
      </c>
      <c r="U21" s="198" t="n">
        <v>1521.7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1929.33</v>
      </c>
      <c r="S22" s="207" t="n">
        <v>1575.5</v>
      </c>
      <c r="T22" s="208" t="n">
        <v>15369.5</v>
      </c>
      <c r="U22" s="208" t="n">
        <v>24996.1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1929.33</v>
      </c>
      <c r="R23" s="194" t="n">
        <v>1575.5</v>
      </c>
      <c r="S23" s="194" t="n">
        <v>1521.67</v>
      </c>
      <c r="T23" s="198" t="n">
        <v>18907.7</v>
      </c>
      <c r="U23" s="198" t="n">
        <v>26517.8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1,521.7 млн ₽  |  Σ OCF 3Y = 3,548  ·  Σ ICF 3Y = -1,860  ·  Σ FCF 3Y = 1,850</t>
        </is>
      </c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T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1929.33</v>
      </c>
      <c r="R7" s="207" t="n">
        <v>1575.5</v>
      </c>
      <c r="S7" s="207" t="n">
        <v>1521.67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0</v>
      </c>
      <c r="Q8" s="207" t="n">
        <v>0</v>
      </c>
      <c r="R8" s="207" t="n">
        <v>0</v>
      </c>
      <c r="S8" s="207" t="n">
        <v>0</v>
      </c>
      <c r="T8" s="159" t="inlineStr">
        <is>
          <t>max(0, Gross CAPEX − amortization)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0</v>
      </c>
      <c r="Q9" s="207" t="n">
        <v>0</v>
      </c>
      <c r="R9" s="207" t="n">
        <v>0</v>
      </c>
      <c r="S9" s="207" t="n">
        <v>0</v>
      </c>
      <c r="T9" s="159" t="inlineStr">
        <is>
          <t>max(0, PP&amp;E net)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2583.56</v>
      </c>
      <c r="Q10" s="198" t="n">
        <v>1929.33</v>
      </c>
      <c r="R10" s="198" t="n">
        <v>1575.5</v>
      </c>
      <c r="S10" s="198" t="n">
        <v>1521.67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50</v>
      </c>
      <c r="Q13" s="207" t="n">
        <v>0</v>
      </c>
      <c r="R13" s="207" t="n">
        <v>0</v>
      </c>
      <c r="S13" s="207" t="n">
        <v>0</v>
      </c>
      <c r="T13" s="159" t="inlineStr">
        <is>
          <t>max(0, Draws − investor distributions)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600</v>
      </c>
      <c r="Q14" s="207" t="n">
        <v>460</v>
      </c>
      <c r="R14" s="207" t="n">
        <v>220</v>
      </c>
      <c r="S14" s="207" t="n">
        <v>100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1864.93</v>
      </c>
      <c r="R15" s="207" t="n">
        <v>1953.42</v>
      </c>
      <c r="S15" s="207" t="n">
        <v>2041.91</v>
      </c>
      <c r="T15" s="159" t="inlineStr">
        <is>
          <t>Cumulative Net Income</t>
        </is>
      </c>
    </row>
    <row r="16" ht="18" customHeight="1">
      <c r="B16" s="205" t="inlineStr">
        <is>
          <t>B4</t>
        </is>
      </c>
      <c r="C16" s="206" t="inlineStr">
        <is>
          <t>Amortization reserve (floor adj.)</t>
        </is>
      </c>
      <c r="D16" s="207" t="n">
        <v>0</v>
      </c>
      <c r="E16" s="207" t="n">
        <v>0</v>
      </c>
      <c r="F16" s="207" t="n">
        <v>0</v>
      </c>
      <c r="G16" s="207" t="n">
        <v>0</v>
      </c>
      <c r="H16" s="207" t="n">
        <v>0</v>
      </c>
      <c r="I16" s="207" t="n">
        <v>0</v>
      </c>
      <c r="J16" s="207" t="n">
        <v>0</v>
      </c>
      <c r="K16" s="207" t="n">
        <v>0</v>
      </c>
      <c r="L16" s="207" t="n">
        <v>0</v>
      </c>
      <c r="M16" s="207" t="n">
        <v>0</v>
      </c>
      <c r="N16" s="207" t="n">
        <v>0</v>
      </c>
      <c r="O16" s="207" t="n">
        <v>0</v>
      </c>
      <c r="P16" s="207" t="n">
        <v>156.72</v>
      </c>
      <c r="Q16" s="207" t="n">
        <v>-395.6</v>
      </c>
      <c r="R16" s="207" t="n">
        <v>-597.92</v>
      </c>
      <c r="S16" s="207" t="n">
        <v>-620.24</v>
      </c>
      <c r="T16" s="159" t="inlineStr">
        <is>
          <t>FIX-04: balancing item for asset floor=0</t>
        </is>
      </c>
    </row>
    <row r="17" ht="18" customHeight="1">
      <c r="B17" s="195" t="inlineStr">
        <is>
          <t>B5</t>
        </is>
      </c>
      <c r="C17" s="196" t="inlineStr">
        <is>
          <t>TOTAL LIABILITIES + EQUITY</t>
        </is>
      </c>
      <c r="D17" s="198" t="n">
        <v>426.12</v>
      </c>
      <c r="E17" s="198" t="n">
        <v>402.24</v>
      </c>
      <c r="F17" s="198" t="n">
        <v>377.86</v>
      </c>
      <c r="G17" s="198" t="n">
        <v>990.27</v>
      </c>
      <c r="H17" s="198" t="n">
        <v>1077.15</v>
      </c>
      <c r="I17" s="198" t="n">
        <v>1355.51</v>
      </c>
      <c r="J17" s="198" t="n">
        <v>2099.83</v>
      </c>
      <c r="K17" s="198" t="n">
        <v>2259.05</v>
      </c>
      <c r="L17" s="198" t="n">
        <v>2435.89</v>
      </c>
      <c r="M17" s="198" t="n">
        <v>3051.03</v>
      </c>
      <c r="N17" s="198" t="n">
        <v>3385.51</v>
      </c>
      <c r="O17" s="198" t="n">
        <v>3539.15</v>
      </c>
      <c r="P17" s="198" t="n">
        <v>2583.56</v>
      </c>
      <c r="Q17" s="198" t="n">
        <v>1929.33</v>
      </c>
      <c r="R17" s="198" t="n">
        <v>1575.5</v>
      </c>
      <c r="S17" s="198" t="n">
        <v>1521.67</v>
      </c>
      <c r="T17" s="199" t="inlineStr">
        <is>
          <t>Σ B1+B2+B3+B4</t>
        </is>
      </c>
    </row>
    <row r="19" ht="20" customHeight="1">
      <c r="B19" s="168" t="inlineStr">
        <is>
          <t>C.  BALANCE CHECK  (Assets − Liab/Equity; должно быть 0)</t>
        </is>
      </c>
    </row>
    <row r="20" ht="20" customHeight="1">
      <c r="B20" s="212" t="inlineStr">
        <is>
          <t>C1</t>
        </is>
      </c>
      <c r="C20" s="213" t="inlineStr">
        <is>
          <t>Balance check = Assets − (L+E)</t>
        </is>
      </c>
      <c r="D20" s="214" t="n">
        <v>0</v>
      </c>
      <c r="E20" s="214" t="n">
        <v>0</v>
      </c>
      <c r="F20" s="214" t="n">
        <v>0</v>
      </c>
      <c r="G20" s="214" t="n">
        <v>0</v>
      </c>
      <c r="H20" s="214" t="n">
        <v>0</v>
      </c>
      <c r="I20" s="214" t="n">
        <v>0</v>
      </c>
      <c r="J20" s="214" t="n">
        <v>0</v>
      </c>
      <c r="K20" s="214" t="n">
        <v>0</v>
      </c>
      <c r="L20" s="214" t="n">
        <v>0</v>
      </c>
      <c r="M20" s="214" t="n">
        <v>0</v>
      </c>
      <c r="N20" s="214" t="n">
        <v>0</v>
      </c>
      <c r="O20" s="214" t="n">
        <v>0</v>
      </c>
      <c r="P20" s="214" t="n">
        <v>0</v>
      </c>
      <c r="Q20" s="214" t="n">
        <v>0</v>
      </c>
      <c r="R20" s="214" t="n">
        <v>0</v>
      </c>
      <c r="S20" s="214" t="n">
        <v>0</v>
      </c>
      <c r="T20" s="215" t="inlineStr">
        <is>
          <t>✓ BALANCED</t>
        </is>
      </c>
    </row>
    <row r="22" ht="24" customHeight="1">
      <c r="B22" s="211" t="inlineStr">
        <is>
          <t>★ Snapshot Q4'28: Assets 3,539 = Cash 3,538 + Content 0 + PP&amp;E 1  |  L+E 3,539 = T₁ 1,250 + Prod.Eq 600 + Retained 1,689 + FloorAdj 0</t>
        </is>
      </c>
    </row>
  </sheetData>
  <mergeCells count="6">
    <mergeCell ref="B3:T3"/>
    <mergeCell ref="B19:T19"/>
    <mergeCell ref="B22:T22"/>
    <mergeCell ref="B12:T12"/>
    <mergeCell ref="B6:T6"/>
    <mergeCell ref="B2:T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64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D7" s="259" t="n">
        <v>0.145</v>
      </c>
    </row>
    <row r="8">
      <c r="B8" s="206" t="inlineStr">
        <is>
          <t>Levered β (cinema/media)</t>
        </is>
      </c>
      <c r="D8" s="260" t="n">
        <v>0.8</v>
      </c>
    </row>
    <row r="9">
      <c r="B9" s="206" t="inlineStr">
        <is>
          <t>Equity Risk Premium</t>
        </is>
      </c>
      <c r="D9" s="259" t="n">
        <v>0.07000000000000001</v>
      </c>
    </row>
    <row r="10">
      <c r="B10" s="206" t="inlineStr">
        <is>
          <t>Country risk premium (РФ)</t>
        </is>
      </c>
      <c r="D10" s="259" t="n">
        <v>0.02</v>
      </c>
    </row>
    <row r="11">
      <c r="B11" s="206" t="inlineStr">
        <is>
          <t>Size premium (small-cap)</t>
        </is>
      </c>
      <c r="D11" s="259" t="n">
        <v>0.01</v>
      </c>
    </row>
    <row r="12">
      <c r="B12" s="213" t="inlineStr">
        <is>
          <t>Cost of Equity (CAPM extended)</t>
        </is>
      </c>
      <c r="D12" s="259" t="n">
        <v>0.231</v>
      </c>
    </row>
    <row r="13">
      <c r="B13" s="213" t="inlineStr">
        <is>
          <t>Cost of Debt (pre-tax)</t>
        </is>
      </c>
      <c r="D13" s="259" t="n">
        <v>0.12</v>
      </c>
    </row>
    <row r="14">
      <c r="B14" s="213" t="inlineStr">
        <is>
          <t>Cost of Debt (after-tax, 20%)</t>
        </is>
      </c>
      <c r="D14" s="259" t="n">
        <v>0.096</v>
      </c>
    </row>
    <row r="15">
      <c r="B15" s="206" t="inlineStr">
        <is>
          <t>D/V target capital structure</t>
        </is>
      </c>
      <c r="D15" s="259" t="n">
        <v>0.3</v>
      </c>
    </row>
    <row r="16">
      <c r="B16" s="206" t="inlineStr">
        <is>
          <t>E/V target capital structure</t>
        </is>
      </c>
      <c r="D16" s="259" t="n">
        <v>0.7</v>
      </c>
    </row>
    <row r="17">
      <c r="B17" s="261" t="inlineStr">
        <is>
          <t>WACC (weighted)</t>
        </is>
      </c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L34" s="207" t="n">
        <v>27.08843007250539</v>
      </c>
    </row>
    <row r="35">
      <c r="B35" s="206" t="inlineStr">
        <is>
          <t>Terminal Value — Gordon (g=3%)</t>
        </is>
      </c>
      <c r="L35" s="207" t="n">
        <v>2952.02492211838</v>
      </c>
    </row>
    <row r="36">
      <c r="B36" s="206" t="inlineStr">
        <is>
          <t>PV of Terminal Value — Gordon</t>
        </is>
      </c>
      <c r="L36" s="207" t="n">
        <v>1234.448626891753</v>
      </c>
    </row>
    <row r="37">
      <c r="B37" s="154" t="inlineStr">
        <is>
          <t>Enterprise Value (Gordon method)</t>
        </is>
      </c>
      <c r="L37" s="173" t="n">
        <v>1261.537056964259</v>
      </c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L39" s="207" t="n">
        <v>5600</v>
      </c>
    </row>
    <row r="40">
      <c r="B40" s="206" t="inlineStr">
        <is>
          <t>PV of Terminal Value — Exit Multiple</t>
        </is>
      </c>
      <c r="L40" s="207" t="n">
        <v>2341.75269280352</v>
      </c>
    </row>
    <row r="41">
      <c r="B41" s="154" t="inlineStr">
        <is>
          <t>Enterprise Value (Exit Multiple method)</t>
        </is>
      </c>
      <c r="L41" s="173" t="n">
        <v>2368.841122876026</v>
      </c>
    </row>
    <row r="42">
      <c r="B42" s="246" t="inlineStr"/>
      <c r="L42" s="265" t="n"/>
    </row>
    <row r="43">
      <c r="B43" s="154" t="inlineStr">
        <is>
          <t>EV blended (avg of Gordon + Exit Mult)</t>
        </is>
      </c>
      <c r="L43" s="173" t="n">
        <v>1815.189089920142</v>
      </c>
    </row>
    <row r="44">
      <c r="B44" s="206" t="inlineStr">
        <is>
          <t>(−) Net Debt at valuation date</t>
        </is>
      </c>
      <c r="L44" s="207" t="n">
        <v>0</v>
      </c>
    </row>
    <row r="45">
      <c r="B45" s="154">
        <f> Equity Value</f>
        <v/>
      </c>
      <c r="L45" s="173" t="n">
        <v>1815.189089920142</v>
      </c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604" t="inlineStr">
        <is>
          <t>V. DCF ↔ P&amp;L RECONCILIATION NOTE</t>
        </is>
      </c>
    </row>
    <row r="60" ht="30" customHeight="1">
      <c r="B60" s="605" t="inlineStr">
        <is>
          <t>Контекст:</t>
        </is>
      </c>
      <c r="D60" s="477" t="inlineStr">
        <is>
          <t>DCF моделирует сценарий с обновлением pipeline (rolling slate — новые проекты каждый год), P&amp;L Base — текущий pipeline без renewal (12 фильмов 2026–2028 + long-tail).</t>
        </is>
      </c>
    </row>
    <row r="61" ht="30" customHeight="1">
      <c r="B61" s="605" t="inlineStr">
        <is>
          <t>Revenue DCF 2029–2030:</t>
        </is>
      </c>
      <c r="D61" s="477" t="inlineStr">
        <is>
          <t>2 600 / 2 800 млн ₽ — steady-state rolling slate (8–10 фильмов/год, выход на стабильную мощность после build phase).</t>
        </is>
      </c>
    </row>
    <row r="62" ht="30" customHeight="1">
      <c r="B62" s="605" t="inlineStr">
        <is>
          <t>Revenue P&amp;L Base 2029–2032:</t>
        </is>
      </c>
      <c r="D62" s="477" t="inlineStr">
        <is>
          <t>380 / 380 / 380 / 380 млн ₽ — tail от текущего пайплайна + content library floor (минимальный доход от SVOD/TV лицензий на библиотеку 12+ фильмов).</t>
        </is>
      </c>
    </row>
    <row r="63" ht="30" customHeight="1">
      <c r="B63" s="605" t="inlineStr">
        <is>
          <t>Revenue P&amp;L Renewal 2029–2032:</t>
        </is>
      </c>
      <c r="D63" s="477" t="inlineStr">
        <is>
          <t>2 600 / 2 800 / 2 900 / 3 000 млн ₽ — сценарий с pipeline renewal, соответствующий DCF assumptions (2–3 новых проекта/год в 2029–2031).</t>
        </is>
      </c>
    </row>
    <row r="64" ht="30" customHeight="1">
      <c r="B64" s="605" t="inlineStr">
        <is>
          <t>Обоснование разрыва:</t>
        </is>
      </c>
      <c r="D64" s="477" t="inlineStr">
        <is>
          <t>DCF отражает enterprise value при продолжении операционной деятельности (going concern). P&amp;L Base — консервативный downside: только текущий контракт без renewal. Инвестору представлены оба сценария для due diligence.</t>
        </is>
      </c>
    </row>
  </sheetData>
  <mergeCells count="53">
    <mergeCell ref="B16:C16"/>
    <mergeCell ref="B62:C62"/>
    <mergeCell ref="B7:C7"/>
    <mergeCell ref="L42:N42"/>
    <mergeCell ref="D60:N60"/>
    <mergeCell ref="B40:K40"/>
    <mergeCell ref="D63:N63"/>
    <mergeCell ref="L39:N39"/>
    <mergeCell ref="L45:N45"/>
    <mergeCell ref="B33:N33"/>
    <mergeCell ref="L35:N35"/>
    <mergeCell ref="B6:N6"/>
    <mergeCell ref="B20:N20"/>
    <mergeCell ref="B2:N3"/>
    <mergeCell ref="B12:C12"/>
    <mergeCell ref="B36:K3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61:C61"/>
    <mergeCell ref="B14:C14"/>
    <mergeCell ref="B60:C60"/>
    <mergeCell ref="L34:N34"/>
    <mergeCell ref="B17:C17"/>
    <mergeCell ref="B8:C8"/>
    <mergeCell ref="D61:N61"/>
    <mergeCell ref="B13:C13"/>
    <mergeCell ref="B59:N59"/>
    <mergeCell ref="L36:N36"/>
    <mergeCell ref="B10:C10"/>
    <mergeCell ref="B43:K43"/>
    <mergeCell ref="B39:K39"/>
    <mergeCell ref="B48:N48"/>
    <mergeCell ref="B9:C9"/>
    <mergeCell ref="D62:N62"/>
    <mergeCell ref="B42:K42"/>
    <mergeCell ref="B64:C64"/>
    <mergeCell ref="B15:C15"/>
    <mergeCell ref="B57:N57"/>
    <mergeCell ref="D64:N64"/>
    <mergeCell ref="L37:N37"/>
    <mergeCell ref="B44:K44"/>
    <mergeCell ref="B38:K38"/>
    <mergeCell ref="L43:N43"/>
    <mergeCell ref="B34:K34"/>
    <mergeCell ref="B63:C63"/>
    <mergeCell ref="B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2026-04-13T13:12:39Z</dcterms:modified>
  <cp:keywords>investor, financial model, L3, pre-IPO, cinema</cp:keywords>
</cp:coreProperties>
</file>