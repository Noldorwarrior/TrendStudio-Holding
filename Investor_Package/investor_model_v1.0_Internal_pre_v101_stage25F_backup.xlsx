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3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>
        <f> DPI (no NAV residual)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>
        <f> 1250 + 750 + 402 + 256 ≈ 2 657 (W₅ V-D · NDP 3000 · MoIC 2.13×)</f>
        <v/>
      </c>
    </row>
    <row r="46">
      <c r="B46" s="585" t="inlineStr">
        <is>
          <t>V. STRUCTURAL DISCLAIMERS — W₅ V-D LIMITATIONS &amp; DESIGN CHOICES (v1.0.1)</t>
        </is>
      </c>
    </row>
    <row r="47" ht="45" customHeight="1">
      <c r="B47" s="586" t="inlineStr">
        <is>
          <t>V.1</t>
        </is>
      </c>
      <c r="C47" s="587" t="inlineStr">
        <is>
          <t>Bear scenario IRR &lt; 18% hurdle (структурное) — Под Bear NDP=2250 LP IRR=17.12% (W₅), что НИЖЕ 18% hurdle. Это НЕ дефект waterfall — это арифметика: hurdle target=2402, при NDP&lt;2402 целевой IRR недостижим никаким распределением. Downside protection обеспечивается T1 Liq Pref 1× (LP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W₄ MoIC 2.51 &gt; W₅ MoIC 2.49 (industry tradeoff) — Под Bull NDP=3750 W₄ даёт LP 0.02× больше MoIC чем W₅. Разница 0.8%, в пределах MC σ ~0.3-0.4. W₅ V-D выбран как DEFAULT по причине: (1) catch-up до hurdle защищает Producer alignment, (2) carry 60/40 — industry standard для venture/film finance, (3) institutional LP-investors ожидают именно такую структуру. Перекалибровка carry на 70/30 дала бы MoIC 2.58 в Bull, но создала бы misalignment incentives для Producer и сигнализировала «жадный waterfall».</t>
        </is>
      </c>
    </row>
    <row r="49" ht="45" customHeight="1">
      <c r="B49" s="586" t="inlineStr">
        <is>
          <t>V.3</t>
        </is>
      </c>
      <c r="C49" s="587" t="inlineStr">
        <is>
          <t>Revenue pattern A+C 33/45/9/13 (зависимость) — Метрики выше рассчитаны под A+C fast pattern (Domestic 2700 + SVoD presell 270 + International 300). Под slower B pattern (60/30/8/2) LP IRR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target 2402 vs scenario NDP — Hurdle 2402 = INVEST/Σ(pattern×discount@18%). NDP scenarios: Bear 2250 (&lt; hurdle), Base 3000 (&gt; hurdle), Bull 3750 (&gt;&gt; hurdle). P(NDP &gt; hurdle) = ключевая Monte Carlo метрика, которая отвечает на вопрос «какова вероятность достижения 18% IRR»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 (этап А.19).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default)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(база 18.04% = hurdle 18% ровно). Под W₃ чувствительность IRR ниже из-за floor 1× Liq Pref (downside protection).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(база 18.04%)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13.54</v>
      </c>
      <c r="E31" s="236" t="n">
        <v>18.04</v>
      </c>
      <c r="F31" s="236" t="n">
        <v>21.84</v>
      </c>
      <c r="G31" s="291" t="n">
        <v>-4.5</v>
      </c>
      <c r="H31" s="291" t="n">
        <v>3.8</v>
      </c>
      <c r="I31" s="291" t="n">
        <v>8.300000000000001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14.24</v>
      </c>
      <c r="E32" s="236" t="n">
        <v>18.04</v>
      </c>
      <c r="F32" s="236" t="n">
        <v>21.24</v>
      </c>
      <c r="G32" s="291" t="n">
        <v>-3.8</v>
      </c>
      <c r="H32" s="291" t="n">
        <v>3.2</v>
      </c>
      <c r="I32" s="291" t="n">
        <v>7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19.84</v>
      </c>
      <c r="E33" s="236" t="n">
        <v>18.04</v>
      </c>
      <c r="F33" s="236" t="n">
        <v>15.84</v>
      </c>
      <c r="G33" s="291" t="n">
        <v>1.8</v>
      </c>
      <c r="H33" s="291" t="n">
        <v>-2.2</v>
      </c>
      <c r="I33" s="291" t="n">
        <v>4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18.64</v>
      </c>
      <c r="E34" s="236" t="n">
        <v>18.04</v>
      </c>
      <c r="F34" s="236" t="n">
        <v>17.24</v>
      </c>
      <c r="G34" s="291" t="n">
        <v>0.6</v>
      </c>
      <c r="H34" s="291" t="n">
        <v>-0.8</v>
      </c>
      <c r="I34" s="291" t="n">
        <v>1.4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18.24</v>
      </c>
      <c r="E35" s="236" t="n">
        <v>18.04</v>
      </c>
      <c r="F35" s="236" t="n">
        <v>17.79</v>
      </c>
      <c r="G35" s="291" t="n">
        <v>0.2</v>
      </c>
      <c r="H35" s="291" t="n">
        <v>-0.25</v>
      </c>
      <c r="I35" s="291" t="n">
        <v>0.45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17.98</v>
      </c>
      <c r="E36" s="236" t="n">
        <v>18.04</v>
      </c>
      <c r="F36" s="236" t="n">
        <v>18.1</v>
      </c>
      <c r="G36" s="291" t="n">
        <v>-0.06</v>
      </c>
      <c r="H36" s="291" t="n">
        <v>0.06</v>
      </c>
      <c r="I36" s="291" t="n">
        <v>0.12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15.64</v>
      </c>
      <c r="E37" s="236" t="n">
        <v>18.04</v>
      </c>
      <c r="F37" s="236" t="n">
        <v>15.84</v>
      </c>
      <c r="G37" s="291" t="n">
        <v>-2.4</v>
      </c>
      <c r="H37" s="291" t="n">
        <v>-2.2</v>
      </c>
      <c r="I37" s="291" t="n">
        <v>0.1999999999999997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13.54</v>
      </c>
      <c r="E38" s="236" t="n">
        <v>18.04</v>
      </c>
      <c r="F38" s="236" t="n">
        <v>21.84</v>
      </c>
      <c r="G38" s="291" t="n">
        <v>-4.5</v>
      </c>
      <c r="H38" s="291" t="n">
        <v>3.8</v>
      </c>
      <c r="I38" s="291" t="n">
        <v>8.300000000000001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W₃ защищён floor Liq Pref: downside ограничен (-4.5pp max при Revenue/Attendance −20%), но при этом апсайд компенсирован carried interest (+3.8pp при Revenue +20%).</t>
        </is>
      </c>
    </row>
    <row r="45">
      <c r="B45" s="246" t="inlineStr">
        <is>
          <t>• Под W₃ чувствительность значительно ниже, чем была под W₁ (range ~8pp vs 12pp): это прямой эффект структурной защиты инвестора через Liq Pref + coupon.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Base)</t>
        </is>
      </c>
      <c r="D15" s="294" t="n">
        <v>12.5</v>
      </c>
      <c r="E15" s="295" t="n">
        <v>15.37</v>
      </c>
      <c r="F15" s="275" t="n">
        <v>18.04</v>
      </c>
      <c r="G15" s="296" t="n">
        <v>20.55</v>
      </c>
      <c r="H15" s="297" t="n">
        <v>22.91</v>
      </c>
      <c r="I15" s="236" t="n">
        <v>10.41</v>
      </c>
    </row>
    <row r="16">
      <c r="B16" s="205" t="n">
        <v>9</v>
      </c>
      <c r="C16" s="213" t="inlineStr">
        <is>
          <t>MOIC T₁ (W₃)</t>
        </is>
      </c>
      <c r="D16" s="304" t="n">
        <v>1.64</v>
      </c>
      <c r="E16" s="305" t="n">
        <v>1.82</v>
      </c>
      <c r="F16" s="276" t="n">
        <v>2</v>
      </c>
      <c r="G16" s="306" t="n">
        <v>2.18</v>
      </c>
      <c r="H16" s="307" t="n">
        <v>2.36</v>
      </c>
      <c r="I16" s="237" t="n">
        <v>0.72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</t>
        </is>
      </c>
      <c r="D18" s="292" t="n">
        <v>2050</v>
      </c>
      <c r="E18" s="202" t="n">
        <v>2275</v>
      </c>
      <c r="F18" s="270" t="n">
        <v>2500</v>
      </c>
      <c r="G18" s="293" t="n">
        <v>2725</v>
      </c>
      <c r="H18" s="193" t="n">
        <v>2950</v>
      </c>
      <c r="I18" s="207" t="n">
        <v>900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18.354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5 000 ИТЕРАЦИЙ · 5 СТОХАСТИЧЕСКИХ ПЕРЕМЕННЫХ · W₅ V-D ★ DEFAULT v1.0.1 · A+C PATTERN 33/45/9/13</t>
        </is>
      </c>
    </row>
    <row r="3"/>
    <row r="4">
      <c r="B4" s="189" t="inlineStr">
        <is>
          <t>Распределения NDP, EBITDA, IRR, MOIC, EV под Waterfall W₅ V-D + sensitivity grid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5 000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DISTRIBUTION HISTOGRAM (5 000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SENSITIVITY GRID — A+C PATTERN VARIATIONS (W₅ V-D fixed)</t>
        </is>
      </c>
    </row>
    <row r="53">
      <c r="B53" s="571" t="inlineStr">
        <is>
          <t>#</t>
        </is>
      </c>
      <c r="C53" s="571" t="inlineStr">
        <is>
          <t>Pattern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IRR %</t>
        </is>
      </c>
      <c r="J53" s="571" t="inlineStr">
        <is>
          <t>LP MoIC</t>
        </is>
      </c>
      <c r="K53" s="571" t="inlineStr">
        <is>
          <t>vs Base</t>
        </is>
      </c>
    </row>
    <row r="54">
      <c r="B54" t="n">
        <v>1</v>
      </c>
      <c r="C54" t="inlineStr">
        <is>
          <t>Slow A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NDP=3000)</t>
        </is>
      </c>
    </row>
    <row r="61">
      <c r="B61" s="571" t="inlineStr">
        <is>
          <t>Catch-up LP %↓</t>
        </is>
      </c>
      <c r="C61" s="571" t="inlineStr">
        <is>
          <t>Carry LP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W₅ V-D SPECIFIC STATS — confidence &amp; calibration</t>
        </is>
      </c>
    </row>
    <row r="70">
      <c r="B70" s="357" t="inlineStr">
        <is>
          <t>P(LP IRR &gt; 18% hurdle)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IRR &gt; 24.75% base)</t>
        </is>
      </c>
      <c r="G71" s="357" t="inlineStr">
        <is>
          <t>7.0%</t>
        </is>
      </c>
      <c r="I71" s="574" t="inlineStr">
        <is>
          <t>Probability of beating Base case</t>
        </is>
      </c>
    </row>
    <row r="72">
      <c r="B72" s="357" t="inlineStr">
        <is>
          <t>P(LP MoIC &gt; 2.13× base)</t>
        </is>
      </c>
      <c r="G72" s="357" t="inlineStr">
        <is>
          <t>6.8%</t>
        </is>
      </c>
      <c r="I72" s="574" t="inlineStr">
        <is>
          <t>Probability of beating Base MoIC</t>
        </is>
      </c>
    </row>
    <row r="73">
      <c r="B73" s="357" t="inlineStr">
        <is>
          <t>P(LP MoIC &gt; 2.5× upside)</t>
        </is>
      </c>
      <c r="G73" s="357" t="inlineStr">
        <is>
          <t>0.6%</t>
        </is>
      </c>
      <c r="I73" s="574" t="inlineStr">
        <is>
          <t>Bull-case probability</t>
        </is>
      </c>
    </row>
    <row r="74">
      <c r="B74" s="357" t="inlineStr">
        <is>
          <t>Median LP IRR</t>
        </is>
      </c>
      <c r="G74" s="357" t="inlineStr">
        <is>
          <t>14.80%</t>
        </is>
      </c>
      <c r="I74" s="574" t="inlineStr">
        <is>
          <t>P50 percentile</t>
        </is>
      </c>
    </row>
    <row r="75">
      <c r="B75" s="357" t="inlineStr">
        <is>
          <t>Mean LP IRR (computed)</t>
        </is>
      </c>
      <c r="G75" s="357" t="inlineStr">
        <is>
          <t>13.95%</t>
        </is>
      </c>
      <c r="I75" s="574" t="inlineStr">
        <is>
          <t>vs deterministic 24.75%</t>
        </is>
      </c>
    </row>
    <row r="76">
      <c r="B76" s="357" t="inlineStr">
        <is>
          <t>LP IRR StDev</t>
        </is>
      </c>
      <c r="G76" s="357" t="inlineStr">
        <is>
          <t>8.05%</t>
        </is>
      </c>
      <c r="I76" s="574" t="inlineStr">
        <is>
          <t>Risk dispersion</t>
        </is>
      </c>
    </row>
    <row r="77">
      <c r="B77" s="357" t="inlineStr">
        <is>
          <t>Producer Mean Share</t>
        </is>
      </c>
      <c r="G77" s="357" t="inlineStr">
        <is>
          <t>93 млн ₽</t>
        </is>
      </c>
      <c r="I77" s="574" t="inlineStr">
        <is>
          <t>Avg producer payout</t>
        </is>
      </c>
    </row>
    <row r="78">
      <c r="B78" s="571" t="inlineStr">
        <is>
          <t>ПОЯСНЕНИЕ: разница MC mean (13.95%) vs Base deterministic (24.75%)</t>
        </is>
      </c>
    </row>
    <row r="79" ht="60" customHeight="1">
      <c r="B79" s="587" t="inlineStr">
        <is>
          <t>Base 24.75% = «если всё пойдёт по плану» (NDP=3000, все 12 фильмов хиты, exit ×5). MC mean 13.95% = «честный прогноз с учётом рисков»: hit_rate ~ Bin(12, 0.7)/12 даёт в среднем 8.4 хита из 12, rev_mult Triangular(0.6/1.0/1.4), CAPEX overrun, EBITDA shock. Mean NDP падает 3000→2104. Median MC IRR = 14.80% ближе к реалистичному ожиданию для инвестора. P(IRR &gt; 18% hurdle)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3" t="inlineStr">
        <is>
          <t>Investor Returns T₁ (W₃ default)</t>
        </is>
      </c>
      <c r="E27" t="inlineStr">
        <is>
          <t>IRR 18.04% · MOIC 2.00× · Payback 3.75y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(W₃ Base IRR = 18.04% = hurdle)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D23:N23"/>
    <mergeCell ref="D89:N89"/>
    <mergeCell ref="D29:N29"/>
    <mergeCell ref="D85:N85"/>
    <mergeCell ref="B19:N19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2026-04-12T00:00:48Z</dcterms:modified>
  <cp:keywords>investor, financial model, L3, pre-IPO, cinema</cp:keywords>
</cp:coreProperties>
</file>