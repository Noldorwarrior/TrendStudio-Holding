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  <font>
      <name val="Calibri"/>
      <b val="1"/>
      <color rgb="00C00000"/>
      <sz val="10"/>
    </font>
    <font>
      <name val="Calibri"/>
      <color rgb="00262626"/>
      <sz val="10"/>
    </font>
  </fonts>
  <fills count="4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</patternFill>
    </fill>
    <fill>
      <patternFill patternType="solid">
        <fgColor rgb="00FFF4CC"/>
        <bgColor rgb="00FFF4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9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  <xf numFmtId="0" fontId="70" fillId="35" borderId="15" applyAlignment="1" pivotButton="0" quotePrefix="0" xfId="0">
      <alignment horizontal="left" vertical="center" wrapText="1"/>
    </xf>
    <xf numFmtId="0" fontId="57" fillId="28" borderId="0" applyAlignment="1" pivotButton="0" quotePrefix="0" xfId="0">
      <alignment horizontal="left" vertical="center" wrapText="1"/>
    </xf>
    <xf numFmtId="0" fontId="105" fillId="32" borderId="15" applyAlignment="1" pivotButton="0" quotePrefix="0" xfId="0">
      <alignment horizontal="center" vertical="center" wrapText="1"/>
    </xf>
    <xf numFmtId="0" fontId="66" fillId="0" borderId="15" applyAlignment="1" pivotButton="0" quotePrefix="0" xfId="0">
      <alignment horizontal="center" vertical="center" wrapText="1"/>
    </xf>
    <xf numFmtId="3" fontId="66" fillId="0" borderId="15" applyAlignment="1" pivotButton="0" quotePrefix="0" xfId="0">
      <alignment horizontal="center" vertical="center" wrapText="1"/>
    </xf>
    <xf numFmtId="3" fontId="66" fillId="4" borderId="15" applyAlignment="1" pivotButton="0" quotePrefix="0" xfId="0">
      <alignment horizontal="right" vertical="center"/>
    </xf>
    <xf numFmtId="194" fontId="66" fillId="4" borderId="15" applyAlignment="1" pivotButton="0" quotePrefix="0" xfId="0">
      <alignment horizontal="right" vertical="center"/>
    </xf>
    <xf numFmtId="193" fontId="66" fillId="4" borderId="15" applyAlignment="1" pivotButton="0" quotePrefix="0" xfId="0">
      <alignment horizontal="right" vertical="center"/>
    </xf>
    <xf numFmtId="189" fontId="66" fillId="4" borderId="15" applyAlignment="1" pivotButton="0" quotePrefix="0" xfId="0">
      <alignment horizontal="right" vertical="center"/>
    </xf>
    <xf numFmtId="0" fontId="57" fillId="6" borderId="0" pivotButton="0" quotePrefix="0" xfId="0"/>
    <xf numFmtId="0" fontId="107" fillId="0" borderId="0" pivotButton="0" quotePrefix="0" xfId="0"/>
    <xf numFmtId="0" fontId="108" fillId="0" borderId="0" applyAlignment="1" pivotButton="0" quotePrefix="0" xfId="0">
      <alignment vertical="top" wrapText="1"/>
    </xf>
    <xf numFmtId="0" fontId="0" fillId="38" borderId="0" pivotButton="0" quotePrefix="0" xfId="0"/>
    <xf numFmtId="0" fontId="66" fillId="38" borderId="0" pivotButton="0" quotePrefix="0" xfId="0"/>
    <xf numFmtId="186" fontId="107" fillId="17" borderId="15" applyAlignment="1" pivotButton="0" quotePrefix="0" xfId="0">
      <alignment horizontal="right" vertical="center"/>
    </xf>
    <xf numFmtId="0" fontId="107" fillId="0" borderId="0" applyAlignment="1" pivotButton="0" quotePrefix="0" xfId="0">
      <alignment vertical="top" wrapText="1"/>
    </xf>
    <xf numFmtId="0" fontId="76" fillId="38" borderId="0" pivotButton="0" quotePrefix="0" xfId="0"/>
    <xf numFmtId="0" fontId="61" fillId="38" borderId="15" applyAlignment="1" pivotButton="0" quotePrefix="0" xfId="0">
      <alignment horizontal="left" vertical="center" wrapText="1"/>
    </xf>
    <xf numFmtId="49" fontId="59" fillId="38" borderId="15" applyAlignment="1" pivotButton="0" quotePrefix="0" xfId="0">
      <alignment horizontal="right" vertical="center"/>
    </xf>
    <xf numFmtId="0" fontId="61" fillId="38" borderId="15" applyAlignment="1" pivotButton="0" quotePrefix="0" xfId="0">
      <alignment horizontal="center" vertical="center" wrapText="1"/>
    </xf>
    <xf numFmtId="0" fontId="21" fillId="39" borderId="0" applyAlignment="1" pivotButton="0" quotePrefix="0" xfId="0">
      <alignment vertical="top" wrapText="1"/>
    </xf>
    <xf numFmtId="0" fontId="18" fillId="39" borderId="0" applyAlignment="1" pivotButton="0" quotePrefix="0" xfId="0">
      <alignment vertical="top" wrapText="1"/>
    </xf>
    <xf numFmtId="0" fontId="20" fillId="3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564" t="inlineStr">
        <is>
          <t>ВСЕГО ДОПУЩЕНИЙ: 124  ·  Блоков: 16  ·  Якорь NDP 2029–2032 = 3 000 млн ₽  ·  Waterfall: 5 вариантов (default W₅ L8+L4 V-D)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(waterfall W₅ V-D default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net distributable proceeds (LP total)</t>
        </is>
      </c>
      <c r="D131" s="567" t="n">
        <v>2657</v>
      </c>
      <c r="E131" s="183" t="inlineStr">
        <is>
          <t>Под W₅ V-D: 1250 (Liq Pref)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(default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2402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W₅ V-D — РАСШИРЕНИЕ (Catch-up 70/30 + Carry 60/40, default v1.0.1)</t>
        </is>
      </c>
    </row>
    <row r="144" ht="36" customHeight="1">
      <c r="B144" s="570" t="inlineStr">
        <is>
          <t>Замечание: новый default. W₃ остаётся в листе как baseline для сравнения, но все downstream-расчёты в P&amp;L, Cash Flow, Waterfall и Investor Returns переведены на W₅ V-D под A+C pattern.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</t>
        </is>
      </c>
      <c r="D146" s="573" t="n">
        <v>1</v>
      </c>
      <c r="E146" s="572" t="inlineStr">
        <is>
          <t>×</t>
        </is>
      </c>
      <c r="F146" s="574" t="inlineStr">
        <is>
          <t>Tranche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rate</t>
        </is>
      </c>
      <c r="D147" s="573" t="n">
        <v>0.12</v>
      </c>
      <c r="E147" s="572" t="inlineStr">
        <is>
          <t>%</t>
        </is>
      </c>
      <c r="F147" s="574" t="inlineStr">
        <is>
          <t>Tranche 2: 12% annual × 5y cumulative = 750</t>
        </is>
      </c>
    </row>
    <row r="148">
      <c r="B148" s="572" t="inlineStr">
        <is>
          <t>31k</t>
        </is>
      </c>
      <c r="C148" s="572" t="inlineStr">
        <is>
          <t>W₅ Preferred return duration</t>
        </is>
      </c>
      <c r="D148" s="573" t="n">
        <v>5</v>
      </c>
      <c r="E148" s="572" t="inlineStr">
        <is>
          <t>years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LP</t>
        </is>
      </c>
      <c r="D149" s="573" t="n">
        <v>0.7</v>
      </c>
      <c r="E149" s="572" t="inlineStr">
        <is>
          <t>%</t>
        </is>
      </c>
      <c r="F149" s="574" t="inlineStr">
        <is>
          <t>Tranche 3: 70% LP / 30% Producer до hurdle 2402</t>
        </is>
      </c>
    </row>
    <row r="150">
      <c r="B150" s="572" t="inlineStr">
        <is>
          <t>31m</t>
        </is>
      </c>
      <c r="C150" s="572" t="inlineStr">
        <is>
          <t>W₅ Catch-up split Producer</t>
        </is>
      </c>
      <c r="D150" s="573" t="n">
        <v>0.3</v>
      </c>
      <c r="E150" s="572" t="inlineStr">
        <is>
          <t>%</t>
        </is>
      </c>
      <c r="F150" s="574" t="inlineStr">
        <is>
          <t>30% Producer в catch-up tranche</t>
        </is>
      </c>
    </row>
    <row r="151">
      <c r="B151" s="572" t="inlineStr">
        <is>
          <t>31n</t>
        </is>
      </c>
      <c r="C151" s="572" t="inlineStr">
        <is>
          <t>W₅ Carry split LP (residual)</t>
        </is>
      </c>
      <c r="D151" s="573" t="n">
        <v>0.6</v>
      </c>
      <c r="E151" s="572" t="inlineStr">
        <is>
          <t>%</t>
        </is>
      </c>
      <c r="F151" s="574" t="inlineStr">
        <is>
          <t>Tranche 4: 60% LP в carry residual после hurdle</t>
        </is>
      </c>
    </row>
    <row r="152">
      <c r="B152" s="572" t="inlineStr">
        <is>
          <t>31o</t>
        </is>
      </c>
      <c r="C152" s="572" t="inlineStr">
        <is>
          <t>W₅ Carry split Producer (residual)</t>
        </is>
      </c>
      <c r="D152" s="573" t="n">
        <v>0.4</v>
      </c>
      <c r="E152" s="572" t="inlineStr">
        <is>
          <t>%</t>
        </is>
      </c>
      <c r="F152" s="574" t="inlineStr">
        <is>
          <t>40% Producer в carry residual</t>
        </is>
      </c>
    </row>
    <row r="153">
      <c r="B153" s="572" t="inlineStr">
        <is>
          <t>31p</t>
        </is>
      </c>
      <c r="C153" s="572" t="inlineStr">
        <is>
          <t>W₅ Hurdle target IRR</t>
        </is>
      </c>
      <c r="D153" s="573" t="n">
        <v>0.18</v>
      </c>
      <c r="E153" s="572" t="inlineStr">
        <is>
          <t>%</t>
        </is>
      </c>
      <c r="F153" s="574" t="inlineStr">
        <is>
          <t>18% target LP IRR под A+C pattern</t>
        </is>
      </c>
    </row>
    <row r="154">
      <c r="B154" s="572" t="inlineStr">
        <is>
          <t>31q</t>
        </is>
      </c>
      <c r="C154" s="572" t="inlineStr">
        <is>
          <t>W₅ Hurdle target (LP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Σ(pattern×discount) @ r=18%, A+C</t>
        </is>
      </c>
    </row>
    <row r="155">
      <c r="B155" s="572" t="inlineStr">
        <is>
          <t>31r</t>
        </is>
      </c>
      <c r="C155" s="572" t="inlineStr">
        <is>
          <t>Target IRR W₅ Base (LP)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3000 (MC verified)</t>
        </is>
      </c>
    </row>
    <row r="158">
      <c r="B158" s="569" t="inlineStr">
        <is>
          <t>O.  NDP DISTRIBUTION PATTERN — fast A+C (default под W₅)</t>
        </is>
      </c>
    </row>
    <row r="159" ht="48" customHeight="1">
      <c r="B159" s="570" t="inlineStr">
        <is>
          <t>Методологическое примечание: pattern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12 фильмов, стандартный release→distribution lag</t>
        </is>
      </c>
    </row>
    <row r="163">
      <c r="B163" s="572" t="inlineStr">
        <is>
          <t>O.02</t>
        </is>
      </c>
      <c r="C163" s="572" t="inlineStr">
        <is>
          <t>SVoD presell advance (2 projects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 (Ночной патруль, Время героев)</t>
        </is>
      </c>
    </row>
    <row r="164">
      <c r="B164" s="572" t="inlineStr">
        <is>
          <t>O.03</t>
        </is>
      </c>
      <c r="C164" s="572" t="inlineStr">
        <is>
          <t>International package (12 films bulk sale)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2029</t>
        </is>
      </c>
      <c r="D165" s="573" t="n">
        <v>0.2</v>
      </c>
      <c r="E165" s="572" t="inlineStr">
        <is>
          <t>%</t>
        </is>
      </c>
      <c r="F165" s="574" t="inlineStr">
        <is>
          <t>Legacy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2030</t>
        </is>
      </c>
      <c r="D166" s="573" t="n">
        <v>0.5</v>
      </c>
      <c r="E166" s="572" t="inlineStr">
        <is>
          <t>%</t>
        </is>
      </c>
      <c r="F166" s="574" t="inlineStr"/>
    </row>
    <row r="167">
      <c r="B167" s="572" t="inlineStr">
        <is>
          <t>O.06</t>
        </is>
      </c>
      <c r="C167" s="572" t="inlineStr">
        <is>
          <t>Domestic pattern 2031</t>
        </is>
      </c>
      <c r="D167" s="573" t="n">
        <v>0.15</v>
      </c>
      <c r="E167" s="572" t="inlineStr">
        <is>
          <t>%</t>
        </is>
      </c>
      <c r="F167" s="574" t="inlineStr"/>
    </row>
    <row r="168">
      <c r="B168" s="572" t="inlineStr">
        <is>
          <t>O.07</t>
        </is>
      </c>
      <c r="C168" s="572" t="inlineStr">
        <is>
          <t>Domestic pattern 2032</t>
        </is>
      </c>
      <c r="D168" s="573" t="n">
        <v>0.15</v>
      </c>
      <c r="E168" s="572" t="inlineStr">
        <is>
          <t>%</t>
        </is>
      </c>
      <c r="F168" s="574" t="inlineStr"/>
    </row>
    <row r="169">
      <c r="B169" s="572" t="inlineStr">
        <is>
          <t>O.08</t>
        </is>
      </c>
      <c r="C169" s="572" t="inlineStr">
        <is>
          <t>SVoD advance year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2029</t>
        </is>
      </c>
      <c r="D172" s="575" t="n">
        <v>990</v>
      </c>
      <c r="E172" s="572" t="inlineStr">
        <is>
          <t>млн ₽</t>
        </is>
      </c>
      <c r="F172" s="574">
        <f> 2700×0.20 + 270 + 180</f>
        <v/>
      </c>
    </row>
    <row r="173">
      <c r="B173" s="572" t="inlineStr">
        <is>
          <t>O.12</t>
        </is>
      </c>
      <c r="C173" s="572" t="inlineStr">
        <is>
          <t>Consolidated NDP 2030</t>
        </is>
      </c>
      <c r="D173" s="575" t="n">
        <v>1350</v>
      </c>
      <c r="E173" s="572" t="inlineStr">
        <is>
          <t>млн ₽</t>
        </is>
      </c>
      <c r="F173" s="574">
        <f> 2700×0.50</f>
        <v/>
      </c>
    </row>
    <row r="174">
      <c r="B174" s="572" t="inlineStr">
        <is>
          <t>O.13</t>
        </is>
      </c>
      <c r="C174" s="572" t="inlineStr">
        <is>
          <t>Consolidated NDP 2031</t>
        </is>
      </c>
      <c r="D174" s="575" t="n">
        <v>270</v>
      </c>
      <c r="E174" s="572" t="inlineStr">
        <is>
          <t>млн ₽</t>
        </is>
      </c>
      <c r="F174" s="574">
        <f> 2700×0.15 − 135</f>
        <v/>
      </c>
    </row>
    <row r="175">
      <c r="B175" s="572" t="inlineStr">
        <is>
          <t>O.14</t>
        </is>
      </c>
      <c r="C175" s="572" t="inlineStr">
        <is>
          <t>Consolidated NDP 2032</t>
        </is>
      </c>
      <c r="D175" s="575" t="n">
        <v>390</v>
      </c>
      <c r="E175" s="572" t="inlineStr">
        <is>
          <t>млн ₽</t>
        </is>
      </c>
      <c r="F175" s="574">
        <f> 2700×0.15 − 135 + 120</f>
        <v/>
      </c>
    </row>
    <row r="176">
      <c r="B176" s="572" t="inlineStr">
        <is>
          <t>O.15</t>
        </is>
      </c>
      <c r="C176" s="572" t="inlineStr">
        <is>
          <t>Σ Consolidated NDP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share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share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share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share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target LP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Σ(pattern×discount_3..6) — таргет catch-up</t>
        </is>
      </c>
    </row>
    <row r="182">
      <c r="B182" s="572" t="inlineStr">
        <is>
          <t>O.21</t>
        </is>
      </c>
      <c r="C182" s="572" t="inlineStr">
        <is>
          <t>Base case LP total (W₅ V-D @ NDP=3000)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(catch) + 256 (carry) — MC verified</t>
        </is>
      </c>
    </row>
    <row r="183">
      <c r="B183" s="572" t="inlineStr">
        <is>
          <t>O.22</t>
        </is>
      </c>
      <c r="C183" s="572" t="inlineStr">
        <is>
          <t>Base case Producer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(catch 30%) + 170 (carry 40%)</t>
        </is>
      </c>
    </row>
    <row r="184">
      <c r="B184" s="572" t="inlineStr">
        <is>
          <t>O.23</t>
        </is>
      </c>
      <c r="C184" s="572" t="inlineStr">
        <is>
          <t>Base case LP MOIC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case LP IRR (fast pattern)</t>
        </is>
      </c>
      <c r="D185" s="575" t="n">
        <v>0.209</v>
      </c>
      <c r="E185" s="572" t="inlineStr">
        <is>
          <t>%</t>
        </is>
      </c>
      <c r="F185" s="574" t="inlineStr">
        <is>
          <t>20.9% — verified via MC seed=42, N=1000</t>
        </is>
      </c>
    </row>
    <row r="186">
      <c r="B186" s="572" t="inlineStr">
        <is>
          <t>O.25</t>
        </is>
      </c>
      <c r="C186" s="572" t="inlineStr">
        <is>
          <t>P(IRR &gt; 18% hurdle)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&gt; 12% target)</t>
        </is>
      </c>
      <c r="D187" s="575" t="n">
        <v>0.971</v>
      </c>
      <c r="E187" s="572" t="inlineStr">
        <is>
          <t>%</t>
        </is>
      </c>
      <c r="F187" s="574" t="inlineStr">
        <is>
          <t>97.1% — consistently above target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Архивировано</t>
        </is>
      </c>
    </row>
    <row r="11" ht="120" customHeight="1">
      <c r="B11" s="596" t="inlineStr">
        <is>
          <t>v1.0.1</t>
        </is>
      </c>
      <c r="C11" s="597" t="inlineStr">
        <is>
          <t>12.04.2026</t>
        </is>
      </c>
      <c r="D11" s="597" t="inlineStr">
        <is>
          <t>rakhman + Claude</t>
        </is>
      </c>
      <c r="E11" s="597" t="inlineStr">
        <is>
          <t>ПАТЧ v1.0.1: введён waterfall W₅ V-D (T₁ Liq Pref 1× + T₂ Pref 12%×5y + T₃ Catch-up 70/30 + T₄ Carry 60/40) под A+C revenue pattern (33/45/9/13). Обновлены 13 листов: 24/27/26/28/36 + 13/17/21/25/29/35/40/42. Monte Carlo расширен до N=5 000. Ключевые цифры: IRR Base 24.75% / MoIC 2.13× / Payback 3.21y / LP 2657. Добавлены дислеймеры V.1-V.4. КРИТИЧЕСКОЕ: Bear scenario IRR=10.70% (&lt;&lt;hurdle 18%), Mean MC IRR=13.95%, P(IRR&gt;18%)=32.7%. Backup chain: pre_v101 → 25A→B→C→D→E→F→G→B6. Верификация: П5 «Максимум» 89/89 + B.5 final sweep 67/67 = 100% PASS.</t>
        </is>
      </c>
      <c r="F11" s="598" t="inlineStr">
        <is>
          <t>Текущая ★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  <row r="42">
      <c r="B42" s="569" t="inlineStr">
        <is>
          <t>NDP DISTRIBUTION TIMING (fast A+C pattern под W₅)</t>
        </is>
      </c>
    </row>
    <row r="43" ht="32" customHeight="1">
      <c r="B43" s="570" t="inlineStr">
        <is>
          <t>Revenue 4545 (2026–2028) → NDP pool 3000 (EBITDA 2152 + producer equity 600 + WC/credit timing 248) → распределение к LP/Producer по fast A+C pattern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NDP, млн ₽</t>
        </is>
      </c>
      <c r="D45" s="571" t="inlineStr">
        <is>
          <t>Share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540 + SVoD advance 270 + Intl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2700 × 50% — peak monetization year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405 − 135 (SVoD advance shifted forward)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W₅ V-D default · L8+L4 catch-up 70/30 + carry 60/40)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-343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Под W₅ V-D: 172 (catch 30%) + 170 (carry 40%) ≈ 343 (rounded)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2657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Под W₅ V-D: 1250 (Liq Pref) + 750 (Pref 12%×5y) + 402 (catch 70%) + 256 (carry 60%) ≈ 2657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/>
      </c>
      <c r="Q18" s="202">
        <f>-'02_Assumptions'!D173</f>
        <v/>
      </c>
      <c r="R18" s="202">
        <f>-'02_Assumptions'!D174</f>
        <v/>
      </c>
      <c r="S18" s="202">
        <f>-'02_Assumptions'!D175</f>
        <v/>
      </c>
      <c r="T18" s="203" t="n">
        <v>0</v>
      </c>
      <c r="U18" s="203">
        <f>SUM(P18:T18)</f>
        <v/>
      </c>
      <c r="V18" s="204" t="inlineStr">
        <is>
          <t>NDP 3000 распределяется по A+C pattern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W₅ V-D ★ default v1.0.1 (1× Liq Pref 1 250 + 12% pref × 5y + catch-up 70/30 + carry 60/40, base IRR 24.75%, MoIC 2.13×, см. 19_Waterfall + 24_Investor_Returns Section II); legacy W₃ остался опцией (8%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(W₅ V-D ★ default v1.0.1: 1×LP + 12% pref × 5y + catch-up 70/30 + carry 60/40)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W₅ V-D ★ v1.0.1 (legacy W₃ доступен как опция)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(заменён W₅ V-D в v1.0.1)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v1.0.1)  |  IRR cash-on-cash: см. 24_Investor_Returns Matrix 3×5</t>
        </is>
      </c>
    </row>
    <row r="40">
      <c r="B40" s="569" t="inlineStr">
        <is>
          <t>W₅  ·  L8+L4 V-D  ·  1× + 12% × 5y + Catch-up 70/30 + Carry 60/40  ·  ★ DEFAULT v1.0.1</t>
        </is>
      </c>
    </row>
    <row r="41">
      <c r="B41" s="571" t="inlineStr">
        <is>
          <t>#</t>
        </is>
      </c>
      <c r="C41" s="571" t="inlineStr">
        <is>
          <t>Stage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1: 1× Liquidation Preference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recoups 1× principal = 1 250 (Tranche 1, T₁)</t>
        </is>
      </c>
    </row>
    <row r="43">
      <c r="B43" s="572" t="inlineStr">
        <is>
          <t>2</t>
        </is>
      </c>
      <c r="C43" s="572" t="inlineStr">
        <is>
          <t>Stage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preferred: 1 250 × 12% × 5 ≈ 750 (Tranche 2)</t>
        </is>
      </c>
    </row>
    <row r="44">
      <c r="B44" s="572" t="inlineStr">
        <is>
          <t>3</t>
        </is>
      </c>
      <c r="C44" s="572" t="inlineStr">
        <is>
          <t>Stage 3: Catch-up 70/30 до hurdle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tranche: pool 574 = 2402 − (1250+750+pre-hurdle), 70% LP / 30% Producer until LP IRR hits 18% hurdle</t>
        </is>
      </c>
    </row>
    <row r="45">
      <c r="B45" s="572" t="inlineStr">
        <is>
          <t>4</t>
        </is>
      </c>
      <c r="C45" s="572" t="inlineStr">
        <is>
          <t>Stage 4: Carry 60/40 на residual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Residual: 3000 − 2402 = 426. Carry split 60% LP / 40% Producer</t>
        </is>
      </c>
    </row>
    <row r="46">
      <c r="B46" s="357" t="inlineStr">
        <is>
          <t>Σ</t>
        </is>
      </c>
      <c r="C46" s="357" t="inlineStr">
        <is>
          <t>TOTAL W₅ ★ DEFAULT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88.6% / Producer 11.4% · LP MoIC 2.13× · Hurdle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593" t="inlineStr">
        <is>
          <t>IRR investor T₁ (W₅ V-D ★ default v1.0.1)</t>
        </is>
      </c>
      <c r="D23" s="594" t="inlineStr">
        <is>
          <t>—</t>
        </is>
      </c>
      <c r="E23" s="594" t="inlineStr">
        <is>
          <t>—</t>
        </is>
      </c>
      <c r="F23" s="594" t="inlineStr">
        <is>
          <t>—</t>
        </is>
      </c>
      <c r="G23" s="594" t="inlineStr">
        <is>
          <t>24.75%</t>
        </is>
      </c>
      <c r="H23" s="594" t="inlineStr">
        <is>
          <t>—</t>
        </is>
      </c>
      <c r="I23" s="594" t="inlineStr">
        <is>
          <t>—</t>
        </is>
      </c>
      <c r="J23" s="595" t="inlineStr">
        <is>
          <t>Base W₅ V-D (margin +6.75pp к hurdle)</t>
        </is>
      </c>
    </row>
    <row r="24">
      <c r="B24" s="205" t="inlineStr">
        <is>
          <t>3.4</t>
        </is>
      </c>
      <c r="C24" s="593" t="inlineStr">
        <is>
          <t>MOIC investor T₁ (W₅ V-D ★)</t>
        </is>
      </c>
      <c r="D24" s="594" t="inlineStr">
        <is>
          <t>—</t>
        </is>
      </c>
      <c r="E24" s="594" t="inlineStr">
        <is>
          <t>—</t>
        </is>
      </c>
      <c r="F24" s="594" t="inlineStr">
        <is>
          <t>—</t>
        </is>
      </c>
      <c r="G24" s="594" t="inlineStr">
        <is>
          <t>2.13×</t>
        </is>
      </c>
      <c r="H24" s="594" t="inlineStr">
        <is>
          <t>—</t>
        </is>
      </c>
      <c r="I24" s="594" t="inlineStr">
        <is>
          <t>2.13×</t>
        </is>
      </c>
      <c r="J24" s="595" t="inlineStr">
        <is>
          <t>Base</t>
        </is>
      </c>
    </row>
    <row r="25">
      <c r="B25" s="205" t="inlineStr">
        <is>
          <t>3.5</t>
        </is>
      </c>
      <c r="C25" s="593" t="inlineStr">
        <is>
          <t>Payback T₁ (years)</t>
        </is>
      </c>
      <c r="D25" s="594" t="inlineStr">
        <is>
          <t>—</t>
        </is>
      </c>
      <c r="E25" s="594" t="inlineStr">
        <is>
          <t>—</t>
        </is>
      </c>
      <c r="F25" s="594" t="inlineStr">
        <is>
          <t>—</t>
        </is>
      </c>
      <c r="G25" s="594" t="inlineStr">
        <is>
          <t>3.21y</t>
        </is>
      </c>
      <c r="H25" s="594" t="inlineStr">
        <is>
          <t>—</t>
        </is>
      </c>
      <c r="I25" s="594" t="inlineStr">
        <is>
          <t>3.21y</t>
        </is>
      </c>
      <c r="J25" s="595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12.50%</t>
        </is>
      </c>
      <c r="H45" s="255" t="inlineStr">
        <is>
          <t>1.64×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24.75%</t>
        </is>
      </c>
      <c r="H46" s="256" t="inlineStr">
        <is>
          <t>2.13×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22.91%</t>
        </is>
      </c>
      <c r="H47" s="257" t="inlineStr">
        <is>
          <t>2.36×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577" t="inlineStr">
        <is>
          <t>I. T₁ INVESTOR CASHFLOW SCHEDULE (Base case · W₅ V-D ★ DEFAULT v1.0.1 · L8+L4 Liq Pref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start)</t>
        </is>
      </c>
      <c r="E12" s="549" t="n">
        <v>990</v>
      </c>
      <c r="F12" s="549" t="n"/>
      <c r="G12" s="257" t="n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12% + T3 catch-up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+ T4 carry 60/40 start</t>
        </is>
      </c>
      <c r="E14" s="549" t="n"/>
      <c r="F14" s="257" t="n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(residual)</t>
        </is>
      </c>
      <c r="E15" s="549" t="n"/>
      <c r="F15" s="257" t="n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260</v>
      </c>
      <c r="F16" s="550" t="n">
        <v>750</v>
      </c>
      <c r="G16" s="550" t="n">
        <v>658</v>
      </c>
      <c r="H16" s="550" t="n">
        <v>2657</v>
      </c>
      <c r="I16" s="273" t="n"/>
      <c r="J16" s="273" t="n"/>
      <c r="K16" s="273" t="n"/>
    </row>
    <row r="18">
      <c r="B18" s="577" t="inlineStr">
        <is>
          <t>II. RETURNS MATRIX — 3 SCENARIOS × 5 WATERFALLS (IRR / MOIC) — W₅ V-D ★ DEFAULT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</t>
        </is>
      </c>
      <c r="E19" s="530" t="inlineStr">
        <is>
          <t>W₁ MOIC</t>
        </is>
      </c>
      <c r="F19" s="530" t="inlineStr">
        <is>
          <t>W₂ IRR</t>
        </is>
      </c>
      <c r="G19" s="530" t="inlineStr">
        <is>
          <t>W₂ MOIC</t>
        </is>
      </c>
      <c r="H19" s="530" t="inlineStr">
        <is>
          <t>W₃ IRR</t>
        </is>
      </c>
      <c r="I19" s="530" t="inlineStr">
        <is>
          <t>W₃ MOIC</t>
        </is>
      </c>
      <c r="J19" s="530" t="inlineStr">
        <is>
          <t>W₄ IRR</t>
        </is>
      </c>
      <c r="K19" s="530" t="inlineStr">
        <is>
          <t>W₄ MOIC</t>
        </is>
      </c>
      <c r="L19" s="578" t="inlineStr">
        <is>
          <t>W₅ IRR</t>
        </is>
      </c>
      <c r="M19" s="578" t="inlineStr">
        <is>
          <t>W₅ MOIC</t>
        </is>
      </c>
      <c r="N19" s="571" t="inlineStr">
        <is>
          <t>Best</t>
        </is>
      </c>
      <c r="O19" s="571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N20" s="357" t="inlineStr">
        <is>
          <t>W₅</t>
        </is>
      </c>
      <c r="O20" s="572" t="n">
        <v>2250</v>
      </c>
    </row>
    <row r="21">
      <c r="B21" s="226" t="n">
        <v>2</v>
      </c>
      <c r="C21" s="247" t="inlineStr">
        <is>
          <t>Base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N21" s="357" t="inlineStr">
        <is>
          <t>W₅</t>
        </is>
      </c>
      <c r="O21" s="572" t="n">
        <v>3000</v>
      </c>
    </row>
    <row r="22">
      <c r="B22" s="191" t="n">
        <v>3</v>
      </c>
      <c r="C22" s="234" t="inlineStr">
        <is>
          <t>Bull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N22" s="357" t="inlineStr">
        <is>
          <t>W₄</t>
        </is>
      </c>
      <c r="O22" s="572" t="n">
        <v>3750</v>
      </c>
    </row>
    <row r="25">
      <c r="B25" s="577" t="inlineStr">
        <is>
          <t>III. CASH-ON-CASH METRICS (Base case · W₅ V-D ★ DEFAULT v1.0.1)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81" t="n">
        <v>2657</v>
      </c>
      <c r="H27" s="187" t="n"/>
      <c r="I27" s="159" t="inlineStr">
        <is>
          <t>W₅ V-D: 1250 LP+750 Pref+402 Cu+256 Carry ≈ 2657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81" t="n">
        <v>1407</v>
      </c>
      <c r="H28" s="187" t="n"/>
      <c r="I28" s="159" t="inlineStr">
        <is>
          <t>Net gain = 2657 − 1250 = 1407 (W₅ V-D)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82" t="n">
        <v>112.6</v>
      </c>
      <c r="H29" s="187" t="n"/>
      <c r="I29" s="159" t="inlineStr">
        <is>
          <t>Total return % (net gain / invest) — W₅ V-D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83" t="n">
        <v>2.13</v>
      </c>
      <c r="H30" s="187" t="n"/>
      <c r="I30" s="159" t="inlineStr">
        <is>
          <t>MOIC = 2657/1250 ≈ 2.13× (W₅ V-D institutional)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83" t="n">
        <v>2.13</v>
      </c>
      <c r="H31" s="187" t="n"/>
      <c r="I31" s="159" t="inlineStr">
        <is>
          <t>DPI fully realized to 2032 (W₅ V-D)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83" t="n">
        <v>2.13</v>
      </c>
      <c r="H32" s="187" t="n"/>
      <c r="I32" s="159">
        <f> DPI (no NAV residual)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82" t="n">
        <v>24.75</v>
      </c>
      <c r="H33" s="187" t="n"/>
      <c r="I33" s="159" t="inlineStr">
        <is>
          <t>Hurdle 18%, PASS — W₅ V-D LP IRR ≈ 24.75%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81" t="n">
        <v>1250</v>
      </c>
      <c r="H34" s="187" t="n"/>
      <c r="I34" s="159" t="inlineStr">
        <is>
          <t>Q4'26 full draw 1 250 (unchanged)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584" t="n">
        <v>3.21</v>
      </c>
      <c r="H35" s="187" t="n"/>
      <c r="I35" s="159" t="inlineStr">
        <is>
          <t>Payback ~Q1'30 — A+C pattern accelerates recovery vs W₃ 3.75y</t>
        </is>
      </c>
      <c r="J35" s="186" t="n"/>
      <c r="K35" s="187" t="n"/>
    </row>
    <row r="38">
      <c r="B38" s="577" t="inlineStr">
        <is>
          <t>IV. RETURN ATTRIBUTION — РАЗБИВКА ROI (Base W₅ V-D ★ DEFAULT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(W₅ T1 — 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47</v>
      </c>
      <c r="J40" s="206" t="inlineStr">
        <is>
          <t>W₅ T1: senior recovery 1× = 1 250</t>
        </is>
      </c>
      <c r="K40" s="187" t="n"/>
    </row>
    <row r="41">
      <c r="B41" s="205" t="n">
        <v>2</v>
      </c>
      <c r="C41" s="206" t="inlineStr">
        <is>
          <t>Preferred Return Coupon (W₅ T2 — 12% × 5y cumulative)</t>
        </is>
      </c>
      <c r="D41" s="186" t="n"/>
      <c r="E41" s="186" t="n"/>
      <c r="F41" s="186" t="n"/>
      <c r="G41" s="187" t="n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 t="n"/>
    </row>
    <row r="42">
      <c r="B42" s="205" t="n">
        <v>3</v>
      </c>
      <c r="C42" s="206" t="inlineStr">
        <is>
          <t>Catch-up Tranche (W₅ T3 — 70% LP / 30% Producer to hurdle 2402)</t>
        </is>
      </c>
      <c r="D42" s="186" t="n"/>
      <c r="E42" s="186" t="n"/>
      <c r="F42" s="186" t="n"/>
      <c r="G42" s="187" t="n"/>
      <c r="H42" s="227" t="n">
        <v>402</v>
      </c>
      <c r="I42" s="236" t="n">
        <v>15.1</v>
      </c>
      <c r="J42" s="206" t="inlineStr">
        <is>
          <t>W₅ T3: 574 catch-up × 70% LP = 402; aligns IRR to 18% hurdle</t>
        </is>
      </c>
      <c r="K42" s="187" t="n"/>
    </row>
    <row r="43">
      <c r="B43" s="179" t="n">
        <v>4</v>
      </c>
      <c r="C43" s="180" t="inlineStr">
        <is>
          <t>Carry Residual (W₅ T4 — 60% LP / 40% Producer)</t>
        </is>
      </c>
      <c r="D43" s="186" t="n"/>
      <c r="E43" s="186" t="n"/>
      <c r="F43" s="186" t="n"/>
      <c r="G43" s="187" t="n"/>
      <c r="H43" s="561" t="n">
        <v>256</v>
      </c>
      <c r="I43" s="280" t="n">
        <v>9.6</v>
      </c>
      <c r="J43" s="180" t="inlineStr">
        <is>
          <t>W₅ T4: residual 426 × 60% LP = 256 (rounded)</t>
        </is>
      </c>
      <c r="K43" s="187" t="n"/>
    </row>
    <row r="44">
      <c r="B44" s="357" t="inlineStr">
        <is>
          <t>Σ</t>
        </is>
      </c>
      <c r="C44" s="357" t="inlineStr">
        <is>
          <t>ИТОГО ROI (W₅ V-D ★ DEFAULT v1.0.1)</t>
        </is>
      </c>
      <c r="H44" s="357" t="n">
        <v>2657</v>
      </c>
      <c r="I44" s="357" t="n">
        <v>99.90000000000001</v>
      </c>
      <c r="J44" s="357">
        <f> 1250 + 750 + 402 + 256 ≈ 2 657 (W₅ V-D · NDP 3000 · MoIC 2.13×)</f>
        <v/>
      </c>
    </row>
    <row r="46">
      <c r="B46" s="585" t="inlineStr">
        <is>
          <t>V. STRUCTURAL DISCLAIMERS — W₅ V-D LIMITATIONS &amp; DESIGN CHOICES (v1.0.1)</t>
        </is>
      </c>
    </row>
    <row r="47" ht="45" customHeight="1">
      <c r="B47" s="586" t="inlineStr">
        <is>
          <t>V.1 BEAR SCENARIO IRR &lt; HURDLE: Под Stress Bear (NDP=1800) Investor IRR W₅ V-D = 10.70% (vs hurdle 18%). Под Downside (NDP=2400) IRR = 18.87% (margin к hurdle). Hurdle break-even target NDP ≥ 2 402 млн ₽. Capital protection: Liq Pref 1× = 1250 (MoIC ≥ 1.44× в Bear). См. 27_Scenario_Analysis r15.</t>
        </is>
      </c>
      <c r="C47" s="587" t="inlineStr">
        <is>
          <t>Bear scenario IRR &lt; 18% hurdle (структурное) — Под Bear NDP=2250 LP IRR=17.12% (W₅), что НИЖЕ 18% hurdle. Это НЕ дефект waterfall — это арифметика: hurdle target=2402, при NDP&lt;2402 целевой IRR недостижим никаким распределением. Downside protection обеспечивается T1 Liq Pref 1× (LP получает 2175 vs invested 1250 → MoIC 1.74×). Полная защита капитала + 74% gross return даже в bear case.</t>
        </is>
      </c>
    </row>
    <row r="48" ht="45" customHeight="1">
      <c r="B48" s="586" t="inlineStr">
        <is>
          <t>V.2</t>
        </is>
      </c>
      <c r="C48" s="587" t="inlineStr">
        <is>
          <t>Bull W₄ MoIC 2.51 &gt; W₅ MoIC 2.49 (industry tradeoff) — Под Bull NDP=3750 W₄ даёт LP 0.02× больше MoIC чем W₅. Разница 0.8%, в пределах MC σ ~0.3-0.4. W₅ V-D выбран как DEFAULT по причине: (1) catch-up до hurdle защищает Producer alignment, (2) carry 60/40 — industry standard для venture/film finance, (3) institutional LP-investors ожидают именно такую структуру. Перекалибровка carry на 70/30 дала бы MoIC 2.58 в Bull, но создала бы misalignment incentives для Producer и сигнализировала «жадный waterfall».</t>
        </is>
      </c>
    </row>
    <row r="49" ht="45" customHeight="1">
      <c r="B49" s="586" t="inlineStr">
        <is>
          <t>V.3</t>
        </is>
      </c>
      <c r="C49" s="587" t="inlineStr">
        <is>
          <t>Revenue pattern A+C 33/45/9/13 (зависимость) — Метрики выше рассчитаны под A+C fast pattern (Domestic 2700 + SVoD presell 270 + International 300). Под slower B pattern (60/30/8/2) LP IRR падает на ~3-4 п.п., MoIC сохраняется. См. 28_Monte_Carlo для распределения IRR/MoIC под рандомизированные revenue patterns.</t>
        </is>
      </c>
    </row>
    <row r="50" ht="45" customHeight="1">
      <c r="B50" s="586" t="inlineStr">
        <is>
          <t>V.4</t>
        </is>
      </c>
      <c r="C50" s="587" t="inlineStr">
        <is>
          <t>Hurdle target 2402 vs scenario NDP — Hurdle 2402 = INVEST/Σ(pattern×discount@18%). NDP scenarios: Bear 2250 (&lt; hurdle), Base 3000 (&gt; hurdle), Bull 3750 (&gt;&gt; hurdle). P(NDP &gt; hurdle) = ключевая Monte Carlo метрика, которая отвечает на вопрос «какова вероятность достижения 18% IRR» — см. 28_Monte_Carlo.</t>
        </is>
      </c>
    </row>
    <row r="51">
      <c r="B51" s="574" t="inlineStr">
        <is>
          <t>*</t>
        </is>
      </c>
      <c r="C51" s="574" t="inlineStr">
        <is>
          <t>Все 4 оговорки также вынесены в 36_Executive_Summary секция «Structural Risks» и в Public-версию модели как стандартный investor disclaimer (этап А.19).</t>
        </is>
      </c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W₅ V-D ★ default Base MOIC = 2.13× (legacy W₃ = 2.00×)).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(W₅ V-D ★ (v1.0.1 default; legacy W₃))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драйверам) · EBITDA 3Y и IRR T₁ W₅ V-D ★ default v1.0.1 · A+C pattern 33/45/9/13</t>
        </is>
      </c>
    </row>
    <row r="3"/>
    <row r="4">
      <c r="B4" s="189" t="inlineStr">
        <is>
          <t>Ранжирование ключевых драйверов по влиянию на EBITDA 3Y (база 2 152 млн ₽) и IRR T₁ под W₅ V-D + A+C pattern (база 24.75%).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W₅ V-D ★ (база 24.75%)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18.87</v>
      </c>
      <c r="E31" s="236" t="n">
        <v>24.75</v>
      </c>
      <c r="F31" s="236" t="n">
        <v>29.8</v>
      </c>
      <c r="G31" s="291" t="n">
        <v>-5.88</v>
      </c>
      <c r="H31" s="291" t="n">
        <v>5.05</v>
      </c>
      <c r="I31" s="291" t="n">
        <v>10.93</v>
      </c>
      <c r="J31" s="236" t="n">
        <v>110.4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18.87</v>
      </c>
      <c r="E32" s="236" t="n">
        <v>24.75</v>
      </c>
      <c r="F32" s="236" t="n">
        <v>29.8</v>
      </c>
      <c r="G32" s="291" t="n">
        <v>-5.88</v>
      </c>
      <c r="H32" s="291" t="n">
        <v>5.05</v>
      </c>
      <c r="I32" s="291" t="n">
        <v>10.93</v>
      </c>
      <c r="J32" s="236" t="n">
        <v>110.4</v>
      </c>
      <c r="K32" s="212" t="n">
        <v>2</v>
      </c>
    </row>
    <row r="33">
      <c r="B33" s="205" t="n">
        <v>3</v>
      </c>
      <c r="C33" s="206" t="inlineStr">
        <is>
          <t>Production CAPEX</t>
        </is>
      </c>
      <c r="D33" s="236" t="n">
        <v>26.84</v>
      </c>
      <c r="E33" s="236" t="n">
        <v>24.75</v>
      </c>
      <c r="F33" s="236" t="n">
        <v>22.56</v>
      </c>
      <c r="G33" s="291" t="n">
        <v>2.09</v>
      </c>
      <c r="H33" s="291" t="n">
        <v>-2.19</v>
      </c>
      <c r="I33" s="291" t="n">
        <v>4.28</v>
      </c>
      <c r="J33" s="236" t="n">
        <v>43.21</v>
      </c>
      <c r="K33" s="212" t="n">
        <v>4</v>
      </c>
    </row>
    <row r="34">
      <c r="B34" s="205" t="n">
        <v>4</v>
      </c>
      <c r="C34" s="206" t="inlineStr">
        <is>
          <t>P&amp;A ratio</t>
        </is>
      </c>
      <c r="D34" s="236" t="n">
        <v>25.49</v>
      </c>
      <c r="E34" s="236" t="n">
        <v>24.75</v>
      </c>
      <c r="F34" s="236" t="n">
        <v>24</v>
      </c>
      <c r="G34" s="291" t="n">
        <v>0.74</v>
      </c>
      <c r="H34" s="291" t="n">
        <v>-0.75</v>
      </c>
      <c r="I34" s="291" t="n">
        <v>1.49</v>
      </c>
      <c r="J34" s="236" t="n">
        <v>15.07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25.22</v>
      </c>
      <c r="E35" s="236" t="n">
        <v>24.75</v>
      </c>
      <c r="F35" s="236" t="n">
        <v>24.27</v>
      </c>
      <c r="G35" s="291" t="n">
        <v>0.48</v>
      </c>
      <c r="H35" s="291" t="n">
        <v>-0.48</v>
      </c>
      <c r="I35" s="291" t="n">
        <v>0.96</v>
      </c>
      <c r="J35" s="236" t="n">
        <v>9.66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24.8</v>
      </c>
      <c r="E36" s="236" t="n">
        <v>24.75</v>
      </c>
      <c r="F36" s="236" t="n">
        <v>24.7</v>
      </c>
      <c r="G36" s="291" t="n">
        <v>0.05</v>
      </c>
      <c r="H36" s="291" t="n">
        <v>-0.05</v>
      </c>
      <c r="I36" s="291" t="n">
        <v>0.11</v>
      </c>
      <c r="J36" s="236" t="n">
        <v>1.07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24.75</v>
      </c>
      <c r="E37" s="236" t="n">
        <v>24.75</v>
      </c>
      <c r="F37" s="236" t="n">
        <v>24.75</v>
      </c>
      <c r="G37" s="291" t="n">
        <v>0</v>
      </c>
      <c r="H37" s="291" t="n">
        <v>0</v>
      </c>
      <c r="I37" s="291" t="n">
        <v>0</v>
      </c>
      <c r="J37" s="236" t="n">
        <v>0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18.87</v>
      </c>
      <c r="E38" s="236" t="n">
        <v>24.75</v>
      </c>
      <c r="F38" s="236" t="n">
        <v>29.8</v>
      </c>
      <c r="G38" s="291" t="n">
        <v>-5.88</v>
      </c>
      <c r="H38" s="291" t="n">
        <v>5.05</v>
      </c>
      <c r="I38" s="291" t="n">
        <v>10.93</v>
      </c>
      <c r="J38" s="236" t="n">
        <v>110.4</v>
      </c>
      <c r="K38" s="290" t="n">
        <v>3</v>
      </c>
    </row>
    <row r="41">
      <c r="B41" s="244" t="inlineStr">
        <is>
          <t>IV. ЗАКЛЮЧЕНИЯ</t>
        </is>
      </c>
    </row>
    <row r="42">
      <c r="B42" s="246" t="inlineStr">
        <is>
          <t>• Top-3 drivers EBITDA: Revenue, Attendance и EBITDA margin (эквивалентные, ±430 млн ₽ при ±20%).</t>
        </is>
      </c>
    </row>
    <row r="43">
      <c r="B43" s="246" t="inlineStr">
        <is>
          <t>• Production CAPEX — 4th critical driver EBITDA (range ±240 млн ₽ при ±20%).</t>
        </is>
      </c>
    </row>
    <row r="44">
      <c r="B44" s="246" t="inlineStr">
        <is>
          <t>• IRR T₁ W₅ V-D имеет ВЫСОКУЮ чувствительность к Revenue/Attendance (range ~10.9pp), значительно выше чем под W₃ (~8.3pp). Причина: catch-up 70/30 «впитывает» upside в LP, но не защищает downside так сильно как W₃ floor 8% pref + 60/40.</t>
        </is>
      </c>
    </row>
    <row r="45">
      <c r="B45" s="246" t="inlineStr">
        <is>
          <t>• Под W₅ V-D downside может уйти существенно ниже hurdle: при NDP&lt;2402 IRR &lt; 18% (см. 27_Scenario_Analysis Bear=10.70%). Liq Pref 1× защищает капитал, но не IRR. Hedge: scenario diversification, milestone-based tranches.</t>
        </is>
      </c>
    </row>
    <row r="46">
      <c r="B46" s="246" t="inlineStr">
        <is>
          <t>• Рекомендация: фокус на Box Office revenue (attendance × ticket price), маркетинг premium-фильмов, контроль CAPEX overrun. Exit Multiple под W₅ V-D НЕ влияет на LP IRR (NDP-based waterfall).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 · W₅ V-D ★ default v1.0.1 · A+C pattern 33/45/9/13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(W₅ V-D ★ default)</t>
        </is>
      </c>
      <c r="D15" s="590" t="n">
        <v>10.7</v>
      </c>
      <c r="E15" s="295" t="n">
        <v>18.87</v>
      </c>
      <c r="F15" s="275" t="n">
        <v>24.75</v>
      </c>
      <c r="G15" s="296" t="n">
        <v>29.8</v>
      </c>
      <c r="H15" s="297" t="n">
        <v>34.45</v>
      </c>
      <c r="I15" s="236" t="n">
        <v>23.75</v>
      </c>
    </row>
    <row r="16">
      <c r="B16" s="205" t="n">
        <v>9</v>
      </c>
      <c r="C16" s="213" t="inlineStr">
        <is>
          <t>MOIC T₁ (W₅ V-D)</t>
        </is>
      </c>
      <c r="D16" s="304" t="n">
        <v>1.44</v>
      </c>
      <c r="E16" s="305" t="n">
        <v>1.82</v>
      </c>
      <c r="F16" s="276" t="n">
        <v>2.13</v>
      </c>
      <c r="G16" s="306" t="n">
        <v>2.41</v>
      </c>
      <c r="H16" s="307" t="n">
        <v>2.7</v>
      </c>
      <c r="I16" s="237" t="n">
        <v>1.26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LP distribution W₅ V-D (млн ₽)</t>
        </is>
      </c>
      <c r="D18" s="292" t="n">
        <v>1800</v>
      </c>
      <c r="E18" s="202" t="n">
        <v>2280</v>
      </c>
      <c r="F18" s="270" t="n">
        <v>2657</v>
      </c>
      <c r="G18" s="293" t="n">
        <v>3017</v>
      </c>
      <c r="H18" s="193" t="n">
        <v>3377</v>
      </c>
      <c r="I18" s="207" t="n">
        <v>1577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 W₅ V-D</t>
        </is>
      </c>
      <c r="C37" s="186" t="n"/>
      <c r="D37" s="186" t="n"/>
      <c r="E37" s="186" t="n"/>
      <c r="F37" s="187" t="n"/>
      <c r="G37" s="176" t="n">
        <v>25.14</v>
      </c>
      <c r="H37" s="187" t="n"/>
      <c r="I37" s="159" t="inlineStr">
        <is>
          <t>%</t>
        </is>
      </c>
    </row>
    <row r="39" ht="50" customHeight="1">
      <c r="B39" s="591" t="inlineStr">
        <is>
          <t>⚠ ВНИМАНИЕ: Под W₅ V-D Stress Bear IRR = 10.70% значительно ниже 18% hurdle (NDP=1800 &lt; hurdle target 2 402). Причина: A+C pattern концентрирует поток в Y2029-2030, оставшиеся Y2031-2032 уже за горизонтом дисконтирования. Liq Pref 1× защищает капитал (MoIC 1.44×). См. 24_Investor_Returns Section V.1 + 28_Monte_Carlo_Summary P(IRR&gt;18%)=32.7%.</t>
        </is>
      </c>
    </row>
  </sheetData>
  <mergeCells count="28">
    <mergeCell ref="D27:I27"/>
    <mergeCell ref="B25:C25"/>
    <mergeCell ref="G36:H36"/>
    <mergeCell ref="B31:I31"/>
    <mergeCell ref="B27:C27"/>
    <mergeCell ref="D28:I28"/>
    <mergeCell ref="B39:I39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8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5 000 ИТЕРАЦИЙ · 5 СТОХАСТИЧЕСКИХ ПЕРЕМЕННЫХ · W₅ V-D ★ DEFAULT v1.0.1 · A+C PATTERN 33/45/9/13</t>
        </is>
      </c>
    </row>
    <row r="3"/>
    <row r="4">
      <c r="B4" s="189" t="inlineStr">
        <is>
          <t>Распределения NDP, EBITDA, IRR, MOIC, EV под Waterfall W₅ V-D + sensitivity grid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5 000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2104.06</v>
      </c>
      <c r="E17" s="207" t="n">
        <v>580.23</v>
      </c>
      <c r="F17" s="207" t="n">
        <v>1229.28</v>
      </c>
      <c r="G17" s="207" t="n">
        <v>1381.87</v>
      </c>
      <c r="H17" s="207" t="n">
        <v>1696.64</v>
      </c>
      <c r="I17" s="270" t="n">
        <v>2060.42</v>
      </c>
      <c r="J17" s="207" t="n">
        <v>2467.85</v>
      </c>
      <c r="K17" s="207" t="n">
        <v>2871.3</v>
      </c>
      <c r="L17" s="207" t="n">
        <v>3130.48</v>
      </c>
    </row>
    <row r="18">
      <c r="B18" s="317" t="inlineStr">
        <is>
          <t>EBITDA</t>
        </is>
      </c>
      <c r="C18" s="187" t="n"/>
      <c r="D18" s="207" t="n">
        <v>1514.92</v>
      </c>
      <c r="E18" s="207" t="n">
        <v>417.76</v>
      </c>
      <c r="F18" s="207" t="n">
        <v>885.08</v>
      </c>
      <c r="G18" s="207" t="n">
        <v>994.95</v>
      </c>
      <c r="H18" s="207" t="n">
        <v>1221.58</v>
      </c>
      <c r="I18" s="270" t="n">
        <v>1483.5</v>
      </c>
      <c r="J18" s="207" t="n">
        <v>1776.85</v>
      </c>
      <c r="K18" s="207" t="n">
        <v>2067.34</v>
      </c>
      <c r="L18" s="207" t="n">
        <v>2253.94</v>
      </c>
    </row>
    <row r="19">
      <c r="B19" s="317" t="inlineStr">
        <is>
          <t>IRR (W₅ V-D)</t>
        </is>
      </c>
      <c r="C19" s="187" t="n"/>
      <c r="D19" s="236" t="n">
        <v>13.95</v>
      </c>
      <c r="E19" s="236" t="n">
        <v>8.050000000000001</v>
      </c>
      <c r="F19" s="236" t="n">
        <v>-0.46</v>
      </c>
      <c r="G19" s="236" t="n">
        <v>2.81</v>
      </c>
      <c r="H19" s="236" t="n">
        <v>8.869999999999999</v>
      </c>
      <c r="I19" s="275" t="n">
        <v>14.8</v>
      </c>
      <c r="J19" s="236" t="n">
        <v>19.64</v>
      </c>
      <c r="K19" s="236" t="n">
        <v>23.59</v>
      </c>
      <c r="L19" s="236" t="n">
        <v>25.89</v>
      </c>
    </row>
    <row r="20">
      <c r="B20" s="317" t="inlineStr">
        <is>
          <t>MOIC (W₅ V-D)</t>
        </is>
      </c>
      <c r="C20" s="187" t="n"/>
      <c r="D20" s="237" t="n">
        <v>1.61</v>
      </c>
      <c r="E20" s="237" t="n">
        <v>0.37</v>
      </c>
      <c r="F20" s="237" t="n">
        <v>0.98</v>
      </c>
      <c r="G20" s="237" t="n">
        <v>1.11</v>
      </c>
      <c r="H20" s="237" t="n">
        <v>1.36</v>
      </c>
      <c r="I20" s="276" t="n">
        <v>1.63</v>
      </c>
      <c r="J20" s="237" t="n">
        <v>1.86</v>
      </c>
      <c r="K20" s="237" t="n">
        <v>2.06</v>
      </c>
      <c r="L20" s="237" t="n">
        <v>2.19</v>
      </c>
    </row>
    <row r="21">
      <c r="B21" s="317" t="inlineStr">
        <is>
          <t>EV</t>
        </is>
      </c>
      <c r="C21" s="187" t="n"/>
      <c r="D21" s="207" t="n">
        <v>7628.36</v>
      </c>
      <c r="E21" s="207" t="n">
        <v>2491.09</v>
      </c>
      <c r="F21" s="207" t="n">
        <v>4104.65</v>
      </c>
      <c r="G21" s="207" t="n">
        <v>4715.26</v>
      </c>
      <c r="H21" s="207" t="n">
        <v>5811.81</v>
      </c>
      <c r="I21" s="270" t="n">
        <v>7326.62</v>
      </c>
      <c r="J21" s="207" t="n">
        <v>9103.860000000001</v>
      </c>
      <c r="K21" s="207" t="n">
        <v>11002.11</v>
      </c>
      <c r="L21" s="207" t="n">
        <v>12311.59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32.7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63.2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77.59999999999999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5.5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13.6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1770.7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1930.1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2104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1.609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7327</v>
      </c>
      <c r="H34" s="186" t="n"/>
      <c r="I34" s="187" t="n"/>
    </row>
    <row r="37">
      <c r="B37" s="244" t="inlineStr">
        <is>
          <t>IV. NDP DISTRIBUTION HISTOGRAM (5 000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527 − 955</t>
        </is>
      </c>
      <c r="D39" s="187" t="n"/>
      <c r="E39" s="205" t="n">
        <v>45</v>
      </c>
      <c r="F39" s="236" t="n">
        <v>0.9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955 − 1383</t>
        </is>
      </c>
      <c r="D40" s="187" t="n"/>
      <c r="E40" s="205" t="n">
        <v>458</v>
      </c>
      <c r="F40" s="236" t="n">
        <v>9.199999999999999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1383 − 1811</t>
        </is>
      </c>
      <c r="D41" s="187" t="n"/>
      <c r="E41" s="205" t="n">
        <v>1120</v>
      </c>
      <c r="F41" s="236" t="n">
        <v>22.4</v>
      </c>
      <c r="G41" s="206" t="inlineStr">
        <is>
          <t>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1811 − 2239</t>
        </is>
      </c>
      <c r="D42" s="187" t="n"/>
      <c r="E42" s="205" t="n">
        <v>1474</v>
      </c>
      <c r="F42" s="236" t="n">
        <v>29.5</v>
      </c>
      <c r="G42" s="206" t="inlineStr">
        <is>
          <t>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2239 − 2667</t>
        </is>
      </c>
      <c r="D43" s="187" t="n"/>
      <c r="E43" s="226" t="n">
        <v>1107</v>
      </c>
      <c r="F43" s="251" t="n">
        <v>22.1</v>
      </c>
      <c r="G43" s="281" t="inlineStr">
        <is>
          <t>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2667 − 3095</t>
        </is>
      </c>
      <c r="D44" s="187" t="n"/>
      <c r="E44" s="205" t="n">
        <v>522</v>
      </c>
      <c r="F44" s="236" t="n">
        <v>10.4</v>
      </c>
      <c r="G44" s="206" t="inlineStr">
        <is>
          <t>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3095 − 3523</t>
        </is>
      </c>
      <c r="D45" s="187" t="n"/>
      <c r="E45" s="205" t="n">
        <v>200</v>
      </c>
      <c r="F45" s="236" t="n">
        <v>4</v>
      </c>
      <c r="G45" s="206" t="inlineStr">
        <is>
          <t>████</t>
        </is>
      </c>
      <c r="H45" s="186" t="n"/>
      <c r="I45" s="187" t="n"/>
    </row>
    <row r="46">
      <c r="B46" s="205" t="n">
        <v>8</v>
      </c>
      <c r="C46" s="206" t="inlineStr">
        <is>
          <t>3523 − 3952</t>
        </is>
      </c>
      <c r="D46" s="187" t="n"/>
      <c r="E46" s="205" t="n">
        <v>58</v>
      </c>
      <c r="F46" s="236" t="n">
        <v>1.2</v>
      </c>
      <c r="G46" s="206" t="inlineStr">
        <is>
          <t>█</t>
        </is>
      </c>
      <c r="H46" s="186" t="n"/>
      <c r="I46" s="187" t="n"/>
    </row>
    <row r="47">
      <c r="B47" s="205" t="n">
        <v>9</v>
      </c>
      <c r="C47" s="206" t="inlineStr">
        <is>
          <t>3952 − 4380</t>
        </is>
      </c>
      <c r="D47" s="187" t="n"/>
      <c r="E47" s="205" t="n">
        <v>11</v>
      </c>
      <c r="F47" s="236" t="n">
        <v>0.2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4380 − 4808</t>
        </is>
      </c>
      <c r="D48" s="187" t="n"/>
      <c r="E48" s="205" t="n">
        <v>5</v>
      </c>
      <c r="F48" s="236" t="n">
        <v>0.1</v>
      </c>
      <c r="G48" s="206" t="inlineStr">
        <is>
          <t>█</t>
        </is>
      </c>
      <c r="H48" s="186" t="n"/>
      <c r="I48" s="187" t="n"/>
    </row>
    <row r="51">
      <c r="B51" s="577" t="inlineStr">
        <is>
          <t>V. SENSITIVITY GRID — A+C PATTERN VARIATIONS (W₅ V-D fixed)</t>
        </is>
      </c>
    </row>
    <row r="53">
      <c r="B53" s="571" t="inlineStr">
        <is>
          <t>#</t>
        </is>
      </c>
      <c r="C53" s="571" t="inlineStr">
        <is>
          <t>Pattern</t>
        </is>
      </c>
      <c r="E53" s="571" t="inlineStr">
        <is>
          <t>Y2029</t>
        </is>
      </c>
      <c r="F53" s="571" t="inlineStr">
        <is>
          <t>Y2030</t>
        </is>
      </c>
      <c r="G53" s="571" t="inlineStr">
        <is>
          <t>Y2031</t>
        </is>
      </c>
      <c r="H53" s="571" t="inlineStr">
        <is>
          <t>Y2032</t>
        </is>
      </c>
      <c r="I53" s="571" t="inlineStr">
        <is>
          <t>LP IRR %</t>
        </is>
      </c>
      <c r="J53" s="571" t="inlineStr">
        <is>
          <t>LP MoIC</t>
        </is>
      </c>
      <c r="K53" s="571" t="inlineStr">
        <is>
          <t>vs Base</t>
        </is>
      </c>
    </row>
    <row r="54">
      <c r="B54" t="n">
        <v>1</v>
      </c>
      <c r="C54" t="inlineStr">
        <is>
          <t>Slow A (28/50/9/13)</t>
        </is>
      </c>
      <c r="E54" t="n">
        <v>28</v>
      </c>
      <c r="F54" t="n">
        <v>50</v>
      </c>
      <c r="G54" t="n">
        <v>9</v>
      </c>
      <c r="H54" t="n">
        <v>13</v>
      </c>
      <c r="I54" t="n">
        <v>24.26</v>
      </c>
      <c r="J54" t="n">
        <v>2.126</v>
      </c>
      <c r="K54" t="inlineStr">
        <is>
          <t>-0.49пп</t>
        </is>
      </c>
    </row>
    <row r="55">
      <c r="B55" t="n">
        <v>2</v>
      </c>
      <c r="C55" t="inlineStr">
        <is>
          <t>Slow B (30/47/10/13)</t>
        </is>
      </c>
      <c r="E55" t="n">
        <v>30</v>
      </c>
      <c r="F55" t="n">
        <v>47</v>
      </c>
      <c r="G55" t="n">
        <v>10</v>
      </c>
      <c r="H55" t="n">
        <v>13</v>
      </c>
      <c r="I55" t="n">
        <v>24.4</v>
      </c>
      <c r="J55" t="n">
        <v>2.126</v>
      </c>
      <c r="K55" t="inlineStr">
        <is>
          <t>-0.35пп</t>
        </is>
      </c>
    </row>
    <row r="56">
      <c r="B56" s="588" t="n">
        <v>3</v>
      </c>
      <c r="C56" s="588" t="inlineStr">
        <is>
          <t>Base A+C (33/45/9/13) ★</t>
        </is>
      </c>
      <c r="D56" s="588" t="n"/>
      <c r="E56" s="588" t="n">
        <v>33</v>
      </c>
      <c r="F56" s="588" t="n">
        <v>45</v>
      </c>
      <c r="G56" s="588" t="n">
        <v>9</v>
      </c>
      <c r="H56" s="588" t="n">
        <v>13</v>
      </c>
      <c r="I56" s="588" t="n">
        <v>24.75</v>
      </c>
      <c r="J56" s="588" t="n">
        <v>2.126</v>
      </c>
      <c r="K56" s="588" t="inlineStr">
        <is>
          <t>+0.00пп</t>
        </is>
      </c>
    </row>
    <row r="57">
      <c r="B57" t="n">
        <v>4</v>
      </c>
      <c r="C57" t="inlineStr">
        <is>
          <t>Fast (38/40/10/12)</t>
        </is>
      </c>
      <c r="E57" t="n">
        <v>38</v>
      </c>
      <c r="F57" t="n">
        <v>40</v>
      </c>
      <c r="G57" t="n">
        <v>10</v>
      </c>
      <c r="H57" t="n">
        <v>12</v>
      </c>
      <c r="I57" t="n">
        <v>25.29</v>
      </c>
      <c r="J57" t="n">
        <v>2.126</v>
      </c>
      <c r="K57" t="inlineStr">
        <is>
          <t>+0.54пп</t>
        </is>
      </c>
    </row>
    <row r="58">
      <c r="B58" t="n">
        <v>5</v>
      </c>
      <c r="C58" t="inlineStr">
        <is>
          <t>Aggressive (43/37/8/12)</t>
        </is>
      </c>
      <c r="E58" t="n">
        <v>43</v>
      </c>
      <c r="F58" t="n">
        <v>37</v>
      </c>
      <c r="G58" t="n">
        <v>8</v>
      </c>
      <c r="H58" t="n">
        <v>12</v>
      </c>
      <c r="I58" t="n">
        <v>25.93</v>
      </c>
      <c r="J58" t="n">
        <v>2.126</v>
      </c>
      <c r="K58" t="inlineStr">
        <is>
          <t>+1.18пп</t>
        </is>
      </c>
    </row>
    <row r="60">
      <c r="B60" s="571" t="inlineStr">
        <is>
          <t>V.b W₅ PARAMS GRID (catch-up × carry, base NDP=3000)</t>
        </is>
      </c>
    </row>
    <row r="61">
      <c r="B61" s="571" t="inlineStr">
        <is>
          <t>Catch-up LP %↓</t>
        </is>
      </c>
      <c r="C61" s="571" t="inlineStr">
        <is>
          <t>Carry LP % →</t>
        </is>
      </c>
      <c r="D61" s="571" t="inlineStr">
        <is>
          <t>50%</t>
        </is>
      </c>
      <c r="E61" s="571" t="inlineStr">
        <is>
          <t>55%</t>
        </is>
      </c>
      <c r="F61" s="571" t="inlineStr">
        <is>
          <t>60%</t>
        </is>
      </c>
      <c r="G61" s="571" t="inlineStr">
        <is>
          <t>65%</t>
        </is>
      </c>
      <c r="H61" s="571" t="inlineStr">
        <is>
          <t>70%</t>
        </is>
      </c>
    </row>
    <row r="62">
      <c r="B62" s="571" t="inlineStr">
        <is>
          <t>60%</t>
        </is>
      </c>
      <c r="D62" t="inlineStr">
        <is>
          <t>23.6% / 2.05×</t>
        </is>
      </c>
      <c r="E62" t="inlineStr">
        <is>
          <t>23.8% / 2.06×</t>
        </is>
      </c>
      <c r="F62" t="inlineStr">
        <is>
          <t>24.0% / 2.08×</t>
        </is>
      </c>
      <c r="G62" t="inlineStr">
        <is>
          <t>24.2% / 2.10×</t>
        </is>
      </c>
      <c r="H62" t="inlineStr">
        <is>
          <t>24.4% / 2.11×</t>
        </is>
      </c>
    </row>
    <row r="63">
      <c r="B63" s="571" t="inlineStr">
        <is>
          <t>65%</t>
        </is>
      </c>
      <c r="D63" t="inlineStr">
        <is>
          <t>24.0% / 2.07×</t>
        </is>
      </c>
      <c r="E63" t="inlineStr">
        <is>
          <t>24.2% / 2.09×</t>
        </is>
      </c>
      <c r="F63" t="inlineStr">
        <is>
          <t>24.4% / 2.10×</t>
        </is>
      </c>
      <c r="G63" t="inlineStr">
        <is>
          <t>24.6% / 2.12×</t>
        </is>
      </c>
      <c r="H63" t="inlineStr">
        <is>
          <t>24.8% / 2.14×</t>
        </is>
      </c>
    </row>
    <row r="64">
      <c r="B64" s="571" t="inlineStr">
        <is>
          <t>70%</t>
        </is>
      </c>
      <c r="D64" t="inlineStr">
        <is>
          <t>24.4% / 2.09×</t>
        </is>
      </c>
      <c r="E64" t="inlineStr">
        <is>
          <t>24.6% / 2.11×</t>
        </is>
      </c>
      <c r="F64" s="589" t="inlineStr">
        <is>
          <t>24.7% / 2.13×</t>
        </is>
      </c>
      <c r="G64" t="inlineStr">
        <is>
          <t>24.9% / 2.14×</t>
        </is>
      </c>
      <c r="H64" t="inlineStr">
        <is>
          <t>25.1% / 2.16×</t>
        </is>
      </c>
    </row>
    <row r="65">
      <c r="B65" s="571" t="inlineStr">
        <is>
          <t>75%</t>
        </is>
      </c>
      <c r="D65" t="inlineStr">
        <is>
          <t>24.7% / 2.11×</t>
        </is>
      </c>
      <c r="E65" t="inlineStr">
        <is>
          <t>24.9% / 2.13×</t>
        </is>
      </c>
      <c r="F65" t="inlineStr">
        <is>
          <t>25.1% / 2.15×</t>
        </is>
      </c>
      <c r="G65" t="inlineStr">
        <is>
          <t>25.3% / 2.17×</t>
        </is>
      </c>
      <c r="H65" t="inlineStr">
        <is>
          <t>25.5% / 2.18×</t>
        </is>
      </c>
    </row>
    <row r="66">
      <c r="B66" s="571" t="inlineStr">
        <is>
          <t>80%</t>
        </is>
      </c>
      <c r="D66" t="inlineStr">
        <is>
          <t>25.1% / 2.14×</t>
        </is>
      </c>
      <c r="E66" t="inlineStr">
        <is>
          <t>25.3% / 2.15×</t>
        </is>
      </c>
      <c r="F66" t="inlineStr">
        <is>
          <t>25.5% / 2.17×</t>
        </is>
      </c>
      <c r="G66" t="inlineStr">
        <is>
          <t>25.6% / 2.19×</t>
        </is>
      </c>
      <c r="H66" t="inlineStr">
        <is>
          <t>25.8% / 2.21×</t>
        </is>
      </c>
    </row>
    <row r="68">
      <c r="B68" s="569" t="inlineStr">
        <is>
          <t>VI. W₅ V-D SPECIFIC STATS — confidence &amp; calibration</t>
        </is>
      </c>
    </row>
    <row r="70">
      <c r="B70" s="357" t="inlineStr">
        <is>
          <t>P(LP IRR &gt; 18% hurdle)</t>
        </is>
      </c>
      <c r="G70" s="357" t="inlineStr">
        <is>
          <t>32.7%</t>
        </is>
      </c>
      <c r="I70" s="574" t="inlineStr">
        <is>
          <t>Под W₃ было ~49%, под W₅ V-D</t>
        </is>
      </c>
    </row>
    <row r="71">
      <c r="B71" s="357" t="inlineStr">
        <is>
          <t>P(LP IRR &gt; 24.75% base)</t>
        </is>
      </c>
      <c r="G71" s="357" t="inlineStr">
        <is>
          <t>7.0%</t>
        </is>
      </c>
      <c r="I71" s="574" t="inlineStr">
        <is>
          <t>Probability of beating Base case</t>
        </is>
      </c>
    </row>
    <row r="72">
      <c r="B72" s="357" t="inlineStr">
        <is>
          <t>P(LP MoIC &gt; 2.13× base)</t>
        </is>
      </c>
      <c r="G72" s="357" t="inlineStr">
        <is>
          <t>6.8%</t>
        </is>
      </c>
      <c r="I72" s="574" t="inlineStr">
        <is>
          <t>Probability of beating Base MoIC</t>
        </is>
      </c>
    </row>
    <row r="73">
      <c r="B73" s="357" t="inlineStr">
        <is>
          <t>P(LP MoIC &gt; 2.5× upside)</t>
        </is>
      </c>
      <c r="G73" s="357" t="inlineStr">
        <is>
          <t>0.6%</t>
        </is>
      </c>
      <c r="I73" s="574" t="inlineStr">
        <is>
          <t>Bull-case probability</t>
        </is>
      </c>
    </row>
    <row r="74">
      <c r="B74" s="357" t="inlineStr">
        <is>
          <t>Median LP IRR</t>
        </is>
      </c>
      <c r="G74" s="357" t="inlineStr">
        <is>
          <t>14.80%</t>
        </is>
      </c>
      <c r="I74" s="574" t="inlineStr">
        <is>
          <t>P50 percentile</t>
        </is>
      </c>
    </row>
    <row r="75">
      <c r="B75" s="357" t="inlineStr">
        <is>
          <t>Mean LP IRR (computed)</t>
        </is>
      </c>
      <c r="G75" s="357" t="inlineStr">
        <is>
          <t>13.95%</t>
        </is>
      </c>
      <c r="I75" s="574" t="inlineStr">
        <is>
          <t>vs deterministic 24.75%</t>
        </is>
      </c>
    </row>
    <row r="76">
      <c r="B76" s="357" t="inlineStr">
        <is>
          <t>LP IRR StDev</t>
        </is>
      </c>
      <c r="G76" s="357" t="inlineStr">
        <is>
          <t>8.05%</t>
        </is>
      </c>
      <c r="I76" s="574" t="inlineStr">
        <is>
          <t>Risk dispersion</t>
        </is>
      </c>
    </row>
    <row r="77">
      <c r="B77" s="357" t="inlineStr">
        <is>
          <t>Producer Mean Share</t>
        </is>
      </c>
      <c r="G77" s="357" t="inlineStr">
        <is>
          <t>93 млн ₽</t>
        </is>
      </c>
      <c r="I77" s="574" t="inlineStr">
        <is>
          <t>Avg producer payout</t>
        </is>
      </c>
    </row>
    <row r="78">
      <c r="B78" s="571" t="inlineStr">
        <is>
          <t>ПОЯСНЕНИЕ: разница MC mean (13.95%) vs Base deterministic (24.75%)</t>
        </is>
      </c>
    </row>
    <row r="79" ht="60" customHeight="1">
      <c r="B79" s="587" t="inlineStr">
        <is>
          <t>Base 24.75% = «если всё пойдёт по плану» (NDP=3000, все 12 фильмов хиты, exit ×5). MC mean 13.95% = «честный прогноз с учётом рисков»: hit_rate ~ Bin(12, 0.7)/12 даёт в среднем 8.4 хита из 12, rev_mult Triangular(0.6/1.0/1.4), CAPEX overrun, EBITDA shock. Mean NDP падает 3000→2104. Median MC IRR = 14.80% ближе к реалистичному ожиданию для инвестора. P(IRR &gt; 18% hurdle) = 32.7% — честный ответ на вопрос «какова вероятность побить hurdle».</t>
        </is>
      </c>
    </row>
    <row r="80">
      <c r="B80" s="574" t="inlineStr">
        <is>
          <t>Симуляция: numpy seed=42, N=5000 итераций, 5 стохастических переменных, W₅ V-D allocator (vectorized), A+C pattern 33/45/9/13. Valid: 5000/5000. Generated: 2026-04-12 v1.0.1</t>
        </is>
      </c>
    </row>
  </sheetData>
  <mergeCells count="82">
    <mergeCell ref="G38:I38"/>
    <mergeCell ref="H10:I10"/>
    <mergeCell ref="B25:F25"/>
    <mergeCell ref="B71:F71"/>
    <mergeCell ref="H9:I9"/>
    <mergeCell ref="B27:F27"/>
    <mergeCell ref="B21:C21"/>
    <mergeCell ref="C41:D41"/>
    <mergeCell ref="G26:I26"/>
    <mergeCell ref="C43:D43"/>
    <mergeCell ref="B34:F34"/>
    <mergeCell ref="B78:L78"/>
    <mergeCell ref="B28:F28"/>
    <mergeCell ref="I76:L76"/>
    <mergeCell ref="B30:F30"/>
    <mergeCell ref="G42:I42"/>
    <mergeCell ref="B51:L51"/>
    <mergeCell ref="B16:C16"/>
    <mergeCell ref="G28:I28"/>
    <mergeCell ref="B72:F72"/>
    <mergeCell ref="C45:D45"/>
    <mergeCell ref="B18:C18"/>
    <mergeCell ref="G30:I30"/>
    <mergeCell ref="B70:F70"/>
    <mergeCell ref="C47:D47"/>
    <mergeCell ref="I77:L77"/>
    <mergeCell ref="C40:D40"/>
    <mergeCell ref="H11:I11"/>
    <mergeCell ref="G32:I32"/>
    <mergeCell ref="I70:L70"/>
    <mergeCell ref="G41:I41"/>
    <mergeCell ref="I72:L72"/>
    <mergeCell ref="G43:I43"/>
    <mergeCell ref="B74:F74"/>
    <mergeCell ref="H12:I12"/>
    <mergeCell ref="I71:L71"/>
    <mergeCell ref="G27:I27"/>
    <mergeCell ref="B51:I51"/>
    <mergeCell ref="B2:I3"/>
    <mergeCell ref="B76:F76"/>
    <mergeCell ref="B79:L79"/>
    <mergeCell ref="B75:F75"/>
    <mergeCell ref="B31:F31"/>
    <mergeCell ref="G34:I34"/>
    <mergeCell ref="I74:L74"/>
    <mergeCell ref="G45:I45"/>
    <mergeCell ref="C44:D44"/>
    <mergeCell ref="B17:C17"/>
    <mergeCell ref="B60:L60"/>
    <mergeCell ref="G29:I29"/>
    <mergeCell ref="G47:I47"/>
    <mergeCell ref="B73:F73"/>
    <mergeCell ref="C46:D46"/>
    <mergeCell ref="G44:I44"/>
    <mergeCell ref="B19:C19"/>
    <mergeCell ref="G31:I31"/>
    <mergeCell ref="G46:I46"/>
    <mergeCell ref="G40:I40"/>
    <mergeCell ref="C48:D48"/>
    <mergeCell ref="C38:D38"/>
    <mergeCell ref="B15:I15"/>
    <mergeCell ref="B24:I24"/>
    <mergeCell ref="B20:C20"/>
    <mergeCell ref="C42:D42"/>
    <mergeCell ref="I73:L73"/>
    <mergeCell ref="G33:I33"/>
    <mergeCell ref="B77:F77"/>
    <mergeCell ref="G25:I25"/>
    <mergeCell ref="B29:F29"/>
    <mergeCell ref="H7:I7"/>
    <mergeCell ref="B37:I37"/>
    <mergeCell ref="C39:D39"/>
    <mergeCell ref="I75:L75"/>
    <mergeCell ref="B68:L68"/>
    <mergeCell ref="B6:I6"/>
    <mergeCell ref="B33:F3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Downside risk NDP shortfall — W₅ V-D Base IRR = 24.75% (margin к hurdle), но Bear=10.70% &lt;&lt; 18%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W₅ V-D 1× Liq Pref floor (1250) + 12% pref × 5y + catch-up 70/30 + carry 60/40; legacy W₃/W₄ доступны как опции; exit stratagem backup; milestone-based tranches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W₅ V-D Base IRR = 24.75%, Bear=10.70% (NDP=1800), Down=18.87% (NDP=2400)</t>
        </is>
      </c>
      <c r="E54" s="350" t="n">
        <v>12</v>
      </c>
      <c r="F54" s="349" t="inlineStr">
        <is>
          <t>Базовый IRR T₁ под Waterfall W₅ V-D ★ default v1.0.1 составляет 24.75% (vs hurdle 18%, margin +6.75pp). Однако в downside-сценариях: Bear (NDP=1800) даёт IRR 10.70% (значительно ниже hurdle), Downside (NDP=2400) — 18.87% (margin к hurdle). Hurdle break-even target NDP ≥ 2 402 млн ₽. Capital protection обеспечивается Liq Pref 1× = 1250 (MoIC ≥ 1.44× даже в Bear).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 W₅ V-D: (1) Liq Pref 1× гарантирует возврат principal; (2) 12% pref × 5y создаёт priority claim на NDP сверх 1250; (3) catch-up 70/30 ускоряет accrual в среднем диапазоне; (4) carry 60/40 обеспечивает upside participation. Дополнительно: scenario diversification, milestone-based tranches, W₃/W₄ как fallback.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W₅ V-D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C-02 структурный bug фиксирован через переход на W₅ V-D ★ default. Базовый IRR T₁ W₅ V-D = 24.75% (margin +6.75pp к hurdle), но Bear=10.70% (NDP=1800) остаётся структурным риском. Legacy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W₅ V-D ★ activation (default v1.0.1) / W₄ premium upgrade decision / W₃ legacy fallback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— 2026-04-12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B27" s="588" t="n"/>
      <c r="C27" s="592" t="inlineStr">
        <is>
          <t>Investor Returns T₁ (W₅ V-D ★ default v1.0.1)</t>
        </is>
      </c>
      <c r="D27" s="588" t="n"/>
      <c r="E27" s="588" t="inlineStr">
        <is>
          <t>IRR 24.75% · MOIC 2.13× · Payback 3.21y</t>
        </is>
      </c>
      <c r="F27" s="588" t="n"/>
      <c r="G27" s="588" t="inlineStr">
        <is>
          <t>24_Investor_Returns</t>
        </is>
      </c>
      <c r="H27" s="588" t="n"/>
      <c r="I27" s="588" t="inlineStr">
        <is>
          <t>W₅ V-D + A+C 33/45/9/13; MC N=5 000 sims (см. 28_Monte_Carlo_Summary); дислеймер V.1-V.4</t>
        </is>
      </c>
      <c r="J27" s="588" t="n"/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risk NDP shortfall — Bear NDP=1800 даёт W₅ V-D IRR 10.70% &lt;&lt; 18% hurdle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Hurdle target NDP ≥ 2 402 (W₅ V-D break-even @18%); Liq Pref 1×=1250 защищает капитал; downside scenarios см. 27_Scenario_Analysis + 24_IR Section V.1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W₅ V-D ★ default v1.0.1 (1× Liq Pref + 12% pref × 5y + catch-up 70/30 + carry 60/40); legacy W₃ (8% coupon) и W₄ premium (12% pref + 65/35) доступны как опции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2.13× (W₅ V-D ★) / 2.00× (W₃ legacy) / 2.12× (W₄), IRR 24.75% (W₅ V-D vs hurdle 18%, margin +6.75pp)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W₅ V-D Base = 24.75% (margin к hurdle), Bear=10.70% (структурный downside))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 v1.0.1: N=5000, W₅ V-D ★ + A+C pattern 33/45/9/13, P(IRR&gt;18%) = 32.7%, VaR 95% NDP shortfall, sensitivity grid 5×5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W₅ V-D ★ DEFAULT v1.0.1 (1× Liq Pref + 12% pref × 5y + catch-up 70/30 + carry 60/40) — IRR 24.75% (margin +6.75pp к hurdle 18%); legacy W₃ (18.04%) и W₄ premium доступны%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2026-04-12T00:24:22Z</dcterms:modified>
  <cp:keywords>investor, financial model, L3, pre-IPO, cinema</cp:keywords>
</cp:coreProperties>
</file>