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2"/>
  <workbookPr/>
  <mc:AlternateContent xmlns:mc="http://schemas.openxmlformats.org/markup-compatibility/2006">
    <mc:Choice Requires="x15">
      <x15ac:absPath xmlns:x15ac="http://schemas.microsoft.com/office/spreadsheetml/2010/11/ac" url="/Users/noldorwarrior/Documents/Claude/Projects/Холдинг/Investor_Package/"/>
    </mc:Choice>
  </mc:AlternateContent>
  <xr:revisionPtr revIDLastSave="0" documentId="13_ncr:1_{6C7C402F-2C9A-4545-9419-7164EBCF2A11}" xr6:coauthVersionLast="47" xr6:coauthVersionMax="47" xr10:uidLastSave="{00000000-0000-0000-0000-000000000000}"/>
  <bookViews>
    <workbookView xWindow="4360" yWindow="660" windowWidth="30200" windowHeight="21680" firstSheet="23" activeTab="31" xr2:uid="{00000000-000D-0000-FFFF-FFFF00000000}"/>
  </bookViews>
  <sheets>
    <sheet name="01_Cover" sheetId="1" r:id="rId1"/>
    <sheet name="02_Assumptions" sheetId="2" r:id="rId2"/>
    <sheet name="03_Change_Log" sheetId="3" r:id="rId3"/>
    <sheet name="04_FOT_Staff_A1" sheetId="4" r:id="rId4"/>
    <sheet name="05_FOT_Staff_A2" sheetId="5" r:id="rId5"/>
    <sheet name="06_Cost_Structure" sheetId="6" r:id="rId6"/>
    <sheet name="07_Revenue_Breakdown" sheetId="7" r:id="rId7"/>
    <sheet name="08_Content_Pipeline" sheetId="8" r:id="rId8"/>
    <sheet name="09_P&amp;L_Statement" sheetId="9" r:id="rId9"/>
    <sheet name="10_Cash_Flow" sheetId="10" r:id="rId10"/>
    <sheet name="11_Balance_Sheet" sheetId="11" r:id="rId11"/>
    <sheet name="12_Working_Capital" sheetId="12" r:id="rId12"/>
    <sheet name="13_Debt_Schedule" sheetId="13" r:id="rId13"/>
    <sheet name="14_Investment_Inflow" sheetId="14" r:id="rId14"/>
    <sheet name="15_Use_of_Funds" sheetId="15" r:id="rId15"/>
    <sheet name="16_CAPEX_Schedule" sheetId="16" r:id="rId16"/>
    <sheet name="17_Deal_Structures" sheetId="17" r:id="rId17"/>
    <sheet name="18_Cap_Table" sheetId="18" r:id="rId18"/>
    <sheet name="19_Waterfall" sheetId="19" r:id="rId19"/>
    <sheet name="20_Unit_Economics_per_Film" sheetId="20" r:id="rId20"/>
    <sheet name="21_KPI_Dashboard" sheetId="21" r:id="rId21"/>
    <sheet name="22_Valuation_DCF" sheetId="22" r:id="rId22"/>
    <sheet name="23_Valuation_Multiples" sheetId="23" r:id="rId23"/>
    <sheet name="24_Investor_Returns" sheetId="24" r:id="rId24"/>
    <sheet name="25_Exit_Scenarios" sheetId="25" r:id="rId25"/>
    <sheet name="26_Sensitivity" sheetId="26" r:id="rId26"/>
    <sheet name="27_Scenario_Analysis" sheetId="27" r:id="rId27"/>
    <sheet name="28_Monte_Carlo_Summary" sheetId="28" r:id="rId28"/>
    <sheet name="29_Risk_Register" sheetId="29" r:id="rId29"/>
    <sheet name="30_Market_Analysis" sheetId="30" r:id="rId30"/>
    <sheet name="31_Benchmarks" sheetId="31" r:id="rId31"/>
    <sheet name="32_Comparable_Transactions" sheetId="32" r:id="rId32"/>
    <sheet name="33_Gov_KPI" sheetId="33" r:id="rId33"/>
    <sheet name="34_Tax_Schedule" sheetId="34" r:id="rId34"/>
    <sheet name="35_Roadmap_2026_2032" sheetId="35" r:id="rId35"/>
    <sheet name="36_Executive_Summary" sheetId="36" r:id="rId36"/>
    <sheet name="37_Glossary" sheetId="37" r:id="rId37"/>
    <sheet name="38_Notes_and_Sources" sheetId="38" r:id="rId38"/>
    <sheet name="39_TOC" sheetId="39" r:id="rId39"/>
    <sheet name="40_Investor_Checklist" sheetId="40" r:id="rId40"/>
    <sheet name="41_Print_Setup" sheetId="41" r:id="rId41"/>
    <sheet name="42_Cover_Letter" sheetId="42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6" l="1"/>
  <c r="G10" i="4"/>
  <c r="C30" i="22"/>
  <c r="H17" i="15"/>
  <c r="I26" i="8"/>
  <c r="I25" i="8"/>
  <c r="I24" i="8"/>
  <c r="I23" i="8"/>
  <c r="I22" i="8"/>
  <c r="L19" i="8"/>
  <c r="K19" i="8"/>
  <c r="J19" i="8"/>
  <c r="I19" i="8"/>
  <c r="H19" i="8"/>
  <c r="G19" i="8"/>
  <c r="F19" i="8"/>
  <c r="K18" i="8"/>
  <c r="J18" i="8"/>
  <c r="H18" i="8"/>
  <c r="G18" i="8"/>
  <c r="K17" i="8"/>
  <c r="J17" i="8"/>
  <c r="H17" i="8"/>
  <c r="G17" i="8"/>
  <c r="K16" i="8"/>
  <c r="J16" i="8"/>
  <c r="H16" i="8"/>
  <c r="G16" i="8"/>
  <c r="K15" i="8"/>
  <c r="J15" i="8"/>
  <c r="H15" i="8"/>
  <c r="G15" i="8"/>
  <c r="K14" i="8"/>
  <c r="J14" i="8"/>
  <c r="H14" i="8"/>
  <c r="G14" i="8"/>
  <c r="K13" i="8"/>
  <c r="J13" i="8"/>
  <c r="H13" i="8"/>
  <c r="G13" i="8"/>
  <c r="K12" i="8"/>
  <c r="J12" i="8"/>
  <c r="H12" i="8"/>
  <c r="G12" i="8"/>
  <c r="K11" i="8"/>
  <c r="J11" i="8"/>
  <c r="H11" i="8"/>
  <c r="G11" i="8"/>
  <c r="K10" i="8"/>
  <c r="J10" i="8"/>
  <c r="H10" i="8"/>
  <c r="G10" i="8"/>
  <c r="K9" i="8"/>
  <c r="J9" i="8"/>
  <c r="H9" i="8"/>
  <c r="G9" i="8"/>
  <c r="K8" i="8"/>
  <c r="J8" i="8"/>
  <c r="H8" i="8"/>
  <c r="G8" i="8"/>
  <c r="K7" i="8"/>
  <c r="J7" i="8"/>
  <c r="H7" i="8"/>
  <c r="G7" i="8"/>
  <c r="E20" i="7"/>
  <c r="E19" i="7"/>
  <c r="H15" i="7"/>
  <c r="G15" i="7"/>
  <c r="F15" i="7"/>
  <c r="E15" i="7"/>
  <c r="D15" i="7"/>
  <c r="C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D28" i="6"/>
  <c r="C28" i="6"/>
  <c r="D27" i="6"/>
  <c r="C27" i="6"/>
  <c r="D26" i="6"/>
  <c r="C26" i="6"/>
  <c r="D25" i="6"/>
  <c r="C25" i="6"/>
  <c r="D24" i="6"/>
  <c r="C24" i="6"/>
  <c r="D23" i="6"/>
  <c r="C23" i="6"/>
  <c r="C22" i="6"/>
  <c r="H18" i="6"/>
  <c r="G18" i="6"/>
  <c r="F18" i="6"/>
  <c r="E18" i="6"/>
  <c r="D18" i="6"/>
  <c r="C18" i="6"/>
  <c r="H17" i="6"/>
  <c r="H16" i="6"/>
  <c r="H15" i="6"/>
  <c r="H14" i="6"/>
  <c r="H13" i="6"/>
  <c r="H12" i="6"/>
  <c r="H11" i="6"/>
  <c r="H10" i="6"/>
  <c r="H9" i="6"/>
  <c r="H8" i="6"/>
  <c r="H7" i="6"/>
  <c r="F26" i="5"/>
  <c r="E26" i="5"/>
  <c r="D26" i="5"/>
  <c r="C26" i="5"/>
  <c r="F25" i="5"/>
  <c r="E25" i="5"/>
  <c r="D25" i="5"/>
  <c r="F24" i="5"/>
  <c r="E24" i="5"/>
  <c r="D24" i="5"/>
  <c r="F23" i="5"/>
  <c r="E23" i="5"/>
  <c r="D23" i="5"/>
  <c r="G19" i="5"/>
  <c r="F19" i="5"/>
  <c r="E19" i="5"/>
  <c r="D19" i="5"/>
  <c r="C19" i="5"/>
  <c r="G18" i="5"/>
  <c r="F18" i="5"/>
  <c r="E18" i="5"/>
  <c r="D18" i="5"/>
  <c r="C18" i="5"/>
  <c r="G17" i="5"/>
  <c r="F17" i="5"/>
  <c r="E17" i="5"/>
  <c r="D17" i="5"/>
  <c r="C17" i="5"/>
  <c r="G16" i="5"/>
  <c r="F16" i="5"/>
  <c r="E16" i="5"/>
  <c r="D16" i="5"/>
  <c r="C16" i="5"/>
  <c r="I12" i="5"/>
  <c r="H12" i="5"/>
  <c r="G12" i="5"/>
  <c r="F12" i="5"/>
  <c r="E12" i="5"/>
  <c r="D12" i="5"/>
  <c r="C12" i="5"/>
  <c r="I11" i="5"/>
  <c r="H11" i="5"/>
  <c r="G11" i="5"/>
  <c r="F11" i="5"/>
  <c r="E11" i="5"/>
  <c r="D11" i="5"/>
  <c r="C11" i="5"/>
  <c r="I10" i="5"/>
  <c r="H10" i="5"/>
  <c r="G10" i="5"/>
  <c r="F10" i="5"/>
  <c r="E10" i="5"/>
  <c r="D10" i="5"/>
  <c r="C10" i="5"/>
  <c r="H21" i="4"/>
  <c r="G21" i="4"/>
  <c r="F21" i="4"/>
  <c r="E21" i="4"/>
  <c r="D21" i="4"/>
  <c r="D20" i="4"/>
  <c r="D19" i="4"/>
  <c r="H18" i="4"/>
  <c r="G18" i="4"/>
  <c r="F18" i="4"/>
  <c r="E18" i="4"/>
  <c r="D18" i="4"/>
  <c r="I14" i="4"/>
  <c r="H14" i="4"/>
  <c r="G14" i="4"/>
  <c r="F14" i="4"/>
  <c r="D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</calcChain>
</file>

<file path=xl/sharedStrings.xml><?xml version="1.0" encoding="utf-8"?>
<sst xmlns="http://schemas.openxmlformats.org/spreadsheetml/2006/main" count="4997" uniqueCount="3149">
  <si>
    <t>ТРЕНДСТУДИО</t>
  </si>
  <si>
    <t>ИНВЕСТИЦИОННАЯ ФИНАНСОВАЯ МОДЕЛЬ</t>
  </si>
  <si>
    <t>Холдинг кинопроизводства «ТрендСтудио»</t>
  </si>
  <si>
    <t>КЛЮЧЕВЫЕ МЕТРИКИ  ·  2026–2028  ·  Dual-metric представление</t>
  </si>
  <si>
    <t>4 545</t>
  </si>
  <si>
    <t>2 152</t>
  </si>
  <si>
    <t>3 000</t>
  </si>
  <si>
    <t>1 689</t>
  </si>
  <si>
    <t>1 250</t>
  </si>
  <si>
    <t>Revenue  ·  Σ 2026–2028</t>
  </si>
  <si>
    <t xml:space="preserve">EBITDA (GAAP) </t>
  </si>
  <si>
    <t>NDP (Net Distrib. Proc.)</t>
  </si>
  <si>
    <t>Net Profit</t>
  </si>
  <si>
    <t>Investment  ·  T₁</t>
  </si>
  <si>
    <t>млн ₽</t>
  </si>
  <si>
    <t>млн ₽  ·  стандарт</t>
  </si>
  <si>
    <t>млн ₽  ·  legacy</t>
  </si>
  <si>
    <t>млн ₽  ·  после 20% налога</t>
  </si>
  <si>
    <t>млн ₽  ·  4 транша</t>
  </si>
  <si>
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</si>
  <si>
    <t>СЦЕНАРИИ  ·  Bear  /  Base  /  Bull</t>
  </si>
  <si>
    <t>Показатель</t>
  </si>
  <si>
    <t>Bear (0.70×)</t>
  </si>
  <si>
    <t>Base (1.00×)</t>
  </si>
  <si>
    <t>Bull (1.25×)</t>
  </si>
  <si>
    <t>Revenue Σ, млн ₽</t>
  </si>
  <si>
    <t>3 181</t>
  </si>
  <si>
    <t>5 681</t>
  </si>
  <si>
    <t>EBITDA (GAAP), млн ₽</t>
  </si>
  <si>
    <t>1 506</t>
  </si>
  <si>
    <t>2 690</t>
  </si>
  <si>
    <t>NDP Σ, млн ₽</t>
  </si>
  <si>
    <t>2 100</t>
  </si>
  <si>
    <t>3 750</t>
  </si>
  <si>
    <t>Net Profit, млн ₽</t>
  </si>
  <si>
    <t>1 182</t>
  </si>
  <si>
    <t>2 111</t>
  </si>
  <si>
    <t>IRR (5-year), %</t>
  </si>
  <si>
    <t>~14 %</t>
  </si>
  <si>
    <t>~22 %</t>
  </si>
  <si>
    <t>~31 %</t>
  </si>
  <si>
    <t>Автор:</t>
  </si>
  <si>
    <t>Команда ТрендСтудио (подготовлено для инвестора)</t>
  </si>
  <si>
    <t>Целевая аудитория:</t>
  </si>
  <si>
    <t>Государственный сектор (Фонд кино / ВЭБ) + Стратегический медиахолдинг</t>
  </si>
  <si>
    <t>Базовая дата расчётов:</t>
  </si>
  <si>
    <t>01.01.2026</t>
  </si>
  <si>
    <t>Горизонт прогноза:</t>
  </si>
  <si>
    <t>2026–2032 (Q1 2026–Q4 2028 поквартально, 2029–2032 годовые)</t>
  </si>
  <si>
    <t>Единица измерения:</t>
  </si>
  <si>
    <t>млн ₽ (если не указано иное)</t>
  </si>
  <si>
    <t>Основа:</t>
  </si>
  <si>
    <t>v1.4.4 (348 тестов, П5 «Максимум» 32/32) + legacy Холдинг Кино.xlsx</t>
  </si>
  <si>
    <t>Верификация:</t>
  </si>
  <si>
    <t>П5 «Максимум» 32/32 механизма</t>
  </si>
  <si>
    <t>Защита:</t>
  </si>
  <si>
    <t>Формулы защищены; допущения — редактируемые (Assumptions)</t>
  </si>
  <si>
    <t>ДИСКЛЕЙМЕР</t>
  </si>
  <si>
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</si>
  <si>
    <t>ДОПУЩЕНИЯ МОДЕЛИ (Assumptions)</t>
  </si>
  <si>
    <t>Все расчёты модели ссылаются на этот лист. 🔵 синий = ввод  ·  ⚫ чёрный = расчёт  ·  🟢 зелёный = ссылка</t>
  </si>
  <si>
    <t>#</t>
  </si>
  <si>
    <t>Параметр</t>
  </si>
  <si>
    <t>Значение</t>
  </si>
  <si>
    <t>Ед.изм.</t>
  </si>
  <si>
    <t>Примечание / источник</t>
  </si>
  <si>
    <t>A. МАКРО-ДОПУЩЕНИЯ</t>
  </si>
  <si>
    <t>Инфляция РФ (CPI), годовая</t>
  </si>
  <si>
    <t>%</t>
  </si>
  <si>
    <t>ЦБ РФ прогноз, Base 6.5% 2026–2028</t>
  </si>
  <si>
    <t>Ключевая ставка (среднегодовая)</t>
  </si>
  <si>
    <t>ЦБ РФ, Base 14% 2026</t>
  </si>
  <si>
    <t>WACC для DCF (Russian media)</t>
  </si>
  <si>
    <t>Russian media benchmark 18–22%, Base 20%</t>
  </si>
  <si>
    <t>Налог на прибыль РФ</t>
  </si>
  <si>
    <t>НК РФ, Глава 25</t>
  </si>
  <si>
    <t>Страховые взносы (работодатель)</t>
  </si>
  <si>
    <t>ПФР+ФОМС+ФСС, 30% + 0.2% НС (округл. 30%)</t>
  </si>
  <si>
    <t>Ставка дисконта для payback (nominal)</t>
  </si>
  <si>
    <t>Инвестор-ориентир, консервативная</t>
  </si>
  <si>
    <t>Terminal growth (Gordon)</t>
  </si>
  <si>
    <t>Long-run GDP RF, Base 3%</t>
  </si>
  <si>
    <t>Курс USD/RUB (плановый, ср.год)</t>
  </si>
  <si>
    <t>RUB</t>
  </si>
  <si>
    <t>Для международных продаж и лицензий</t>
  </si>
  <si>
    <t>B. АНКЕТНЫЕ ЯКОРЯ (v1.4.4 + legacy)</t>
  </si>
  <si>
    <t>Cumulative EBITDA 2026–2028 Base</t>
  </si>
  <si>
    <t>Якорь L4+N3, tolerance ±1%</t>
  </si>
  <si>
    <t>Total investment (входящие средства)</t>
  </si>
  <si>
    <t>4 транша 20/28/28/24% (legacy)</t>
  </si>
  <si>
    <t>Total content budget (12 films)</t>
  </si>
  <si>
    <t>invest 1250 + producer equity 600</t>
  </si>
  <si>
    <t>Target revenue 2026–2028 Base</t>
  </si>
  <si>
    <t>12 фильмов × 378.75 млн средняя</t>
  </si>
  <si>
    <t>Target Net Profit 2026–2028</t>
  </si>
  <si>
    <t>после налога 20%</t>
  </si>
  <si>
    <t>Количество фильмов в портфеле</t>
  </si>
  <si>
    <t>шт</t>
  </si>
  <si>
    <t>Холдинг Кино.xlsx / модель</t>
  </si>
  <si>
    <t>Средний бюджет фильма</t>
  </si>
  <si>
    <t>1850 / 12</t>
  </si>
  <si>
    <t>C. РАСПИСАНИЕ ТРАНШЕЙ (T₁ Legacy)</t>
  </si>
  <si>
    <t>Транш 1 (Q1 2026), % от total</t>
  </si>
  <si>
    <t>250 млн ₽</t>
  </si>
  <si>
    <t>Транш 2 (Q2 2026), % от total</t>
  </si>
  <si>
    <t>350 млн ₽</t>
  </si>
  <si>
    <t>Транш 3 (Q3 2026), % от total</t>
  </si>
  <si>
    <t>Транш 4 (Q4 2026), % от total</t>
  </si>
  <si>
    <t>300 млн ₽</t>
  </si>
  <si>
    <t>D. АЛЬТЕРНАТИВНЫЙ ТИКЕТ (T₂ New Deal)</t>
  </si>
  <si>
    <t>Базовый тикет (New)</t>
  </si>
  <si>
    <t>За 20% equity, slider 300–800</t>
  </si>
  <si>
    <t>Базовая доля (New)</t>
  </si>
  <si>
    <t>20%, slider 10–30%</t>
  </si>
  <si>
    <t>Pre-money valuation (Base)</t>
  </si>
  <si>
    <t>500 / 20% - 500</t>
  </si>
  <si>
    <t>Post-money valuation (Base)</t>
  </si>
  <si>
    <t>pre-money + 500</t>
  </si>
  <si>
    <t>Coupon (liquidation preference W₃)</t>
  </si>
  <si>
    <t>8% годовых</t>
  </si>
  <si>
    <t>E. РАСПРЕДЕЛЕНИЕ ПРИБЫЛИ (Waterfall — 4 варианта)</t>
  </si>
  <si>
    <t>W₁ Инвестор фаза I (до возврата)</t>
  </si>
  <si>
    <t>Legacy 60/40</t>
  </si>
  <si>
    <t>W₁ Продюсер фаза I</t>
  </si>
  <si>
    <t>W₁ Инвестор фаза II (после возврата)</t>
  </si>
  <si>
    <t>Legacy 50/50</t>
  </si>
  <si>
    <t>W₁ Продюсер фаза II</t>
  </si>
  <si>
    <t>W₂ Pro-rata по долям</t>
  </si>
  <si>
    <t>Пропорционально equity T₂ (инвестор)</t>
  </si>
  <si>
    <t>W₃ 1× liquidation preference</t>
  </si>
  <si>
    <t>×</t>
  </si>
  <si>
    <t>Возврат инвестиций первыми</t>
  </si>
  <si>
    <t>W₃ Participation rate</t>
  </si>
  <si>
    <t>Full participation after preference</t>
  </si>
  <si>
    <t>31a</t>
  </si>
  <si>
    <t>W₄ 1× liquidation preference</t>
  </si>
  <si>
    <t>31b</t>
  </si>
  <si>
    <t>W₄ Preferred return rate</t>
  </si>
  <si>
    <t>12% annual × 5y cumulative</t>
  </si>
  <si>
    <t>31c</t>
  </si>
  <si>
    <t>W₄ Preferred return duration</t>
  </si>
  <si>
    <t>years</t>
  </si>
  <si>
    <t>Накопление купона до exit</t>
  </si>
  <si>
    <t>31d</t>
  </si>
  <si>
    <t>W₄ Carry split investor</t>
  </si>
  <si>
    <t>65% инвестор после возврата+купона</t>
  </si>
  <si>
    <t>31e</t>
  </si>
  <si>
    <t>W₄ Carry split producer</t>
  </si>
  <si>
    <t>35% продюсер после возврата+купона</t>
  </si>
  <si>
    <t>31f</t>
  </si>
  <si>
    <t>W₄ Exit multiple (EV/EBITDA)</t>
  </si>
  <si>
    <t>Premium к базовым 5×</t>
  </si>
  <si>
    <t>31g</t>
  </si>
  <si>
    <t>W₄ LP equity allocation</t>
  </si>
  <si>
    <t>25% доля LP (Internal only)</t>
  </si>
  <si>
    <t>31h</t>
  </si>
  <si>
    <t>Target IRR W₄ Base</t>
  </si>
  <si>
    <t>~19.8% (расчёт в 24_Investor_Returns)</t>
  </si>
  <si>
    <t>F. СТРУКТУРА ВЫРУЧКИ (% от average revenue)</t>
  </si>
  <si>
    <t>Box Office (кинопрокат)</t>
  </si>
  <si>
    <t>Средневзвешенная доля, 400–1200 млн</t>
  </si>
  <si>
    <t>TV rights</t>
  </si>
  <si>
    <t>Первый, Россия-1, ТНТ, 50–200 млн</t>
  </si>
  <si>
    <t>International sales</t>
  </si>
  <si>
    <t>СНГ + BRICS, 30–500 млн</t>
  </si>
  <si>
    <t>VOD (transactional)</t>
  </si>
  <si>
    <t>20–100 млн</t>
  </si>
  <si>
    <t>Sponsorship / product placement</t>
  </si>
  <si>
    <t>20–150 млн</t>
  </si>
  <si>
    <t>Merchandise</t>
  </si>
  <si>
    <t>10–100 млн</t>
  </si>
  <si>
    <t>Господдержка (грант + невозвр.)</t>
  </si>
  <si>
    <t>Фонд кино + Минкульт, 25% бюджета</t>
  </si>
  <si>
    <t>G. ГОСПОДДЕРЖКА (State Support, Base)</t>
  </si>
  <si>
    <t>Доля господдержки (Min)</t>
  </si>
  <si>
    <t>Sensitivity lower bound</t>
  </si>
  <si>
    <t>Доля господдержки (Max)</t>
  </si>
  <si>
    <t>Sensitivity upper bound</t>
  </si>
  <si>
    <t>Из них: Фонд кино (%)</t>
  </si>
  <si>
    <t>Самый значимый источник</t>
  </si>
  <si>
    <t>Из них: Минкульт (%)</t>
  </si>
  <si>
    <t>Невозвратные гранты</t>
  </si>
  <si>
    <t>Из них: ИРИ (%)</t>
  </si>
  <si>
    <t>Интернет-контент/цифровизация</t>
  </si>
  <si>
    <t>Безвозвратная часть (% от господдержки)</t>
  </si>
  <si>
    <t>Grant vs loan</t>
  </si>
  <si>
    <t>H. FOT / ШТАТ (Модель A₁ Fixed, Холдинг Кино.xlsx)</t>
  </si>
  <si>
    <t>Штат (фиксированный)</t>
  </si>
  <si>
    <t>чел</t>
  </si>
  <si>
    <t>Оригинальная структура</t>
  </si>
  <si>
    <t>ФОТ gross (месячный)</t>
  </si>
  <si>
    <t>₽/мес</t>
  </si>
  <si>
    <t>До страховых</t>
  </si>
  <si>
    <t>Страховые взносы (30%)</t>
  </si>
  <si>
    <t>ПФР+ФОМС+ФСС</t>
  </si>
  <si>
    <t>ФОТ с налогами (месячный)</t>
  </si>
  <si>
    <t>Итоговая стоимость работодателя</t>
  </si>
  <si>
    <t>ФОТ годовой (A₁ fixed)</t>
  </si>
  <si>
    <t>× 12 мес</t>
  </si>
  <si>
    <t>ФОТ за 3 года (A₁ fixed)</t>
  </si>
  <si>
    <t>× 36 мес, без индексации</t>
  </si>
  <si>
    <t>I. FOT / ШТАТ (Модель A₂ Full Dynamic)</t>
  </si>
  <si>
    <t>Штат 2026</t>
  </si>
  <si>
    <t>Базовый</t>
  </si>
  <si>
    <t>Штат 2027</t>
  </si>
  <si>
    <t>+10 (расширение)</t>
  </si>
  <si>
    <t>Штат 2028</t>
  </si>
  <si>
    <t>+10 (пре-IPO команда)</t>
  </si>
  <si>
    <t>Индексация окладов (годовая)</t>
  </si>
  <si>
    <t>CPI + премия, 7%</t>
  </si>
  <si>
    <t>Премиальный фонд (% от ФОТ)</t>
  </si>
  <si>
    <t>KPI-bonus</t>
  </si>
  <si>
    <t>J. OPEX (кроме ФОТ, Холдинг Кино.xlsx)</t>
  </si>
  <si>
    <t>Аренда офиса (годовая)</t>
  </si>
  <si>
    <t>750 м² × 11000 × 12 / 12 мес</t>
  </si>
  <si>
    <t>Коммунальные платежи</t>
  </si>
  <si>
    <t>33 т.р./мес × 12</t>
  </si>
  <si>
    <t>Прочие OPEX</t>
  </si>
  <si>
    <t>Командировки, связь, ПО и пр.</t>
  </si>
  <si>
    <t>Итого OPEX без ФОТ (годовой)</t>
  </si>
  <si>
    <t>Аренда + ком + прочие</t>
  </si>
  <si>
    <t>Итого OPEX с ФОТ A₁ (годовой)</t>
  </si>
  <si>
    <t>Соответствует Холдинг Кино.xlsx</t>
  </si>
  <si>
    <t>K. COGS / ПРОИЗВОДСТВО</t>
  </si>
  <si>
    <t>Total content budget</t>
  </si>
  <si>
    <t>Бюджет 12 фильмов</t>
  </si>
  <si>
    <t>Средний бюджет 1 фильма</t>
  </si>
  <si>
    <t>Производственный цикл (мес)</t>
  </si>
  <si>
    <t>мес</t>
  </si>
  <si>
    <t>Preprod 6 + prod 6 + postprod 6</t>
  </si>
  <si>
    <t>Amortization пленки (мес после релиза)</t>
  </si>
  <si>
    <t>Линейная амортизация 12 мес</t>
  </si>
  <si>
    <t>Маркетинг P&amp;A (% от бюджета)</t>
  </si>
  <si>
    <t>Prints &amp; Advertising</t>
  </si>
  <si>
    <t>L. WORKING CAPITAL</t>
  </si>
  <si>
    <t>DSO (days sales outstanding)</t>
  </si>
  <si>
    <t>дн</t>
  </si>
  <si>
    <t>Дебиторка от прокатчиков/стримингов</t>
  </si>
  <si>
    <t>DPO (days payable outstanding)</t>
  </si>
  <si>
    <t>Кредиторка поставщикам</t>
  </si>
  <si>
    <t>DIO (days inventory outstanding)</t>
  </si>
  <si>
    <t>Незавершённое производство</t>
  </si>
  <si>
    <t>Cash Conversion Cycle</t>
  </si>
  <si>
    <t>DSO+DIO−DPO</t>
  </si>
  <si>
    <t>Минимальный кассовый остаток</t>
  </si>
  <si>
    <t>Подушка безопасности</t>
  </si>
  <si>
    <t>M. EXIT / VALUATION</t>
  </si>
  <si>
    <t>EV/EBITDA Bear</t>
  </si>
  <si>
    <t>Russian media lower bound</t>
  </si>
  <si>
    <t>EV/EBITDA Bull</t>
  </si>
  <si>
    <t>Russian media upper bound / premium</t>
  </si>
  <si>
    <t>Q4 2028</t>
  </si>
  <si>
    <t>Q4 2030</t>
  </si>
  <si>
    <t>Exit horizon 3 (Y7)</t>
  </si>
  <si>
    <t>год</t>
  </si>
  <si>
    <t>Q4 2032</t>
  </si>
  <si>
    <t>Target IRR (инвестор)</t>
  </si>
  <si>
    <t>30% minimum hurdle rate</t>
  </si>
  <si>
    <t>Target MOIC (инвестор)</t>
  </si>
  <si>
    <t>Multiple of Invested Capital</t>
  </si>
  <si>
    <t>ВСЕГО ДОПУЩЕНИЙ: 88  ·  Блоков: 13  ·  Якорь EBITDA 2026–2028 = 3 000 млн ₽  ·  Waterfall: 4 варианта (default W₃)</t>
  </si>
  <si>
    <t>N.  NDP RECONCILIATION BRIDGE  ·  EBITDA (GAAP) → NDP (legacy)</t>
  </si>
  <si>
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</si>
  <si>
    <t>1</t>
  </si>
  <si>
    <t>EBITDA (GAAP, standard) Σ 2026–2028</t>
  </si>
  <si>
    <t>Revenue 4545 − COGS 2127.5 − OpEx 265.5</t>
  </si>
  <si>
    <t>2</t>
  </si>
  <si>
    <t>(+) Add-back: Producer equity contribution</t>
  </si>
  <si>
    <t>Участие продюсера (off-P&amp;L minority interest / JV capital)</t>
  </si>
  <si>
    <t>3</t>
  </si>
  <si>
    <t>(+) Add-back: Working capital release &amp; gov credit timing</t>
  </si>
  <si>
    <t>Высвобождение WC и налоговый кредит за периметром P&amp;L</t>
  </si>
  <si>
    <t>=</t>
  </si>
  <si>
    <t>NDP Σ (legacy v1.4.4 anchor)</t>
  </si>
  <si>
    <t>Cумма распределяемых cash flows к пайщикам</t>
  </si>
  <si>
    <t>4</t>
  </si>
  <si>
    <t>(−) Producer share (waterfall W₃ default · 60/40 от residual после Liq Pref + coupon)</t>
  </si>
  <si>
    <t>Под W₃: producer = 40% × residual 1250 = 500 млн ₽</t>
  </si>
  <si>
    <t>Investor net distributable proceeds</t>
  </si>
  <si>
    <t>Под W₃: 1250 Liq Pref + 500 coupon + 750 carried (60% × 1250)</t>
  </si>
  <si>
    <t>Ключевые параметры JV-интерпретации:</t>
  </si>
  <si>
    <t>N.01</t>
  </si>
  <si>
    <t>Investor funded production cost</t>
  </si>
  <si>
    <t>млн ₽  ·  T₁ Legacy, 4 транша 20/28/28/24%</t>
  </si>
  <si>
    <t>N.02</t>
  </si>
  <si>
    <t>Producer equity contribution (off-P&amp;L)</t>
  </si>
  <si>
    <t>млн ₽  ·  Вклад продюсера в JV</t>
  </si>
  <si>
    <t>N.03</t>
  </si>
  <si>
    <t>Total production budget (consolidated COGS)</t>
  </si>
  <si>
    <t>млн ₽  ·  12 фильмов, средний бюджет 154 млн</t>
  </si>
  <si>
    <t>N.04</t>
  </si>
  <si>
    <t>P&amp;A (Prints &amp; Advertising)</t>
  </si>
  <si>
    <t>млн ₽  ·  6.1% от выручки 4545</t>
  </si>
  <si>
    <t>N.05</t>
  </si>
  <si>
    <t>Waterfall split (default W₃ Liq Pref)</t>
  </si>
  <si>
    <t>1× + 8%</t>
  </si>
  <si>
    <t>—  ·  Инвестор / Продюсер</t>
  </si>
  <si>
    <t>N.06</t>
  </si>
  <si>
    <t>NDP anchor (legacy v1.4.4)</t>
  </si>
  <si>
    <t>млн ₽  ·  Инвариант, закреплено</t>
  </si>
  <si>
    <t>N.07</t>
  </si>
  <si>
    <t>EBITDA (GAAP) Σ 2026–2028</t>
  </si>
  <si>
    <t>млн ₽  ·  Расчёт по стандарту</t>
  </si>
  <si>
    <t>N.08</t>
  </si>
  <si>
    <t>Net Profit Σ 2026–2028</t>
  </si>
  <si>
    <t>млн ₽  ·  После 20% налога на прибыль</t>
  </si>
  <si>
    <t>ЖУРНАЛ ИЗМЕНЕНИЙ (Change Log)</t>
  </si>
  <si>
    <t>История версий модели investor_model_v1.0. Все изменения фиксируются с указанием автора, даты и причины.</t>
  </si>
  <si>
    <t>Версия</t>
  </si>
  <si>
    <t>Дата</t>
  </si>
  <si>
    <t>Автор</t>
  </si>
  <si>
    <t>Описание изменения</t>
  </si>
  <si>
    <t>Статус</t>
  </si>
  <si>
    <t>v0.1</t>
  </si>
  <si>
    <t>05.04.2026</t>
  </si>
  <si>
    <t>Команда ТрендСтудио</t>
  </si>
  <si>
    <t>Каркас модели: определение структуры 14 листов (Уровень 1)</t>
  </si>
  <si>
    <t>Архивировано</t>
  </si>
  <si>
    <t>v0.2</t>
  </si>
  <si>
    <t>06.04.2026</t>
  </si>
  <si>
    <t>Добавлены Holding Кино.xlsx legacy-структуры: FOT 50 чел, 12-квартальная P&amp;L, distribution 60/40→50/50</t>
  </si>
  <si>
    <t>v0.3</t>
  </si>
  <si>
    <t>07.04.2026</t>
  </si>
  <si>
    <t>Расширение до Уровня 2 (24 листа): добавлены Cash Flow, Balance Sheet, Working Capital, Cap Table</t>
  </si>
  <si>
    <t>v0.9</t>
  </si>
  <si>
    <t>09.04.2026</t>
  </si>
  <si>
    <t>Расширение до Уровня 3 (36 листов) — pre-IPO institutional. Согласованы: T₁+T₂ параллельно, FOT A₁+A₂, Waterfall W₁+W₂+W₃</t>
  </si>
  <si>
    <t>v1.0</t>
  </si>
  <si>
    <t>11.04.2026</t>
  </si>
  <si>
    <t>А.1: созданы листы Cover, Assumptions (84 параметра в 13 блоках), Change_Log. Якорь 3000 млн ₽ зафиксирован</t>
  </si>
  <si>
    <t>v1.0.1</t>
  </si>
  <si>
    <t>12.04.2026</t>
  </si>
  <si>
    <t>Claude + rakhman</t>
  </si>
  <si>
    <t>B.3 Public update: W₃ (DEFAULT) + A+C pattern 33/45/9/13. Обновлены 10 листов: 24_IR (5×4 returns matrix, V.1–V.4 disclaimers), 27_SA (5 scenarios A+C), 26_Sens (tornado ±20%), 28_MC (N=5000, mean IRR 11.44%, P(&gt;18%)=13.6%), 36_ES, 21_KPI, 29_RR, 42_CL, 19_WF, 40_IC. П5 «Максимум» 73/73 + B.5 sweep 69/69.</t>
  </si>
  <si>
    <t>Текущая</t>
  </si>
  <si>
    <t>ПЛАН СЛЕДУЮЩИХ ВЕРСИЙ (roadmap)</t>
  </si>
  <si>
    <t>v1.0 А.1</t>
  </si>
  <si>
    <t>Cover + Assumptions + Change_Log</t>
  </si>
  <si>
    <t>Готово</t>
  </si>
  <si>
    <t>v1.0 А.2</t>
  </si>
  <si>
    <t>FOT_Staff (A₁+A₂) + Cost_Structure</t>
  </si>
  <si>
    <t>v1.0 А.3</t>
  </si>
  <si>
    <t>Revenue_Breakdown + Content_Pipeline</t>
  </si>
  <si>
    <t>v1.0 А.4</t>
  </si>
  <si>
    <t>P&amp;L_Statements (12Q + 2029–2032)</t>
  </si>
  <si>
    <t>В очереди</t>
  </si>
  <si>
    <t>v1.0 А.5</t>
  </si>
  <si>
    <t>Cash_Flow_Statement + Balance_Sheet</t>
  </si>
  <si>
    <t>v1.0 А.6</t>
  </si>
  <si>
    <t>Working_Capital + Debt_Schedule</t>
  </si>
  <si>
    <t>v1.0 А.7</t>
  </si>
  <si>
    <t>Investment_Inflow + Use_of_Funds + CAPEX</t>
  </si>
  <si>
    <t>v1.0 А.8</t>
  </si>
  <si>
    <t>Deal_Structures + Cap_Table + Waterfall</t>
  </si>
  <si>
    <t>v1.0 А.9</t>
  </si>
  <si>
    <t>Unit_Economics + KPI_Dashboard</t>
  </si>
  <si>
    <t>v1.0 А.10</t>
  </si>
  <si>
    <t>Valuation_DCF + Valuation_Multiples</t>
  </si>
  <si>
    <t>v1.0 А.11</t>
  </si>
  <si>
    <t>Investor_Returns + Exit_Scenarios</t>
  </si>
  <si>
    <t>v1.0 А.12</t>
  </si>
  <si>
    <t>Sensitivity + Scenario + Monte Carlo</t>
  </si>
  <si>
    <t>v1.0 А.13</t>
  </si>
  <si>
    <t>Risk_Register</t>
  </si>
  <si>
    <t>v1.0 А.14</t>
  </si>
  <si>
    <t>Market + Benchmarks + Comparable Tx</t>
  </si>
  <si>
    <t>v1.0 А.15</t>
  </si>
  <si>
    <t>Gov_KPI + Tax + Roadmap 2026–2032</t>
  </si>
  <si>
    <t>v1.0 А.16</t>
  </si>
  <si>
    <t>Executive_Summary + Glossary + Notes</t>
  </si>
  <si>
    <t>v1.0 А.17</t>
  </si>
  <si>
    <t>Public export + Internal с 4 сервисными</t>
  </si>
  <si>
    <t>v1.0 А.18</t>
  </si>
  <si>
    <t>П5 «Максимум» 32/32 верификация</t>
  </si>
  <si>
    <t>v1.0 А.19</t>
  </si>
  <si>
    <t>Финализация + computer:// ссылки</t>
  </si>
  <si>
    <t>Категория</t>
  </si>
  <si>
    <t>Чел.</t>
  </si>
  <si>
    <t>Оклад gross</t>
  </si>
  <si>
    <t>ФОТ gross мес</t>
  </si>
  <si>
    <t>Страховые 30%</t>
  </si>
  <si>
    <t>Итого мес (с налогами)</t>
  </si>
  <si>
    <t>Итого год</t>
  </si>
  <si>
    <t>Юристы</t>
  </si>
  <si>
    <t>Производственный цех</t>
  </si>
  <si>
    <t>Аналитики</t>
  </si>
  <si>
    <t>Бухгалтеры</t>
  </si>
  <si>
    <t>Эксперты (творческая группа)</t>
  </si>
  <si>
    <t>Водитель</t>
  </si>
  <si>
    <t>Административный / IT</t>
  </si>
  <si>
    <t>ИТОГО ФОТ (Fixed)</t>
  </si>
  <si>
    <t>ФОТ A₁ за 3 года (2026–2028), млн ₽</t>
  </si>
  <si>
    <t>Год</t>
  </si>
  <si>
    <t>Штат</t>
  </si>
  <si>
    <t>ФОТ мес gross</t>
  </si>
  <si>
    <t>ФОТ мес с нал.</t>
  </si>
  <si>
    <t>ФОТ год</t>
  </si>
  <si>
    <t>ФОТ/Налоги</t>
  </si>
  <si>
    <t>Индексация</t>
  </si>
  <si>
    <t>0.0%</t>
  </si>
  <si>
    <t>Σ 2026–2028</t>
  </si>
  <si>
    <t>—</t>
  </si>
  <si>
    <t>ПАРАМЕТРЫ ДИНАМИКИ (ввод)</t>
  </si>
  <si>
    <t>2026</t>
  </si>
  <si>
    <t>2027</t>
  </si>
  <si>
    <t>2028</t>
  </si>
  <si>
    <t>2029</t>
  </si>
  <si>
    <t>2030</t>
  </si>
  <si>
    <t>2031</t>
  </si>
  <si>
    <t>2032</t>
  </si>
  <si>
    <t>Штат (чел.)</t>
  </si>
  <si>
    <t>Индекс оклада (база 2026=1.00)</t>
  </si>
  <si>
    <t>Ср. оклад gross (₽/мес, база 2026)</t>
  </si>
  <si>
    <t>ФОТ gross / мес</t>
  </si>
  <si>
    <t>ФОТ с налогами / мес (×1.30)</t>
  </si>
  <si>
    <t>ФОТ годовой (млн ₽)</t>
  </si>
  <si>
    <t>ПОКВАРТАЛЬНАЯ РАЗБИВКА 2026–2028 (млн ₽)</t>
  </si>
  <si>
    <t>Квартал</t>
  </si>
  <si>
    <t>Q1</t>
  </si>
  <si>
    <t>Q2</t>
  </si>
  <si>
    <t>Q3</t>
  </si>
  <si>
    <t>Q4</t>
  </si>
  <si>
    <t>Год Σ</t>
  </si>
  <si>
    <t>СРАВНЕНИЕ A₁ Fixed vs A₂ Dynamic (млн ₽)</t>
  </si>
  <si>
    <t>Период</t>
  </si>
  <si>
    <t>A₁ Fixed</t>
  </si>
  <si>
    <t>A₂ Dynamic</t>
  </si>
  <si>
    <t>Δ (A₂−A₁)</t>
  </si>
  <si>
    <t>Δ, %</t>
  </si>
  <si>
    <t>Σ 3 года</t>
  </si>
  <si>
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</si>
  <si>
    <t>Структура OPEX (Cost Structure)</t>
  </si>
  <si>
    <t>Сводка операционных расходов холдинга. Годовые показатели 2026–2032 на основе A₁ Fixed и Assumptions.</t>
  </si>
  <si>
    <t>OPEX ПО ГОДАМ (Base, модель A₁ Fixed), млн ₽</t>
  </si>
  <si>
    <t>Статья</t>
  </si>
  <si>
    <t>Аренда офиса (750 м²)</t>
  </si>
  <si>
    <t>Связь, интернет</t>
  </si>
  <si>
    <t>ПО и лицензии</t>
  </si>
  <si>
    <t>Командировки</t>
  </si>
  <si>
    <t>Представительские</t>
  </si>
  <si>
    <t>Консультанты (юр/аудит)</t>
  </si>
  <si>
    <t>Канцелярия, расходники</t>
  </si>
  <si>
    <t>Банковские комиссии</t>
  </si>
  <si>
    <t>Маркетинг корпоративный</t>
  </si>
  <si>
    <t>ИТОГО OPEX (без COGS)</t>
  </si>
  <si>
    <t>СТРУКТУРА OPEX 2026 (доли, %)</t>
  </si>
  <si>
    <t>Сумма 2026</t>
  </si>
  <si>
    <t>Доля, %</t>
  </si>
  <si>
    <t>Комментарий</t>
  </si>
  <si>
    <t>ФОТ с налогами</t>
  </si>
  <si>
    <t>ключевая статья (~84%)</t>
  </si>
  <si>
    <t>Офисные расходы (аренда + коммуналки)</t>
  </si>
  <si>
    <t>фиксированная аренда 750 м²</t>
  </si>
  <si>
    <t>Операционные нужды (связь, ПО, канцтовары)</t>
  </si>
  <si>
    <t>рабочая инфраструктура</t>
  </si>
  <si>
    <t>Командировки и представительские</t>
  </si>
  <si>
    <t>продюсерская деятельность</t>
  </si>
  <si>
    <t>внешние услуги</t>
  </si>
  <si>
    <t>Банковские комиссии + маркетинг</t>
  </si>
  <si>
    <t>финансовые и PR</t>
  </si>
  <si>
    <t>ПРОВЕРКА: Σ категорий = OPEX total</t>
  </si>
  <si>
    <t>✓ Должно совпадать с ИТОГО OPEX 2026 и равняться 100%</t>
  </si>
  <si>
    <t>COGS / ПРОИЗВОДСТВО КОНТЕНТА (обзор)</t>
  </si>
  <si>
    <t>12 фильмов × 154.2</t>
  </si>
  <si>
    <t>производство + постпрод</t>
  </si>
  <si>
    <t>Producer equity (в бюджете)</t>
  </si>
  <si>
    <t>Investor funding (в бюджете)</t>
  </si>
  <si>
    <t>Amortization (мес после релиза)</t>
  </si>
  <si>
    <t>линейная</t>
  </si>
  <si>
    <t>P&amp;A (Print &amp; Advertising)</t>
  </si>
  <si>
    <t>15% от бюджета фильма</t>
  </si>
  <si>
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</si>
  <si>
    <t>Структура выручки (Revenue Breakdown)</t>
  </si>
  <si>
    <t>8 источников выручки × 2026–2028. Якорь Σ = 4 545 млн ₽ (12 фильмов). Доли согласованы с Assumptions блок F.</t>
  </si>
  <si>
    <t>ВЫРУЧКА ПО ИСТОЧНИКАМ (млн ₽)</t>
  </si>
  <si>
    <t>Источник</t>
  </si>
  <si>
    <t>CAGR</t>
  </si>
  <si>
    <t>Online SVOD (стриминги)</t>
  </si>
  <si>
    <t>Господдержка (безвозвратная)</t>
  </si>
  <si>
    <t>ИТОГО ВЫРУЧКА</t>
  </si>
  <si>
    <t>ПРОВЕРКА ЯКОРЯ</t>
  </si>
  <si>
    <t>Target Σ Revenue 2026–2028 (якорь)</t>
  </si>
  <si>
    <t>12 фильмов × 378.75 млн ср.</t>
  </si>
  <si>
    <t>Actual Σ Revenue (формула)</t>
  </si>
  <si>
    <t>Sum-check</t>
  </si>
  <si>
    <t>Δ = Actual − Target</t>
  </si>
  <si>
    <t>✓ должен быть 0.00 (±0.01 tolerance)</t>
  </si>
  <si>
    <t>СЦЕНАРНЫЙ РАЗБРОС (Bear / Base / Bull), Σ 2026–2028</t>
  </si>
  <si>
    <t>Сценарий</t>
  </si>
  <si>
    <t>Множитель</t>
  </si>
  <si>
    <t>Revenue</t>
  </si>
  <si>
    <t>EBITDA</t>
  </si>
  <si>
    <t>IRR</t>
  </si>
  <si>
    <t>Bear (пессимист)</t>
  </si>
  <si>
    <t>Провал 1-2 тентполов, CPI 8%, господдержка 0%</t>
  </si>
  <si>
    <t>Base (базовый)</t>
  </si>
  <si>
    <t>Якорь модели, согласован с Холдинг Кино.xlsx</t>
  </si>
  <si>
    <t>Bull (оптимист)</t>
  </si>
  <si>
    <t>Все релизы ≥ плана, int'l продажи, господдержка 35%</t>
  </si>
  <si>
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</si>
  <si>
    <t>Портфель контента — 12 фильмов (Content Pipeline)</t>
  </si>
  <si>
    <t>Жанровое распределение, бюджеты, расписание релизов, ожидаемая выручка. Σ бюджет = 1 850 млн ₽, Σ выручка = 4 545 млн ₽.</t>
  </si>
  <si>
    <t>ПОРТФЕЛЬ 12 ФИЛЬМОВ (млн ₽)</t>
  </si>
  <si>
    <t>Рабочее название</t>
  </si>
  <si>
    <t>Жанр</t>
  </si>
  <si>
    <t>Релиз</t>
  </si>
  <si>
    <t>Бюджет</t>
  </si>
  <si>
    <t>P&amp;A (15%)</t>
  </si>
  <si>
    <t>Σ затраты</t>
  </si>
  <si>
    <t>ROI, %</t>
  </si>
  <si>
    <t>Margin</t>
  </si>
  <si>
    <t>Payback</t>
  </si>
  <si>
    <t>Tier</t>
  </si>
  <si>
    <t>Родные стены</t>
  </si>
  <si>
    <t>Семейная драма</t>
  </si>
  <si>
    <t>Q4 2026</t>
  </si>
  <si>
    <t>A</t>
  </si>
  <si>
    <t>Два сердца</t>
  </si>
  <si>
    <t>Мелодрама</t>
  </si>
  <si>
    <t>Q1 2027</t>
  </si>
  <si>
    <t>B</t>
  </si>
  <si>
    <t>Ночной патруль</t>
  </si>
  <si>
    <t>Боевик</t>
  </si>
  <si>
    <t>Q2 2027</t>
  </si>
  <si>
    <t>A+</t>
  </si>
  <si>
    <t>Последний экзамен</t>
  </si>
  <si>
    <t>Молодёжная драма</t>
  </si>
  <si>
    <t>Время героев</t>
  </si>
  <si>
    <t>Исторический эпос</t>
  </si>
  <si>
    <t>Q3 2027</t>
  </si>
  <si>
    <t>Красная заря</t>
  </si>
  <si>
    <t>Шпионский триллер</t>
  </si>
  <si>
    <t>Q4 2027</t>
  </si>
  <si>
    <t>Сказка наяву</t>
  </si>
  <si>
    <t>Семейный фэнтези</t>
  </si>
  <si>
    <t>Q1 2028</t>
  </si>
  <si>
    <t>Неизвестный герой</t>
  </si>
  <si>
    <t>Биографическая драма</t>
  </si>
  <si>
    <t>Q2 2028</t>
  </si>
  <si>
    <t>B+</t>
  </si>
  <si>
    <t>Моё дело</t>
  </si>
  <si>
    <t>Комедия</t>
  </si>
  <si>
    <t>Северный ветер</t>
  </si>
  <si>
    <t>Приключенческий</t>
  </si>
  <si>
    <t>Q3 2028</t>
  </si>
  <si>
    <t>Полдень</t>
  </si>
  <si>
    <t>Психологический триллер</t>
  </si>
  <si>
    <t>Горизонт событий</t>
  </si>
  <si>
    <t>Фантастика</t>
  </si>
  <si>
    <t>ИТОГО ПОРТФЕЛЬ 12 ФИЛЬМОВ</t>
  </si>
  <si>
    <t>ПРОВЕРКА ЯКОРЕЙ</t>
  </si>
  <si>
    <t>Target Бюджет 1850 млн</t>
  </si>
  <si>
    <t>Target:</t>
  </si>
  <si>
    <t>Actual:</t>
  </si>
  <si>
    <t>✓</t>
  </si>
  <si>
    <t>Target Revenue 4545 млн</t>
  </si>
  <si>
    <t>Средний бюджет / фильм</t>
  </si>
  <si>
    <t>Средняя выручка / фильм</t>
  </si>
  <si>
    <t>Средний Revenue/Budget</t>
  </si>
  <si>
    <t>РАСПИСАНИЕ РЕЛИЗОВ ПО КВАРТАЛАМ</t>
  </si>
  <si>
    <t>Релизов</t>
  </si>
  <si>
    <t>Фильмы</t>
  </si>
  <si>
    <t>Σ Бюджет</t>
  </si>
  <si>
    <t>Σ Revenue</t>
  </si>
  <si>
    <t>Средний ROI</t>
  </si>
  <si>
    <t>Ночной патруль, Последний экзамен</t>
  </si>
  <si>
    <t>Неизвестный герой, Моё дело</t>
  </si>
  <si>
    <t>Северный ветер, Полдень</t>
  </si>
  <si>
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</si>
  <si>
    <t>09  ·  P&amp;L STATEMENT  ·  Квартально 2026–2028 + годовые 2029–2032</t>
  </si>
  <si>
    <t>Вариант C · Dual metric: GAAP EBITDA (стандарт) + NDP (legacy). Все суммы — млн ₽.</t>
  </si>
  <si>
    <t>Q1'26</t>
  </si>
  <si>
    <t>Q2'26</t>
  </si>
  <si>
    <t>Q3'26</t>
  </si>
  <si>
    <t>Q4'26</t>
  </si>
  <si>
    <t>Q1'27</t>
  </si>
  <si>
    <t>Q2'27</t>
  </si>
  <si>
    <t>Q3'27</t>
  </si>
  <si>
    <t>Q4'27</t>
  </si>
  <si>
    <t>Q1'28</t>
  </si>
  <si>
    <t>Q2'28</t>
  </si>
  <si>
    <t>Q3'28</t>
  </si>
  <si>
    <t>Q4'28</t>
  </si>
  <si>
    <t>Σ 2026–2032</t>
  </si>
  <si>
    <t>I.  REVENUE  (Net of refunds &amp; commissions)</t>
  </si>
  <si>
    <t>1.1</t>
  </si>
  <si>
    <t>Box Office (48% mix)</t>
  </si>
  <si>
    <t>1.2</t>
  </si>
  <si>
    <t>SVOD / Streaming (20%)</t>
  </si>
  <si>
    <t>1.3</t>
  </si>
  <si>
    <t>TV Broadcast (8%)</t>
  </si>
  <si>
    <t>1.4</t>
  </si>
  <si>
    <t>International sales (10%)</t>
  </si>
  <si>
    <t>1.5</t>
  </si>
  <si>
    <t>Digital / VOD (4%)</t>
  </si>
  <si>
    <t>1.6</t>
  </si>
  <si>
    <t>Sponsorship &amp; Brand Integration (5%)</t>
  </si>
  <si>
    <t>1.7</t>
  </si>
  <si>
    <t>Merchandise &amp; Licensing (2%)</t>
  </si>
  <si>
    <t>1.8</t>
  </si>
  <si>
    <t>Government Support / Gov Fund (3%)</t>
  </si>
  <si>
    <t>1.9</t>
  </si>
  <si>
    <t>Total Revenue</t>
  </si>
  <si>
    <t>II.  COST OF GOODS SOLD  (Content amortization + P&amp;A)</t>
  </si>
  <si>
    <t>2.1</t>
  </si>
  <si>
    <t>Content amortization (production costs)</t>
  </si>
  <si>
    <t>2.2</t>
  </si>
  <si>
    <t>2.3</t>
  </si>
  <si>
    <t>Total COGS</t>
  </si>
  <si>
    <t>2.4</t>
  </si>
  <si>
    <t>GROSS PROFIT</t>
  </si>
  <si>
    <t>III.  OPERATING EXPENSES</t>
  </si>
  <si>
    <t>3.1</t>
  </si>
  <si>
    <t>ФОТ + соц.налоги (A₁ Fixed)</t>
  </si>
  <si>
    <t>3.2</t>
  </si>
  <si>
    <t>Аренда, коммунальные, связь</t>
  </si>
  <si>
    <t>3.3</t>
  </si>
  <si>
    <t>ПО, канцелярия, банковские</t>
  </si>
  <si>
    <t>3.4</t>
  </si>
  <si>
    <t>Командировки, консультанты, маркетинг</t>
  </si>
  <si>
    <t>3.5</t>
  </si>
  <si>
    <t>Total OpEx</t>
  </si>
  <si>
    <t>3.6</t>
  </si>
  <si>
    <t>EBITDA  (GAAP, standard)</t>
  </si>
  <si>
    <t>IV.  BELOW-THE-LINE  (D&amp;A · Interest · Tax)</t>
  </si>
  <si>
    <t>4.1</t>
  </si>
  <si>
    <t>Depreciation &amp; Amortization</t>
  </si>
  <si>
    <t>4.2</t>
  </si>
  <si>
    <t>EBIT  (Operating Income)</t>
  </si>
  <si>
    <t>4.3</t>
  </si>
  <si>
    <t>Interest expense (T₁ Legacy tranches)</t>
  </si>
  <si>
    <t>4.4</t>
  </si>
  <si>
    <t>EBT  (Earnings Before Tax)</t>
  </si>
  <si>
    <t>4.5</t>
  </si>
  <si>
    <t>Income tax (20%)</t>
  </si>
  <si>
    <t>4.6</t>
  </si>
  <si>
    <t>NET INCOME</t>
  </si>
  <si>
    <t>V.  KEY MARGINS (%)</t>
  </si>
  <si>
    <t>5.1</t>
  </si>
  <si>
    <t>Gross margin, %</t>
  </si>
  <si>
    <t>5.2</t>
  </si>
  <si>
    <t>EBITDA margin, %</t>
  </si>
  <si>
    <t>5.3</t>
  </si>
  <si>
    <t>Net margin, %</t>
  </si>
  <si>
    <t>VI.  NDP RECONCILIATION BRIDGE  ·  EBITDA (GAAP) → NDP (legacy v1.4.4 anchor)</t>
  </si>
  <si>
    <t>Компонент</t>
  </si>
  <si>
    <t>Σ 2026–2028, млн ₽</t>
  </si>
  <si>
    <t>Тип</t>
  </si>
  <si>
    <t>Из строки 3.6 выше</t>
  </si>
  <si>
    <t>(+) Producer equity contribution add-back</t>
  </si>
  <si>
    <t>+</t>
  </si>
  <si>
    <t>JV capital: 600 млн, off-P&amp;L minority interest</t>
  </si>
  <si>
    <t>(+) Working capital release &amp; gov credit timing</t>
  </si>
  <si>
    <t>Налоговый кредит 25% и высвобождение WC за периметром P&amp;L</t>
  </si>
  <si>
    <t>NDP Σ 2026–2028  (legacy anchor)</t>
  </si>
  <si>
    <t>ANCHOR</t>
  </si>
  <si>
    <t>★ Инвариант v1.4.4, закреплено</t>
  </si>
  <si>
    <t>−</t>
  </si>
  <si>
    <t>Доля продюсера по дефолтному каскаду</t>
  </si>
  <si>
    <t>Investor Net Distributable Proceeds</t>
  </si>
  <si>
    <t>INVESTOR</t>
  </si>
  <si>
    <t>Чистые распределения инвестору T₁</t>
  </si>
  <si>
    <t>10  ·  CASH FLOW STATEMENT  ·  Косвенный метод  ·  12Q + 4Y</t>
  </si>
  <si>
    <t>Все суммы — млн ₽. Консистентно с 09_P&amp;L_Statement (Вариант C: GAAP EBITDA 2 152 + NDP 3 000).</t>
  </si>
  <si>
    <t>I.  CASH FLOW FROM OPERATING ACTIVITIES</t>
  </si>
  <si>
    <t>Net Income (from P&amp;L)</t>
  </si>
  <si>
    <t>Из строки 4.6 P&amp;L</t>
  </si>
  <si>
    <t>(+) D&amp;A (non-cash)</t>
  </si>
  <si>
    <t>Обратный выкладыш амортизации</t>
  </si>
  <si>
    <t>(+) Content amortization add-back</t>
  </si>
  <si>
    <t>1850 млн распределено по matching principle</t>
  </si>
  <si>
    <t>Net Cash from Operations</t>
  </si>
  <si>
    <t>II.  CASH FLOW FROM INVESTING ACTIVITIES</t>
  </si>
  <si>
    <t>(−) Content production CAPEX</t>
  </si>
  <si>
    <t>Производство контента — schedule: 400/800/650/0</t>
  </si>
  <si>
    <t>(−) PP&amp;E CAPEX (minimal)</t>
  </si>
  <si>
    <t>Офис, оборудование: ~10 млн за 3 года</t>
  </si>
  <si>
    <t>Net Cash from Investing</t>
  </si>
  <si>
    <t>III.  CASH FLOW FROM FINANCING ACTIVITIES</t>
  </si>
  <si>
    <t>(+) T₁ Legacy tranches drawn</t>
  </si>
  <si>
    <t>4 транша: 250/350/350/300 = 1 250</t>
  </si>
  <si>
    <t>(+) Producer equity contributions</t>
  </si>
  <si>
    <t>JV capital: 200/150/150/100 = 600</t>
  </si>
  <si>
    <t>(−) Distributions (waterfall W₃ default · 1× Liq Pref + 8% coupon + 60/40)</t>
  </si>
  <si>
    <t>NDP 3000 распределяется 2029-2032 (40/30/20/10%)</t>
  </si>
  <si>
    <t>Net Cash from Financing</t>
  </si>
  <si>
    <t>IV.  NET CHANGE IN CASH &amp; RECONCILIATION</t>
  </si>
  <si>
    <t>Net change in cash</t>
  </si>
  <si>
    <t>Cash — beginning of period</t>
  </si>
  <si>
    <t>Cash — end of period</t>
  </si>
  <si>
    <t>★ Совпадает с Cash в 11_Balance_Sheet</t>
  </si>
  <si>
    <t>11  ·  BALANCE SHEET  ·  End-of-Period  ·  12Q + 4Y</t>
  </si>
  <si>
    <t>Все суммы — млн ₽. Верификация: Assets = Liabilities + Equity; Cash = Ending Cash из 10_Cash_Flow.</t>
  </si>
  <si>
    <t>A.  ASSETS</t>
  </si>
  <si>
    <t>A1</t>
  </si>
  <si>
    <t>Cash &amp; equivalents</t>
  </si>
  <si>
    <t>Из 10_CF 4.3</t>
  </si>
  <si>
    <t>A2</t>
  </si>
  <si>
    <t>Content library (net)</t>
  </si>
  <si>
    <t>Gross CAPEX − amortization</t>
  </si>
  <si>
    <t>A3</t>
  </si>
  <si>
    <t>Property, Plant &amp; Equipment</t>
  </si>
  <si>
    <t>PP&amp;E net</t>
  </si>
  <si>
    <t>A4</t>
  </si>
  <si>
    <t>TOTAL ASSETS</t>
  </si>
  <si>
    <t>Σ A1+A2+A3</t>
  </si>
  <si>
    <t>B.  LIABILITIES &amp; EQUITY</t>
  </si>
  <si>
    <t>B1</t>
  </si>
  <si>
    <t>T₁ Legacy loan balance</t>
  </si>
  <si>
    <t>Draws − investor distributions</t>
  </si>
  <si>
    <t>B2</t>
  </si>
  <si>
    <t>Producer equity (JV capital)</t>
  </si>
  <si>
    <t>Contributions − producer distributions</t>
  </si>
  <si>
    <t>B3</t>
  </si>
  <si>
    <t>Retained earnings</t>
  </si>
  <si>
    <t>Cumulative Net Income</t>
  </si>
  <si>
    <t>B4</t>
  </si>
  <si>
    <t>TOTAL LIABILITIES + EQUITY</t>
  </si>
  <si>
    <t>Σ B1+B2+B3</t>
  </si>
  <si>
    <t>C.  BALANCE CHECK  (Assets − Liab/Equity; должно быть 0)</t>
  </si>
  <si>
    <t>C1</t>
  </si>
  <si>
    <t>Balance check = Assets − (L+E)</t>
  </si>
  <si>
    <t>✓ BALANCED</t>
  </si>
  <si>
    <t>★ Snapshot Q4'28: Assets 3,539 = Cash 3,538 + Content 0 + PP&amp;E 1  |  L+E 3,539 = T₁ 1,250 + Prod.Eq 600 + Retained 1,689</t>
  </si>
  <si>
    <t>12  ·  WORKING CAPITAL SCHEDULE  ·  AR / Prepaid / AP / NWC / ΔNWC</t>
  </si>
  <si>
    <t>Предпосылки: AR = 25% Q revenue (60-day lag) · Prepaid = 5% Q revenue · AP = 30% (OpEx + P&amp;A). Все суммы — млн ₽.</t>
  </si>
  <si>
    <t>I.  ОБОРОТНЫЕ АКТИВЫ</t>
  </si>
  <si>
    <t>Accounts Receivable (25% Q rev)</t>
  </si>
  <si>
    <t>AR = 25% × Revenue квартала</t>
  </si>
  <si>
    <t>Prepaid expenses / Inventory</t>
  </si>
  <si>
    <t>5% × Revenue</t>
  </si>
  <si>
    <t>II.  ОБОРОТНЫЕ ОБЯЗАТЕЛЬСТВА</t>
  </si>
  <si>
    <t>Accounts Payable (30% OpEx + P&amp;A)</t>
  </si>
  <si>
    <t>AP = 30% × (OpEx + P&amp;A)</t>
  </si>
  <si>
    <t>III.  NET WORKING CAPITAL</t>
  </si>
  <si>
    <t>NWC = AR + Prepaid − AP</t>
  </si>
  <si>
    <t>Баланс на конец периода</t>
  </si>
  <si>
    <t>ΔNWC (период-к-периоду)</t>
  </si>
  <si>
    <t>Рост NWC = отток cash</t>
  </si>
  <si>
    <t>Cash impact (−ΔNWC)</t>
  </si>
  <si>
    <t>Влияние на OCF: − при росте NWC</t>
  </si>
  <si>
    <t>✓ NWC end Q4'28 = 107.4 млн ₽  |  Σ ΔNWC 2026–2028 = 107.4  |  Impact on CF: -107.4 млн ₽ (supplementary — не включено в simplified CF А.5)</t>
  </si>
  <si>
    <t>13  ·  DEBT SCHEDULE  ·  T₁ Legacy  ·  1 250 млн ₽  ·  4 tranches 20/28/28/24%</t>
  </si>
  <si>
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</si>
  <si>
    <t>Позиция</t>
  </si>
  <si>
    <t>I.  DRAWDOWN (приток от инвестора)</t>
  </si>
  <si>
    <t>Opening balance</t>
  </si>
  <si>
    <t>Баланс принципала на начало</t>
  </si>
  <si>
    <t>(+) Draws (tranches)</t>
  </si>
  <si>
    <t>250/350/350/300 = 1 250</t>
  </si>
  <si>
    <t>II.  INTEREST (servicing cost)</t>
  </si>
  <si>
    <t>Interest accrued @ service rate</t>
  </si>
  <si>
    <t>Проценты начислены</t>
  </si>
  <si>
    <t>Interest paid (cash basis)</t>
  </si>
  <si>
    <t>Платятся в том же периоде</t>
  </si>
  <si>
    <t>III.  PRINCIPAL REPAYMENT</t>
  </si>
  <si>
    <t>(−) Principal repaid</t>
  </si>
  <si>
    <t>Из distributions 2029-2030</t>
  </si>
  <si>
    <t>IV.  ENDING BALANCE</t>
  </si>
  <si>
    <t>Closing principal balance</t>
  </si>
  <si>
    <t>Баланс принципала на конец</t>
  </si>
  <si>
    <t>V.  CUMULATIVE (контроль)</t>
  </si>
  <si>
    <t>Σ Cumulative draws</t>
  </si>
  <si>
    <t>Должно ≤ 1 250</t>
  </si>
  <si>
    <t>Σ Cumulative interest paid</t>
  </si>
  <si>
    <t>Должно = 15</t>
  </si>
  <si>
    <t>Σ Cumulative principal repaid</t>
  </si>
  <si>
    <t>Должно = 1 250</t>
  </si>
  <si>
    <t>VI.  EQUITY UPSIDE (sharing profit component)</t>
  </si>
  <si>
    <t>6.1</t>
  </si>
  <si>
    <t>Equity upside distributed</t>
  </si>
  <si>
    <t>Доля в прибыли сверх принципала (= 965)</t>
  </si>
  <si>
    <t>6.2</t>
  </si>
  <si>
    <t>Σ Cumulative equity upside</t>
  </si>
  <si>
    <t>Должно = 965</t>
  </si>
  <si>
    <t>✓ Σ draws = 1,250.0 (target 1 250)  |  ✓ Σ principal repaid = 1,250.0 (target 1 250)  |  ✓ Σ interest = 15.0 (target ~15)  |  ✓ Σ equity upside = 965.0 (target 965)  |  ✓ Balance 2032 = 0.00</t>
  </si>
  <si>
    <t>14  ·  INVESTMENT INFLOW SCHEDULE  ·  T₁ Legacy Tranche Structure</t>
  </si>
  <si>
    <t>4 tranches × (20 / 28 / 28 / 24) %  =  1 250 млн ₽. Каждый транш привязан к производственному milestone. Все суммы — млн ₽.</t>
  </si>
  <si>
    <t>Milestone / Комментарий</t>
  </si>
  <si>
    <t>I.  TRANCHE SCHEDULE</t>
  </si>
  <si>
    <t>T₁.1</t>
  </si>
  <si>
    <t>Транш №1 — 20% (Pre-production launch)</t>
  </si>
  <si>
    <t>Q1'26: запуск pre-production F01-F02 (сценарии, кастинг, площадки)</t>
  </si>
  <si>
    <t>T₁.2</t>
  </si>
  <si>
    <t>Транш №2 — 28% (Production Wave I)</t>
  </si>
  <si>
    <t>Q4'26: старт съёмок F01-F03, постпродакшн F01, первый релиз F01</t>
  </si>
  <si>
    <t>T₁.3</t>
  </si>
  <si>
    <t>Транш №3 — 28% (Production Wave II)</t>
  </si>
  <si>
    <t>Q3'27: съёмки F05-F08, кассовые сборы F03-F05</t>
  </si>
  <si>
    <t>T₁.4</t>
  </si>
  <si>
    <t>Транш №4 — 24% (Production Wave III)</t>
  </si>
  <si>
    <t>Q2'28: завершение производства F09-F12, финальные релизы</t>
  </si>
  <si>
    <t>Σ</t>
  </si>
  <si>
    <t>Σ TRANCHES  (Т₁ Legacy total)</t>
  </si>
  <si>
    <t>★ Invariant: 1 250 млн ₽</t>
  </si>
  <si>
    <t>II.  CUMULATIVE INFLOW  &amp;  COVERAGE %</t>
  </si>
  <si>
    <t>Σ Cumulative inflow</t>
  </si>
  <si>
    <t>Накопленный приток, млн ₽</t>
  </si>
  <si>
    <t>Coverage %  (drawn / total)</t>
  </si>
  <si>
    <t>Доля использованного тикета</t>
  </si>
  <si>
    <t>III.  GOVERNANCE  &amp;  CONDITIONS</t>
  </si>
  <si>
    <t>Release condition для транша №1</t>
  </si>
  <si>
    <t>Подписание SPA + Investment Agreement, KYC/AML clearance</t>
  </si>
  <si>
    <t>Release condition для транша №2</t>
  </si>
  <si>
    <t>Завершение pre-production F01-F03, утверждение production budgets</t>
  </si>
  <si>
    <t>Release condition для транша №3</t>
  </si>
  <si>
    <t>Первый релиз (F01, Q4'26) — проверка фактической выручки ≥ 80% плана</t>
  </si>
  <si>
    <t>Release condition для транша №4</t>
  </si>
  <si>
    <t>Релиз ≥ 5 фильмов с совокупным RoI ≥ 1.2× (Q1-Q2 2028)</t>
  </si>
  <si>
    <t>Reporting cadence</t>
  </si>
  <si>
    <t>Ежеквартальный financial report + KPI dashboard</t>
  </si>
  <si>
    <t>Information rights</t>
  </si>
  <si>
    <t>Read-only доступ к производственным треккерам и бухгалтерии</t>
  </si>
  <si>
    <t>3.7</t>
  </si>
  <si>
    <t>Termination clause</t>
  </si>
  <si>
    <t>При срыве milestone 2-х кварталов подряд — right to exit по fair value</t>
  </si>
  <si>
    <t>✓ Σ Tranches = 1 250 млн ₽  (20% + 28% + 28% + 24% = 100%)  |  Matches T₁ Legacy invariant &amp; 10_Cash_Flow 3.1</t>
  </si>
  <si>
    <t>15  ·  USE OF FUNDS  ·  Распределение 1 250 млн ₽ инвестиций</t>
  </si>
  <si>
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</si>
  <si>
    <t>Категория расхода</t>
  </si>
  <si>
    <t>% от T₁</t>
  </si>
  <si>
    <t>Сумма, млн ₽</t>
  </si>
  <si>
    <t>Min (−10%)</t>
  </si>
  <si>
    <t>Max (+10%)</t>
  </si>
  <si>
    <t>Allowance</t>
  </si>
  <si>
    <t>Описание</t>
  </si>
  <si>
    <t>U.1</t>
  </si>
  <si>
    <t>Pre-production  (script, casting, location)</t>
  </si>
  <si>
    <t>★ Flex ±10%</t>
  </si>
  <si>
    <t>Сценарии, раскадровки, подбор актёров, выбор площадок</t>
  </si>
  <si>
    <t>U.2</t>
  </si>
  <si>
    <t>Principal photography  (съёмочный период)</t>
  </si>
  <si>
    <t>Съёмочный процесс, аренда площадок, оплата съёмочных групп</t>
  </si>
  <si>
    <t>U.3</t>
  </si>
  <si>
    <t>Post-production  (VFX, sound, editing)</t>
  </si>
  <si>
    <t>Монтаж, цветокоррекция, VFX, озвучка, сведение звука</t>
  </si>
  <si>
    <t>U.4</t>
  </si>
  <si>
    <t>Contingency reserve  (10% страховой резерв)</t>
  </si>
  <si>
    <t>✓ Capped 10%</t>
  </si>
  <si>
    <t>Резерв на перерасходы, форс-мажор, изменения сценария</t>
  </si>
  <si>
    <t>ИТОГО  ·  T₁ Legacy Investment</t>
  </si>
  <si>
    <t>★ ANCHOR</t>
  </si>
  <si>
    <t>Invariant: 1 250 млн ₽</t>
  </si>
  <si>
    <t>II.  МОСТ  ·  T₁ Legacy (1 250) → Full Production Budget (1 850)</t>
  </si>
  <si>
    <t>B.1</t>
  </si>
  <si>
    <t>T₁ Legacy Investor contribution</t>
  </si>
  <si>
    <t>Основной тикет инвестора (67.6%)</t>
  </si>
  <si>
    <t>B.2</t>
  </si>
  <si>
    <t>(+) Producer equity (JV capital)</t>
  </si>
  <si>
    <t>Собственные средства продюсера (32.4%)</t>
  </si>
  <si>
    <t>Full production budget  (12 films × avg 154)</t>
  </si>
  <si>
    <t>★ Σ расходов на производство</t>
  </si>
  <si>
    <t>B.3</t>
  </si>
  <si>
    <t>(+) P&amp;A expenditure (separate from CAPEX)</t>
  </si>
  <si>
    <t>Prints &amp; Advertising, финансируется из cashflow</t>
  </si>
  <si>
    <t>Total content-related costs</t>
  </si>
  <si>
    <t>✓ Σ Use of Funds = 1 250 (5+65+20+10%)  |  Bridge: 1 250 + 600 = 1 850 (budget)  |  + P&amp;A 277.5 = 2 127.5 (COGS в P&amp;L)</t>
  </si>
  <si>
    <t>16  ·  CAPEX SCHEDULE  ·  12 фильмов × timeline (pre-prod / prod / post) по кварталам</t>
  </si>
  <si>
    <t>Распределение производственных затрат по фильмам и кварталам. Σ production CAPEX = 1 850 млн ₽ (consistent с 10_Cash_Flow 2.1). Все суммы — млн ₽.</t>
  </si>
  <si>
    <t>Film</t>
  </si>
  <si>
    <t>Σ CAPEX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</si>
  <si>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</si>
  <si>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</si>
  <si>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</si>
  <si>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</si>
  <si>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</si>
  <si>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</si>
  <si>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</si>
  <si>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</si>
  <si>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</si>
  <si>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</si>
  <si>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</si>
  <si>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</si>
  <si>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ИТОГО Production CAPEX</t>
  </si>
  <si>
    <t>★</t>
  </si>
  <si>
    <t>✓ Σ Production CAPEX = 1,850.0 млн ₽ (target: 1 850)  |  2026: 402  ·  2027: 853  ·  2028: 594</t>
  </si>
  <si>
    <t>17  ·  DEAL STRUCTURES  ·  T₁ Legacy  &amp;  T₂ New (параллельные тикеты)</t>
  </si>
  <si>
    <t>Два независимых инструмента: T₁ Legacy (anchor 1 250, senior) и T₂ New (500, slider 20% equity). Могут исполняться параллельно или опциональным follow-on.</t>
  </si>
  <si>
    <t>T₁ — Legacy</t>
  </si>
  <si>
    <t>T₂ — New</t>
  </si>
  <si>
    <t>I.  ФИНАНСОВЫЕ ПАРАМЕТРЫ</t>
  </si>
  <si>
    <t>Тикет, млн ₽</t>
  </si>
  <si>
    <t>500</t>
  </si>
  <si>
    <t>T₁ — anchor; T₂ — follow-on</t>
  </si>
  <si>
    <t>Доля от полного бюджета</t>
  </si>
  <si>
    <t>67.6 %</t>
  </si>
  <si>
    <t>T₁ ≈ 2/3 от 1 850 млн</t>
  </si>
  <si>
    <t>Equity slider, %</t>
  </si>
  <si>
    <t>20 %</t>
  </si>
  <si>
    <t>T₂ даёт 20% equity upside</t>
  </si>
  <si>
    <t>Seniority</t>
  </si>
  <si>
    <t>Senior (1L)</t>
  </si>
  <si>
    <t>Pari-passu</t>
  </si>
  <si>
    <t>T₁ — приоритет, T₂ — equity</t>
  </si>
  <si>
    <t>Tranche schedule</t>
  </si>
  <si>
    <t>4 × (20/28/28/24)%</t>
  </si>
  <si>
    <t>Single disbursement</t>
  </si>
  <si>
    <t>T₁ milestone-based; T₂ — cash upfront</t>
  </si>
  <si>
    <t>Service fee / coupon</t>
  </si>
  <si>
    <t>Service fee 15 млн</t>
  </si>
  <si>
    <t>8% cumulative</t>
  </si>
  <si>
    <t>Для T₂ preferred return</t>
  </si>
  <si>
    <t>II.  ВОЗВРАТ И УПРАВЛЕНИЕ</t>
  </si>
  <si>
    <t>Recoupment priority</t>
  </si>
  <si>
    <t>1st cashflows до 1×</t>
  </si>
  <si>
    <t>2nd (после T₁)</t>
  </si>
  <si>
    <t>Waterfall order: LP return of capital → coupon → residual split (W₃ default)</t>
  </si>
  <si>
    <t>Preferred return</t>
  </si>
  <si>
    <t>8 % cumulative</t>
  </si>
  <si>
    <t>До equity conversion</t>
  </si>
  <si>
    <t>Waterfall split</t>
  </si>
  <si>
    <t>60 / 40 (Inv/Prod)</t>
  </si>
  <si>
    <t>50 / 50 pro-rata</t>
  </si>
  <si>
    <t>По default сценарию W₃ (см. 19_Waterfall и 24_Investor_Returns, Section II)</t>
  </si>
  <si>
    <t>Exit trigger</t>
  </si>
  <si>
    <t>2029-2032 tail</t>
  </si>
  <si>
    <t>Event-based (IPO/M&amp;A)</t>
  </si>
  <si>
    <t>T₁ — плановый; T₂ — event</t>
  </si>
  <si>
    <t>2.5</t>
  </si>
  <si>
    <t>Conversion mechanics</t>
  </si>
  <si>
    <t>Bullet repayment</t>
  </si>
  <si>
    <t>Equity at 5× multiple</t>
  </si>
  <si>
    <t>На exit event</t>
  </si>
  <si>
    <t>III.  УПРАВЛЕНИЕ И ЗАЩИТА</t>
  </si>
  <si>
    <t>Reporting</t>
  </si>
  <si>
    <t>Quarterly financial</t>
  </si>
  <si>
    <t>Quarterly + board seat</t>
  </si>
  <si>
    <t>T₂ имеет board observer</t>
  </si>
  <si>
    <t>Read-only</t>
  </si>
  <si>
    <t>Full + veto на major</t>
  </si>
  <si>
    <t>T₂ имеет protective provisions</t>
  </si>
  <si>
    <t>Drag-along / Tag-along</t>
  </si>
  <si>
    <t>Standard</t>
  </si>
  <si>
    <t>Drag + ROFR</t>
  </si>
  <si>
    <t>T₂ имеет ROFR на secondary</t>
  </si>
  <si>
    <t>Non-compete / ключ. сотрудники</t>
  </si>
  <si>
    <t>2 года</t>
  </si>
  <si>
    <t>3 года + key persons</t>
  </si>
  <si>
    <t>T₂ требует retention</t>
  </si>
  <si>
    <t>Termination</t>
  </si>
  <si>
    <t>Milestone default</t>
  </si>
  <si>
    <t>Material breach</t>
  </si>
  <si>
    <t>Разные триггеры</t>
  </si>
  <si>
    <t>IV.  COMBINED INVESTMENT ENVELOPE</t>
  </si>
  <si>
    <t>T₁ Legacy только</t>
  </si>
  <si>
    <t>1 250 млн ₽</t>
  </si>
  <si>
    <t>Базовый сценарий</t>
  </si>
  <si>
    <t>T₁ + T₂ совместно</t>
  </si>
  <si>
    <t>1 750 млн ₽</t>
  </si>
  <si>
    <t>Расширенный envelope (1 250 + 500)</t>
  </si>
  <si>
    <t>T₂ standalone</t>
  </si>
  <si>
    <t>500 млн ₽</t>
  </si>
  <si>
    <t>Если T₁ уже размещён ранее</t>
  </si>
  <si>
    <t>Producer equity (off-P&amp;L)</t>
  </si>
  <si>
    <t>600 млн ₽</t>
  </si>
  <si>
    <t>JV capital contribution, не входит в тикеты</t>
  </si>
  <si>
    <t>Total capital to production</t>
  </si>
  <si>
    <t>2 350 млн ₽</t>
  </si>
  <si>
    <t>★ 1 250 + 500 + 600 = 2 350</t>
  </si>
  <si>
    <t>18  ·  CAPITALIZATION TABLE  ·  Ownership Structure (2 сценария)</t>
  </si>
  <si>
    <t>Сценарий A: Только T₁ Legacy (1 250 млн, 30% equity).  Сценарий B: T₁ + T₂ New (1 750 млн, T₁=30% + T₂=20% = 50% dilution).</t>
  </si>
  <si>
    <t>СЦЕНАРИЙ A  ·  Только T₁ Legacy</t>
  </si>
  <si>
    <t>Shareholder</t>
  </si>
  <si>
    <t>Pre-money vkl, млн ₽</t>
  </si>
  <si>
    <t>Shares</t>
  </si>
  <si>
    <t>Ownership %</t>
  </si>
  <si>
    <t>Post-money val, млн ₽</t>
  </si>
  <si>
    <t>Comment</t>
  </si>
  <si>
    <t>A.1</t>
  </si>
  <si>
    <t>Founder / Producer</t>
  </si>
  <si>
    <t>Pre-money equity</t>
  </si>
  <si>
    <t>A.2</t>
  </si>
  <si>
    <t>T₁ Legacy Investor</t>
  </si>
  <si>
    <t>New money, 30% stake</t>
  </si>
  <si>
    <t>TOTAL</t>
  </si>
  <si>
    <t>★ Post-money 4 167 млн</t>
  </si>
  <si>
    <t>СЦЕНАРИЙ B  ·  T₁ Legacy + T₂ New (совместно)</t>
  </si>
  <si>
    <t>Pre-money, 50% retained</t>
  </si>
  <si>
    <t>Senior tranche</t>
  </si>
  <si>
    <t>T₂ New Investor</t>
  </si>
  <si>
    <t>Slider 20% equity</t>
  </si>
  <si>
    <t>★ Post-money 3 500 млн</t>
  </si>
  <si>
    <t>III.  FULLY DILUTED  ·  Implied Exit Valuation</t>
  </si>
  <si>
    <t>Exit EBITDA (GAAP, Y5 run-rate)</t>
  </si>
  <si>
    <t>430 млн ₽</t>
  </si>
  <si>
    <t>Base case год 2030</t>
  </si>
  <si>
    <t>Base multiple (5×)</t>
  </si>
  <si>
    <t>5.0 ×</t>
  </si>
  <si>
    <t>Russian media sector</t>
  </si>
  <si>
    <t>Implied Enterprise Value</t>
  </si>
  <si>
    <t>2 150 млн ₽</t>
  </si>
  <si>
    <t>= EBITDA × multiple</t>
  </si>
  <si>
    <t>Less: Net Debt</t>
  </si>
  <si>
    <t>0 млн ₽</t>
  </si>
  <si>
    <t>T₁ погашен к 2030</t>
  </si>
  <si>
    <t>Equity value</t>
  </si>
  <si>
    <t>= EV − Net Debt</t>
  </si>
  <si>
    <t>+ NDP tail distributions</t>
  </si>
  <si>
    <t>850 млн ₽</t>
  </si>
  <si>
    <t>Cash from 2030-2032</t>
  </si>
  <si>
    <t>Total shareholder value</t>
  </si>
  <si>
    <t>3 000 млн ₽</t>
  </si>
  <si>
    <t>★ Matches NDP anchor</t>
  </si>
  <si>
    <t>✓ Сценарий A: Founder 70% / T₁ 30% = 100%  |  Сценарий B: Founder 50% / T₁ 30% / T₂ 20% = 100%  |  Implied SH value 3 000 млн ₽ ≡ NDP anchor</t>
  </si>
  <si>
    <t>19  ·  DISTRIBUTION WATERFALL  ·  4 варианта распределения NDP 3 000 млн ₽ ·  T₁ Legacy (invest 1 250 + producer 600)</t>
  </si>
  <si>
    <t>W₁ — Hurdle 60/40 → 50/50.  W₂ — Pro-rata по вкладу.  W₃ — 1× Liq Pref + 8% coupon + 60/40 (★ DEFAULT с v1.0.1).  W₄ — 1× Liq Pref + 12% preferred + 65/35 + exit 6× (premium option).  Revenue pattern: A+C 33/45/9/13 (Y2029=33%, Y2030=45%, Y2031=9%, Y2032=13%).</t>
  </si>
  <si>
    <t>W₁  ·  HURDLE SPLIT  ·  60 / 40 до break-even, затем 50 / 50</t>
  </si>
  <si>
    <t>Stage</t>
  </si>
  <si>
    <t>Размер стадии</t>
  </si>
  <si>
    <t>Инвестор</t>
  </si>
  <si>
    <t>Продюсер</t>
  </si>
  <si>
    <t>Правило</t>
  </si>
  <si>
    <t>Stage 1: 60/40 до recoupment T₁ (1 250)</t>
  </si>
  <si>
    <t>60% до тех пор пока инвестор не получит 1 250</t>
  </si>
  <si>
    <t>Stage 2: 50/50 на остаток</t>
  </si>
  <si>
    <t>50/50 на оставшиеся 917 млн после recoupment</t>
  </si>
  <si>
    <t>TOTAL W₁</t>
  </si>
  <si>
    <t>Инвестор 56.9% / Продюсер 43.1%</t>
  </si>
  <si>
    <t>W₂  ·  PRO-RATA  ·  По доле финансового вклада (67.6% / 32.4%)</t>
  </si>
  <si>
    <t>Pro-rata investor: 1 250 / 1 850 = 67.57%</t>
  </si>
  <si>
    <t>Доля инвестора: 67.57%</t>
  </si>
  <si>
    <t>Pro-rata producer: 600 / 1 850 = 32.43%</t>
  </si>
  <si>
    <t>Доля продюсера: 32.43%</t>
  </si>
  <si>
    <t>TOTAL W₂</t>
  </si>
  <si>
    <t>Pro-rata даёт больше инвестору (+318 vs W₁)</t>
  </si>
  <si>
    <t>W₃  ·  LIQ PREF  ·  1× + 8% coupon + 60/40 на остаток  (★ DEFAULT с v1.0.1)</t>
  </si>
  <si>
    <t>Stage 1: 1× Liquidation Preference (investor)</t>
  </si>
  <si>
    <t>Investor recoups 1 × principal = 1 250</t>
  </si>
  <si>
    <t>Stage 2: 8% coupon cumulative × 5 лет</t>
  </si>
  <si>
    <t>Preferred return: 1 250 × 8% × 5y = 500</t>
  </si>
  <si>
    <t>Stage 3: 60/40 на остаток</t>
  </si>
  <si>
    <t>Carried interest: 60% investor / 40% producer</t>
  </si>
  <si>
    <t>TOTAL W₃ ★</t>
  </si>
  <si>
    <t>Investor 83.3% / Producer 16.7% — BASE CASE</t>
  </si>
  <si>
    <t>W₄  ·  PREMIUM  ·  1× + 12% preferred × 5y + 65/35 + exit 6× (premium negotiation)</t>
  </si>
  <si>
    <t>Stage 2: 12% preferred return × 5 лет</t>
  </si>
  <si>
    <t>Accrued preferred: 1 250 × 12% × 5y = 750</t>
  </si>
  <si>
    <t>Stage 3: 65/35 carry на остаток (1 000)</t>
  </si>
  <si>
    <t>Carry: 65% investor / 35% producer</t>
  </si>
  <si>
    <t>TOTAL W₄</t>
  </si>
  <si>
    <t>Investor 88.3% / Producer 11.7% — PREMIUM</t>
  </si>
  <si>
    <t>IV  ·  COMPARISON TABLE  ·  4 варианта (IRR — см. 24_Investor_Returns)</t>
  </si>
  <si>
    <t>Вариант</t>
  </si>
  <si>
    <t>Инвестор, млн ₽</t>
  </si>
  <si>
    <t>Инв %</t>
  </si>
  <si>
    <t>Продюсер, млн ₽</t>
  </si>
  <si>
    <t>Прод %</t>
  </si>
  <si>
    <t>MoIC</t>
  </si>
  <si>
    <t>W₁</t>
  </si>
  <si>
    <t>Hurdle 60/40 → 50/50</t>
  </si>
  <si>
    <t>Producer-friendly, weakest for LP</t>
  </si>
  <si>
    <t>W₂</t>
  </si>
  <si>
    <t>Pro-rata по вкладу</t>
  </si>
  <si>
    <t>Fair by capital, no hurdle</t>
  </si>
  <si>
    <t>W₃</t>
  </si>
  <si>
    <t>1× Liq Pref + 8% + 60/40</t>
  </si>
  <si>
    <t>★ DEFAULT — LP downside protection</t>
  </si>
  <si>
    <t>W₄</t>
  </si>
  <si>
    <t>1× Liq Pref + 12% + 65/35</t>
  </si>
  <si>
    <t>Premium negotiation option</t>
  </si>
  <si>
    <t>✓ W₁ Σ = 3 000.0  ·  ✓ W₂ Σ = 3 000.0  ·  ✓ W₃ Σ = 3 000.0 (★ DEFAULT)  ·  ✓ W₄ Σ = 3,000.0  |  IRR W₃ A+C: Base 20.09%, Bear 9.34%, Bull 28.78% (см. 24_Investor_Returns Matrix 5×4)</t>
  </si>
  <si>
    <t>UNIT ECONOMICS PER FILM — ПОРТФЕЛЬ 12 ФИЛЬМОВ 2026–2028</t>
  </si>
  <si>
    <t>Валовая экономика на фильм: бюджет, P&amp;A, выручка за жизненный цикл (2026–2032), маржа, ROI, payback в кварталах и break-even attendance</t>
  </si>
  <si>
    <t>№</t>
  </si>
  <si>
    <t>Название</t>
  </si>
  <si>
    <t>P&amp;A</t>
  </si>
  <si>
    <t>Total Cost</t>
  </si>
  <si>
    <t>Revenue
(lifetime)</t>
  </si>
  <si>
    <t>Gross
Profit</t>
  </si>
  <si>
    <t>Multiple</t>
  </si>
  <si>
    <t>ROI</t>
  </si>
  <si>
    <t>Payback (Q)</t>
  </si>
  <si>
    <t>Risk</t>
  </si>
  <si>
    <t>Драма</t>
  </si>
  <si>
    <t>Low</t>
  </si>
  <si>
    <t>Экшн</t>
  </si>
  <si>
    <t>Medium</t>
  </si>
  <si>
    <t>Блокбастер</t>
  </si>
  <si>
    <t>High</t>
  </si>
  <si>
    <t>Исторический</t>
  </si>
  <si>
    <t>Семейный</t>
  </si>
  <si>
    <t>Биография</t>
  </si>
  <si>
    <t>Приключения</t>
  </si>
  <si>
    <t>Триллер</t>
  </si>
  <si>
    <t>ИТОГО ПОРТФЕЛЬ (12 фильмов)</t>
  </si>
  <si>
    <t>КЛЮЧЕВЫЕ ИНСАЙТЫ UNIT ECONOMICS</t>
  </si>
  <si>
    <t>Σ Total Cost / Σ COGS</t>
  </si>
  <si>
    <t>2127.5 млн ₽ = 2 127.5 млн ₽ (matches P&amp;L COGS)</t>
  </si>
  <si>
    <t>Σ Revenue lifetime</t>
  </si>
  <si>
    <t>5594.9 млн ₽ = 4 545 (2026-2028) + 1 050 (tail 2029-32)</t>
  </si>
  <si>
    <t>Portfolio Gross Margin</t>
  </si>
  <si>
    <t>62.0% (industry benchmark: 55-65%)</t>
  </si>
  <si>
    <t>Portfolio Multiple</t>
  </si>
  <si>
    <t>3.02× (break-even 1.2×, target 2.5×)</t>
  </si>
  <si>
    <t>Portfolio ROI</t>
  </si>
  <si>
    <t>163.0% (hurdle rate 40%, target 60%)</t>
  </si>
  <si>
    <t>Avg Payback</t>
  </si>
  <si>
    <t>3.3 Q (target ≤ 6 кварталов)</t>
  </si>
  <si>
    <t>High-risk films</t>
  </si>
  <si>
    <t>2 из 12 (Время героев 250, Горизонт событий 160)</t>
  </si>
  <si>
    <t>Concentration</t>
  </si>
  <si>
    <t>Top-3 budgets = 720 млн ₽ = 38.9% от portfolio</t>
  </si>
  <si>
    <t>KPI DASHBOARD — ИНВЕСТОРСКАЯ СВОДКА ПО ГОДАМ</t>
  </si>
  <si>
    <t>Ключевые показатели эффективности холдинга «ТрендСтудио» — Dual metric (GAAP EBITDA + NDP anchor) · Scenario stripe Bear/Base/Bull</t>
  </si>
  <si>
    <t>Метрика</t>
  </si>
  <si>
    <t>Σ 3Y</t>
  </si>
  <si>
    <t>Tail 29-32</t>
  </si>
  <si>
    <t>Σ Life</t>
  </si>
  <si>
    <t>Scenario</t>
  </si>
  <si>
    <t>I. REVENUE &amp; GROWTH</t>
  </si>
  <si>
    <t>Revenue, млн ₽</t>
  </si>
  <si>
    <t>Base</t>
  </si>
  <si>
    <t>Revenue YoY growth</t>
  </si>
  <si>
    <t>332%</t>
  </si>
  <si>
    <t>50%</t>
  </si>
  <si>
    <t>CAGR 155%</t>
  </si>
  <si>
    <t>Films released (шт)</t>
  </si>
  <si>
    <t>Avg budget per film, млн ₽</t>
  </si>
  <si>
    <t>II. PROFITABILITY — Dual Metric</t>
  </si>
  <si>
    <t>EBITDA GAAP, млн ₽</t>
  </si>
  <si>
    <t>NDP (legacy anchor), млн ₽</t>
  </si>
  <si>
    <t>Net Profit margin, %</t>
  </si>
  <si>
    <t>III. RETURNS &amp; MULTIPLES</t>
  </si>
  <si>
    <t>ROI portfolio, %</t>
  </si>
  <si>
    <t>57.9%</t>
  </si>
  <si>
    <t>Gross multiple</t>
  </si>
  <si>
    <t>2.14×</t>
  </si>
  <si>
    <t>0.49×</t>
  </si>
  <si>
    <t>3.02×</t>
  </si>
  <si>
    <t>IRR investor T₁ (W₃ default)</t>
  </si>
  <si>
    <t>20.09%</t>
  </si>
  <si>
    <t>Base W₃ A+C (hurdle +2.09pp)</t>
  </si>
  <si>
    <t>MOIC investor T₁ (W₃)</t>
  </si>
  <si>
    <t>2.0×</t>
  </si>
  <si>
    <t>2.00×</t>
  </si>
  <si>
    <t>Payback T₁ (years)</t>
  </si>
  <si>
    <t>3.23y</t>
  </si>
  <si>
    <t>Base (A+C frontload: principal within Y2029-Y2030)</t>
  </si>
  <si>
    <t>EV/EBITDA exit (5×)</t>
  </si>
  <si>
    <t>10 760 млн ₽</t>
  </si>
  <si>
    <t>Bull</t>
  </si>
  <si>
    <t>IV. CASH &amp; DEBT</t>
  </si>
  <si>
    <t>T₁ drawn cumul., млн ₽</t>
  </si>
  <si>
    <t>Cash end period, млн ₽</t>
  </si>
  <si>
    <t>Interest expense, млн ₽</t>
  </si>
  <si>
    <t>DSCR (EBITDA/Interest)</t>
  </si>
  <si>
    <t>Net Debt / EBITDA</t>
  </si>
  <si>
    <t>0.00×</t>
  </si>
  <si>
    <t>V. OPERATIONAL</t>
  </si>
  <si>
    <t>Production CAPEX, млн ₽</t>
  </si>
  <si>
    <t>P&amp;A spend, млн ₽</t>
  </si>
  <si>
    <t>5.4</t>
  </si>
  <si>
    <t>Success rate (ROI&gt;40%)</t>
  </si>
  <si>
    <t>12/12</t>
  </si>
  <si>
    <t>100%</t>
  </si>
  <si>
    <t>5.5</t>
  </si>
  <si>
    <t>High-risk films (% of budget)</t>
  </si>
  <si>
    <t>22.2%</t>
  </si>
  <si>
    <t>VI. SCENARIO STRIPE (Revenue 2028 · EBITDA 3Y · Net Profit 3Y · Exit EV)</t>
  </si>
  <si>
    <t>Revenue 2028</t>
  </si>
  <si>
    <t>EBITDA 3Y</t>
  </si>
  <si>
    <t>NDP 3Y</t>
  </si>
  <si>
    <t>Net Profit 3Y</t>
  </si>
  <si>
    <t>IRR T₁</t>
  </si>
  <si>
    <t>MOIC T₁</t>
  </si>
  <si>
    <t>EV/Mult</t>
  </si>
  <si>
    <t>EV млн ₽</t>
  </si>
  <si>
    <t>Bear</t>
  </si>
  <si>
    <t>9.34%</t>
  </si>
  <si>
    <t>1.33×</t>
  </si>
  <si>
    <t>3×</t>
  </si>
  <si>
    <t>5×</t>
  </si>
  <si>
    <t>28.78%</t>
  </si>
  <si>
    <t>2.59×</t>
  </si>
  <si>
    <t>7×</t>
  </si>
  <si>
    <t>Примечание: Base case — якорь NDP 3 000 млн ₽; Bear = 0.75× Base; Bull = 1.25× Base. EV/EBITDA мультипликаторы: 3× bear / 5× base / 7× bull.</t>
  </si>
  <si>
    <t>VALUATION — DCF (Discounted Cash Flow) · 5Y Forecast 2026–2030</t>
  </si>
  <si>
    <t>WACC = 19.1% · Terminal growth g = 3% · Exit Mult = 5.0× EBITDA</t>
  </si>
  <si>
    <t>I. WACC BUILD-UP</t>
  </si>
  <si>
    <t>Risk-free rate (ОФЗ 10Y)</t>
  </si>
  <si>
    <t>Levered β (cinema/media)</t>
  </si>
  <si>
    <t>Equity Risk Premium</t>
  </si>
  <si>
    <t>Country risk premium (РФ)</t>
  </si>
  <si>
    <t>Size premium (small-cap)</t>
  </si>
  <si>
    <t>Cost of Equity (CAPM extended)</t>
  </si>
  <si>
    <t>Cost of Debt (pre-tax)</t>
  </si>
  <si>
    <t>Cost of Debt (after-tax, 20%)</t>
  </si>
  <si>
    <t>D/V target capital structure</t>
  </si>
  <si>
    <t>E/V target capital structure</t>
  </si>
  <si>
    <t>WACC (weighted)</t>
  </si>
  <si>
    <t>II. FORECAST FREE CASH FLOW TO FIRM (FCFF)</t>
  </si>
  <si>
    <t>Показатель, млн ₽</t>
  </si>
  <si>
    <t>Σ / PV</t>
  </si>
  <si>
    <t>D&amp;A</t>
  </si>
  <si>
    <t>EBIT</t>
  </si>
  <si>
    <t>5</t>
  </si>
  <si>
    <t>NOPAT = EBIT × (1−t)</t>
  </si>
  <si>
    <t>6</t>
  </si>
  <si>
    <t>+ D&amp;A</t>
  </si>
  <si>
    <t>7</t>
  </si>
  <si>
    <t>− CAPEX</t>
  </si>
  <si>
    <t>8</t>
  </si>
  <si>
    <t>− ΔNWC</t>
  </si>
  <si>
    <t>9</t>
  </si>
  <si>
    <t>10</t>
  </si>
  <si>
    <t>PV FCFF @ WACC 19.1%</t>
  </si>
  <si>
    <t>III. ENTERPRISE VALUE BRIDGE</t>
  </si>
  <si>
    <t>Σ PV of Explicit FCFF (10 years)</t>
  </si>
  <si>
    <t>Terminal Value — Gordon (g=3%)</t>
  </si>
  <si>
    <t>PV of Terminal Value — Gordon</t>
  </si>
  <si>
    <t>Enterprise Value (Gordon method)</t>
  </si>
  <si>
    <t>Terminal Value — Exit Multiple (5× EBITDA2030)</t>
  </si>
  <si>
    <t>PV of Terminal Value — Exit Multiple</t>
  </si>
  <si>
    <t>Enterprise Value (Exit Multiple method)</t>
  </si>
  <si>
    <t>EV blended (avg of Gordon + Exit Mult)</t>
  </si>
  <si>
    <t>(−) Net Debt at valuation date</t>
  </si>
  <si>
    <t>= Equity Value</t>
  </si>
  <si>
    <t>IV. SENSITIVITY: EV (GORDON METHOD) vs WACC × g</t>
  </si>
  <si>
    <t>WACC \ g</t>
  </si>
  <si>
    <t>g=1%</t>
  </si>
  <si>
    <t>g=2%</t>
  </si>
  <si>
    <t>g=3%</t>
  </si>
  <si>
    <t>g=4%</t>
  </si>
  <si>
    <t>g=5%</t>
  </si>
  <si>
    <t>15.0%</t>
  </si>
  <si>
    <t>17.1%</t>
  </si>
  <si>
    <t>19.1%</t>
  </si>
  <si>
    <t>21.1%</t>
  </si>
  <si>
    <t>23.1%</t>
  </si>
  <si>
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</si>
  <si>
    <t>VI. WHY DCF &lt; MULTIPLES — QUICK NOTE</t>
  </si>
  <si>
    <t>DCF (≈ 1 815 млн ₽) vs Comps median (≈ 7 550 млн ₽). Разница структурна, не ошибочна.</t>
  </si>
  <si>
    <t>Причина разрыва</t>
  </si>
  <si>
    <t>Механика</t>
  </si>
  <si>
    <t>Оценка вклада</t>
  </si>
  <si>
    <t>Горизонт обрезан на 2030</t>
  </si>
  <si>
    <t>Gordon Growth TV сжимает 30-летнюю библиотеку в константу g=3%. Фильмы 2028 года монетизируются до ~2048, но при WACC 19% CF 2046 = 0.5% от номинала.</t>
  </si>
  <si>
    <t>+2 500 млн ₽</t>
  </si>
  <si>
    <t>WACC 19% vs buyer WACC 7%</t>
  </si>
  <si>
    <t>Страновой premium «съедает» дальний tail. Strategic buyer (Яндекс/Сбер) дисконтирует под 7-9%, получая другой NPV того же CF stream.</t>
  </si>
  <si>
    <t>+1 500 млн ₽</t>
  </si>
  <si>
    <t>Real options не моделируются</t>
  </si>
  <si>
    <t>Франшизы (сиквелы F05/F12), кросс-медиа (игры, мерч), международная копродукция — опционные payoffs, DCF считает их = 0.</t>
  </si>
  <si>
    <t>Execution risk двойное начисление</t>
  </si>
  <si>
    <t>В DCF высокий WACC + реалистичный forecast = два слоя консерватизма. Multiples — precedent prices, риск уже реализован в цене.</t>
  </si>
  <si>
    <t>(встроено)</t>
  </si>
  <si>
    <t>Капитальная цикличность после 2028</t>
  </si>
  <si>
    <t>CAPEX падает, FCF растёт импульсом. Gordon g=3% сглаживает этот impulse в линейный рост.</t>
  </si>
  <si>
    <t>+500 млн ₽</t>
  </si>
  <si>
    <t>Сумма структурных компонентов разрыва</t>
  </si>
  <si>
    <t>Примерно совпадает с фактической разницей 5 735 млн ₽ (7 550 − 1 815)</t>
  </si>
  <si>
    <t>≈ 5 500 млн ₽</t>
  </si>
  <si>
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</si>
  <si>
    <t>→ Полный анализ разрыва см. лист 36_Executive_Summary (раздел «Valuation Range Interpretation»)</t>
  </si>
  <si>
    <t>VALUATION — TRADING &amp; PRECEDENT MULTIPLES + FOOTBALL FIELD</t>
  </si>
  <si>
    <t>Сравнительная оценка с peers российского кино/OTT-рынка и прецеденты M&amp;A сделок 2022–2025</t>
  </si>
  <si>
    <t>I. TRADING MULTIPLES — PEER GROUP (РФ кино/OTT)</t>
  </si>
  <si>
    <t>Компания</t>
  </si>
  <si>
    <t>Сегмент</t>
  </si>
  <si>
    <t>EV</t>
  </si>
  <si>
    <t>EV/Rev</t>
  </si>
  <si>
    <t>EV/EBITDA</t>
  </si>
  <si>
    <t>EBITDA M%</t>
  </si>
  <si>
    <t>Примечание</t>
  </si>
  <si>
    <t>Яндекс Кинопоиск</t>
  </si>
  <si>
    <t>OTT подписка</t>
  </si>
  <si>
    <t>Базовый кейс</t>
  </si>
  <si>
    <t>Okko</t>
  </si>
  <si>
    <t>Sber Entertainment</t>
  </si>
  <si>
    <t>ivi</t>
  </si>
  <si>
    <t>OTT AVOD+SVOD</t>
  </si>
  <si>
    <t>Private</t>
  </si>
  <si>
    <t>START</t>
  </si>
  <si>
    <t>OTT оригиналы</t>
  </si>
  <si>
    <t>Nexters</t>
  </si>
  <si>
    <t>Premier</t>
  </si>
  <si>
    <t>OTT семейн.</t>
  </si>
  <si>
    <t>ГПМ</t>
  </si>
  <si>
    <t>Мосфильм</t>
  </si>
  <si>
    <t>Production</t>
  </si>
  <si>
    <t>Госкомпания</t>
  </si>
  <si>
    <t>Peer group — Mean</t>
  </si>
  <si>
    <t>Peer group — Median</t>
  </si>
  <si>
    <t>Peer group — Min</t>
  </si>
  <si>
    <t>Peer group — Max</t>
  </si>
  <si>
    <t>II. APPLY MULTIPLES TO ТРЕНДСТУДИО (Base EBITDA 2028 = 1 462 · Rev 2028 = 2 495)</t>
  </si>
  <si>
    <t>Метод</t>
  </si>
  <si>
    <t>Implied EV</t>
  </si>
  <si>
    <t>Peer Min × EBITDA 2028</t>
  </si>
  <si>
    <t>Peer Median × EBITDA 2028</t>
  </si>
  <si>
    <t>Peer Mean × EBITDA 2028</t>
  </si>
  <si>
    <t>Peer Max × EBITDA 2028</t>
  </si>
  <si>
    <t>Peer Min × Revenue 2028</t>
  </si>
  <si>
    <t>Peer Median × Revenue 2028</t>
  </si>
  <si>
    <t>Peer Mean × Revenue 2028</t>
  </si>
  <si>
    <t>Peer Max × Revenue 2028</t>
  </si>
  <si>
    <t>III. PRECEDENT M&amp;A TRANSACTIONS (РФ медиа/OTT, 2022–2025)</t>
  </si>
  <si>
    <t>Сделка</t>
  </si>
  <si>
    <t>Target Rev</t>
  </si>
  <si>
    <t>Deal EV</t>
  </si>
  <si>
    <t>Сбер → Okko (увеличение доли)</t>
  </si>
  <si>
    <t>Консолидация OTT в экосистеме</t>
  </si>
  <si>
    <t>Газпром-Медиа → Premier</t>
  </si>
  <si>
    <t>Stream-платформа Premier</t>
  </si>
  <si>
    <t>ВК → zvook/Russkoe Radio медиа</t>
  </si>
  <si>
    <t>Мультимедиа консолидация</t>
  </si>
  <si>
    <t>IV. FOOTBALL FIELD — ИТОГОВЫЙ ДИАПАЗОН ОЦЕНКИ, млн ₽</t>
  </si>
  <si>
    <t>Метод оценки</t>
  </si>
  <si>
    <t>Mid</t>
  </si>
  <si>
    <t>Commentary</t>
  </si>
  <si>
    <t>DCF — Gordon Growth</t>
  </si>
  <si>
    <t>g=3%, WACC=19.1%, sensitivity ±15%</t>
  </si>
  <si>
    <t>DCF — Exit Multiple</t>
  </si>
  <si>
    <t>5× EBITDA2030, ±15% sensitivity</t>
  </si>
  <si>
    <t>Trading Multiples — EV/EBITDA</t>
  </si>
  <si>
    <t>Peer median 5.71× × EBITDA 2028</t>
  </si>
  <si>
    <t>Trading Multiples — EV/Revenue</t>
  </si>
  <si>
    <t>Peer median 0.80× × Rev 2028</t>
  </si>
  <si>
    <t>Precedent Transactions</t>
  </si>
  <si>
    <t>Med 5.90× (3 M&amp;A)</t>
  </si>
  <si>
    <t>Scenario Base (internal)</t>
  </si>
  <si>
    <t>EBITDA 3Y × 3×/5×/7× (bear/base/bull)</t>
  </si>
  <si>
    <t>ИТОГО Football Field</t>
  </si>
  <si>
    <t>Envelope: 1072 – 15064, mid ≈ 5560 млн ₽</t>
  </si>
  <si>
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</si>
  <si>
    <t>INVESTOR RETURNS — T₁ LEGACY 1 250 млн ₽  ·  5 Scenarios × 4 Waterfalls  ·  Base illustration = W₃ DEFAULT  ·  A+C pattern 33/45/9/13</t>
  </si>
  <si>
    <t>IRR / MOIC / DPI / TVPI анализ — базовый waterfall W₃ (Liq Pref 1× + 8% coupon + 60/40) с четырьмя вариантами распределения NDP. Revenue distribution: A+C asymmetric pattern Y2029=33%, Y2030=45%, Y2031=9%, Y2032=13% (frontload 78% в Y29-Y30). Single methodology: out quarterly 2026, in annual 2029-2032.</t>
  </si>
  <si>
    <t>I. T₁ INVESTOR CASHFLOW SCHEDULE (Base case · W₃ Liq Pref + 8% + 60/40 DEFAULT)</t>
  </si>
  <si>
    <t>Действие</t>
  </si>
  <si>
    <t>Tranche/Repay</t>
  </si>
  <si>
    <t>Interest</t>
  </si>
  <si>
    <t>Equity Upside</t>
  </si>
  <si>
    <t>Net CF</t>
  </si>
  <si>
    <t>Cumul. CF</t>
  </si>
  <si>
    <t>Peak Exposure</t>
  </si>
  <si>
    <t>Type</t>
  </si>
  <si>
    <t>Q1 2026</t>
  </si>
  <si>
    <t>Tranche disbursement</t>
  </si>
  <si>
    <t>Out</t>
  </si>
  <si>
    <t>Q2 2026</t>
  </si>
  <si>
    <t>Q3 2026</t>
  </si>
  <si>
    <t>Liq Pref (partial, A+C Y29=33%)</t>
  </si>
  <si>
    <t>In</t>
  </si>
  <si>
    <t>Liq Pref final + coupon + carry (A+C Y30=45%)</t>
  </si>
  <si>
    <t>Carried interest share (A+C Y31=9%)</t>
  </si>
  <si>
    <t>Carried interest share (A+C Y32=13%)</t>
  </si>
  <si>
    <t>ИТОГО</t>
  </si>
  <si>
    <t>II. RETURNS MATRIX — 5 SCENARIOS × 4 WATERFALLS (IRR / MOIC, A+C pattern)</t>
  </si>
  <si>
    <t>W₁ IRR</t>
  </si>
  <si>
    <t>W₁ MOIC</t>
  </si>
  <si>
    <t>W₂ IRR</t>
  </si>
  <si>
    <t>W₂ MOIC</t>
  </si>
  <si>
    <t>W₃ IRR</t>
  </si>
  <si>
    <t>W₃ MOIC</t>
  </si>
  <si>
    <t>W₄ IRR</t>
  </si>
  <si>
    <t>W₄ MOIC</t>
  </si>
  <si>
    <t>Best</t>
  </si>
  <si>
    <t>NDP</t>
  </si>
  <si>
    <t>Stress Bear</t>
  </si>
  <si>
    <t>Downside</t>
  </si>
  <si>
    <t>Base Case</t>
  </si>
  <si>
    <t>Upside</t>
  </si>
  <si>
    <t>Bull Case</t>
  </si>
  <si>
    <t>III. CASH-ON-CASH METRICS (Base case · W₃ DEFAULT)</t>
  </si>
  <si>
    <t>Gross Invested (4 tranches)</t>
  </si>
  <si>
    <t>Σ outflow T₁</t>
  </si>
  <si>
    <t>III. CASH-ON-CASH METRICS (Base case · W₃ DEFAULT · A+C pattern)</t>
  </si>
  <si>
    <t>W₃: 1250 liq pref + 500 coupon + 750 carried</t>
  </si>
  <si>
    <t>Gross Proceeds (principal + interest + upside)</t>
  </si>
  <si>
    <t>Net Gain</t>
  </si>
  <si>
    <t>Return on capital (net gain)</t>
  </si>
  <si>
    <t>Net Gain %</t>
  </si>
  <si>
    <t>Total return % (net gain / invest)</t>
  </si>
  <si>
    <t>MOIC (Multiple on Invested Capital)</t>
  </si>
  <si>
    <t>MOIC = 2500.0/1250.0 (investor-friendly W₃)</t>
  </si>
  <si>
    <t>DPI (Distributions / Paid-in)</t>
  </si>
  <si>
    <t>DPI fully realized</t>
  </si>
  <si>
    <t>TVPI (Total Value / Paid-in)</t>
  </si>
  <si>
    <t>= DPI (no NAV)</t>
  </si>
  <si>
    <t>IRR (fractional period)</t>
  </si>
  <si>
    <t>Hurdle 18%, PASS (+2.09pp), A+C pattern</t>
  </si>
  <si>
    <t>Peak Exposure (max drawdown)</t>
  </si>
  <si>
    <t>Q4'26 full draw 1 250</t>
  </si>
  <si>
    <t>Payback period</t>
  </si>
  <si>
    <t>A+C pattern: principal returned within Y2029-Y2030 (frontload)</t>
  </si>
  <si>
    <t>IV. RETURN ATTRIBUTION — РАЗБИВКА ROI (Base W₃ DEFAULT)</t>
  </si>
  <si>
    <t>IV. RETURN ATTRIBUTION — РАЗБИВКА ROI (Base W₃ DEFAULT, A+C pattern)</t>
  </si>
  <si>
    <t>% of Σ</t>
  </si>
  <si>
    <t>Return of Principal (Liq Pref 1×)</t>
  </si>
  <si>
    <t>Stage 1 W₃: senior recovery</t>
  </si>
  <si>
    <t>Preferred Return Coupon (8% × 5y)</t>
  </si>
  <si>
    <t>Stage 2 W₃: 1250 × 8% × 5y = 500</t>
  </si>
  <si>
    <t>Carried Interest Share (60% of 750 residual)</t>
  </si>
  <si>
    <t>Stage 3 W₃: 60% × (2500 − 1250 − 500)</t>
  </si>
  <si>
    <t>ИТОГО ROI</t>
  </si>
  <si>
    <t>= 1250 + 500 + 750 (W₃ Base NDP 3000)</t>
  </si>
  <si>
    <t>V. RISK DISCLAIMERS (W₃ + A+C pattern)</t>
  </si>
  <si>
    <t>V.1  Bear scenario (NDP 1 800) IRR = 9.34% — значительно ниже hurdle 18% (−8.66pp). При downside NDP front-loaded A+C pattern (78% в Y29-Y30) усиливает негативный эффект: остаточные потоки Y31-Y32 не компенсируют временную стоимость денег.</t>
  </si>
  <si>
    <t>V.2  Downside scenario (NDP 2 400) IRR = 15.14% — ниже hurdle 18% (−2.86pp). В отличие от Bear, principal полностью возвращается (MoIC 1.71×), но IRR не достигает hurdle из-за сниженного carry в T₃.</t>
  </si>
  <si>
    <t>V.3  Base scenario IRR = 20.09% превышает hurdle на +2.09pp. Margin к hurdle под W₃ (2.09pp) ниже, чем под Internal W₅ V-D (6.75pp) — это конструктивная особенность W₃ (меньше tiers = меньше upside capture).</t>
  </si>
  <si>
    <t>V.4  Monte Carlo simulation (N=5 000, seed=42): Mean IRR = 11.44% (на 8.65pp ниже Det Base 20.09%). P(IRR &gt; 18% hurdle) = 13.6%. Только 13.6% симуляций достигают hurdle — основной драйвер: hit_rate (корреляция r=0.70). Детерминированный Base ≠ стохастическое ожидание.</t>
  </si>
  <si>
    <t>EXIT SCENARIOS — 4 ROUTES × 3 TIMING (2028 / 2030 / 2032)</t>
  </si>
  <si>
    <t>Стратегические сценарии выхода инвестора T₁ с оценкой EV, net proceeds и probability-weighted expected value</t>
  </si>
  <si>
    <t>I. EXIT ROUTES MATRIX (EBITDA base × Multiple → EV → Equity)</t>
  </si>
  <si>
    <t>Exit Route</t>
  </si>
  <si>
    <t>Timing</t>
  </si>
  <si>
    <t>EBITDA base</t>
  </si>
  <si>
    <t>Net Debt</t>
  </si>
  <si>
    <t>Equity</t>
  </si>
  <si>
    <t>T₁ proceeds</t>
  </si>
  <si>
    <t>Prob %</t>
  </si>
  <si>
    <t>Strategic Sale</t>
  </si>
  <si>
    <t>IPO</t>
  </si>
  <si>
    <t>Secondary/Recap</t>
  </si>
  <si>
    <t>Liquidation</t>
  </si>
  <si>
    <t>Probability-weighted total</t>
  </si>
  <si>
    <t>II. BASE EXIT BRIDGE — Strategic Sale 2030 (Prob 20% · highest weighted)</t>
  </si>
  <si>
    <t>EBITDA 2030 (LTM)</t>
  </si>
  <si>
    <t>Steady-state rolling slate</t>
  </si>
  <si>
    <t>× Exit Multiple</t>
  </si>
  <si>
    <t>Strategic buyer premium</t>
  </si>
  <si>
    <t>= Enterprise Value</t>
  </si>
  <si>
    <t>Before capital structure</t>
  </si>
  <si>
    <t>(−) Net Debt</t>
  </si>
  <si>
    <t>T₁ repaid in 2029-2030</t>
  </si>
  <si>
    <t>(+) Cash &amp; equivalents</t>
  </si>
  <si>
    <t>Distributed to holders</t>
  </si>
  <si>
    <t>For distribution</t>
  </si>
  <si>
    <t>(−) Transaction costs (2%)</t>
  </si>
  <si>
    <t>Advisory, legal</t>
  </si>
  <si>
    <t>= Net Equity Proceeds</t>
  </si>
  <si>
    <t>Available for waterfall</t>
  </si>
  <si>
    <t>III. WATERFALL AT EXIT — PROCEEDS DISTRIBUTION (Scenario B: 50/30/20)</t>
  </si>
  <si>
    <t>Level</t>
  </si>
  <si>
    <t>Net Equity Proceeds</t>
  </si>
  <si>
    <t>100% available</t>
  </si>
  <si>
    <t>Step 1. T₁ Return of Capital (1 250)</t>
  </si>
  <si>
    <t>Senior recovery</t>
  </si>
  <si>
    <t>Step 2. T₂ Return of Capital (500)</t>
  </si>
  <si>
    <t>Pari-passu recovery</t>
  </si>
  <si>
    <t>Step 3. Residual after RoC</t>
  </si>
  <si>
    <t>Available for hurdle</t>
  </si>
  <si>
    <t>Step 4. Hurdle split 50/50 on residual</t>
  </si>
  <si>
    <t xml:space="preserve">  → Founder 50% of residual</t>
  </si>
  <si>
    <t>Growth equity</t>
  </si>
  <si>
    <t xml:space="preserve">  → T₁/T₂ pro-rata 50% of residual</t>
  </si>
  <si>
    <t>Investor upside</t>
  </si>
  <si>
    <t>Final Distribution:</t>
  </si>
  <si>
    <t xml:space="preserve">  Founder Total</t>
  </si>
  <si>
    <t>Growth share</t>
  </si>
  <si>
    <t xml:space="preserve">  T₁ Total (1 250 + share)</t>
  </si>
  <si>
    <t>30% allocation</t>
  </si>
  <si>
    <t xml:space="preserve">  T₂ Total (500 + share)</t>
  </si>
  <si>
    <t>20% allocation</t>
  </si>
  <si>
    <t>IV. EXPECTED VALUE SUMMARY</t>
  </si>
  <si>
    <t>Probability-weighted EV</t>
  </si>
  <si>
    <t>Across 7 exit routes</t>
  </si>
  <si>
    <t>Probability-weighted T₁ proceeds</t>
  </si>
  <si>
    <t>50/30/20 exit split (не соответствует ни одному W из листа 24)</t>
  </si>
  <si>
    <t>Most likely exit (20% prob)</t>
  </si>
  <si>
    <t>Strategic Sale 2030</t>
  </si>
  <si>
    <t>EV 6 160 млн ₽</t>
  </si>
  <si>
    <t>Highest EV exit (10% prob)</t>
  </si>
  <si>
    <t>IPO 2030</t>
  </si>
  <si>
    <t>EV 7 280 млн ₽</t>
  </si>
  <si>
    <t>Worst case exit</t>
  </si>
  <si>
    <t>Liquidation 2032</t>
  </si>
  <si>
    <t>EV 3 000 млн ₽</t>
  </si>
  <si>
    <t>Expected T₁ MOIC (prob-weighted через 50/30/20)</t>
  </si>
  <si>
    <t>≠ matrix из 24 (там W₃ Base MOIC = 2.00×). Методы разные.</t>
  </si>
  <si>
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</si>
  <si>
    <t>SENSITIVITY ANALYSIS — TORNADO (±20% по 8 драйверам на EBITDA 3Y и IRR T₁ W₃ A+C pattern)</t>
  </si>
  <si>
    <t>Ранжирование ключевых драйверов по влиянию на EBITDA 3Y (база 2 152 млн ₽) и IRR T₁ W₃ A+C (база 20.09%). Под W₃ + A+C frontload pattern чувствительность IRR к top-3 drivers выше из-за концентрации 78% NDP в Y29-Y30.</t>
  </si>
  <si>
    <t>I. BASELINE INPUTS</t>
  </si>
  <si>
    <t>Revenue 3Y (2026-2028)</t>
  </si>
  <si>
    <t>EBITDA margin</t>
  </si>
  <si>
    <t>Production CAPEX</t>
  </si>
  <si>
    <t>P&amp;A ratio to budget</t>
  </si>
  <si>
    <t>% of budget</t>
  </si>
  <si>
    <t>OpEx 3Y (FOT + other)</t>
  </si>
  <si>
    <t>Interest expense</t>
  </si>
  <si>
    <t>Exit Multiple</t>
  </si>
  <si>
    <t>× EBITDA</t>
  </si>
  <si>
    <t>Attendance (relative, 100%)</t>
  </si>
  <si>
    <t>базовая посещаемость</t>
  </si>
  <si>
    <t>II. TORNADO — IMPACT ON EBITDA 3Y (base 2 152 млн ₽)</t>
  </si>
  <si>
    <t>Driver</t>
  </si>
  <si>
    <t>−20%</t>
  </si>
  <si>
    <t>+20%</t>
  </si>
  <si>
    <t>Δ Low</t>
  </si>
  <si>
    <t>Δ High</t>
  </si>
  <si>
    <t>Range</t>
  </si>
  <si>
    <t>Elasticity</t>
  </si>
  <si>
    <t>Rank</t>
  </si>
  <si>
    <t>P&amp;A ratio</t>
  </si>
  <si>
    <t>OpEx</t>
  </si>
  <si>
    <t>Attendance</t>
  </si>
  <si>
    <t>III. TORNADO — IMPACT ON IRR T₁ W₃ A+C (база 20.09%)</t>
  </si>
  <si>
    <t>Δ Low pp</t>
  </si>
  <si>
    <t>Δ High pp</t>
  </si>
  <si>
    <t>Range pp</t>
  </si>
  <si>
    <t>IV. ЗАКЛЮЧЕНИЯ (W₃ + A+C pattern)</t>
  </si>
  <si>
    <t>• Top-2 drivers EBITDA: Revenue и Attendance (эквивалентные, оба ±430 млн ₽ при ±20%). Attendance — proxy для Revenue.</t>
  </si>
  <si>
    <t>• Production CAPEX — 3rd critical driver (range ±240 млн ₽ при ±20%).</t>
  </si>
  <si>
    <t>• IRR T₁ W₃ A+C (base 20.09%) защищён floor Liq Pref: downside ограничен, upside компенсирован carried interest.</t>
  </si>
  <si>
    <t>• Под A+C frontload pattern (78% в Y29-Y30) чувствительность IRR к top-3 drivers ВЫШЕ, чем при равномерном распределении, т.к. шоки в Y29 затрагивают большую долю NDP.</t>
  </si>
  <si>
    <t>• ⚠ Bear + Downside сценарии IRR ниже hurdle 18% (см. дислеймеры V.1-V.2 в 24_Investor_Returns).</t>
  </si>
  <si>
    <t>• Рекомендация: фокус на Box Office revenue (attendance × ticket price) и margin control.</t>
  </si>
  <si>
    <t>SCENARIO ANALYSIS — 5 СЦЕНАРИЕВ (Stress / Downside / Base / Upside / Bull)</t>
  </si>
  <si>
    <t>Полный набор финансовых метрик по 5 сценариям с narrative triggers и preconditions. Revenue multiplier 0.60× / 0.80× / 1.00× / 1.20× / 1.40×. A+C pattern 33/45/9/13 (frontload Y29-Y30 = 78%). W₃ default waterfall.</t>
  </si>
  <si>
    <t>I. SCENARIO METRICS MATRIX (все значения в млн ₽ если не указано иначе)</t>
  </si>
  <si>
    <t>Revenue 3Y</t>
  </si>
  <si>
    <t>EBITDA 3Y (GAAP)</t>
  </si>
  <si>
    <t>NDP (legacy)</t>
  </si>
  <si>
    <t>CAPEX Production</t>
  </si>
  <si>
    <t>Films released</t>
  </si>
  <si>
    <t>IRR T₁ (W₃ A+C)</t>
  </si>
  <si>
    <t>MOIC T₁ (W₃ A+C)</t>
  </si>
  <si>
    <t>EV 2028 (5× EBITDA)</t>
  </si>
  <si>
    <t>T₁ distribution W₃ A+C</t>
  </si>
  <si>
    <t>IRR exit-based (25_Exit, отдельный метод)</t>
  </si>
  <si>
    <t>Probability</t>
  </si>
  <si>
    <t>II. SCENARIO NARRATIVES &amp; TRIGGERS</t>
  </si>
  <si>
    <t>Stress Bear (5% prob)</t>
  </si>
  <si>
    <t>Катастрофический сценарий: 2 провала из топ-4 фильмов, падение box office РФ на 25%, санкционный shock. Revenue −40%, EBITDA 1 291, IRR 9.34% ⚠ (ниже hurdle −8.7pp). LP capital protection через Liq Pref (MoIC 1.42×).</t>
  </si>
  <si>
    <t>Downside (15% prob)</t>
  </si>
  <si>
    <t>Один провал блокбастера (~250 млн), конкурентное давление от OTT, −20% посещаемости. Revenue 3 636, EBITDA 1 722, IRR 15.14% ⚠ (ниже hurdle −2.9pp). Principal возвращается, но carry недостаточен для hurdle.</t>
  </si>
  <si>
    <t>Base Case (50% prob)</t>
  </si>
  <si>
    <t>Модельные допущения: 12 фильмов выпущены по плану, средняя посещаемость 2026-2028 растёт на 10% CAGR. Revenue 4 545, EBITDA 2 152, IRR 20.09%, NDP 3 000 — якорь. Hurdle +2.1pp.</t>
  </si>
  <si>
    <t>Upside (20% prob)</t>
  </si>
  <si>
    <t>Два блокбастера превзошли ожидания на 40%, рост госсубсидий через Фонд кино. Revenue 5 454, EBITDA 2 583, IRR 24.61%. Открывает path к IPO 2028. Hurdle +6.6pp.</t>
  </si>
  <si>
    <t>Bull Case (10% prob)</t>
  </si>
  <si>
    <t>Хит 2026-2027 +100%, международные продажи, SVOD-сделка c крупным OTT. Revenue 6 363, EBITDA 3 013, IRR 28.78%. Strategic exit 7× EBITDA. Hurdle +10.8pp.</t>
  </si>
  <si>
    <t>III. PROBABILITY-WEIGHTED EXPECTED VALUE</t>
  </si>
  <si>
    <t>Expected Revenue 3Y</t>
  </si>
  <si>
    <t>Expected EBITDA 3Y</t>
  </si>
  <si>
    <t>Expected Net Profit 3Y</t>
  </si>
  <si>
    <t>Expected NDP</t>
  </si>
  <si>
    <t>Expected EV (5× exit)</t>
  </si>
  <si>
    <t>Expected IRR T₁ (W₃ A+C)</t>
  </si>
  <si>
    <t>MONTE CARLO SIMULATION — 5 000 ИТЕРАЦИЙ · 5 СТОХАСТИЧЕСКИХ ПЕРЕМЕННЫХ · W₃ + A+C PATTERN</t>
  </si>
  <si>
    <t>Распределения NDP, EBITDA, IRR, MOIC, EV под Waterfall W₃ (DEFAULT, 1× Liq Pref + 8% coupon + 60/40). A+C asymmetric pattern: Y2029=33%, Y2030=45%, Y2031=9%, Y2032=13% (frontload 78% в Y29-Y30). Percentiles, probability of hurdle/target pass, Value at Risk. Seed=42.</t>
  </si>
  <si>
    <t>I. STOCHASTIC VARIABLES (PDFs)</t>
  </si>
  <si>
    <t>Variable</t>
  </si>
  <si>
    <t>Distribution</t>
  </si>
  <si>
    <t>Param 1</t>
  </si>
  <si>
    <t>Param 2</t>
  </si>
  <si>
    <t>Param 3</t>
  </si>
  <si>
    <t>Description</t>
  </si>
  <si>
    <t>Revenue multiplier</t>
  </si>
  <si>
    <t>Triangular</t>
  </si>
  <si>
    <t>min/mode/max</t>
  </si>
  <si>
    <t>EBITDA margin shock</t>
  </si>
  <si>
    <t>Normal</t>
  </si>
  <si>
    <t>μ=0, σ=4pp</t>
  </si>
  <si>
    <t>CAPEX overrun</t>
  </si>
  <si>
    <t>LogNormal</t>
  </si>
  <si>
    <t>σ=10%, base=1.00</t>
  </si>
  <si>
    <t>Exit multiple</t>
  </si>
  <si>
    <t>Film hit rate</t>
  </si>
  <si>
    <t>Binomial</t>
  </si>
  <si>
    <t>p=0.70, 12 films</t>
  </si>
  <si>
    <t>II. DISTRIBUTION SUMMARY — 5 000 simulations (W₃ + A+C)</t>
  </si>
  <si>
    <t>Metric</t>
  </si>
  <si>
    <t>Mean</t>
  </si>
  <si>
    <t>StDev</t>
  </si>
  <si>
    <t>P5</t>
  </si>
  <si>
    <t>P10</t>
  </si>
  <si>
    <t>P25</t>
  </si>
  <si>
    <t>P50</t>
  </si>
  <si>
    <t>P75</t>
  </si>
  <si>
    <t>P90</t>
  </si>
  <si>
    <t>P95</t>
  </si>
  <si>
    <t>MOIC</t>
  </si>
  <si>
    <t>III. PROBABILITY &amp; RISK METRICS</t>
  </si>
  <si>
    <t>P(IRR &gt; 18% hurdle)</t>
  </si>
  <si>
    <t>P(IRR &gt; 12% target)</t>
  </si>
  <si>
    <t>P(IRR &gt; 8% floor)</t>
  </si>
  <si>
    <t>P(Loss — IRR &lt; 0)</t>
  </si>
  <si>
    <t>P(MOIC &gt; 2.0×)</t>
  </si>
  <si>
    <t>VaR 95% (NDP shortfall vs base)</t>
  </si>
  <si>
    <t>CVaR 95% (expected shortfall)</t>
  </si>
  <si>
    <t>Expected MOIC T₁</t>
  </si>
  <si>
    <t>Median EV (P50)</t>
  </si>
  <si>
    <t>IV. NDP DISTRIBUTION HISTOGRAM (5 000 sims, 10 bins)</t>
  </si>
  <si>
    <t>Count</t>
  </si>
  <si>
    <t>Bar</t>
  </si>
  <si>
    <t>528 − 956</t>
  </si>
  <si>
    <t>█</t>
  </si>
  <si>
    <t>956 − 1384</t>
  </si>
  <si>
    <t>█████████</t>
  </si>
  <si>
    <t>1384 − 1812</t>
  </si>
  <si>
    <t>██████████████████████</t>
  </si>
  <si>
    <t>1812 − 2240</t>
  </si>
  <si>
    <t>██████████████████████████████</t>
  </si>
  <si>
    <t>2240 − 2668</t>
  </si>
  <si>
    <t>2668 − 3096</t>
  </si>
  <si>
    <t>██████████</t>
  </si>
  <si>
    <t>3096 − 3524</t>
  </si>
  <si>
    <t>████</t>
  </si>
  <si>
    <t>3524 − 3952</t>
  </si>
  <si>
    <t>3952 − 4380</t>
  </si>
  <si>
    <t>4380 − 4808</t>
  </si>
  <si>
    <t>Симуляция: numpy seed=42, 5000 итераций, 5 стохастических переменных (Revenue mult Triangular 0.6/1.0/1.4, Margin shock Normal 0/4pp, CAPEX LogNormal σ=10%, Exit mult Triangular 3/5/7, Film hit rate Binomial p=0.70 n=12). Applied Waterfall W₃ DEFAULT + A+C pattern 33/45/9/13. Methodology: vectorized numpy bisection IRR.</t>
  </si>
  <si>
    <t>RISK REGISTER — 30 РИСКОВ В 5 КАТЕГОРИЯХ</t>
  </si>
  <si>
    <t>Severity × Likelihood → Risk Score (1-25), Mitigation, Owner, Residual risk. Heat map 5×5.</t>
  </si>
  <si>
    <t>I. RISK REGISTER (30 рисков)</t>
  </si>
  <si>
    <t>ID</t>
  </si>
  <si>
    <t>Риск</t>
  </si>
  <si>
    <t>Sev (1-5)</t>
  </si>
  <si>
    <t>Lkhd (1-5)</t>
  </si>
  <si>
    <t>Score</t>
  </si>
  <si>
    <t>Mitigation</t>
  </si>
  <si>
    <t>Owner</t>
  </si>
  <si>
    <t>Residual</t>
  </si>
  <si>
    <t>R01</t>
  </si>
  <si>
    <t>Market</t>
  </si>
  <si>
    <t>Падение кассовых сборов рынка РФ на 20%+ (геоэкономика, конкуренция стриминга)</t>
  </si>
  <si>
    <t>Диверсификация по 12 фильмам, 7 жанрам, window strategy; гибкий P&amp;A</t>
  </si>
  <si>
    <t>CEO / CCO</t>
  </si>
  <si>
    <t>R02</t>
  </si>
  <si>
    <t>Провал блокбастера (F05 «Время героев», бюджет 250 млн)</t>
  </si>
  <si>
    <t>Elevated</t>
  </si>
  <si>
    <t>Расширенный test-screening, MVP-трейлер, резерв re-edit 15 млн, страхование завершения</t>
  </si>
  <si>
    <t>Producer F05</t>
  </si>
  <si>
    <t>R03</t>
  </si>
  <si>
    <t>Снижение среднего чека кинотеатра (inflation squeeze)</t>
  </si>
  <si>
    <t>Переговоры с сетями (Formula Kino, Каро, Синема Парк), premium-формат IMAX/Dolby</t>
  </si>
  <si>
    <t>CFO</t>
  </si>
  <si>
    <t>R04</t>
  </si>
  <si>
    <t>Конкуренция со стриминг-платформами (Kinopoisk, Okko, ivi)</t>
  </si>
  <si>
    <t>Window 45+ дней в кино до VOD; pre-sale рекламных мест для ОТТ</t>
  </si>
  <si>
    <t>CCO</t>
  </si>
  <si>
    <t>R05</t>
  </si>
  <si>
    <t>Сокращение госзакупок контента Минкультуры / ФКП</t>
  </si>
  <si>
    <t>Moderate</t>
  </si>
  <si>
    <t>Диверсификация по источникам господдержки (ИРИ, Минкультуры, ФКП, региональные фонды)</t>
  </si>
  <si>
    <t>CEO</t>
  </si>
  <si>
    <t>R06</t>
  </si>
  <si>
    <t>Отсутствие международного релиза (санкционные ограничения)</t>
  </si>
  <si>
    <t>Фокус на СНГ/БРИКС, копродукция с Индией/Китаем/ОАЭ</t>
  </si>
  <si>
    <t>International Dept</t>
  </si>
  <si>
    <t>R07</t>
  </si>
  <si>
    <t>Operational</t>
  </si>
  <si>
    <t>Срыв графика производства (погодные условия, болезнь актёров)</t>
  </si>
  <si>
    <t>Contingency 10% в каждом бюджете, страховка completion bond, плотный post-production</t>
  </si>
  <si>
    <t>Head of Production</t>
  </si>
  <si>
    <t>R08</t>
  </si>
  <si>
    <t>Перерасход production-бюджета &gt;15% (industry average 8%)</t>
  </si>
  <si>
    <t>Жёсткий бюджетный контроль, weekly burn-rate reviews, CFO approval &gt;5% вариация</t>
  </si>
  <si>
    <t>CFO + Line Producer</t>
  </si>
  <si>
    <t>R09</t>
  </si>
  <si>
    <t>Отток ключевых creative-талантов (режиссёры, сценаристы)</t>
  </si>
  <si>
    <t>Мульти-проектные контракты (2-3 фильма), бонусы от box-office, Partner-track</t>
  </si>
  <si>
    <t>HR / Creative Dir</t>
  </si>
  <si>
    <t>R10</t>
  </si>
  <si>
    <t>Срыв post-production / VFX (F12 «Горизонт событий»)</t>
  </si>
  <si>
    <t>Два параллельных VFX-подрядчика, early prevv, резерв 20 млн на F12</t>
  </si>
  <si>
    <t>VFX Supervisor</t>
  </si>
  <si>
    <t>R11</t>
  </si>
  <si>
    <t>Отказ digital distribution партнёра (техсбой KDM)</t>
  </si>
  <si>
    <t>Резервный digital partner, DCI-compliant backup</t>
  </si>
  <si>
    <t>R12</t>
  </si>
  <si>
    <t>Недостаток квалифицированных кадров (пост-санкционная утечка)</t>
  </si>
  <si>
    <t>Партнёрство с ВГИКом, МШНК, собственная школа VFX; релокация из СНГ</t>
  </si>
  <si>
    <t>HR</t>
  </si>
  <si>
    <t>R13</t>
  </si>
  <si>
    <t>Financial</t>
  </si>
  <si>
    <t>Рост ставки ОФЗ выше 18% (удорожание капитала)</t>
  </si>
  <si>
    <t>Fixed rate по T₁ траншам, натуральный хедж через экспорт</t>
  </si>
  <si>
    <t>CFO / Treasurer</t>
  </si>
  <si>
    <t>R14</t>
  </si>
  <si>
    <t>Кассовый разрыв между P&amp;A расходами и box-office receipts</t>
  </si>
  <si>
    <t>Revolving credit line 200 млн ₽ под дебиторку кинотеатров</t>
  </si>
  <si>
    <t>Treasurer</t>
  </si>
  <si>
    <t>R15</t>
  </si>
  <si>
    <t>Неплатежи от дистрибьюторов (&gt;60 дней просрочка)</t>
  </si>
  <si>
    <t>Факторинг, страхование дебиторки, аккредитивы для новых партнёров</t>
  </si>
  <si>
    <t>AR Manager</t>
  </si>
  <si>
    <t>R16</t>
  </si>
  <si>
    <t>Валютный риск (оборудование, софт, VFX в $/€)</t>
  </si>
  <si>
    <t>Форвардные контракты на 60% FX-расходов, локализация поставщиков</t>
  </si>
  <si>
    <t>R17</t>
  </si>
  <si>
    <t>Downside risk NDP shortfall — W₃ A+C Base IRR = 20.09% (hurdle +2.09pp); Bear IRR 9.34% (−8.66pp); Downside IRR 15.14% (−2.86pp). MC mean IRR 11.44% &lt; hurdle, P(&gt;18%)=13.6%.</t>
  </si>
  <si>
    <t>W₃ Liq Pref 1× floor + 8% coupon + W₄ премиум-опция (12% pref + 65/35); exit stratagem backup</t>
  </si>
  <si>
    <t>CFO / IR</t>
  </si>
  <si>
    <t>R18</t>
  </si>
  <si>
    <t>Налоговые претензии по НДС 0% (льгота кинопроизводство)</t>
  </si>
  <si>
    <t>Предварительное согласование схемы с ФНС, правовой аудит PwC/KPMG</t>
  </si>
  <si>
    <t>Tax Counsel</t>
  </si>
  <si>
    <t>R19</t>
  </si>
  <si>
    <t>Regulatory</t>
  </si>
  <si>
    <t>Изменение ПУ РФ о кинофикации (сужение льгот)</t>
  </si>
  <si>
    <t>Мониторинг ГД РФ, лоббирование через АПКиТ, юридический due diligence</t>
  </si>
  <si>
    <t>GR</t>
  </si>
  <si>
    <t>R20</t>
  </si>
  <si>
    <t>Отказ Минкультуры в ПУ на прокат (цензурные требования)</t>
  </si>
  <si>
    <t>Script lock с юротделом Минкульта до съёмок, консультации на этапе сценария</t>
  </si>
  <si>
    <t>Legal</t>
  </si>
  <si>
    <t>R21</t>
  </si>
  <si>
    <t>Изменения в законе «О рекламе» (ограничения product placement)</t>
  </si>
  <si>
    <t>Диверсификация источников дохода (PP &lt;10% от Revenue)</t>
  </si>
  <si>
    <t>Legal / Sales</t>
  </si>
  <si>
    <t>R22</t>
  </si>
  <si>
    <t>Трудовое законодательство (новые требования к ФОТ)</t>
  </si>
  <si>
    <t>Резерв 5% в ФОТ на регуляторные корректировки</t>
  </si>
  <si>
    <t>HR / Legal</t>
  </si>
  <si>
    <t>R23</t>
  </si>
  <si>
    <t>Ужесточение требований к госсубсидиям (возвратность ФКП)</t>
  </si>
  <si>
    <t>Структурирование сделок под грант-условия ФКП, legal review до подписи</t>
  </si>
  <si>
    <t>GR / Legal</t>
  </si>
  <si>
    <t>R24</t>
  </si>
  <si>
    <t>Санкции / торговые ограничения на импорт оборудования</t>
  </si>
  <si>
    <t>Параллельный импорт, локальные аналоги, долгосрочные контракты</t>
  </si>
  <si>
    <t>Procurement</t>
  </si>
  <si>
    <t>R25</t>
  </si>
  <si>
    <t>Execution</t>
  </si>
  <si>
    <t>Неудачное построение slate (корреляция провалов)</t>
  </si>
  <si>
    <t>Портфельный подход: жанровое разнообразие, разнос релизов по кварталам</t>
  </si>
  <si>
    <t>CCO / CEO</t>
  </si>
  <si>
    <t>R26</t>
  </si>
  <si>
    <t>Задержка релиза фильма на &gt;6 месяцев</t>
  </si>
  <si>
    <t>Резервные релизные окна Q+1, гибкий маркетинг-календарь</t>
  </si>
  <si>
    <t>R27</t>
  </si>
  <si>
    <t>Конфликты с копродюсерами (JV structure producers equity 600)</t>
  </si>
  <si>
    <t>Детальный shareholders agreement, деадлок-механизмы, медиация</t>
  </si>
  <si>
    <t>CEO / Legal</t>
  </si>
  <si>
    <t>R28</t>
  </si>
  <si>
    <t>Недостаточный маркетинг / низкая осведомлённость аудитории</t>
  </si>
  <si>
    <t>P&amp;A ratio 15% минимум, партнёрство с соцсетями (VK, TG, Rutube)</t>
  </si>
  <si>
    <t>CMO</t>
  </si>
  <si>
    <t>R29</t>
  </si>
  <si>
    <t>Утечка контента до релиза (пиратство, leaks)</t>
  </si>
  <si>
    <t>Watermarking, контроль post-production, NDA для всех подрядчиков</t>
  </si>
  <si>
    <t>Security / IT</t>
  </si>
  <si>
    <t>R30</t>
  </si>
  <si>
    <t>Невыполнение обязательств по KPI перед инвестором T₁</t>
  </si>
  <si>
    <t>Quarterly reporting, covenant monitoring, IRR tracking, board reviews</t>
  </si>
  <si>
    <t>CFO / Board</t>
  </si>
  <si>
    <t>II. HEAT MAP 5×5 (Severity × Likelihood)</t>
  </si>
  <si>
    <t>Severity ↓ / Likelihood →</t>
  </si>
  <si>
    <t>L=1</t>
  </si>
  <si>
    <t>L=2</t>
  </si>
  <si>
    <t>L=3</t>
  </si>
  <si>
    <t>L=4</t>
  </si>
  <si>
    <t>L=5</t>
  </si>
  <si>
    <t>S=5</t>
  </si>
  <si>
    <t>10
R20, R25</t>
  </si>
  <si>
    <t>15
R01, R13, R30</t>
  </si>
  <si>
    <t>20</t>
  </si>
  <si>
    <t>25</t>
  </si>
  <si>
    <t>S=4</t>
  </si>
  <si>
    <t>8
R05, R09, R18, R19, R27</t>
  </si>
  <si>
    <t>12
R02, R08, R10, R23, R28</t>
  </si>
  <si>
    <t>16
R07</t>
  </si>
  <si>
    <t>20
R17</t>
  </si>
  <si>
    <t>S=3</t>
  </si>
  <si>
    <t>9
R15, R16, R22, R29</t>
  </si>
  <si>
    <t>12
R03, R06, R12, R14, R24, R26</t>
  </si>
  <si>
    <t>15
R04</t>
  </si>
  <si>
    <t>S=2</t>
  </si>
  <si>
    <t>6
R11, R21</t>
  </si>
  <si>
    <t>S=1</t>
  </si>
  <si>
    <t>Легенда:</t>
  </si>
  <si>
    <t>Low (1-4)</t>
  </si>
  <si>
    <t>Moderate (5-9)</t>
  </si>
  <si>
    <t>Elevated (10-14)</t>
  </si>
  <si>
    <t>High (15-19)</t>
  </si>
  <si>
    <t>Critical (20-25)</t>
  </si>
  <si>
    <t>III. TOP-10 КРИТИЧЕСКИХ РИСКОВ — ДЕТАЛЬНОЕ ОПИСАНИЕ</t>
  </si>
  <si>
    <t>Title</t>
  </si>
  <si>
    <t>Triggers</t>
  </si>
  <si>
    <t>Early Warning</t>
  </si>
  <si>
    <t>Downside risk NDP shortfall — W₃ A+C Base IRR = 20.09%</t>
  </si>
  <si>
    <t>Базовый IRR T₁ под Waterfall W₃ + A+C pattern = 20.09%, что даёт margin +2.09pp vs hurdle 18%. Однако Bear (9.34%) и Downside (15.14%) ниже hurdle. MC simulation (N=5000) показывает mean IRR 11.44%, P(&gt;hurdle)=13.6%. Risk source: hit_rate volatility (corr r=0.70 с IRR).</t>
  </si>
  <si>
    <t>Любой из: (a) revenue &lt;80% от плана, (b) CAPEX overrun &gt;15%, (c) задержка ≥2 релизов на 6+ мес.</t>
  </si>
  <si>
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</si>
  <si>
    <t>Burn rate &gt;baseline +10% два квартала подряд; box-office первых 3 фильмов &lt;75% от прогноза.</t>
  </si>
  <si>
    <t>CFO / IR / Board</t>
  </si>
  <si>
    <t>Срыв графика производства</t>
  </si>
  <si>
    <t>12 фильмов × сложный схэдулинг → риск каскадного срыва. Погода, актёры, локации, оборудование.</t>
  </si>
  <si>
    <t>Задержка &gt;2 недель на этапе подготовки или съёмок.</t>
  </si>
  <si>
    <t>10% contingency в каждом бюджете, completion bond для всех фильмов &gt;100 млн, параллельные production lines, крёстное страхование.</t>
  </si>
  <si>
    <t>Daily production reports, crew turnover &gt;15%, шот-плэн отставание &gt;5 дней.</t>
  </si>
  <si>
    <t>Падение рынка РФ на 20%+</t>
  </si>
  <si>
    <t>Системный риск: рецессия, ужесточение санкций, поведенческий сдвиг аудитории от кинотеатров к ОТТ.</t>
  </si>
  <si>
    <t>Снижение box-office РФ &gt;15% YoY два квартала подряд.</t>
  </si>
  <si>
    <t>Диверсификация портфеля (12 фильмов, 7 жанров, 3 бюджетных класса); гибкий window strategy; hedging revenue через pre-sale ОТТ-прав; ускоренный Trade Sale exit.</t>
  </si>
  <si>
    <t>Росстат: disposable income &lt;−3%; индекс цен на досуг &gt;+8% YoY; доля ОТТ-подписок &gt;45% домохозяйств.</t>
  </si>
  <si>
    <t>CEO / CCO / Board</t>
  </si>
  <si>
    <t>Рост ставки ОФЗ выше 18%</t>
  </si>
  <si>
    <t>Ключевая ставка ЦБ влияет на alternative cost и discount rate; рост удорожает T₁-транши и усложняет refinance.</t>
  </si>
  <si>
    <t>Ключевая ставка &gt;16% два заседания ЦБ подряд; ОФЗ 10Y yield &gt;17%.</t>
  </si>
  <si>
    <t>Fixed rate lock на T₁ tranches до 2028; revolving credit line с процентным cap; валютная диверсификация; структура с equity floor.</t>
  </si>
  <si>
    <t>Инфляция CPI &gt;7% ежемесячно; ЦБ hawkish guidance; yield curve steepening.</t>
  </si>
  <si>
    <t>Невыполнение KPI перед инвестором T₁</t>
  </si>
  <si>
    <t>Covenant breach по Revenue, EBITDA margin или film release schedule может триггерить досрочное погашение или W₃ activation.</t>
  </si>
  <si>
    <t>EBITDA &lt;80% от плана квартал подряд; задержка &gt;2 фильмов; CAPEX overrun &gt;20%.</t>
  </si>
  <si>
    <t>Monthly MI reporting, quarterly covenant testing, board observer seat, cure period 90 дней, escalation procedure.</t>
  </si>
  <si>
    <t>Monthly burn-rate deviation &gt;+10%; RAG flags в cash-flow forecast; variance &gt;15% в production milestones.</t>
  </si>
  <si>
    <t>Конкуренция со стриминг-платформами</t>
  </si>
  <si>
    <t>Kinopoisk, Okko, ivi агрессивно наращивают собственный оригинальный контент, что снижает window экономику кинотеатров.</t>
  </si>
  <si>
    <t>Длительность кино-window &lt;30 дней у конкурентов; пиратский релиз раньше прогноза.</t>
  </si>
  <si>
    <t>Долгосрочные контракты window 45+ дней с ОТТ, pre-sale прав на 2029-2032, премиум-контент для IMAX/Dolby, эксклюзивы через кинотеатры.</t>
  </si>
  <si>
    <t>Падение box-office share традиционных сетей &gt;10% YoY; агрессивное снижение subscription price ОТТ.</t>
  </si>
  <si>
    <t>CCO / Distribution</t>
  </si>
  <si>
    <t>Провал блокбастера F05 «Время героев» (бюджет 250 млн)</t>
  </si>
  <si>
    <t>F05 — самый дорогой фильм slate (250 млн ₽, 13.5% total CAPEX). Провал = потеря 350+ млн NDP, корреляционный удар по маркетинг-бренду.</t>
  </si>
  <si>
    <t>Test-screening NPS &lt;40; первый weekend box-office &lt;50% от прогноза.</t>
  </si>
  <si>
    <t>Расширенный test-screening (3 waves), резерв 15 млн ₽ на re-edit, PR recovery plan, быстрый VOD pivot, страховка completion bond.</t>
  </si>
  <si>
    <t>Review-agregator score &lt;6.0 на pre-release screening; negative sentiment &gt;40% в социальных сетях.</t>
  </si>
  <si>
    <t>Producer F05 / CCO</t>
  </si>
  <si>
    <t>Ужесточение требований ФКП (возвратность госсубсидий)</t>
  </si>
  <si>
    <t>Фонд кино может ужесточить условия возвратности, что затронет ~300 млн ₽ subsidy stream в модели.</t>
  </si>
  <si>
    <t>Постановление Правительства РФ об изменении 1215/2013; поправки в ФЗ о господдержке кинематографии.</t>
  </si>
  <si>
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</si>
  <si>
    <t>Изменение риторики Минкульта, публичные обсуждения поправок.</t>
  </si>
  <si>
    <t>Недостаточный маркетинг / слабая осведомлённость</t>
  </si>
  <si>
    <t>P&amp;A 277.5 млн ₽ (15% от CAPEX) — медианный уровень; при росте стоимости медиаразмещения эффективность может упасть.</t>
  </si>
  <si>
    <t>CPM &gt;150% от бенчмарка; organic reach &lt;60% от прогноза.</t>
  </si>
  <si>
    <t>Diversified media mix (VK 30%, TG 20%, Rutube 15%, outdoor 20%, TV 15%); influencer partnerships; UGC кампании; сквозная аналитика CPA.</t>
  </si>
  <si>
    <t>Ad recall &lt;25% за 2 недели до релиза; Google Trends index &lt; baseline.</t>
  </si>
  <si>
    <t>Перерасход production-бюджета &gt;15%</t>
  </si>
  <si>
    <t>Industry average 8%, но сложные VFX-проекты (F05, F12) могут превысить 20%. На slate — риск потери 200+ млн ₽.</t>
  </si>
  <si>
    <t>Weekly burn-rate &gt;+10% от бюджета; &gt;5% вариация в любой бюджетной строке.</t>
  </si>
  <si>
    <t>CFO approval &gt;5% variance; weekly production controller reports; fixed-price contracts где возможно; completion bond; резерв 10% в каждом бюджете.</t>
  </si>
  <si>
    <t>Crew inflation &gt;+5% от плана; overtime hours &gt;15%; equipment rent &gt;budget +10%.</t>
  </si>
  <si>
    <t>CFO / Line Producer</t>
  </si>
  <si>
    <t>IV. SUMMARY STATISTICS</t>
  </si>
  <si>
    <t>Category</t>
  </si>
  <si>
    <t># Risks</t>
  </si>
  <si>
    <t>Total Score</t>
  </si>
  <si>
    <t>Avg Score</t>
  </si>
  <si>
    <t>Max Score</t>
  </si>
  <si>
    <t>Share</t>
  </si>
  <si>
    <t>22.0%</t>
  </si>
  <si>
    <t>19.6%</t>
  </si>
  <si>
    <t>21.7%</t>
  </si>
  <si>
    <t>17.0%</t>
  </si>
  <si>
    <t>100.0%</t>
  </si>
  <si>
    <t>Распределение по уровням:</t>
  </si>
  <si>
    <t>36.7%</t>
  </si>
  <si>
    <t>43.3%</t>
  </si>
  <si>
    <t>16.7%</t>
  </si>
  <si>
    <t>Critical</t>
  </si>
  <si>
    <t>3.3%</t>
  </si>
  <si>
    <t>V. KEY TAKEAWAYS ДЛЯ ИНВЕСТОРА</t>
  </si>
  <si>
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</si>
  <si>
    <t>2. 3 риска уровня «Critical» (20-25): R17, R01, R13 — требуют board-level мониторинга и квартальных обновлений.</t>
  </si>
  <si>
    <t>3. Наибольший вес — Financial + Market (≈50% total score): макро-чувствительность модели.</t>
  </si>
  <si>
    <t>4. Operational риски (R07, R08) — купируются 10% contingency + completion bond в каждом бюджете.</t>
  </si>
  <si>
    <t>5. Residual risk после mitigation в среднем снижается на 30-40% → система защит работает.</t>
  </si>
  <si>
    <t>6. Regulatory cluster (R18-R24) — низкая likelihood, но высокий severity: legal watch + GR budget 20 млн ₽/год.</t>
  </si>
  <si>
    <t>7. Execution риски покрыты процессами: daily reports, weekly reviews, monthly boards, quarterly covenant testing.</t>
  </si>
  <si>
    <t>Reviewed: quarterly by Board | Owner: CFO / Risk Committee | Version: v1.0</t>
  </si>
  <si>
    <t>MARKET ANALYSIS — РЫНОК КИНОИНДУСТРИИ РФ 2020–2032</t>
  </si>
  <si>
    <t>Объём рынка, сегменты, прогноз, конкуренты, TAM/SAM/SOM, мотиваторы роста</t>
  </si>
  <si>
    <t>I. ОБЪЁМ РЫНКА КИНОИНДУСТРИИ РФ (млрд ₽, оценка на базе АЕК/Фонд кино/НМГ)</t>
  </si>
  <si>
    <t>CAGR 26-32</t>
  </si>
  <si>
    <t>Box-office (кинотеатры)</t>
  </si>
  <si>
    <t>SVOD (подписные: Kinopoisk, Okko, ivi)</t>
  </si>
  <si>
    <t>AVOD (реклама: Rutube, VK Video)</t>
  </si>
  <si>
    <t>TV rights (ТВ-показы, сублицензии)</t>
  </si>
  <si>
    <t>Library (каталог, мерч, копродукция)</t>
  </si>
  <si>
    <t>ИТОГО РЫНОК (TAM)</t>
  </si>
  <si>
    <t>II. СТРУКТУРА РЫНКА 2028 (прогноз)</t>
  </si>
  <si>
    <t>2028 млрд ₽</t>
  </si>
  <si>
    <t>Доля 2028</t>
  </si>
  <si>
    <t>CAGR 2026–2032</t>
  </si>
  <si>
    <t>Драйверы роста</t>
  </si>
  <si>
    <t>Восстановление после 2022, IMAX/Dolby, блокбастеры</t>
  </si>
  <si>
    <t>Рост подписок, оригинальный контент, LTV</t>
  </si>
  <si>
    <t>Миграция рекламных бюджетов, UGC + professional</t>
  </si>
  <si>
    <t>Стабильный спрос, госканалы + региональные</t>
  </si>
  <si>
    <t>Монетизация библиотеки, международная копродукция</t>
  </si>
  <si>
    <t>III. TAM / SAM / SOM для ТрендСтудио</t>
  </si>
  <si>
    <t>Уровень</t>
  </si>
  <si>
    <t>Доля от TAM</t>
  </si>
  <si>
    <t>TAM (Total Addressable Market)</t>
  </si>
  <si>
    <t>Весь рынок кино+OTT+TV+library РФ 2028</t>
  </si>
  <si>
    <t>SAM (Serviceable Addressable Market)</t>
  </si>
  <si>
    <t>Box-office + 40% SVOD (ориг. контент)</t>
  </si>
  <si>
    <t>SOM (Serviceable Obtainable Market)</t>
  </si>
  <si>
    <t>Фактическая 3Y доля ТрендСтудио (2026-2028)</t>
  </si>
  <si>
    <t>IV. КОНКУРЕНТНЫЙ ЛАНДШАФТ (7 игроков)</t>
  </si>
  <si>
    <t>Игрок</t>
  </si>
  <si>
    <t>Revenue 2024 (млрд ₽)</t>
  </si>
  <si>
    <t>Market share</t>
  </si>
  <si>
    <t>Сильные стороны</t>
  </si>
  <si>
    <t>Слабые стороны</t>
  </si>
  <si>
    <t>Kinopoisk (Яндекс)</t>
  </si>
  <si>
    <t>SVOD + кинопроизводство</t>
  </si>
  <si>
    <t>22.1%</t>
  </si>
  <si>
    <t>Мощный бренд, подписочная база 15М, AI-рекомендации</t>
  </si>
  <si>
    <t>Зависимость от Яндекс экосистемы, лимит контента</t>
  </si>
  <si>
    <t>Okko (Rambler → Сбер)</t>
  </si>
  <si>
    <t>SVOD + копродукция</t>
  </si>
  <si>
    <t>13.9%</t>
  </si>
  <si>
    <t>Sber экосистема, эксклюзивы, HBO/Disney библиотека</t>
  </si>
  <si>
    <t>Высокие затраты на контент, churn rate</t>
  </si>
  <si>
    <t>SVOD + AVOD</t>
  </si>
  <si>
    <t>11.7%</t>
  </si>
  <si>
    <t>Большая библиотека, AVOD-модель, регионы</t>
  </si>
  <si>
    <t>Слабый оригинальный контент</t>
  </si>
  <si>
    <t>START (Сигнал-Медиа)</t>
  </si>
  <si>
    <t>SVOD + производство</t>
  </si>
  <si>
    <t>5.4%</t>
  </si>
  <si>
    <t>Сильный оригинальный контент, сериалы-хиты</t>
  </si>
  <si>
    <t>Нишевый охват, ограниченный P&amp;A</t>
  </si>
  <si>
    <t>Premier (ГПМ)</t>
  </si>
  <si>
    <t>4.4%</t>
  </si>
  <si>
    <t>Контент ТНТ/ТВ-3, молодёжная аудитория</t>
  </si>
  <si>
    <t>Зависимость от материнской группы</t>
  </si>
  <si>
    <t>Производство + library</t>
  </si>
  <si>
    <t>3.5%</t>
  </si>
  <si>
    <t>Госресурс, историческая библиотека, студии</t>
  </si>
  <si>
    <t>Устаревшие процессы, slow-go</t>
  </si>
  <si>
    <t>ТрендСтудио (наша)</t>
  </si>
  <si>
    <t>Производство + JV</t>
  </si>
  <si>
    <t>0.9%</t>
  </si>
  <si>
    <t>Pre-IPO структура, slate 12 фильмов, Waterfall</t>
  </si>
  <si>
    <t>Pre-revenue, execution risk, первый институциональный раунд</t>
  </si>
  <si>
    <t>V. КЛЮЧЕВЫЕ ДРАЙВЕРЫ РОСТА 2026–2032</t>
  </si>
  <si>
    <t>Драйвер</t>
  </si>
  <si>
    <t>Описание / эффект</t>
  </si>
  <si>
    <t>Импортозамещение контента</t>
  </si>
  <si>
    <t>Уход голливудских мейджоров → окно для российских продюсеров 400+ млрд ₽</t>
  </si>
  <si>
    <t>Госполитика и ФКП</t>
  </si>
  <si>
    <t>Минкультуры + Фонд кино: субсидии ~15 млрд ₽/год, НДС 0%, гранты</t>
  </si>
  <si>
    <t>Premium-форматы</t>
  </si>
  <si>
    <t>IMAX/Dolby Atmos/Laser — рост ARPU в 1.8-2.5×</t>
  </si>
  <si>
    <t>Рост SVOD-подписок</t>
  </si>
  <si>
    <t>Подписочная база: 25М (2024) → 45М (2032), CAGR 7.5%</t>
  </si>
  <si>
    <t>Международная копродукция</t>
  </si>
  <si>
    <t>Партнёрство СНГ/БРИКС/ОАЭ/Индия — новые окна монетизации</t>
  </si>
  <si>
    <t>Франшизы и спин-оффы</t>
  </si>
  <si>
    <t>Развитие IP, мерч, theme park, education — рост library×2.5</t>
  </si>
  <si>
    <t>Game-based cross-media</t>
  </si>
  <si>
    <t>Синергия с gaming (VK Games, Lesta), кроссворки</t>
  </si>
  <si>
    <t>VI. ИСТОЧНИКИ</t>
  </si>
  <si>
    <t>• Ассоциация Европейского Кинобизнеса (АЕК), годовые отчёты 2020-2024</t>
  </si>
  <si>
    <t>• Фонд кино / Минкультуры РФ — статистика проката и господдержки</t>
  </si>
  <si>
    <t>• НМГ Research — аналитика SVOD/AVOD рынка РФ</t>
  </si>
  <si>
    <t>• ТАСС, Коммерсант, Ведомости — публичные данные по сделкам</t>
  </si>
  <si>
    <t>• Публичные отчёты Kinopoisk, Okko, ivi, START, Premier</t>
  </si>
  <si>
    <t>• Официальные данные Росстат и ЦБ РФ (demografic, inflation)</t>
  </si>
  <si>
    <t>INDUSTRY BENCHMARKS — РФ vs GLOBAL vs ТрендСтудио</t>
  </si>
  <si>
    <t>KPI по 15 показателям: production, distribution, финансы, exit</t>
  </si>
  <si>
    <t>I. ОПЕРАЦИОННЫЕ KPI (производство + дистрибуция)</t>
  </si>
  <si>
    <t>KPI</t>
  </si>
  <si>
    <t>Единица</t>
  </si>
  <si>
    <t>Global (Hollywood)</t>
  </si>
  <si>
    <t>Global (Europe)</t>
  </si>
  <si>
    <t>РФ Median</t>
  </si>
  <si>
    <t>ТрендСтудио</t>
  </si>
  <si>
    <t>Delta vs РФ</t>
  </si>
  <si>
    <t>Avg production budget</t>
  </si>
  <si>
    <t>12 000</t>
  </si>
  <si>
    <t>3 200</t>
  </si>
  <si>
    <t>180</t>
  </si>
  <si>
    <t>154</t>
  </si>
  <si>
    <t>Мягкий mid-budget подход</t>
  </si>
  <si>
    <t>Number of films per slate</t>
  </si>
  <si>
    <t>15-25</t>
  </si>
  <si>
    <t>8-12</t>
  </si>
  <si>
    <t>3-6</t>
  </si>
  <si>
    <t>12</t>
  </si>
  <si>
    <t>+100% vs median</t>
  </si>
  <si>
    <t>Портфельный подход 12 фильмов</t>
  </si>
  <si>
    <t>Hit rate (films profitable)</t>
  </si>
  <si>
    <t>30-40%</t>
  </si>
  <si>
    <t>25-35%</t>
  </si>
  <si>
    <t>20-30%</t>
  </si>
  <si>
    <t>70%</t>
  </si>
  <si>
    <t>+40 пп vs РФ</t>
  </si>
  <si>
    <t>Консервативная оценка портфеля</t>
  </si>
  <si>
    <t>Box-office / budget mult</t>
  </si>
  <si>
    <t>2.5-3.5</t>
  </si>
  <si>
    <t>1.8-2.5</t>
  </si>
  <si>
    <t>1.5-2.2</t>
  </si>
  <si>
    <t>+37% vs РФ</t>
  </si>
  <si>
    <t>Mid на уровне топ-портфелей</t>
  </si>
  <si>
    <t>P&amp;A ratio to production</t>
  </si>
  <si>
    <t>50-100%</t>
  </si>
  <si>
    <t>25-50%</t>
  </si>
  <si>
    <t>12-18%</t>
  </si>
  <si>
    <t>15%</t>
  </si>
  <si>
    <t>0 пп</t>
  </si>
  <si>
    <t>Медианный уровень РФ</t>
  </si>
  <si>
    <t>Revenue from box-office</t>
  </si>
  <si>
    <t>35-45%</t>
  </si>
  <si>
    <t>40-55%</t>
  </si>
  <si>
    <t>55-70%</t>
  </si>
  <si>
    <t>62%</t>
  </si>
  <si>
    <t>+5 пп</t>
  </si>
  <si>
    <t>Выше среднего по РФ</t>
  </si>
  <si>
    <t>Revenue from SVOD/OTT</t>
  </si>
  <si>
    <t>18-25%</t>
  </si>
  <si>
    <t>22%</t>
  </si>
  <si>
    <t>В пределах отрасли</t>
  </si>
  <si>
    <t>Revenue from library/tail</t>
  </si>
  <si>
    <t>15-25%</t>
  </si>
  <si>
    <t>15-20%</t>
  </si>
  <si>
    <t>10-15%</t>
  </si>
  <si>
    <t>16%</t>
  </si>
  <si>
    <t>+3 пп</t>
  </si>
  <si>
    <t>Растущий компонент</t>
  </si>
  <si>
    <t>II. ФИНАНСОВЫЕ KPI</t>
  </si>
  <si>
    <t>20-28%</t>
  </si>
  <si>
    <t>47.3%</t>
  </si>
  <si>
    <t>+22 пп</t>
  </si>
  <si>
    <t>Выше отрасли благодаря JV-структуре</t>
  </si>
  <si>
    <t>Net Profit margin</t>
  </si>
  <si>
    <t>10-18%</t>
  </si>
  <si>
    <t>8-15%</t>
  </si>
  <si>
    <t>7-12%</t>
  </si>
  <si>
    <t>37.2%</t>
  </si>
  <si>
    <t>+27 пп</t>
  </si>
  <si>
    <t>Агрессивно-высокий уровень</t>
  </si>
  <si>
    <t>Operating margin</t>
  </si>
  <si>
    <t>15-22%</t>
  </si>
  <si>
    <t>39%</t>
  </si>
  <si>
    <t>+24 пп</t>
  </si>
  <si>
    <t>Лёгкая операционная структура</t>
  </si>
  <si>
    <t>COGS / Revenue</t>
  </si>
  <si>
    <t>55-65%</t>
  </si>
  <si>
    <t>60-70%</t>
  </si>
  <si>
    <t>65-75%</t>
  </si>
  <si>
    <t>46.8%</t>
  </si>
  <si>
    <t>−23 пп</t>
  </si>
  <si>
    <t>Высокая эффективность COGS</t>
  </si>
  <si>
    <t>OpEx / Revenue</t>
  </si>
  <si>
    <t>8-12%</t>
  </si>
  <si>
    <t>5.8%</t>
  </si>
  <si>
    <t>−9 пп</t>
  </si>
  <si>
    <t>Lean организация</t>
  </si>
  <si>
    <t>D&amp;A / Revenue</t>
  </si>
  <si>
    <t>3-5%</t>
  </si>
  <si>
    <t>3-6%</t>
  </si>
  <si>
    <t>0.2%</t>
  </si>
  <si>
    <t>−5 пп</t>
  </si>
  <si>
    <t>Производственный режим, D&amp;A минимален</t>
  </si>
  <si>
    <t>Cash conversion ratio</t>
  </si>
  <si>
    <t>85-95%</t>
  </si>
  <si>
    <t>80-90%</t>
  </si>
  <si>
    <t>70-85%</t>
  </si>
  <si>
    <t>78%</t>
  </si>
  <si>
    <t>+1 пп</t>
  </si>
  <si>
    <t>Зависит от графика P&amp;A</t>
  </si>
  <si>
    <t>III. VALUATION MULTIPLES (для exit reference)</t>
  </si>
  <si>
    <t>Мультипл</t>
  </si>
  <si>
    <t>Применимость для ТрендСтудио</t>
  </si>
  <si>
    <t>EV / Revenue (LTM)</t>
  </si>
  <si>
    <t>2.5-4.0×</t>
  </si>
  <si>
    <t>1.8-2.8×</t>
  </si>
  <si>
    <t>1.5-2.5×</t>
  </si>
  <si>
    <t>Применим для pre-IPO, fair range 2.0-3.0×</t>
  </si>
  <si>
    <t>EV / EBITDA (LTM)</t>
  </si>
  <si>
    <t>8-12×</t>
  </si>
  <si>
    <t>6-9×</t>
  </si>
  <si>
    <t>5-7×</t>
  </si>
  <si>
    <t>База для exit valuation, таргет 6-8×</t>
  </si>
  <si>
    <t>EV / EBITDA (forward)</t>
  </si>
  <si>
    <t>6-10×</t>
  </si>
  <si>
    <t>4-6×</t>
  </si>
  <si>
    <t>Дисконт 15-20% из-за execution risk</t>
  </si>
  <si>
    <t>P / E (Net Profit)</t>
  </si>
  <si>
    <t>15-25×</t>
  </si>
  <si>
    <t>12-18×</t>
  </si>
  <si>
    <t>8-15×</t>
  </si>
  <si>
    <t>Применим при IPO готовности, 10-12×</t>
  </si>
  <si>
    <t>EV / Subscriber (SVOD)</t>
  </si>
  <si>
    <t>$600-1200</t>
  </si>
  <si>
    <t>$400-800</t>
  </si>
  <si>
    <t>$200-500</t>
  </si>
  <si>
    <t>Не применимо — не SVOD модель</t>
  </si>
  <si>
    <t>EV / Library catalogue</t>
  </si>
  <si>
    <t>1.5-3.5×</t>
  </si>
  <si>
    <t>1.2-2.5×</t>
  </si>
  <si>
    <t>1.0-2.0×</t>
  </si>
  <si>
    <t>Долгосрочный value driver</t>
  </si>
  <si>
    <t>IV. POSITIONING SUMMARY</t>
  </si>
  <si>
    <t xml:space="preserve">  • EBITDA margin 47.3% (vs РФ median 20%) — структурное преимущество через JV</t>
  </si>
  <si>
    <t xml:space="preserve">  • Box-office/budget 3.02× — на уровне топ-квартиля европейских студий</t>
  </si>
  <si>
    <t xml:space="preserve">  • Портфельный подход 12 фильмов — диверсификация рисков slate</t>
  </si>
  <si>
    <t xml:space="preserve">  • Lean cost structure: COGS 46.8%, OpEx 5.8% — ниже отрасли</t>
  </si>
  <si>
    <t>Нейтральные зоны</t>
  </si>
  <si>
    <t xml:space="preserve">  • P&amp;A ratio 15% — медианный уровень, оставляет место для upside</t>
  </si>
  <si>
    <t xml:space="preserve">  • Cash conversion 78% — зависит от графика рекламы, можно улучшить до 85%</t>
  </si>
  <si>
    <t xml:space="preserve">  • Revenue mix 62/22/16 — сбалансированная структура</t>
  </si>
  <si>
    <t>Зоны внимания</t>
  </si>
  <si>
    <t xml:space="preserve">  • Pre-revenue статус — нет исторического track record (highest execution risk)</t>
  </si>
  <si>
    <t xml:space="preserve">  • Avg budget 154 млн ₽ — mid-tier, ограничивает potential box-office блокбастеров</t>
  </si>
  <si>
    <t xml:space="preserve">  • D&amp;A минимальный — не отражает инвестиции в IP, которые должны капитализироваться</t>
  </si>
  <si>
    <t>COMPARABLE TRANSACTIONS — M&amp;A PRECEDENTS 2018-2025</t>
  </si>
  <si>
    <t>Сделки в киноиндустрии РФ и мир. Мультипликаторы, структура, выводы для exit ТрендСтудио</t>
  </si>
  <si>
    <t>I. M&amp;A СДЕЛКИ В РФ КИНОИНДУСТРИИ 2018–2025</t>
  </si>
  <si>
    <t>Target</t>
  </si>
  <si>
    <t>Acquirer</t>
  </si>
  <si>
    <t>Deal size (млрд ₽)</t>
  </si>
  <si>
    <t>EV/Revenue</t>
  </si>
  <si>
    <t>Stake</t>
  </si>
  <si>
    <t>Альфа (miner SeqoiaCapital)</t>
  </si>
  <si>
    <t>Minority</t>
  </si>
  <si>
    <t>Pre-IPO раунд с прицелом на NASDAQ (в итоге отменён)</t>
  </si>
  <si>
    <t>Rambler → Сбер</t>
  </si>
  <si>
    <t>Control</t>
  </si>
  <si>
    <t>Полный выкуп Окко Сбербанком в рамках экосистемы</t>
  </si>
  <si>
    <t>Sigma Capital + основатели</t>
  </si>
  <si>
    <t>25%</t>
  </si>
  <si>
    <t>Раунд на развитие оригинального контента</t>
  </si>
  <si>
    <t>Газпром-медиа (internal)</t>
  </si>
  <si>
    <t>Internal consolidation</t>
  </si>
  <si>
    <t>Консолидация внутри группы ГПМ</t>
  </si>
  <si>
    <t>Kinopoisk (новый виток)</t>
  </si>
  <si>
    <t>Яндекс (internal)</t>
  </si>
  <si>
    <t>Strategic</t>
  </si>
  <si>
    <t>Усиление позиций после ухода мейджоров</t>
  </si>
  <si>
    <t>Амедиатека (библиотека)</t>
  </si>
  <si>
    <t>Новая Амедиатека / инвест-фонд</t>
  </si>
  <si>
    <t>Library deal</t>
  </si>
  <si>
    <t>Выкуп библиотеки у HBO после отключения</t>
  </si>
  <si>
    <t>Иви (доп. раунд)</t>
  </si>
  <si>
    <t>Российские институциональные инвесторы</t>
  </si>
  <si>
    <t>20%</t>
  </si>
  <si>
    <t>Pre-IPO</t>
  </si>
  <si>
    <t>Внутренняя переоценка под новый рынок</t>
  </si>
  <si>
    <t>Студия «Водород»</t>
  </si>
  <si>
    <t>Партнёры (МБА + РФПИ)</t>
  </si>
  <si>
    <t>40%</t>
  </si>
  <si>
    <t>Growth</t>
  </si>
  <si>
    <t>Премиум-контент для Kinopoisk/Okko</t>
  </si>
  <si>
    <t>VK Видео (реструктуризация)</t>
  </si>
  <si>
    <t>ВК / госучастие</t>
  </si>
  <si>
    <t>Слияние AVOD-активов под единый бренд</t>
  </si>
  <si>
    <t>1-2-3 Production</t>
  </si>
  <si>
    <t>Стратегический инвестор</t>
  </si>
  <si>
    <t>51%</t>
  </si>
  <si>
    <t>Выкуп контрольного пакета производителя сериалов</t>
  </si>
  <si>
    <t>МЕДИАНА РФ</t>
  </si>
  <si>
    <t>II. GLOBAL M&amp;A PRECEDENTS (для cross-border reference)</t>
  </si>
  <si>
    <t>Deal size ($ млрд)</t>
  </si>
  <si>
    <t>21st Century Fox</t>
  </si>
  <si>
    <t>Disney</t>
  </si>
  <si>
    <t>Крупнейшая медиа-сделка, создание Disney+ контента</t>
  </si>
  <si>
    <t>TV assets</t>
  </si>
  <si>
    <t>Viacom-CBS merger</t>
  </si>
  <si>
    <t>Merger</t>
  </si>
  <si>
    <t>Консолидация линейного ТВ</t>
  </si>
  <si>
    <t>MGM</t>
  </si>
  <si>
    <t>Amazon</t>
  </si>
  <si>
    <t>Покупка библиотеки 4000 фильмов под Prime Video</t>
  </si>
  <si>
    <t>Legendary Entertainment</t>
  </si>
  <si>
    <t>Apollo → ASPL (Wanda spin)</t>
  </si>
  <si>
    <t>Secondary</t>
  </si>
  <si>
    <t>Перепродажа Legendary из Wanda</t>
  </si>
  <si>
    <t>Hello Sunshine</t>
  </si>
  <si>
    <t>Blackstone / Candle</t>
  </si>
  <si>
    <t>Majority</t>
  </si>
  <si>
    <t>Reese Witherspoon production, контент + IP</t>
  </si>
  <si>
    <t>WarnerMedia + Discovery</t>
  </si>
  <si>
    <t>Warner Bros. Discovery merger</t>
  </si>
  <si>
    <t>Спин-офф из AT&amp;T + слияние</t>
  </si>
  <si>
    <t>Mediapro Group (Spain)</t>
  </si>
  <si>
    <t>Orient Hontai Capital</t>
  </si>
  <si>
    <t>Европейская студия + sport rights</t>
  </si>
  <si>
    <t>Hipgnosis Song Fund</t>
  </si>
  <si>
    <t>Blackstone</t>
  </si>
  <si>
    <t>Royalty</t>
  </si>
  <si>
    <t>IP library deal (music), прецедент для library valuation</t>
  </si>
  <si>
    <t>Paramount Global (rumored)</t>
  </si>
  <si>
    <t>Skydance / Apollo talks</t>
  </si>
  <si>
    <t>Переговоры о поглощении Paramount</t>
  </si>
  <si>
    <t>Paramount / Skydance</t>
  </si>
  <si>
    <t>Skydance Media + investors</t>
  </si>
  <si>
    <t>Завершена: Paramount = часть Skydance</t>
  </si>
  <si>
    <t>МЕДИАНА GLOBAL</t>
  </si>
  <si>
    <t>III. IMPLIED VALUATION для ТрендСтудио (на базе prec. мультипликаторов)</t>
  </si>
  <si>
    <t>ТрендСтудио FY2028</t>
  </si>
  <si>
    <t>Мультипл (median)</t>
  </si>
  <si>
    <t>Implied EV (млн ₽)</t>
  </si>
  <si>
    <t>Discount (20% execution)</t>
  </si>
  <si>
    <t>EV после дисконта</t>
  </si>
  <si>
    <t>EV / Revenue (РФ median)</t>
  </si>
  <si>
    <t>2.5×</t>
  </si>
  <si>
    <t>EV / EBITDA (РФ median)</t>
  </si>
  <si>
    <t>8.0×</t>
  </si>
  <si>
    <t>EV / Revenue (Global)</t>
  </si>
  <si>
    <t>2.2×</t>
  </si>
  <si>
    <t>EV / EBITDA (Global)</t>
  </si>
  <si>
    <t>9.8×</t>
  </si>
  <si>
    <t>Среднее значение:</t>
  </si>
  <si>
    <t>IV. KEY INSIGHTS ИЗ PRECEDENTS</t>
  </si>
  <si>
    <t>Медианный EV/EBITDA РФ (2018-2025) = 8.0×. ТрендСтудио при EBITDA 2028=1462 → EV≈11697 млн ₽</t>
  </si>
  <si>
    <t>Global мультипликаторы на 25-40% выше из-за глубины рынка, ликвидности и scale-ability</t>
  </si>
  <si>
    <t>Library deals (Hipgnosis, MGM) имеют премию 50-80% за эффект copyright perpetuity</t>
  </si>
  <si>
    <t>Strategic buyers (Disney/Fox, WB-Discovery) платят премию 20-30% vs financial buyers</t>
  </si>
  <si>
    <t>В РФ все сделки 2022+ имеют консервативные мультипликаторы из-за liquidity discount</t>
  </si>
  <si>
    <t>Оптимальный exit для ТрендСтудио: strategic sale (Яндекс/ВК/Сбер) с EV/EBITDA 7-9×</t>
  </si>
  <si>
    <t>Pre-IPO секундарный раунд (как ivi 2018/2023) — альтернатива exit при EV/Revenue 2.2-2.8×</t>
  </si>
  <si>
    <t>Minority stake sale (25-40%) даёт лучший мультипл, чем control premium при текущем S&amp;D</t>
  </si>
  <si>
    <t>V. ИСТОЧНИКИ СДЕЛОК</t>
  </si>
  <si>
    <t>• ТАСС, Коммерсант, Ведомости — российские сделки</t>
  </si>
  <si>
    <t>• Bloomberg, Reuters, Financial Times — глобальные сделки</t>
  </si>
  <si>
    <t>• Reuters Refinitiv M&amp;A database (публичная часть)</t>
  </si>
  <si>
    <t>• SEC 10-K отчётности публичных компаний (Disney, Paramount, Warner, Amazon)</t>
  </si>
  <si>
    <t>• S&amp;P Capital IQ (публичные оценки)</t>
  </si>
  <si>
    <t>• Прим.: EBITDA-мультипликаторы для некоторых сделок оценены на базе adj. EBITDA LTM</t>
  </si>
  <si>
    <t>GOV KPI — ПОКАЗАТЕЛИ ГОСПОДДЕРЖКИ И СОЦИОКУЛЬТУРНОГО ВКЛАДА</t>
  </si>
  <si>
    <t>Соответствие нацпроектам, ФП «Развитие отечественного кинематографа», KPI Минкульта/ФКП/ИРИ</t>
  </si>
  <si>
    <t>I. СООТВЕТСТВИЕ НАЦИОНАЛЬНЫМ ПРОЕКТАМ РФ 2025–2030</t>
  </si>
  <si>
    <t>Нацпроект / программа</t>
  </si>
  <si>
    <t>Федеральный проект</t>
  </si>
  <si>
    <t>Ответственный ФОИВ</t>
  </si>
  <si>
    <t>Вклад ТрендСтудио</t>
  </si>
  <si>
    <t>Мера вклада</t>
  </si>
  <si>
    <t>Семья</t>
  </si>
  <si>
    <t>Поддержка семейного кино</t>
  </si>
  <si>
    <t>Минкультуры РФ</t>
  </si>
  <si>
    <t>Слот F07 «Сказка наяву» (семейный), F04 «Последний экзамен»</t>
  </si>
  <si>
    <t>2 из 12 фильмов</t>
  </si>
  <si>
    <t>Молодёжь и дети</t>
  </si>
  <si>
    <t>Воспитание патриотизма через культуру</t>
  </si>
  <si>
    <t>Минкультуры РФ / Росмолодёжь</t>
  </si>
  <si>
    <t>Слот F01 «Родные стены», F06 «Красная заря» (исторический)</t>
  </si>
  <si>
    <t>Культура</t>
  </si>
  <si>
    <t>Развитие отечественного кинематографа</t>
  </si>
  <si>
    <t>Минкультуры РФ / Фонд кино</t>
  </si>
  <si>
    <t>Весь портфель (12 фильмов), объём 1 850 млн ₽</t>
  </si>
  <si>
    <t>12/12 фильмов</t>
  </si>
  <si>
    <t>Экономика данных</t>
  </si>
  <si>
    <t>Цифровизация креативных индустрий</t>
  </si>
  <si>
    <t>Минцифры РФ</t>
  </si>
  <si>
    <t>Digital distribution, VFX-pipelines, SaaS-аналитика</t>
  </si>
  <si>
    <t>Инфраструктура</t>
  </si>
  <si>
    <t>Кадры</t>
  </si>
  <si>
    <t>Подготовка кадров креативной индустрии</t>
  </si>
  <si>
    <t>Минобрнауки РФ / ВГИК</t>
  </si>
  <si>
    <t>Стажировки от 40 чел/год, партнёрство с ВГИК, МШНК</t>
  </si>
  <si>
    <t>40+ стажёров</t>
  </si>
  <si>
    <t>Международная кооперация</t>
  </si>
  <si>
    <t>Экспорт культуры и контента</t>
  </si>
  <si>
    <t>Минкультуры РФ / Россотрудничество</t>
  </si>
  <si>
    <t>Копродукция с СНГ/БРИКС/ОАЭ, фестивали</t>
  </si>
  <si>
    <t>3-4 копродукции</t>
  </si>
  <si>
    <t>II. KPI ДЛЯ ГОСПОДДЕРЖКИ (Минкультуры / Фонд кино / ИРИ)</t>
  </si>
  <si>
    <t>План 2026</t>
  </si>
  <si>
    <t>План 2027</t>
  </si>
  <si>
    <t>План 2028</t>
  </si>
  <si>
    <t>Цель 3Y</t>
  </si>
  <si>
    <t>Методика расчёта</t>
  </si>
  <si>
    <t>Количество релизов</t>
  </si>
  <si>
    <t>Фонд кино</t>
  </si>
  <si>
    <t>Фактические премьеры в широком прокате</t>
  </si>
  <si>
    <t>Количество зрителей</t>
  </si>
  <si>
    <t>млн чел</t>
  </si>
  <si>
    <t>ЕАИС</t>
  </si>
  <si>
    <t>Билеты + просмотры &gt;30 мин</t>
  </si>
  <si>
    <t>Средняя заполняемость залов</t>
  </si>
  <si>
    <t>Attendance / seats × 100%</t>
  </si>
  <si>
    <t>Сборы от проката</t>
  </si>
  <si>
    <t>Box-office РФ (ЕАИС)</t>
  </si>
  <si>
    <t>Рабочие места (ФОТ)</t>
  </si>
  <si>
    <t>чел/год</t>
  </si>
  <si>
    <t>Внутр. отчёт</t>
  </si>
  <si>
    <t>Среднесписочная, включая фриланс</t>
  </si>
  <si>
    <t>Объём налоговых отчислений</t>
  </si>
  <si>
    <t>ФНС</t>
  </si>
  <si>
    <t>НДФЛ + соцвзносы + имущ.</t>
  </si>
  <si>
    <t>Доля отечественного контента</t>
  </si>
  <si>
    <t>Минкульт</t>
  </si>
  <si>
    <t>Российский продюсер, русский язык, российская съёмочная команда</t>
  </si>
  <si>
    <t>Экспорт за рубеж</t>
  </si>
  <si>
    <t>фильмов</t>
  </si>
  <si>
    <t>Продажи прав + фестивали</t>
  </si>
  <si>
    <t>Субсидии / гранты привлечено</t>
  </si>
  <si>
    <t>ФКП + ИРИ + Минкульт</t>
  </si>
  <si>
    <t>Возвратность господдержки</t>
  </si>
  <si>
    <t>Доля возвращаемых грантов по 1215/2013</t>
  </si>
  <si>
    <t>III. СТРУКТУРА ГОСПОДДЕРЖКИ (ожидаемое привлечение 2026–2028)</t>
  </si>
  <si>
    <t>Тип поддержки</t>
  </si>
  <si>
    <t>Сумма 3Y (млн ₽)</t>
  </si>
  <si>
    <t>Доля</t>
  </si>
  <si>
    <t>Условия</t>
  </si>
  <si>
    <t>Безвозвратная субсидия + возвратная часть</t>
  </si>
  <si>
    <t>Пост. Правительства РФ от 31.12.2013 № 1215 (с изм.)</t>
  </si>
  <si>
    <t>Гранты на производство</t>
  </si>
  <si>
    <t>Конкурсный отбор, приоритет — исторический/патриотический контент</t>
  </si>
  <si>
    <t>ИРИ (Институт развития интернета)</t>
  </si>
  <si>
    <t>Гранты на цифровой контент</t>
  </si>
  <si>
    <t>Фонд поддержки контента для молодёжи</t>
  </si>
  <si>
    <t>Региональные фонды</t>
  </si>
  <si>
    <t>Рибейты и налоговые льготы</t>
  </si>
  <si>
    <t>Московская обл., СПб, Крым, Татарстан — cashback до 30%</t>
  </si>
  <si>
    <t>НДС 0%</t>
  </si>
  <si>
    <t>Налоговая льгота</t>
  </si>
  <si>
    <t>ст. 149 НК РФ — освобождение от НДС услуг в сфере культуры</t>
  </si>
  <si>
    <t>ИТОГО ГОСПОДДЕРЖКА</t>
  </si>
  <si>
    <t>56% от CAPEX; остальное — T₁ инвестор + producer equity</t>
  </si>
  <si>
    <t>IV. СОЦИОКУЛЬТУРНОЕ ВОЗДЕЙСТВИЕ</t>
  </si>
  <si>
    <t>Направление</t>
  </si>
  <si>
    <t>Просвещение через контент</t>
  </si>
  <si>
    <t>Исторические фильмы F06 «Красная заря», F08 «Неизвестный герой» — оригинальные события в истории РФ</t>
  </si>
  <si>
    <t>Поддержка семейных ценностей</t>
  </si>
  <si>
    <t>F01 «Родные стены», F07 «Сказка наяву», F09 «Моё дело» — 3 фильма с явным семейным мессиджем</t>
  </si>
  <si>
    <t>Популяризация региона</t>
  </si>
  <si>
    <t>Съёмки в Карелии, на Алтае, в Крыму, Татарстане — развитие кинотуризма</t>
  </si>
  <si>
    <t>Занятость</t>
  </si>
  <si>
    <t>260 рабочих мест/год в среднем, включая фрилансеров; партнёрство с вузами</t>
  </si>
  <si>
    <t>Международный имидж РФ</t>
  </si>
  <si>
    <t>Фестивали Шанхай, ММКФ, Minsk Fest, Dubai Film Days — экспорт культуры</t>
  </si>
  <si>
    <t>Вклад в экосистему</t>
  </si>
  <si>
    <t>VFX-центр, школа актёрского мастерства, продюсерские стажировки</t>
  </si>
  <si>
    <t>Сохранение культурного наследия</t>
  </si>
  <si>
    <t>Библиотека фильмов, архивы, копродукция с Госфильмофондом</t>
  </si>
  <si>
    <t>V. REGULATORY COMPLIANCE CHECKLIST</t>
  </si>
  <si>
    <t>Требование</t>
  </si>
  <si>
    <t>Регулятор</t>
  </si>
  <si>
    <t>Лицензия на прокат</t>
  </si>
  <si>
    <t>Удостоверение национального фильма (УНФ)</t>
  </si>
  <si>
    <t>✓ до релиза</t>
  </si>
  <si>
    <t>Возрастной рейтинг</t>
  </si>
  <si>
    <t>Категория 0+/6+/12+/16+/18+</t>
  </si>
  <si>
    <t>Подтверждение льготы по ст. 149 НК РФ</t>
  </si>
  <si>
    <t>✓ квартально</t>
  </si>
  <si>
    <t>Авторские права</t>
  </si>
  <si>
    <t>Регистрация в РАО/РСП/ВОИС, договоры с авторами</t>
  </si>
  <si>
    <t>РАО, ВОИС</t>
  </si>
  <si>
    <t>✓ до съёмок</t>
  </si>
  <si>
    <t>Договоры с актёрами</t>
  </si>
  <si>
    <t>ТД + имидж-права + морал райтс</t>
  </si>
  <si>
    <t>Минтруд РФ</t>
  </si>
  <si>
    <t>Съёмочные разрешения</t>
  </si>
  <si>
    <t>Разрешения на съёмки в госучреждениях</t>
  </si>
  <si>
    <t>Минкульт, регионы</t>
  </si>
  <si>
    <t>Страхование</t>
  </si>
  <si>
    <t>Completion bond, страхование членов группы</t>
  </si>
  <si>
    <t>ФКП + частные</t>
  </si>
  <si>
    <t>Отчётность в ФКП</t>
  </si>
  <si>
    <t>Ежеквартальная отчётность + финальная</t>
  </si>
  <si>
    <t>Охрана труда</t>
  </si>
  <si>
    <t>Техника безопасности на площадке</t>
  </si>
  <si>
    <t>Росинспекция</t>
  </si>
  <si>
    <t>✓ на площадке</t>
  </si>
  <si>
    <t>ФЗ-152 о персональных данных</t>
  </si>
  <si>
    <t>Согласия актёров, статистов, зрителей</t>
  </si>
  <si>
    <t>Роскомнадзор</t>
  </si>
  <si>
    <t>✓ непрерывно</t>
  </si>
  <si>
    <t>• Указ Президента РФ № 309 от 07.05.2024 «О национальных целях развития РФ на период до 2030 года»</t>
  </si>
  <si>
    <t>• Постановление Правительства РФ № 1215 от 31.12.2013 «О предоставлении субсидий Фонду кино»</t>
  </si>
  <si>
    <t>• Национальный проект «Культура» (паспорт 2019–2024, продление 2025–2030)</t>
  </si>
  <si>
    <t>• Нацпроект «Семья» 2025–2030 (приоритеты Минкультуры)</t>
  </si>
  <si>
    <t>• Налоговый кодекс РФ, ст. 149 (льготы по НДС для кинопроизводства)</t>
  </si>
  <si>
    <t>• Кремлин.ру — публикации о культурной политике</t>
  </si>
  <si>
    <t>• ТАСС — новости Минкультуры и Фонда кино</t>
  </si>
  <si>
    <t>• Официальный сайт Минкультуры РФ (culture.gov.ru)</t>
  </si>
  <si>
    <t>• Единая автоматизированная информационная система (ЕАИС) Фонда кино</t>
  </si>
  <si>
    <t>TAX SCHEDULE — НАЛОГОВЫЙ КАЛЕНДАРЬ 2026–2032</t>
  </si>
  <si>
    <t>Поквартально Q1'26–Q4'28 + годовые 2029–2032. НДС 0% кинопроизводство, налог на прибыль 20%, страховые 30.2%, НДФЛ 13/15%</t>
  </si>
  <si>
    <t>I. ПРИМЕНИМЫЕ НАЛОГИ И СТАВКИ (НК РФ)</t>
  </si>
  <si>
    <t>Налог</t>
  </si>
  <si>
    <t>База</t>
  </si>
  <si>
    <t>Ставка 2026</t>
  </si>
  <si>
    <t>Ставка 2028</t>
  </si>
  <si>
    <t>Статья НК</t>
  </si>
  <si>
    <t>Налог на прибыль</t>
  </si>
  <si>
    <t>Прибыль до налогообложения</t>
  </si>
  <si>
    <t>20% (17% регион + 3% фед.)</t>
  </si>
  <si>
    <t>20% (17/3)</t>
  </si>
  <si>
    <t>ст. 284</t>
  </si>
  <si>
    <t>Основная ставка, льготы для КИК</t>
  </si>
  <si>
    <t>НДС</t>
  </si>
  <si>
    <t>Услуги кинопроизводства</t>
  </si>
  <si>
    <t>0% (кино)</t>
  </si>
  <si>
    <t>ст. 149 п.20</t>
  </si>
  <si>
    <t>Освобождение: производство + прокат нац. фильмов с УНФ</t>
  </si>
  <si>
    <t>Страховые взносы</t>
  </si>
  <si>
    <t>ФОТ</t>
  </si>
  <si>
    <t>30.2% (ОПС+ОМС+ОСС)</t>
  </si>
  <si>
    <t>30.2%</t>
  </si>
  <si>
    <t>НК гл. 34</t>
  </si>
  <si>
    <t>Стандартный тариф, возможны льготы для IT-аккредитации</t>
  </si>
  <si>
    <t>НДФЛ (штатные)</t>
  </si>
  <si>
    <t>ФОТ штатных</t>
  </si>
  <si>
    <t>13% / 15%</t>
  </si>
  <si>
    <t>ст. 224</t>
  </si>
  <si>
    <t>15% с превышения 5 млн ₽/год</t>
  </si>
  <si>
    <t>НДФЛ (фриланс GPH)</t>
  </si>
  <si>
    <t>Выплаты по ГПХ</t>
  </si>
  <si>
    <t>13%</t>
  </si>
  <si>
    <t>Удерживается при выплате</t>
  </si>
  <si>
    <t>Налог на имущество</t>
  </si>
  <si>
    <t>Стоимость ОС</t>
  </si>
  <si>
    <t>2.2% (регион)</t>
  </si>
  <si>
    <t>2.2%</t>
  </si>
  <si>
    <t>ст. 380</t>
  </si>
  <si>
    <t>Московская область + СПб</t>
  </si>
  <si>
    <t>Транспортный налог</t>
  </si>
  <si>
    <t>Авто, техника</t>
  </si>
  <si>
    <t>Регион. ставки</t>
  </si>
  <si>
    <t>ст. 361</t>
  </si>
  <si>
    <t>Для съёмочной техники</t>
  </si>
  <si>
    <t>Земельный налог</t>
  </si>
  <si>
    <t>Участки под студии</t>
  </si>
  <si>
    <t>0.3%-1.5%</t>
  </si>
  <si>
    <t>ст. 394</t>
  </si>
  <si>
    <t>Для капитальных студий</t>
  </si>
  <si>
    <t>ЕНВД/УСН</t>
  </si>
  <si>
    <t>Упрощёнка для JV</t>
  </si>
  <si>
    <t>6% дохода / 15% Д-Р</t>
  </si>
  <si>
    <t>6% / 15%</t>
  </si>
  <si>
    <t>гл. 26.2</t>
  </si>
  <si>
    <t>Не применим — обороты &gt;450 млн ₽</t>
  </si>
  <si>
    <t>II. НАЛОГОВЫЙ КАЛЕНДАРЬ 2026–2028 (поквартально, млн ₽)</t>
  </si>
  <si>
    <t>Налог на прибыль (20%)</t>
  </si>
  <si>
    <t>НДС (0%, справочно)</t>
  </si>
  <si>
    <t>Страховые взносы (30.2%)</t>
  </si>
  <si>
    <t>НДФЛ (13-15%)</t>
  </si>
  <si>
    <t>Имущество + прочие</t>
  </si>
  <si>
    <t>ИТОГО НАЛОГИ</t>
  </si>
  <si>
    <t>III. SUMMARY НАЛОГОВЫХ ОТЧИСЛЕНИЙ</t>
  </si>
  <si>
    <t>Страховые</t>
  </si>
  <si>
    <t>НДФЛ</t>
  </si>
  <si>
    <t>Прочие</t>
  </si>
  <si>
    <t>% от Revenue</t>
  </si>
  <si>
    <t>3Y (2026-2028)</t>
  </si>
  <si>
    <t>Tail (2029-2032)</t>
  </si>
  <si>
    <t>7Y ИТОГО</t>
  </si>
  <si>
    <t>IV. KEY INSIGHTS</t>
  </si>
  <si>
    <t>1. Общий объём налогов 7Y ≈ 720 млн ₽ (12.9% от Revenue)</t>
  </si>
  <si>
    <t>2. 3Y net tax burden ≈ 597 млн ₽, из которых налог на прибыль ~430 млн ₽ (основной)</t>
  </si>
  <si>
    <t>3. НДС 0% — ключевая льгота: экономия ~800 млн ₽ vs стандартная ставка 20%</t>
  </si>
  <si>
    <t>4. Страховые взносы 30.2% — основной cost driver для ФОТ, требует оптимизации через IT-аккредитацию</t>
  </si>
  <si>
    <t>5. Налог на прибыль 20% применяется к JV-структуре; producer equity 600 млн — отдельный tax treatment</t>
  </si>
  <si>
    <t>6. Рибейты: Московская область 30%, Татарстан 25%, Крым 20% — возможность снизить effective tax rate</t>
  </si>
  <si>
    <t>7. Налоговые риски (R18 из Risk Register): оспаривание НДС-льготы требует предварительного согласования с ФНС</t>
  </si>
  <si>
    <t>V. ИСТОЧНИКИ</t>
  </si>
  <si>
    <t>• Налоговый кодекс РФ, части 1 и 2 (консультантплюс.ру)</t>
  </si>
  <si>
    <t>• ФНС России — разъяснения по НДС в сфере культуры (nalog.gov.ru)</t>
  </si>
  <si>
    <t>• Минфин РФ — налоговая политика РФ 2024-2026</t>
  </si>
  <si>
    <t>• Федеральный закон № 126-ФЗ «О господдержке кинематографии»</t>
  </si>
  <si>
    <t>• Постановление Правительства РФ № 1215/2013 (грантовый механизм)</t>
  </si>
  <si>
    <t>• Приказы ФНС по возмещению НДС 0% для кинопроизводства</t>
  </si>
  <si>
    <t>ROADMAP 2026–2032 — КЛЮЧЕВЫЕ МИЛЕСТОНЫ</t>
  </si>
  <si>
    <t>Производство slate, фандрайзинг, governance, exit routes. Critical path color-coded.</t>
  </si>
  <si>
    <t>I. PRODUCTION MILESTONES (12 фильмов × 4 фазы: Dev / Shoot / Post / Release)</t>
  </si>
  <si>
    <t>Фильм / Этап</t>
  </si>
  <si>
    <t>F01 Родные стены</t>
  </si>
  <si>
    <t>Dev</t>
  </si>
  <si>
    <t>Shoot</t>
  </si>
  <si>
    <t>★Rel</t>
  </si>
  <si>
    <t>tail</t>
  </si>
  <si>
    <t>F02 Два сердца</t>
  </si>
  <si>
    <t>F03 Ночной патруль</t>
  </si>
  <si>
    <t>F04 Последний экзамен</t>
  </si>
  <si>
    <t>F05 Время героев</t>
  </si>
  <si>
    <t>Post</t>
  </si>
  <si>
    <t>F06 Красная заря</t>
  </si>
  <si>
    <t>F07 Сказка наяву</t>
  </si>
  <si>
    <t>F08 Неизвестный герой</t>
  </si>
  <si>
    <t>F09 Моё дело</t>
  </si>
  <si>
    <t>F10 Северный ветер</t>
  </si>
  <si>
    <t>F11 Полдень</t>
  </si>
  <si>
    <t>F12 Горизонт событий</t>
  </si>
  <si>
    <t>★Rel Release</t>
  </si>
  <si>
    <t>tail Tail rev.</t>
  </si>
  <si>
    <t>II. FUNDRAISING &amp; FINANCIAL MILESTONES</t>
  </si>
  <si>
    <t>Этап</t>
  </si>
  <si>
    <t>T₁ Tranche 1 (20% = 250)</t>
  </si>
  <si>
    <t>★ 250 млн ₽</t>
  </si>
  <si>
    <t>T₁ Tranche 2 (28% = 350)</t>
  </si>
  <si>
    <t>★ 350 млн ₽</t>
  </si>
  <si>
    <t>T₁ Tranche 3 (28% = 350)</t>
  </si>
  <si>
    <t>T₁ Tranche 4 (24% = 300)</t>
  </si>
  <si>
    <t>★ 300 млн ₽</t>
  </si>
  <si>
    <t>ФКП грант раунд 1</t>
  </si>
  <si>
    <t>ФКП 180</t>
  </si>
  <si>
    <t>ФКП грант раунд 2</t>
  </si>
  <si>
    <t>ФКП 220</t>
  </si>
  <si>
    <t>ФКП грант раунд 3</t>
  </si>
  <si>
    <t>ФКП 120</t>
  </si>
  <si>
    <t>ИРИ раунд</t>
  </si>
  <si>
    <t>ИРИ 150</t>
  </si>
  <si>
    <t>Producer equity (JV)</t>
  </si>
  <si>
    <t>600 equity</t>
  </si>
  <si>
    <t>Revolving credit line</t>
  </si>
  <si>
    <t>200 RCL</t>
  </si>
  <si>
    <t>T₁ Repayment 1 (300)</t>
  </si>
  <si>
    <t>−300</t>
  </si>
  <si>
    <t>T₁ Repayment 2 (700)</t>
  </si>
  <si>
    <t>−700</t>
  </si>
  <si>
    <t>T₁ Repayment 3 (500)</t>
  </si>
  <si>
    <t>−500</t>
  </si>
  <si>
    <t>T₁ Final repayment</t>
  </si>
  <si>
    <t>−223</t>
  </si>
  <si>
    <t>III. GOVERNANCE &amp; REPORTING MILESTONES</t>
  </si>
  <si>
    <t>Board meeting</t>
  </si>
  <si>
    <t>BM</t>
  </si>
  <si>
    <t>Investor quarterly report</t>
  </si>
  <si>
    <t>Rep</t>
  </si>
  <si>
    <t>Audit (годовой)</t>
  </si>
  <si>
    <t>Audit</t>
  </si>
  <si>
    <t>Covenant test</t>
  </si>
  <si>
    <t>Cov</t>
  </si>
  <si>
    <t>Strategic review</t>
  </si>
  <si>
    <t>Rev</t>
  </si>
  <si>
    <t>IV. EXIT ROUTES MILESTONES (из листа 25_Exit_Scenarios)</t>
  </si>
  <si>
    <t>Exit route</t>
  </si>
  <si>
    <t>E1: Strategic sale</t>
  </si>
  <si>
    <t>SS ★</t>
  </si>
  <si>
    <t>E2: Trade sale PE</t>
  </si>
  <si>
    <t>TS</t>
  </si>
  <si>
    <t>E3: IPO (small-cap Мосбиржа)</t>
  </si>
  <si>
    <t>E4: Secondary sale</t>
  </si>
  <si>
    <t>Sec</t>
  </si>
  <si>
    <t>E5: Management buyout</t>
  </si>
  <si>
    <t>MBO</t>
  </si>
  <si>
    <t>E6: Gov strategic (РФПИ)</t>
  </si>
  <si>
    <t>Gov</t>
  </si>
  <si>
    <t>E7: Wind-down (hold)</t>
  </si>
  <si>
    <t>WD</t>
  </si>
  <si>
    <t>V. CRITICAL PATH (ключевые зависимости)</t>
  </si>
  <si>
    <t>• Q1'26: T₁ Tranche 1 250 млн ₽ → старт Dev F01-F05</t>
  </si>
  <si>
    <t>• Q2'26: Tranche 2 350 → Shoot F01-F02 (без задержки)</t>
  </si>
  <si>
    <t>• Q3'26: Tranche 3 350 → Shoot F03-F04, Pre-production F05</t>
  </si>
  <si>
    <t>• Q4'26: Tranche 4 300 + Release F01 → первый revenue impulse</t>
  </si>
  <si>
    <t>• Q2'27: Release F02-F04 → проверка slate performance vs прогноз</t>
  </si>
  <si>
    <t>• Q3'27: Release F05 (блокбастер 250 млн) → critical test hypothesis</t>
  </si>
  <si>
    <t>• Q4'27: Mid-term review → решение о продолжении Slate B (F11-F12) или pivot</t>
  </si>
  <si>
    <t>• Q2'28: Release F08-F09 → cash flow breakpoint</t>
  </si>
  <si>
    <t>• Q4'28: Release F12 + full slate completed → start exit prep</t>
  </si>
  <si>
    <t>• 2029: Q1 — covenant pass или W₃ activation (default) / W₄ premium upgrade decision</t>
  </si>
  <si>
    <t>• 2029-2030: Strategic review → exit route selection → T₁ repayment start</t>
  </si>
  <si>
    <t>• 2030-2032: Exit execution + full T₁ repayment + library monetization</t>
  </si>
  <si>
    <t>VI. TOP-10 КРИТИЧЕСКИХ ДАТ</t>
  </si>
  <si>
    <t>Событие</t>
  </si>
  <si>
    <t>Критичность</t>
  </si>
  <si>
    <t>Ответственный</t>
  </si>
  <si>
    <t>15.01.2026</t>
  </si>
  <si>
    <t>Подписание T₁ Term Sheet + SPA</t>
  </si>
  <si>
    <t>CFO / Legal</t>
  </si>
  <si>
    <t>31.03.2026</t>
  </si>
  <si>
    <t>Closing Tranche 1 (250 млн ₽)</t>
  </si>
  <si>
    <t>15.06.2026</t>
  </si>
  <si>
    <t>Старт съёмок F01 «Родные стены»</t>
  </si>
  <si>
    <t>Producer F01</t>
  </si>
  <si>
    <t>30.09.2026</t>
  </si>
  <si>
    <t>Tranche 3 + старт съёмок F05</t>
  </si>
  <si>
    <t>CFO + F05 Prod</t>
  </si>
  <si>
    <t>01.12.2026</t>
  </si>
  <si>
    <t>Премьера F01 (широкий прокат)</t>
  </si>
  <si>
    <t>15.09.2027</t>
  </si>
  <si>
    <t>Премьера F05 «Время героев» (блокбастер)</t>
  </si>
  <si>
    <t>CEO / Marketing</t>
  </si>
  <si>
    <t>31.12.2027</t>
  </si>
  <si>
    <t>Mid-term review + Slate B decision</t>
  </si>
  <si>
    <t>Board</t>
  </si>
  <si>
    <t>31.12.2028</t>
  </si>
  <si>
    <t>Full slate completed + exit prep start</t>
  </si>
  <si>
    <t>Board / IR</t>
  </si>
  <si>
    <t>30.06.2029</t>
  </si>
  <si>
    <t>Covenant pass check + T₁ Repayment 1</t>
  </si>
  <si>
    <t>31.12.2032</t>
  </si>
  <si>
    <t>Final T₁ repayment + exit execution</t>
  </si>
  <si>
    <t>EXECUTIVE SUMMARY</t>
  </si>
  <si>
    <t>Холдинг кино «ТрендСтудио» — Investor Package v1.0.1 Public · A+C pattern</t>
  </si>
  <si>
    <t>I. INVESTMENT HIGHLIGHTS</t>
  </si>
  <si>
    <t>▶</t>
  </si>
  <si>
    <t>Горизонт 2026–2028, 12 премиальных фильмов, Revenue 4 545 млн ₽, GAAP EBITDA margin 47%, payback &lt; 24 мес</t>
  </si>
  <si>
    <t>Инвест-пакет T₁ = 1 250 млн ₽ (4 транша 20/28/28/24%), Producer equity 600 млн ₽ (off-P&amp;L JV капитал)</t>
  </si>
  <si>
    <t>Рынок SOM 4 545 млн ₽ из TAM 289.8 млрд ₽ — доля &lt;2%, защита от рыночного риска</t>
  </si>
  <si>
    <t>Weighted exit EV ≈ 6 038 млн ₽ на 2030, 7 маршрутов выхода (strategic / IPO / secondary / ESOP / buyback / mgmt / open market)</t>
  </si>
  <si>
    <t>Полное соответствие национальным проектам «Семья», «Молодёжь и дети», «Культура» — господдержка ~1 040 млн ₽ (грант ФКП + льготы)</t>
  </si>
  <si>
    <t>II. KEY METRICS (ЯКОРЯ)</t>
  </si>
  <si>
    <t>Revenue (Выручка)</t>
  </si>
  <si>
    <t>4 545 млн ₽</t>
  </si>
  <si>
    <t>07_Revenue_Breakdown</t>
  </si>
  <si>
    <t>12 фильмов + сиквелы + TV/OTT</t>
  </si>
  <si>
    <t>COGS (Себестоимость)</t>
  </si>
  <si>
    <t>06_Cost_Structure</t>
  </si>
  <si>
    <t>Производство + прокат + маркетинг</t>
  </si>
  <si>
    <t>265.5 млн ₽</t>
  </si>
  <si>
    <t>ФОТ + аренда + G&amp;A</t>
  </si>
  <si>
    <t>EBITDA (GAAP)</t>
  </si>
  <si>
    <t>09_P&amp;L_Statement</t>
  </si>
  <si>
    <t>Маржа 47.3%</t>
  </si>
  <si>
    <t>NDP (legacy anchor)</t>
  </si>
  <si>
    <t>09_P&amp;L (bridge)</t>
  </si>
  <si>
    <t>Non-Discounted Profit, внутренний якорь холдинга</t>
  </si>
  <si>
    <t>После налогов (prib 20% + прочее)</t>
  </si>
  <si>
    <t>Инвестиция T₁</t>
  </si>
  <si>
    <t>14_Investment_Inflow</t>
  </si>
  <si>
    <t>4 транша: 250 / 350 / 350 / 300</t>
  </si>
  <si>
    <t>Producer Equity</t>
  </si>
  <si>
    <t>17_Deal_Structures</t>
  </si>
  <si>
    <t>JV капитал продюсеров (off-P&amp;L)</t>
  </si>
  <si>
    <t>Production Budget</t>
  </si>
  <si>
    <t>08_Content_Pipeline</t>
  </si>
  <si>
    <t>12 фильмов × avg 154 млн ₽</t>
  </si>
  <si>
    <t>Tax (7-year)</t>
  </si>
  <si>
    <t>720 млн ₽</t>
  </si>
  <si>
    <t>34_Tax_Schedule</t>
  </si>
  <si>
    <t>2026–2032, эффективная ставка 12.9% от Revenue</t>
  </si>
  <si>
    <t>Investor Returns T₁ (W₃ default)</t>
  </si>
  <si>
    <t>IRR 20.09% · MOIC 2.0× · Payback 3.23y · MC N=5 000: mean IRR 11.44%, P(&gt;hurdle)=13.6%; A+C pattern 33/45/9/13 (см. дислеймер V.1-V.4)</t>
  </si>
  <si>
    <t>24_Investor_Returns</t>
  </si>
  <si>
    <t>Base W₃ = hurdle 18% ровно</t>
  </si>
  <si>
    <t>III. VALUATION RANGE INTERPRETATION (DCF vs MULTIPLES)</t>
  </si>
  <si>
    <t>Оценка ТрендСтудио имеет три точки опоры. Это не артефакт методологии, а отражение структурных различий подходов.</t>
  </si>
  <si>
    <t>EV 2030</t>
  </si>
  <si>
    <t>Роль в оценке</t>
  </si>
  <si>
    <t>DCF (blend Gordon 40% + Exit 60%)</t>
  </si>
  <si>
    <t>1 815 млн ₽</t>
  </si>
  <si>
    <t>Floor valuation (intrinsic, 5-летний горизонт, высокий WACC)</t>
  </si>
  <si>
    <t>22_Valuation_DCF</t>
  </si>
  <si>
    <t>Медиана Comps (EV/EBITDA 8.9×)</t>
  </si>
  <si>
    <t>7 550 млн ₽</t>
  </si>
  <si>
    <t>Рыночная оценка (что реально платят в сделках)</t>
  </si>
  <si>
    <t>32_Comparable_Transactions</t>
  </si>
  <si>
    <t>Weighted Exit EV (probability-weighted)</t>
  </si>
  <si>
    <t>6 038 млн ₽</t>
  </si>
  <si>
    <t>Expected value (переговорный ориентир)</t>
  </si>
  <si>
    <t>25_Exit_Scenarios</t>
  </si>
  <si>
    <t>Разрыв DCF vs Comps median = 5 735 млн ₽ — это не ошибка, а сумма 5 структурных компонентов:</t>
  </si>
  <si>
    <t>Компонент разрыва</t>
  </si>
  <si>
    <t>Вклад</t>
  </si>
  <si>
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</si>
  <si>
    <t>+2 500</t>
  </si>
  <si>
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</si>
  <si>
    <t>+1 500</t>
  </si>
  <si>
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</si>
  <si>
    <t>Execution risk — двойное начисление</t>
  </si>
  <si>
    <t>+500</t>
  </si>
  <si>
    <t>Сумма структурных компонентов ≈ фактическая разница 5 735 (7 550 − 1 815)</t>
  </si>
  <si>
    <t>≈ +5 500</t>
  </si>
  <si>
    <t>ПРАКТИЧЕСКИЙ ВЫВОД ДЛЯ ИНВЕСТОРА:</t>
  </si>
  <si>
    <t>Примечание: Base case — якорь NDP 3 000 млн ₽; Bear = 0.60× NDP; Bull = 1.40× NDP. A+C pattern 33/45/9/13. ⚠ Bear (9.34%) и Downside (15.14%) сценарии IRR ниже hurdle 18%.</t>
  </si>
  <si>
    <t>IV. RISK SUMMARY (TOP-5 ИЗ 30)</t>
  </si>
  <si>
    <t>S×L</t>
  </si>
  <si>
    <t>Митигация</t>
  </si>
  <si>
    <t>Downside risk NDP shortfall (W₃ Base IRR = 20.09%, hurdle +2.09pp)</t>
  </si>
  <si>
    <t>3×4</t>
  </si>
  <si>
    <t>12 (High)</t>
  </si>
  <si>
    <t>Waterfall W₃ (1× Liq Pref floor + 8% coupon + 60/40), W₄ premium опция (12% preferred + 65/35)</t>
  </si>
  <si>
    <t>Срыв production календаря ≥ 6 мес</t>
  </si>
  <si>
    <t>Pre-financing reserve 10%, страхование срывов, 2-х треков post-prod</t>
  </si>
  <si>
    <t>Отказ ФКП в грантовой поддержке</t>
  </si>
  <si>
    <t>4×3</t>
  </si>
  <si>
    <t>Двойной трек заявок, диверсификация источников (ФКП + регионы + РФК)</t>
  </si>
  <si>
    <t>Девальвация рубля &gt; 25%</t>
  </si>
  <si>
    <t>Рынок</t>
  </si>
  <si>
    <t>VFX/post-prod в РФ, долларовые контракты минимизированы, FX hedge для платформ</t>
  </si>
  <si>
    <t>Потеря ключевого режиссёра / продюсера</t>
  </si>
  <si>
    <t>2×5</t>
  </si>
  <si>
    <t>10 (High)</t>
  </si>
  <si>
    <t>Long-term contracts, ESOP vesting 4 года, 2nd-tier bench</t>
  </si>
  <si>
    <t>→ Полный реестр 30 рисков см. лист 29_Risk_Register (heat map 5×5 + top-10 detail).</t>
  </si>
  <si>
    <t>V. EXIT STRATEGY (7 МАРШРУТОВ)</t>
  </si>
  <si>
    <t>Маршрут</t>
  </si>
  <si>
    <t>P</t>
  </si>
  <si>
    <t>Окно</t>
  </si>
  <si>
    <t>Условия / премия</t>
  </si>
  <si>
    <t>E1</t>
  </si>
  <si>
    <t>Strategic sale — Яндекс / Сбер</t>
  </si>
  <si>
    <t>30%</t>
  </si>
  <si>
    <t>EV/EBITDA 9–11×, премия за контроль 20%</t>
  </si>
  <si>
    <t>E2</t>
  </si>
  <si>
    <t>Strategic sale — Газпром-Медиа / НМГ</t>
  </si>
  <si>
    <t>EV/EBITDA 7–9×, премия за вертикальную интеграцию</t>
  </si>
  <si>
    <t>E3</t>
  </si>
  <si>
    <t>IPO на Мосбирже (main list)</t>
  </si>
  <si>
    <t>2030–2031</t>
  </si>
  <si>
    <t>Free float 25%, P/E 15–18×</t>
  </si>
  <si>
    <t>E4</t>
  </si>
  <si>
    <t>Secondary placement (PE / VC)</t>
  </si>
  <si>
    <t>2029–2030</t>
  </si>
  <si>
    <t>Partial exit, roll-over 40–50%</t>
  </si>
  <si>
    <t>E5</t>
  </si>
  <si>
    <t>ESOP buyout (management)</t>
  </si>
  <si>
    <t>10%</t>
  </si>
  <si>
    <t>Discounted valuation, ESG premium</t>
  </si>
  <si>
    <t>E6</t>
  </si>
  <si>
    <t>Buyback (sponsor put option)</t>
  </si>
  <si>
    <t>5%</t>
  </si>
  <si>
    <t>Downside protection, IRR floor 12%</t>
  </si>
  <si>
    <t>E7</t>
  </si>
  <si>
    <t>Open secondary market</t>
  </si>
  <si>
    <t>2030+</t>
  </si>
  <si>
    <t>Preservation of control, drag-along terms</t>
  </si>
  <si>
    <t>→ Подробнее см. 25_Exit_Scenarios и 35_Roadmap_2026_2032.</t>
  </si>
  <si>
    <t>VI. RECOMMENDATION</t>
  </si>
  <si>
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</si>
  <si>
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</si>
  <si>
    <t>GLOSSARY / СЛОВАРЬ ТЕРМИНОВ</t>
  </si>
  <si>
    <t>Финансовые • Кино-индустрия • Регуляторные РФ — 50+ терминов</t>
  </si>
  <si>
    <t>Термин / Term</t>
  </si>
  <si>
    <t>Определение</t>
  </si>
  <si>
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</si>
  <si>
    <t>FIN</t>
  </si>
  <si>
    <t>GAAP EBITDA</t>
  </si>
  <si>
    <t>EBITDA, рассчитанная в соответствии с принципами бухучёта (Generally Accepted Accounting Principles). В ТрендСтудио = 2 152 млн ₽ за 3 года.</t>
  </si>
  <si>
    <t>Non-Discounted Profit — недисконтированная прибыль холдинга, внутренний якорь финмодели. В ТрендСтудио = 3 000 млн ₽ (legacy anchor).</t>
  </si>
  <si>
    <t>Выручка — совокупные денежные поступления от реализации (прокат, TV/OTT права, мерч, сиквелы). В ТрендСтудио Σ = 4 545 млн ₽.</t>
  </si>
  <si>
    <t>COGS</t>
  </si>
  <si>
    <t>Cost of Goods Sold — себестоимость реализации (прямое производство фильмов + прокатные расходы + маркетинг). В ТрендСтудио Σ = 2 127.5 млн ₽.</t>
  </si>
  <si>
    <t>Operating Expenses — операционные расходы (ФОТ, аренда, G&amp;A, IT, юр). В ТрендСтудио Σ = 265.5 млн ₽.</t>
  </si>
  <si>
    <t>CAPEX</t>
  </si>
  <si>
    <t>Capital Expenditures — капитальные затраты на долгосрочные активы (оборудование, студийные мощности, IT-инфраструктура).</t>
  </si>
  <si>
    <t>Чистая прибыль после вычета налогов. В ТрендСтудио Σ = 1 689 млн ₽.</t>
  </si>
  <si>
    <t>Free Cash Flow (FCF)</t>
  </si>
  <si>
    <t>Свободный денежный поток = Operating CF − CAPEX. Ключевая метрика для DCF-оценки.</t>
  </si>
  <si>
    <t>Working Capital</t>
  </si>
  <si>
    <t>Оборотный капитал = Current Assets − Current Liabilities. См. лист 12_Working_Capital.</t>
  </si>
  <si>
    <t>WACC</t>
  </si>
  <si>
    <t>Weighted Average Cost of Capital — средневзвешенная стоимость капитала. В модели = 19% (высокий уровень отражает страновой риск РФ и execution risk кино-индустрии).</t>
  </si>
  <si>
    <t>DCF</t>
  </si>
  <si>
    <t>Discounted Cash Flow — метод оценки через дисконтирование будущих денежных потоков по WACC. См. 22_Valuation_DCF.</t>
  </si>
  <si>
    <t>NPV</t>
  </si>
  <si>
    <t>Net Present Value — чистая приведённая стоимость. Показывает превышение дисконтированных доходов над инвестицией.</t>
  </si>
  <si>
    <t>Internal Rate of Return — внутренняя норма доходности. Ставка, при которой NPV = 0. Hurdle rate для инвестора = 18%.</t>
  </si>
  <si>
    <t>Multiple of Invested Capital — множитель на вложенный капитал = Exit value / Investment. Для ТрендСтудио expected ≈ 4.8×.</t>
  </si>
  <si>
    <t>Payback Period</t>
  </si>
  <si>
    <t>Срок окупаемости — количество периодов до возврата инвестиции. В ТрендСтудио Base &lt; 24 мес.</t>
  </si>
  <si>
    <t>Enterprise Value — стоимость бизнеса = Equity Value + Net Debt. Используется в multiples (EV/EBITDA, EV/Revenue).</t>
  </si>
  <si>
    <t>Мультипликатор оценки: EV делённый на EBITDA. РФ кино-median = 8.0×, Global = 9.8×.</t>
  </si>
  <si>
    <t>Gordon Growth TV</t>
  </si>
  <si>
    <t>Модель терминальной стоимости при постоянном росте g. TV = FCF_last × (1 + g) / (WACC − g). В модели g = 3%.</t>
  </si>
  <si>
    <t>Exit Multiple TV</t>
  </si>
  <si>
    <t>Альтернативная TV через множитель на EBITDA последнего года прогноза. В модели 6.5× EBITDA.</t>
  </si>
  <si>
    <t>Monte Carlo Simulation</t>
  </si>
  <si>
    <t>Вероятностный метод оценки: генерируется N случайных сценариев для получения распределения результатов. В модели n=1000, seed=42.</t>
  </si>
  <si>
    <t>RISK</t>
  </si>
  <si>
    <t>VaR</t>
  </si>
  <si>
    <t>Value at Risk — максимальный ожидаемый убыток на заданном уровне доверия (обычно 95% или 99%). VaR 95% в модели = 561 млн ₽.</t>
  </si>
  <si>
    <t>CVaR (Expected Shortfall)</t>
  </si>
  <si>
    <t>Conditional VaR — средний убыток в худших (1−α)% случаев. Более консервативная мера, чем VaR.</t>
  </si>
  <si>
    <t>P50 / P90</t>
  </si>
  <si>
    <t>Перцентили распределения. P50 = медиана (50% сценариев хуже), P90 = верхний квартиль.</t>
  </si>
  <si>
    <t>Tornado Analysis</t>
  </si>
  <si>
    <t>Sensitivity анализ с ±20% вариацией каждого параметра. Ранжирует факторы по влиянию на целевую метрику.</t>
  </si>
  <si>
    <t>Risk Score</t>
  </si>
  <si>
    <t>Severity × Likelihood (1–5 × 1–5 = 1–25). В ТрендСтудио 29_Risk_Register: max score 20 (R17).</t>
  </si>
  <si>
    <t>Heat Map</t>
  </si>
  <si>
    <t>Визуализация рисков в матрице 5×5 (Severity × Likelihood) с цветовым кодированием критичности.</t>
  </si>
  <si>
    <t>Hurdle Rate</t>
  </si>
  <si>
    <t>Минимальная требуемая доходность для одобрения инвестиции. Для ТрендСтудио T₁ = 18%.</t>
  </si>
  <si>
    <t>LP (Limited Partner)</t>
  </si>
  <si>
    <t>Инвестор-участник фонда / JV без операционного контроля, с ограниченной ответственностью.</t>
  </si>
  <si>
    <t>DEAL</t>
  </si>
  <si>
    <t>GP (General Partner)</t>
  </si>
  <si>
    <t>Управляющий партнёр, несёт полную ответственность, принимает инвестиционные решения.</t>
  </si>
  <si>
    <t>Preferred Return</t>
  </si>
  <si>
    <t>Минимальная гарантированная доходность LP до выплаты GP. В модели — 12%.</t>
  </si>
  <si>
    <t>Waterfall</t>
  </si>
  <si>
    <t>Структура распределения cash flow между LP / GP согласно приоритетам. См. 19_Waterfall.</t>
  </si>
  <si>
    <t>Makewhole Clause</t>
  </si>
  <si>
    <t>Защитная оговорка: при досрочном выходе эмитент компенсирует LP потерянную доходность.</t>
  </si>
  <si>
    <t>Cap Table</t>
  </si>
  <si>
    <t>Таблица капитализации — распределение долей между всеми акционерами/LP. См. 18_Cap_Table.</t>
  </si>
  <si>
    <t>Drag-Along</t>
  </si>
  <si>
    <t>Право мажоритария принудительно вовлечь миноритариев в сделку exit на тех же условиях.</t>
  </si>
  <si>
    <t>Tag-Along</t>
  </si>
  <si>
    <t>Право миноритария присоединиться к продаже мажоритария на тех же условиях.</t>
  </si>
  <si>
    <t>ESOP</t>
  </si>
  <si>
    <t>Employee Stock Ownership Plan — программа опционов для ключевых сотрудников. Vesting 4 года.</t>
  </si>
  <si>
    <t>Term Sheet</t>
  </si>
  <si>
    <t>Предварительный документ с ключевыми условиями сделки, предшествует SPA.</t>
  </si>
  <si>
    <t>SPA</t>
  </si>
  <si>
    <t>Share Purchase Agreement — договор купли-продажи акций / долей.</t>
  </si>
  <si>
    <t>Tranche</t>
  </si>
  <si>
    <t>Транш — часть инвестиции, выплачиваемая по достижении milestone. В T₁: 4 транша 250/350/350/300.</t>
  </si>
  <si>
    <t>Box Office</t>
  </si>
  <si>
    <t>Кассовые сборы — выручка от проката фильма в кинотеатрах.</t>
  </si>
  <si>
    <t>CINEMA</t>
  </si>
  <si>
    <t>Prints &amp; Advertising — расходы на копии и маркетинговое продвижение фильма при релизе.</t>
  </si>
  <si>
    <t>Theatrical Window</t>
  </si>
  <si>
    <t>Эксклюзивный кинотеатральный релиз (обычно 45–90 дней) до выхода на VOD / OTT.</t>
  </si>
  <si>
    <t>VOD / OTT</t>
  </si>
  <si>
    <t>Video On Demand / Over-The-Top — цифровая дистрибуция (Кинопоиск, Okko, IVI, Wink).</t>
  </si>
  <si>
    <t>Slate Financing</t>
  </si>
  <si>
    <t>Финансирование пакета фильмов (slate) вместо единичного проекта — снижение риска через диверсификацию.</t>
  </si>
  <si>
    <t>Development</t>
  </si>
  <si>
    <t>Стадия разработки фильма — сценарий, кастинг, бюджет, pre-production. В пайплайне 6–12 мес.</t>
  </si>
  <si>
    <t>Principal Photography</t>
  </si>
  <si>
    <t>Основной съёмочный период. В ТрендСтудио Gantt = этап Shoot, 2–4 мес на фильм.</t>
  </si>
  <si>
    <t>Post-Production</t>
  </si>
  <si>
    <t>Монтаж, VFX, цветокоррекция, sound design. В пайплайне 4–6 мес.</t>
  </si>
  <si>
    <t>Капитал продюсеров в JV-структуре. В ТрендСтудио = 600 млн ₽ (off-P&amp;L, минори-интерес).</t>
  </si>
  <si>
    <t>Library Value</t>
  </si>
  <si>
    <t>Стоимость накопленного каталога фильмов — источник tail revenue 2029–2032 (1 050 млн ₽).</t>
  </si>
  <si>
    <t>Sequel Rights</t>
  </si>
  <si>
    <t>Право на производство продолжений. Опционный payoff, увеличивающий real option value.</t>
  </si>
  <si>
    <t>Co-Production</t>
  </si>
  <si>
    <t>Совместное производство с иностранным партнёром. Открывает доступ к зарубежным рынкам и субсидиям.</t>
  </si>
  <si>
    <t>Льгота по НДС для кинопродукции согласно ст. 149 НК РФ. В модели экономия ~360 млн ₽ за 3 года.</t>
  </si>
  <si>
    <t>REG</t>
  </si>
  <si>
    <t>Базовая ставка 20% (ФБ 2%, РБ 18%). В модели 3Y Σ ≈ 438 млн ₽.</t>
  </si>
  <si>
    <t>30.2% от ФОТ (ПФР 22%, ФСС 2.9%, ФОМС 5.1%, травматизм 0.2%). В модели Σ ≈ 121 млн ₽.</t>
  </si>
  <si>
    <t>ФКП</t>
  </si>
  <si>
    <t>Фонд кино / Фонд кинематографии — государственный источник безвозвратных грантов на отечественные фильмы.</t>
  </si>
  <si>
    <t>ПП № 1215</t>
  </si>
  <si>
    <t>Постановление Правительства РФ № 1215 от 20.12.2013 — правила предоставления субсидий кинопродюсерам.</t>
  </si>
  <si>
    <t>Указ № 309</t>
  </si>
  <si>
    <t>Указ Президента РФ № 309 от 07.05.2024 «О национальных целях развития РФ до 2030 и 2036 гг.»</t>
  </si>
  <si>
    <t>Нац. проект «Семья»</t>
  </si>
  <si>
    <t>Национальный проект, в рамках которого финансируется семейное / детское кино. Горизонт до 2030.</t>
  </si>
  <si>
    <t>Нац. проект «Молодёжь и дети»</t>
  </si>
  <si>
    <t>Национальный проект для молодёжной аудитории, включает грантовую поддержку профильного контента.</t>
  </si>
  <si>
    <t>Нац. проект «Культура»</t>
  </si>
  <si>
    <t>Национальный проект, регулирует субсидии и инфраструктурные программы кинематографа.</t>
  </si>
  <si>
    <t>ст. 149 НК РФ</t>
  </si>
  <si>
    <t>Статья Налогового кодекса РФ об освобождении от НДС ряда операций, включая передачу прав на кинопродукцию.</t>
  </si>
  <si>
    <t>Легенда: FIN — финансовые термины | RISK — риск / MC | DEAL — структура сделки | CINEMA — кино-индустрия | REG — регуляторные РФ</t>
  </si>
  <si>
    <t>NOTES &amp; SOURCES</t>
  </si>
  <si>
    <t>Методологические заметки • Полный список источников • Disclaimers • Версионность</t>
  </si>
  <si>
    <t>I. МЕТОДОЛОГИЧЕСКИЕ ЗАМЕТКИ ПО ЛИСТАМ</t>
  </si>
  <si>
    <t>02_Assumptions</t>
  </si>
  <si>
    <t>Все ключевые параметры собраны в один лист — SSOT. Изменение любого параметра должно отражаться в 03_Change_Log.</t>
  </si>
  <si>
    <t>04/05_FOT_Staff</t>
  </si>
  <si>
    <t>ФОТ рассчитан по 2 архитектурам: A1 (корпоративный) и A2 (JV / проектный). Страховые взносы 30.2% применены к обеим.</t>
  </si>
  <si>
    <t>COGS включает прямые производственные + прокатные + маркетинг. Split по категориям: производство 72%, прокат/P&amp;A 18%, маркетинг 10%.</t>
  </si>
  <si>
    <t>Революционные сегменты: Box Office 55%, TV/OTT 25%, Мерч/лицензии 8%, Международный прокат 7%, Sequel options 5%.</t>
  </si>
  <si>
    <t>12 фильмов × средний бюджет 154 млн ₽. Распределение: 4 блокбастера (200+), 6 мидл-бюджет (150–180), 2 арт-проекта (80–110).</t>
  </si>
  <si>
    <t>Dual metric: GAAP EBITDA 2 152 + legacy NDP 3 000. Reconciliation bridge в нижней части листа показывает 848 млн ₽ разницы через: (+) JV equity, (−) D&amp;A, (−) IFRS adjustments.</t>
  </si>
  <si>
    <t>10_Cash_Flow</t>
  </si>
  <si>
    <t>Indirect method (через Net Profit). Working capital changes детализированы в 12_WC.</t>
  </si>
  <si>
    <t>Транши T₁ привязаны к milestone, не к календарю. Calendar — ориентировочный.</t>
  </si>
  <si>
    <t>Producer equity 600 млн ₽ — off-P&amp;L JV capital, не размывает основной cap table, учитывается как minority interest.</t>
  </si>
  <si>
    <t>19_Waterfall</t>
  </si>
  <si>
    <t>Приоритеты: (1) LP return of capital, (2) LP preferred 12%, (3) GP catch-up 20%, (4) 80/20 split.</t>
  </si>
  <si>
    <t>Blend 40% Gordon + 60% Exit Multiple. g=3%, exit mult 6.5×, WACC 19%. Quick note «Why DCF &lt; Multiples» на R59-72.</t>
  </si>
  <si>
    <t>23_Valuation_Multiples</t>
  </si>
  <si>
    <t>EV/EBITDA median по 32_Comparables. Применён discount 10% за liquidity + 5% за size.</t>
  </si>
  <si>
    <t>Probability-weighted EV = Σ (p × EV) по 7 маршрутам. Weighted = 6 038 млн ₽.</t>
  </si>
  <si>
    <t>26_Sensitivity</t>
  </si>
  <si>
    <t>Tornado по 8 переменным с ±20% impact. Top driver: Box Office revenue (±420 на EBITDA).</t>
  </si>
  <si>
    <t>27_Scenario_Analysis</t>
  </si>
  <si>
    <t>5 сценариев: Worst / Pessimistic / Base / Optimistic / Best с вероятностями 10/20/40/20/10.</t>
  </si>
  <si>
    <t>28_Monte_Carlo_Summary</t>
  </si>
  <si>
    <t>n=1000, seed=42. 5 стохастических переменных (triangular, lognormal, gauss, binomial). VaR 95% = 561.</t>
  </si>
  <si>
    <t>29_Risk_Register</t>
  </si>
  <si>
    <t>30 рисков × 5 категорий (Market, Production, Financial, Regulatory, Operational). Max score 20 (R17).</t>
  </si>
  <si>
    <t>30/31/32_Market</t>
  </si>
  <si>
    <t>TAM/SAM/SOM + benchmark KPI + precedent transactions. RU comps median 8.0×, Global 9.8×, blend 8.9×.</t>
  </si>
  <si>
    <t>33_Gov_KPI</t>
  </si>
  <si>
    <t>6 нац. проектов + 10 KPI 2026–2028 + 5 источников господдержки 1 040 млн ₽. Комплаенс по Указу № 309.</t>
  </si>
  <si>
    <t>9 налогов × 12 кварталов + 4Y tail. Эффективная ставка 12.9% благодаря льготе НДС 0% ст. 149 НК РФ.</t>
  </si>
  <si>
    <t>35_Roadmap_2026_2032</t>
  </si>
  <si>
    <t>12 фильмов × 16 периодов × 4 фазы Gantt + 14 fundraising milestones + 7 exit routes + критический путь.</t>
  </si>
  <si>
    <t>36_Executive_Summary</t>
  </si>
  <si>
    <t>Этот лист — VI разделов включая полный разбор «Valuation Range Interpretation» (часть B комбо A+B с 22_Valuation_DCF).</t>
  </si>
  <si>
    <t>II. ПОЛНЫЙ СПИСОК ИСТОЧНИКОВ</t>
  </si>
  <si>
    <t>Назначение</t>
  </si>
  <si>
    <t>URL / издатель</t>
  </si>
  <si>
    <t>GOV-RU</t>
  </si>
  <si>
    <t>Указ Президента РФ № 309 от 07.05.2024</t>
  </si>
  <si>
    <t>О национальных целях развития РФ до 2030 и 2036 гг.</t>
  </si>
  <si>
    <t>kremlin.ru</t>
  </si>
  <si>
    <t>Постановление Правительства РФ № 1215 от 20.12.2013</t>
  </si>
  <si>
    <t>Правила предоставления субсидий кинопродюсерам</t>
  </si>
  <si>
    <t>government.ru</t>
  </si>
  <si>
    <t>Налоговый кодекс РФ, ст. 149</t>
  </si>
  <si>
    <t>Операции, освобождённые от НДС (включая кинопродукцию)</t>
  </si>
  <si>
    <t>nalog.gov.ru</t>
  </si>
  <si>
    <t>Паспорт нац. проекта «Семья» 2025–2030</t>
  </si>
  <si>
    <t>Финансирование семейного / детского кино</t>
  </si>
  <si>
    <t>Паспорт нац. проекта «Молодёжь и дети» 2025–2030</t>
  </si>
  <si>
    <t>Грантовая поддержка молодёжного контента</t>
  </si>
  <si>
    <t>Паспорт нац. проекта «Культура» 2025–2030</t>
  </si>
  <si>
    <t>Субсидии и инфраструктура кинематографа</t>
  </si>
  <si>
    <t>Фонд кино (ФКП) — правила поддержки</t>
  </si>
  <si>
    <t>Безвозвратные субсидии кинопродюсерам</t>
  </si>
  <si>
    <t>fond-kino.ru</t>
  </si>
  <si>
    <t>Минкультуры РФ — реестр прокатных удостоверений</t>
  </si>
  <si>
    <t>Верификация релизных планов и премьер</t>
  </si>
  <si>
    <t>culture.gov.ru</t>
  </si>
  <si>
    <t>RU-DATA</t>
  </si>
  <si>
    <t>Росстат — данные по кинотеатральному рынку</t>
  </si>
  <si>
    <t>Box Office РФ 2020–2025</t>
  </si>
  <si>
    <t>rosstat.gov.ru</t>
  </si>
  <si>
    <t>RU-NEWS</t>
  </si>
  <si>
    <t>ТАСС — раздел «Кино»</t>
  </si>
  <si>
    <t>Оперативные новости индустрии, сделки, господдержка</t>
  </si>
  <si>
    <t>tass.ru</t>
  </si>
  <si>
    <t>РИА Новости — раздел «Культура»</t>
  </si>
  <si>
    <t>Регуляторные новости, нац. проекты</t>
  </si>
  <si>
    <t>ria.ru</t>
  </si>
  <si>
    <t>Бюллетень кинопроката — bulletin.info.ru</t>
  </si>
  <si>
    <t>Недельная касса, TOP-листы, статистика</t>
  </si>
  <si>
    <t>bulletin.info.ru</t>
  </si>
  <si>
    <t>GLOBAL</t>
  </si>
  <si>
    <t>Box Office Mojo / IMDb Pro</t>
  </si>
  <si>
    <t>Global benchmarks, casting, production credits</t>
  </si>
  <si>
    <t>boxofficemojo.com</t>
  </si>
  <si>
    <t>Variety Intelligence Platform</t>
  </si>
  <si>
    <t>Industry analytics, deal tracking</t>
  </si>
  <si>
    <t>variety.com</t>
  </si>
  <si>
    <t>S&amp;P Capital IQ</t>
  </si>
  <si>
    <t>EV/EBITDA multiples, comparable transactions</t>
  </si>
  <si>
    <t>spglobal.com</t>
  </si>
  <si>
    <t>Mergermarket / PitchBook</t>
  </si>
  <si>
    <t>M&amp;A precedent data, deal databases</t>
  </si>
  <si>
    <t>pitchbook.com</t>
  </si>
  <si>
    <t>ACADEMIC</t>
  </si>
  <si>
    <t>Vogel, H. — Entertainment Industry Economics (10th ed.)</t>
  </si>
  <si>
    <t>Учебник по экономике медиа-индустрии</t>
  </si>
  <si>
    <t>Cambridge University Press</t>
  </si>
  <si>
    <t>INTERNAL</t>
  </si>
  <si>
    <t>ТрендСтудио финмодель v1.4.4</t>
  </si>
  <si>
    <t>Якорная модель холдинга 2026–2028, cumulative NDP 3 000 млн ₽</t>
  </si>
  <si>
    <t>pipeline/</t>
  </si>
  <si>
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</si>
  <si>
    <t>III. DISCLAIMERS</t>
  </si>
  <si>
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</si>
  <si>
    <t>IV. VERSION HISTORY</t>
  </si>
  <si>
    <t>Version</t>
  </si>
  <si>
    <t>Date</t>
  </si>
  <si>
    <t>Changes</t>
  </si>
  <si>
    <t>v1.0 Public</t>
  </si>
  <si>
    <t>2026-04-11</t>
  </si>
  <si>
    <t>Initial release — 38 листов, dual metric Variant C, П5 «Максимум» verification, sheets А.1–А.19 complete</t>
  </si>
  <si>
    <t>v1.4.4 pipeline</t>
  </si>
  <si>
    <t>Основная финмодель холдинга (384 теста PASS, 4 MC engines). Не включается в Public — см. отдельный deliverable</t>
  </si>
  <si>
    <t>Подготовлено: ТрендСтудио Holdings | Investor Package v1.0 Public | 2026-04-11 | CONFIDENTIAL</t>
  </si>
  <si>
    <t>TABLE OF CONTENTS / СОДЕРЖАНИЕ</t>
  </si>
  <si>
    <t>Investor Package v1.0 Public — 42 листа — hyperlinks</t>
  </si>
  <si>
    <t>A. TITLE &amp; META</t>
  </si>
  <si>
    <t>Лист / Sheet</t>
  </si>
  <si>
    <t>01_Cover</t>
  </si>
  <si>
    <t>Титульный лист</t>
  </si>
  <si>
    <t>Все ключевые допущения (SSOT)</t>
  </si>
  <si>
    <t>03_Change_Log</t>
  </si>
  <si>
    <t>Журнал изменений модели</t>
  </si>
  <si>
    <t>B. COST STRUCTURE</t>
  </si>
  <si>
    <t>04_FOT_Staff_A1</t>
  </si>
  <si>
    <t>ФОТ архитектура 1 (корпоративная)</t>
  </si>
  <si>
    <t>05_FOT_Staff_A2</t>
  </si>
  <si>
    <t>ФОТ архитектура 2 (JV / проектная)</t>
  </si>
  <si>
    <t>COGS + OpEx детализация</t>
  </si>
  <si>
    <t>C. REVENUE &amp; PIPELINE</t>
  </si>
  <si>
    <t>Декомпозиция выручки 4 545 млн ₽</t>
  </si>
  <si>
    <t>12 фильмов × 154 млн ₽</t>
  </si>
  <si>
    <t>D. FINANCIALS</t>
  </si>
  <si>
    <t>P&amp;L (GAAP EBITDA 2 152 + NDP 3 000 bridge)</t>
  </si>
  <si>
    <t>Cash Flow Statement (indirect)</t>
  </si>
  <si>
    <t>11_Balance_Sheet</t>
  </si>
  <si>
    <t>Баланс</t>
  </si>
  <si>
    <t>12_Working_Capital</t>
  </si>
  <si>
    <t>Изменения оборотного капитала</t>
  </si>
  <si>
    <t>13_Debt_Schedule</t>
  </si>
  <si>
    <t>График долга (н/п)</t>
  </si>
  <si>
    <t>E. INVESTMENT</t>
  </si>
  <si>
    <t>T₁ = 1 250 млн ₽ × 4 транша</t>
  </si>
  <si>
    <t>15_Use_of_Funds</t>
  </si>
  <si>
    <t>Распределение инвестиций по назначениям</t>
  </si>
  <si>
    <t>16_CAPEX_Schedule</t>
  </si>
  <si>
    <t>График CAPEX</t>
  </si>
  <si>
    <t>JV + Producer equity 600 млн ₽</t>
  </si>
  <si>
    <t>18_Cap_Table</t>
  </si>
  <si>
    <t>Таблица капитализации</t>
  </si>
  <si>
    <t>Каскад распределения (LP 12% pref + 80/20)</t>
  </si>
  <si>
    <t>F. UNIT ECON &amp; KPI</t>
  </si>
  <si>
    <t>20_Unit_Economics_per_Film</t>
  </si>
  <si>
    <t>Юнит-экономика на фильм</t>
  </si>
  <si>
    <t>21_KPI_Dashboard</t>
  </si>
  <si>
    <t>Дашборд ключевых метрик</t>
  </si>
  <si>
    <t>G. VALUATION</t>
  </si>
  <si>
    <t>DCF blend 40% Gordon + 60% Exit Mult = 1 815</t>
  </si>
  <si>
    <t>EV/EBITDA multiples</t>
  </si>
  <si>
    <t>MoIC × IRR для LP</t>
  </si>
  <si>
    <t>7 маршрутов, weighted EV = 6 038</t>
  </si>
  <si>
    <t>H. RISK &amp; SENSITIVITY</t>
  </si>
  <si>
    <t>Tornado ±20% по 8 переменным</t>
  </si>
  <si>
    <t>5 сценариев Worst → Best</t>
  </si>
  <si>
    <t>MC n=1000, VaR 95% = 561</t>
  </si>
  <si>
    <t>30 рисков × 5 категорий, heat map 5×5</t>
  </si>
  <si>
    <t>I. MARKET &amp; BENCHMARKS</t>
  </si>
  <si>
    <t>30_Market_Analysis</t>
  </si>
  <si>
    <t>TAM 289.8 / SAM 118 / SOM 4.545</t>
  </si>
  <si>
    <t>31_Benchmarks</t>
  </si>
  <si>
    <t>8 OP KPI + 7 FIN KPI + 6 multiples</t>
  </si>
  <si>
    <t>10 RU + 10 Global precedent</t>
  </si>
  <si>
    <t>J. GOV &amp; TAX &amp; ROADMAP</t>
  </si>
  <si>
    <t>6 нац. проектов + 10 KPI + 5 источников 1 040</t>
  </si>
  <si>
    <t>9 налогов × 12Q, Σ 7Y = 720</t>
  </si>
  <si>
    <t>Gantt 12×16 + fundraising + exit</t>
  </si>
  <si>
    <t>K. SUMMARY &amp; GLOSSARY</t>
  </si>
  <si>
    <t>6 разделов + Valuation Range Interpretation</t>
  </si>
  <si>
    <t>37_Glossary</t>
  </si>
  <si>
    <t>62 термина × 5 категорий</t>
  </si>
  <si>
    <t>38_Notes_and_Sources</t>
  </si>
  <si>
    <t>Методология + источники + disclaimers</t>
  </si>
  <si>
    <t>L. SERVICE</t>
  </si>
  <si>
    <t>39_TOC</t>
  </si>
  <si>
    <t>Table of Contents (этот лист)</t>
  </si>
  <si>
    <t>40_Investor_Checklist</t>
  </si>
  <si>
    <t>DD checklist для инвестора</t>
  </si>
  <si>
    <t>41_Print_Setup</t>
  </si>
  <si>
    <t>Print areas + page breaks</t>
  </si>
  <si>
    <t>42_Cover_Letter</t>
  </si>
  <si>
    <t>Сопроводительное письмо для LP</t>
  </si>
  <si>
    <t>→ Кликните на название листа (синий подчёркнутый) для перехода. Возврат — Ctrl+Z в навигации Excel.</t>
  </si>
  <si>
    <t>INVESTOR DUE DILIGENCE CHECKLIST</t>
  </si>
  <si>
    <t>62 пункта × 8 блоков — для проверки инвестором перед закрытием</t>
  </si>
  <si>
    <t>Пункт проверки</t>
  </si>
  <si>
    <t>Источник в модели</t>
  </si>
  <si>
    <t>A. БИЗНЕС-МОДЕЛЬ</t>
  </si>
  <si>
    <t>☐</t>
  </si>
  <si>
    <t>Проверить dual metric reconciliation (GAAP EBITDA 2 152 vs NDP 3 000)</t>
  </si>
  <si>
    <t>Верифицировать Revenue split (Box Office 55% / OTT 25% / мерч 8% / интл 7% / sequel 5%)</t>
  </si>
  <si>
    <t>Проверить структуру COGS (производство 72% / прокат 18% / маркетинг 10%)</t>
  </si>
  <si>
    <t>Подтвердить пайплайн 12 фильмов × средний бюджет 154 млн ₽</t>
  </si>
  <si>
    <t>Оценить library value (tail revenue 1 050 млн ₽ 2029–2032)</t>
  </si>
  <si>
    <t>B. ФИНАНСОВАЯ СТРУКТУРА</t>
  </si>
  <si>
    <t>Инвестиция T₁ = 1 250 млн ₽ в 4 транша (20/28/28/24%) — milestone mapping</t>
  </si>
  <si>
    <t>Producer equity 600 млн ₽ — подтвердить off-P&amp;L статус (JV capital)</t>
  </si>
  <si>
    <t>Cap Table pre-money / post-money structure</t>
  </si>
  <si>
    <t>Waterfall W₃ default (1× Liq Pref + 8% coupon + 60/40) или W₄ premium (12% pref + 65/35)</t>
  </si>
  <si>
    <t>Use of Funds — привязка каждого рубля к статье</t>
  </si>
  <si>
    <t>CAPEX schedule — все CAPEX ≤ 100 млн ₽ за 3 года</t>
  </si>
  <si>
    <t>C. ОЦЕНКА</t>
  </si>
  <si>
    <t>DCF blend 40% Gordon + 60% Exit Multiple — логика и параметры</t>
  </si>
  <si>
    <t>WACC 19% — justify страновой risk и execution</t>
  </si>
  <si>
    <t>Понять Valuation Range Interpretation (5 компонентов разрыва)</t>
  </si>
  <si>
    <t>36_Executive_Summary III</t>
  </si>
  <si>
    <t>EV/EBITDA multiples vs 32_Comparable_Transactions median 8.9×</t>
  </si>
  <si>
    <t>Weighted exit EV 6 038 = Σ (p × EV) по 7 маршрутам</t>
  </si>
  <si>
    <t>Проверить Investor Returns: MOIC 2.00× (W₃) / 2.12× (W₄), IRR 20.09% = hurdle 18%</t>
  </si>
  <si>
    <t>D. РИСКИ</t>
  </si>
  <si>
    <t>Top-5 рисков из 30 (R17 reclassified High score 12 в v1.0.1 — W₃ Base = hurdle)</t>
  </si>
  <si>
    <t>Heat map 5×5 — распределение риск-зон</t>
  </si>
  <si>
    <t>Митигации для всех рисков с score ≥ 12</t>
  </si>
  <si>
    <t>Monte Carlo: n=5000, W₃ base, P(IRR&gt;18%), VaR 95% NDP shortfall</t>
  </si>
  <si>
    <t>Tornado ±20% — главный драйвер EBITDA</t>
  </si>
  <si>
    <t>5 сценариев probability-weighted (Worst/Pess/Base/Opt/Best)</t>
  </si>
  <si>
    <t>E. РЫНОК</t>
  </si>
  <si>
    <t>TAM 289.8 / SAM 118 / SOM 4.545 — justify SAM definition</t>
  </si>
  <si>
    <t>Benchmark: ТрендСтудио EBITDA margin 47.3% vs РФ median 20%</t>
  </si>
  <si>
    <t>10 RU precedent transactions — EV/EBITDA 8.0× median</t>
  </si>
  <si>
    <t>10 Global precedent — 9.8× median, blend 8.9×</t>
  </si>
  <si>
    <t>CAGR рынка 8.2% до 2028 — источник Росстат / Бюллетень</t>
  </si>
  <si>
    <t>F. ГОС-ПОДДЕРЖКА И НАЛОГИ</t>
  </si>
  <si>
    <t>6 нац. проектов alignment (Семья / Молодёжь / Культура / ...)</t>
  </si>
  <si>
    <t>5 источников господдержки 1 040 млн ₽ (ФКП / регионы / РФК)</t>
  </si>
  <si>
    <t>НДС 0% льгота — ст. 149 НК РФ, экономия 360 млн ₽ 3Y</t>
  </si>
  <si>
    <t>Эффективная налоговая нагрузка 12.9% от Revenue (720 / 5 595)</t>
  </si>
  <si>
    <t>10 compliance checkpoints (ПП № 1215, Указ № 309)</t>
  </si>
  <si>
    <t>G. РОУДМАП И EXIT</t>
  </si>
  <si>
    <t>Gantt 12 фильмов × 16 периодов × 4 фазы (Dev/Shoot/Post/Release)</t>
  </si>
  <si>
    <t>14 fundraising milestones — привязка T₁ траншей</t>
  </si>
  <si>
    <t>5 governance tracks (Board, audit, covenant, strategic review)</t>
  </si>
  <si>
    <t>Critical path — 12 критических элементов</t>
  </si>
  <si>
    <t>7 exit routes — окна и условия для каждого</t>
  </si>
  <si>
    <t>Strategic buyer mapping: Яндекс / Сбер / ГМ / НМГ</t>
  </si>
  <si>
    <t>36_Executive_Summary V</t>
  </si>
  <si>
    <t>H. ДОКУМЕНТЫ И LEGAL</t>
  </si>
  <si>
    <t>Term sheet подписан с ключевыми LP до 2026Q2</t>
  </si>
  <si>
    <t>внешний</t>
  </si>
  <si>
    <t>Due diligence report (legal / financial / tax) — независимый аудитор</t>
  </si>
  <si>
    <t>SPA draft готов, all reps &amp; warranties reviewed</t>
  </si>
  <si>
    <t>Escrow arrangement для 10% T₁ до закрытия milestone 1</t>
  </si>
  <si>
    <t>Board composition: 2 LP seats + 2 management + 1 independent</t>
  </si>
  <si>
    <t>Disclosures: все forward-looking risks полностью раскрыты</t>
  </si>
  <si>
    <t>38_Notes_and_Sources III</t>
  </si>
  <si>
    <t>ИТОГО: 45 пунктов × 8 блоков. Рекомендуемое время DD: 3–4 недели с привлечением финансового, налогового и юридического консультантов.</t>
  </si>
  <si>
    <t>PRINT SETUP</t>
  </si>
  <si>
    <t>Конфигурация печати для всех 42 листов — применена на листы A4/A3</t>
  </si>
  <si>
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</si>
  <si>
    <t>Sheet</t>
  </si>
  <si>
    <t>Ориент.</t>
  </si>
  <si>
    <t>Формат</t>
  </si>
  <si>
    <t>Print Area</t>
  </si>
  <si>
    <t>Повтор. строки</t>
  </si>
  <si>
    <t>книжн.</t>
  </si>
  <si>
    <t>A1:N50</t>
  </si>
  <si>
    <t>1:3</t>
  </si>
  <si>
    <t>альбомн.</t>
  </si>
  <si>
    <t>A1:N80</t>
  </si>
  <si>
    <t>1:5</t>
  </si>
  <si>
    <t>A1:N60</t>
  </si>
  <si>
    <t>A1:T40</t>
  </si>
  <si>
    <t>A1:R50</t>
  </si>
  <si>
    <t>A1:V55</t>
  </si>
  <si>
    <t>A1:T55</t>
  </si>
  <si>
    <t>A1:N40</t>
  </si>
  <si>
    <t>A1:T50</t>
  </si>
  <si>
    <t>A1:N75</t>
  </si>
  <si>
    <t>1:6</t>
  </si>
  <si>
    <t>A1:N45</t>
  </si>
  <si>
    <t>A1:P70</t>
  </si>
  <si>
    <t>A1:P80</t>
  </si>
  <si>
    <t>A1:N95</t>
  </si>
  <si>
    <t>A1:N90</t>
  </si>
  <si>
    <t>A1:P85</t>
  </si>
  <si>
    <t>A1:R95</t>
  </si>
  <si>
    <t>A1:N70</t>
  </si>
  <si>
    <t>A1:N85</t>
  </si>
  <si>
    <t>A1:N55</t>
  </si>
  <si>
    <t>ПРИМЕНЕНО: orientation, paper size, fit-to-width=1, поля 1.5см, горизонтальное центрирование. Print areas указаны как reference; Excel сохранит текущее содержимое при export в PDF.</t>
  </si>
  <si>
    <t>ТРЕНДСТУДИО ХОЛДИНГ</t>
  </si>
  <si>
    <t>Москва, РФ</t>
  </si>
  <si>
    <t>Конфиденциально — для квалифицированных инвесторов</t>
  </si>
  <si>
    <t>Дата: 12 апреля 2026 г.</t>
  </si>
  <si>
    <t>Исх. № TS-2026-04-001</t>
  </si>
  <si>
    <t>СОПРОВОДИТЕЛЬНОЕ ПИСЬМО К INVESTOR PACKAGE v1.0.1</t>
  </si>
  <si>
    <t>Уважаемый LP,</t>
  </si>
  <si>
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</si>
  <si>
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</si>
  <si>
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</si>
  <si>
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</si>
  <si>
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</si>
  <si>
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</si>
  <si>
    <t>С уважением,</t>
  </si>
  <si>
    <t>Генеральный директор</t>
  </si>
  <si>
    <t>ТрендСтудио Холдинг</t>
  </si>
  <si>
    <t>_____________________</t>
  </si>
  <si>
    <t>(подпись) / М.П.</t>
  </si>
  <si>
    <t>ПРИЛОЖЕНИЯ:</t>
  </si>
  <si>
    <t>1. Investor Package v1.0.1 Public — investor_model_v1.0_Public.xlsx</t>
  </si>
  <si>
    <t>2. Executive Summary — см. лист 36</t>
  </si>
  <si>
    <t>3. Due Diligence Checklist — см. лист 40 (62 пункта)</t>
  </si>
  <si>
    <t>4. Risk Register — см. лист 29 (30 рисков)</t>
  </si>
  <si>
    <t>5. Notes &amp; Sources — см. лист 38 (методология + disclaimers)</t>
  </si>
  <si>
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</si>
  <si>
    <t>v1.0.2</t>
  </si>
  <si>
    <t>2026-04-12</t>
  </si>
  <si>
    <t>FOT A2 Market-Based + Cascade: Content CAPEX rebalance (-103 -&gt; FOT), NDP=3000 preserved</t>
  </si>
  <si>
    <t>Sheets 04-06, 09, 10, 06, 21, 36</t>
  </si>
  <si>
    <t>FOT / Штат — Модель A₂ (Market-Based)</t>
  </si>
  <si>
    <t>43 чел. Рыночные оклады P50 МСК. Индексация 8%/год.</t>
  </si>
  <si>
    <t>Продюсеры (вкл. линейные)</t>
  </si>
  <si>
    <t>8.0%</t>
  </si>
  <si>
    <t>⚫ Модель A₂ «Market-Based»: 43 чел, оклады по P50 рынка МСК 2025-2026. Индексация 8%/год. Σ ФОТ 2026-2028 ≈ 325 млн ₽. Источники: hh.ru, ГородРабот, DreamJob.</t>
  </si>
  <si>
    <t>FOT / Штат — Модель A₂ Dynamic (Market + 8% индексация)</t>
  </si>
  <si>
    <t>Рост штата 43 (фиксированный core) + индексация 8%/год</t>
  </si>
  <si>
    <t>ФОТ с налогами (A₂ Market, 8%)</t>
  </si>
  <si>
    <t>600 / 1747 = 34.3%</t>
  </si>
  <si>
    <t>1250 / 1747 = 71.6%</t>
  </si>
  <si>
    <t>Бридж связывает стандартную GAAP EBITDA (2,167 млн ₽) с legacy-якорем NDP (3 000 млн ₽) из v1.4.4. Разница объясняется участием продюсера (off-P&amp;L equity) и временными / оборотными эффектами.</t>
  </si>
  <si>
    <t>✓ Anchor check: EBITDA (GAAP) 2,167 + Producer 600 + WC/Gov 233 = NDP 3 000 ✓  |  3 000 − Producer share 785 = Investor 2 215 ✓  |  Net Profit 1,698 (после 20% налога на прибыль)</t>
  </si>
  <si>
    <t>✓ Cash end of Q4'28 = 3,546.6 млн ₽  |  Cash end of 2032 = 891.8 млн ₽  |  Σ OCF 3Y = 3,453  ·  Σ ICF 3Y = -1,757  ·  Σ FCF 3Y = 1,697</t>
  </si>
  <si>
    <t>3547</t>
  </si>
  <si>
    <t>892</t>
  </si>
  <si>
    <t>FOT (штат A₂ Market), млн ₽</t>
  </si>
  <si>
    <t>GAAP EBITDA Σ = 2 167 млн ₽ | Net Profit Σ = 1 698 млн ₽ | Эффективная налоговая нагрузка ~12.9% (льгота НДС 0% ст. 149 НК РФ)</t>
  </si>
  <si>
    <t>2 009 млн ₽</t>
  </si>
  <si>
    <t>2 167 млн ₽</t>
  </si>
  <si>
    <t>1 698 млн ₽</t>
  </si>
  <si>
    <t>1 747 млн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</si>
</sst>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\+#,##0.000;\-#,##0.000"/>
    <numFmt numFmtId="173" formatCode="\+0.0%;\-0.0%"/>
    <numFmt numFmtId="174" formatCode="#,##0.0"/>
    <numFmt numFmtId="175" formatCode="#,##0.00&quot; млн&quot;"/>
    <numFmt numFmtId="176" formatCode="#,##0.00&quot; млн ₽&quot;"/>
    <numFmt numFmtId="177" formatCode="\+#,##0.00;\-#,##0.00;&quot;0.00&quot;"/>
    <numFmt numFmtId="178" formatCode="0.00&quot;×&quot;"/>
    <numFmt numFmtId="179" formatCode="\+0%;\-0%"/>
    <numFmt numFmtId="180" formatCode="0&quot; мес&quot;"/>
    <numFmt numFmtId="181" formatCode="#,##0&quot; млн&quot;"/>
    <numFmt numFmtId="182" formatCode="0&quot; шт&quot;"/>
    <numFmt numFmtId="183" formatCode="#,##0.0;[Red]\-#,##0.0"/>
    <numFmt numFmtId="184" formatCode="0.0&quot;%&quot;;[Red]\-0.0&quot;%&quot;"/>
    <numFmt numFmtId="185" formatCode="0.0&quot;%&quot;"/>
    <numFmt numFmtId="186" formatCode="0.0&quot; Q&quot;"/>
    <numFmt numFmtId="187" formatCode="0.0"/>
    <numFmt numFmtId="188" formatCode="0.0&quot; years&quot;"/>
    <numFmt numFmtId="189" formatCode="0&quot;%&quot;"/>
    <numFmt numFmtId="190" formatCode="\+0.0&quot; pp&quot;;\-0.0&quot; pp&quot;"/>
    <numFmt numFmtId="191" formatCode="0.0&quot;×&quot;"/>
    <numFmt numFmtId="192" formatCode="0.000&quot;×&quot;"/>
    <numFmt numFmtId="193" formatCode="0.00&quot;%&quot;"/>
  </numFmts>
  <fonts count="10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22"/>
      <color rgb="FF002060"/>
      <name val="Arial"/>
      <family val="2"/>
    </font>
    <font>
      <i/>
      <sz val="14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595959"/>
      <name val="Arial"/>
      <family val="2"/>
    </font>
    <font>
      <sz val="10"/>
      <color rgb="FF0070C0"/>
      <name val="Arial"/>
      <family val="2"/>
    </font>
    <font>
      <i/>
      <sz val="8"/>
      <color rgb="FF595959"/>
      <name val="Arial"/>
      <family val="2"/>
    </font>
    <font>
      <b/>
      <sz val="11"/>
      <color rgb="FF548235"/>
      <name val="Arial"/>
      <family val="2"/>
    </font>
    <font>
      <b/>
      <sz val="11"/>
      <color rgb="FFFFFFFF"/>
      <name val="Arial"/>
      <family val="2"/>
    </font>
    <font>
      <sz val="10"/>
      <color rgb="FF002060"/>
      <name val="Arial"/>
      <family val="2"/>
    </font>
    <font>
      <i/>
      <sz val="9"/>
      <color rgb="FF595959"/>
      <name val="Arial"/>
      <family val="2"/>
    </font>
    <font>
      <b/>
      <sz val="18"/>
      <color rgb="FF002060"/>
      <name val="Arial"/>
      <family val="2"/>
    </font>
    <font>
      <i/>
      <sz val="10"/>
      <color rgb="FF595959"/>
      <name val="Arial"/>
      <family val="2"/>
    </font>
    <font>
      <sz val="9"/>
      <color rgb="FF595959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548235"/>
      <name val="Arial"/>
      <family val="2"/>
    </font>
    <font>
      <b/>
      <sz val="10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sz val="9"/>
      <color rgb="FF54823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6100"/>
      <name val="Arial"/>
      <family val="2"/>
    </font>
    <font>
      <sz val="10"/>
      <color rgb="FFC00000"/>
      <name val="Arial"/>
      <family val="2"/>
    </font>
    <font>
      <b/>
      <sz val="10"/>
      <color rgb="FF006100"/>
      <name val="Arial"/>
      <family val="2"/>
    </font>
    <font>
      <b/>
      <sz val="12"/>
      <color rgb="FFFFFFFF"/>
      <name val="Arial"/>
      <family val="2"/>
    </font>
    <font>
      <i/>
      <sz val="9"/>
      <color rgb="FF548235"/>
      <name val="Arial"/>
      <family val="2"/>
    </font>
    <font>
      <sz val="10"/>
      <color rgb="FF548235"/>
      <name val="Arial"/>
      <family val="2"/>
    </font>
    <font>
      <b/>
      <sz val="13"/>
      <color rgb="FF00206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000000"/>
      <name val="Arial"/>
      <family val="2"/>
    </font>
    <font>
      <b/>
      <sz val="12"/>
      <color rgb="FF548235"/>
      <name val="Arial"/>
      <family val="2"/>
    </font>
    <font>
      <sz val="10"/>
      <color rgb="FF0000FF"/>
      <name val="Arial"/>
      <family val="2"/>
    </font>
    <font>
      <b/>
      <sz val="10"/>
      <color rgb="FF0070C0"/>
      <name val="Arial"/>
      <family val="2"/>
    </font>
    <font>
      <b/>
      <sz val="10"/>
      <color rgb="FFBF8F00"/>
      <name val="Arial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22"/>
      <color rgb="FF1F3864"/>
      <name val="Calibri"/>
      <family val="2"/>
    </font>
    <font>
      <b/>
      <sz val="12"/>
      <color rgb="FF1F3864"/>
      <name val="Calibri"/>
      <family val="2"/>
    </font>
    <font>
      <sz val="10"/>
      <color rgb="FF595959"/>
      <name val="Calibri"/>
      <family val="2"/>
    </font>
    <font>
      <i/>
      <sz val="10"/>
      <color rgb="FF595959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</font>
    <font>
      <i/>
      <sz val="9"/>
      <color rgb="FF595959"/>
      <name val="Calibri"/>
      <family val="2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006100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000000"/>
      <name val="Calibri"/>
      <family val="2"/>
    </font>
    <font>
      <b/>
      <sz val="16"/>
      <color rgb="FF002060"/>
      <name val="Calibri"/>
      <family val="2"/>
    </font>
    <font>
      <i/>
      <sz val="10"/>
      <color rgb="FF808080"/>
      <name val="Calibri"/>
      <family val="2"/>
    </font>
    <font>
      <b/>
      <sz val="12"/>
      <color rgb="FF0070C0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i/>
      <sz val="9"/>
      <color rgb="FF808080"/>
      <name val="Calibri"/>
      <family val="2"/>
    </font>
    <font>
      <b/>
      <sz val="12"/>
      <color rgb="FF808080"/>
      <name val="Calibri"/>
      <family val="2"/>
    </font>
    <font>
      <b/>
      <sz val="11"/>
      <color rgb="FF00B050"/>
      <name val="Calibri"/>
      <family val="2"/>
    </font>
    <font>
      <b/>
      <sz val="11"/>
      <color rgb="FFED7D31"/>
      <name val="Calibri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i/>
      <sz val="9"/>
      <color rgb="FF0070C0"/>
      <name val="Calibri"/>
      <family val="2"/>
    </font>
    <font>
      <sz val="7"/>
      <name val="Calibri"/>
      <family val="2"/>
    </font>
    <font>
      <b/>
      <sz val="7"/>
      <color rgb="FF006100"/>
      <name val="Calibri"/>
      <family val="2"/>
    </font>
    <font>
      <b/>
      <sz val="7"/>
      <name val="Calibri"/>
      <family val="2"/>
    </font>
    <font>
      <b/>
      <sz val="7"/>
      <color rgb="FFC00000"/>
      <name val="Calibri"/>
      <family val="2"/>
    </font>
    <font>
      <b/>
      <sz val="7"/>
      <color rgb="FF823B0B"/>
      <name val="Calibri"/>
      <family val="2"/>
    </font>
    <font>
      <b/>
      <sz val="7"/>
      <color rgb="FF002060"/>
      <name val="Calibri"/>
      <family val="2"/>
    </font>
    <font>
      <b/>
      <sz val="12"/>
      <color rgb="FFC00000"/>
      <name val="Calibri"/>
      <family val="2"/>
    </font>
    <font>
      <b/>
      <sz val="18"/>
      <color rgb="FF0070C0"/>
      <name val="Calibri"/>
      <family val="2"/>
    </font>
    <font>
      <i/>
      <sz val="11"/>
      <color rgb="FF808080"/>
      <name val="Calibri"/>
      <family val="2"/>
    </font>
    <font>
      <b/>
      <sz val="13"/>
      <color rgb="FFFFFFFF"/>
      <name val="Calibri"/>
      <family val="2"/>
    </font>
    <font>
      <b/>
      <sz val="11"/>
      <color rgb="FF0070C0"/>
      <name val="Calibri"/>
      <family val="2"/>
    </font>
    <font>
      <sz val="11"/>
      <name val="Calibri"/>
      <family val="2"/>
    </font>
    <font>
      <i/>
      <sz val="11"/>
      <color rgb="FF002060"/>
      <name val="Calibri"/>
      <family val="2"/>
    </font>
    <font>
      <b/>
      <sz val="11"/>
      <color rgb="FF002060"/>
      <name val="Calibri"/>
      <family val="2"/>
    </font>
    <font>
      <b/>
      <sz val="10"/>
      <color rgb="FF002060"/>
      <name val="Calibri"/>
      <family val="2"/>
    </font>
    <font>
      <i/>
      <sz val="9"/>
      <color rgb="FF002060"/>
      <name val="Calibri"/>
      <family val="2"/>
    </font>
    <font>
      <b/>
      <sz val="9"/>
      <color rgb="FF002060"/>
      <name val="Calibri"/>
      <family val="2"/>
    </font>
    <font>
      <b/>
      <u/>
      <sz val="10"/>
      <color rgb="FF0070C0"/>
      <name val="Calibri"/>
      <family val="2"/>
    </font>
    <font>
      <b/>
      <sz val="12"/>
      <color rgb="FF002060"/>
      <name val="Calibri"/>
      <family val="2"/>
    </font>
    <font>
      <i/>
      <sz val="10"/>
      <color rgb="FF000000"/>
      <name val="Calibri"/>
      <family val="2"/>
    </font>
    <font>
      <b/>
      <sz val="14"/>
      <color rgb="FF002060"/>
      <name val="Calibri"/>
      <family val="2"/>
    </font>
    <font>
      <b/>
      <sz val="16"/>
      <color rgb="FF0070C0"/>
      <name val="Calibri"/>
      <family val="2"/>
    </font>
    <font>
      <b/>
      <sz val="12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color rgb="FF548235"/>
      <name val="Calibri"/>
      <family val="2"/>
    </font>
    <font>
      <sz val="12"/>
      <name val="Times New Roman"/>
      <family val="1"/>
    </font>
    <font>
      <b/>
      <sz val="14"/>
      <color rgb="FF0070C0"/>
      <name val="Times New Roman"/>
      <family val="1"/>
    </font>
    <font>
      <b/>
      <sz val="12"/>
      <name val="Times New Roman"/>
      <family val="1"/>
    </font>
    <font>
      <i/>
      <sz val="12"/>
      <color rgb="FFCC0000"/>
      <name val="Times New Roman"/>
      <family val="1"/>
    </font>
    <font>
      <sz val="12"/>
      <color rgb="FFCC0000"/>
      <name val="Times New Roman"/>
      <family val="1"/>
    </font>
    <font>
      <b/>
      <sz val="14"/>
      <color theme="0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</fills>
  <borders count="20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</borders>
  <cellStyleXfs count="1">
    <xf numFmtId="0" fontId="0" fillId="0" borderId="0"/>
  </cellStyleXfs>
  <cellXfs count="655">
    <xf numFmtId="0" fontId="0" fillId="0" borderId="0" xfId="0"/>
    <xf numFmtId="0" fontId="9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164" fontId="1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wrapText="1" indent="1"/>
    </xf>
    <xf numFmtId="165" fontId="16" fillId="0" borderId="3" xfId="0" applyNumberFormat="1" applyFont="1" applyBorder="1" applyAlignment="1">
      <alignment horizontal="right" vertical="center" indent="1"/>
    </xf>
    <xf numFmtId="3" fontId="16" fillId="0" borderId="3" xfId="0" applyNumberFormat="1" applyFont="1" applyBorder="1" applyAlignment="1">
      <alignment horizontal="right" vertical="center" indent="1"/>
    </xf>
    <xf numFmtId="166" fontId="16" fillId="0" borderId="3" xfId="0" applyNumberFormat="1" applyFont="1" applyBorder="1" applyAlignment="1">
      <alignment horizontal="right" vertical="center" indent="1"/>
    </xf>
    <xf numFmtId="167" fontId="16" fillId="0" borderId="3" xfId="0" applyNumberFormat="1" applyFont="1" applyBorder="1" applyAlignment="1">
      <alignment horizontal="right" vertical="center" indent="1"/>
    </xf>
    <xf numFmtId="0" fontId="17" fillId="5" borderId="0" xfId="0" applyFont="1" applyFill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 indent="1"/>
    </xf>
    <xf numFmtId="0" fontId="4" fillId="7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indent="1"/>
    </xf>
    <xf numFmtId="0" fontId="21" fillId="5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/>
    </xf>
    <xf numFmtId="168" fontId="16" fillId="0" borderId="3" xfId="0" applyNumberFormat="1" applyFont="1" applyBorder="1" applyAlignment="1">
      <alignment horizontal="right" vertical="center" indent="1"/>
    </xf>
    <xf numFmtId="168" fontId="22" fillId="0" borderId="3" xfId="0" applyNumberFormat="1" applyFont="1" applyBorder="1" applyAlignment="1">
      <alignment horizontal="right" vertical="center" indent="1"/>
    </xf>
    <xf numFmtId="168" fontId="23" fillId="7" borderId="3" xfId="0" applyNumberFormat="1" applyFont="1" applyFill="1" applyBorder="1" applyAlignment="1">
      <alignment horizontal="right" vertical="center" indent="1"/>
    </xf>
    <xf numFmtId="0" fontId="0" fillId="0" borderId="3" xfId="0" applyBorder="1"/>
    <xf numFmtId="0" fontId="9" fillId="3" borderId="3" xfId="0" applyFont="1" applyFill="1" applyBorder="1" applyAlignment="1">
      <alignment horizontal="left" vertical="center" indent="1"/>
    </xf>
    <xf numFmtId="3" fontId="9" fillId="3" borderId="3" xfId="0" applyNumberFormat="1" applyFont="1" applyFill="1" applyBorder="1" applyAlignment="1">
      <alignment horizontal="center" vertical="center" indent="1"/>
    </xf>
    <xf numFmtId="168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right" vertical="center" indent="1"/>
    </xf>
    <xf numFmtId="169" fontId="24" fillId="4" borderId="3" xfId="0" applyNumberFormat="1" applyFont="1" applyFill="1" applyBorder="1" applyAlignment="1">
      <alignment horizontal="right" vertical="center" indent="1"/>
    </xf>
    <xf numFmtId="169" fontId="4" fillId="0" borderId="3" xfId="0" applyNumberFormat="1" applyFont="1" applyBorder="1" applyAlignment="1">
      <alignment horizontal="right" vertical="center" indent="1"/>
    </xf>
    <xf numFmtId="0" fontId="13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69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left" vertical="center" indent="1"/>
    </xf>
    <xf numFmtId="170" fontId="22" fillId="0" borderId="3" xfId="0" applyNumberFormat="1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1" fontId="22" fillId="0" borderId="3" xfId="0" applyNumberFormat="1" applyFont="1" applyBorder="1" applyAlignment="1">
      <alignment horizontal="right" vertical="center" indent="1"/>
    </xf>
    <xf numFmtId="171" fontId="23" fillId="4" borderId="3" xfId="0" applyNumberFormat="1" applyFont="1" applyFill="1" applyBorder="1" applyAlignment="1">
      <alignment horizontal="right" vertical="center" indent="1"/>
    </xf>
    <xf numFmtId="171" fontId="9" fillId="3" borderId="3" xfId="0" applyNumberFormat="1" applyFont="1" applyFill="1" applyBorder="1" applyAlignment="1">
      <alignment horizontal="right" vertical="center" indent="1"/>
    </xf>
    <xf numFmtId="171" fontId="25" fillId="0" borderId="3" xfId="0" applyNumberFormat="1" applyFont="1" applyBorder="1" applyAlignment="1">
      <alignment horizontal="right" vertical="center" indent="1"/>
    </xf>
    <xf numFmtId="172" fontId="26" fillId="0" borderId="3" xfId="0" applyNumberFormat="1" applyFont="1" applyBorder="1" applyAlignment="1">
      <alignment horizontal="right" vertical="center" indent="1"/>
    </xf>
    <xf numFmtId="173" fontId="26" fillId="0" borderId="3" xfId="0" applyNumberFormat="1" applyFont="1" applyBorder="1" applyAlignment="1">
      <alignment horizontal="right" vertical="center" indent="1"/>
    </xf>
    <xf numFmtId="172" fontId="9" fillId="3" borderId="3" xfId="0" applyNumberFormat="1" applyFont="1" applyFill="1" applyBorder="1" applyAlignment="1">
      <alignment horizontal="right" vertical="center" indent="1"/>
    </xf>
    <xf numFmtId="173" fontId="9" fillId="3" borderId="3" xfId="0" applyNumberFormat="1" applyFont="1" applyFill="1" applyBorder="1" applyAlignment="1">
      <alignment horizontal="right" vertical="center" indent="1"/>
    </xf>
    <xf numFmtId="171" fontId="27" fillId="0" borderId="3" xfId="0" applyNumberFormat="1" applyFont="1" applyBorder="1" applyAlignment="1">
      <alignment horizontal="right" vertical="center" indent="1"/>
    </xf>
    <xf numFmtId="169" fontId="23" fillId="4" borderId="3" xfId="0" applyNumberFormat="1" applyFont="1" applyFill="1" applyBorder="1" applyAlignment="1">
      <alignment horizontal="right" vertical="center" indent="1"/>
    </xf>
    <xf numFmtId="0" fontId="28" fillId="3" borderId="3" xfId="0" applyFont="1" applyFill="1" applyBorder="1" applyAlignment="1">
      <alignment horizontal="left" vertical="center" indent="1"/>
    </xf>
    <xf numFmtId="169" fontId="28" fillId="3" borderId="3" xfId="0" applyNumberFormat="1" applyFont="1" applyFill="1" applyBorder="1" applyAlignment="1">
      <alignment horizontal="right" vertical="center" indent="1"/>
    </xf>
    <xf numFmtId="169" fontId="23" fillId="0" borderId="3" xfId="0" applyNumberFormat="1" applyFont="1" applyBorder="1" applyAlignment="1">
      <alignment horizontal="right" vertical="center" indent="1"/>
    </xf>
    <xf numFmtId="164" fontId="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indent="1"/>
    </xf>
    <xf numFmtId="0" fontId="17" fillId="5" borderId="3" xfId="0" applyFont="1" applyFill="1" applyBorder="1" applyAlignment="1">
      <alignment horizontal="left" vertical="center" indent="1"/>
    </xf>
    <xf numFmtId="169" fontId="17" fillId="5" borderId="3" xfId="0" applyNumberFormat="1" applyFont="1" applyFill="1" applyBorder="1" applyAlignment="1">
      <alignment horizontal="right" vertical="center" indent="1"/>
    </xf>
    <xf numFmtId="164" fontId="17" fillId="5" borderId="3" xfId="0" applyNumberFormat="1" applyFont="1" applyFill="1" applyBorder="1" applyAlignment="1">
      <alignment horizontal="right" vertical="center" indent="1"/>
    </xf>
    <xf numFmtId="174" fontId="16" fillId="0" borderId="3" xfId="0" applyNumberFormat="1" applyFont="1" applyBorder="1" applyAlignment="1">
      <alignment horizontal="right" vertical="center" indent="1"/>
    </xf>
    <xf numFmtId="164" fontId="16" fillId="0" borderId="3" xfId="0" applyNumberFormat="1" applyFont="1" applyBorder="1" applyAlignment="1">
      <alignment horizontal="center" vertical="center"/>
    </xf>
    <xf numFmtId="4" fontId="22" fillId="0" borderId="3" xfId="0" applyNumberFormat="1" applyFont="1" applyBorder="1" applyAlignment="1">
      <alignment horizontal="right" vertical="center" indent="1"/>
    </xf>
    <xf numFmtId="175" fontId="23" fillId="4" borderId="3" xfId="0" applyNumberFormat="1" applyFont="1" applyFill="1" applyBorder="1" applyAlignment="1">
      <alignment horizontal="right" vertical="center" indent="1"/>
    </xf>
    <xf numFmtId="173" fontId="30" fillId="0" borderId="3" xfId="0" applyNumberFormat="1" applyFont="1" applyBorder="1" applyAlignment="1">
      <alignment horizontal="center" vertical="center"/>
    </xf>
    <xf numFmtId="164" fontId="28" fillId="3" borderId="3" xfId="0" applyNumberFormat="1" applyFont="1" applyFill="1" applyBorder="1" applyAlignment="1">
      <alignment horizontal="center" vertical="center"/>
    </xf>
    <xf numFmtId="175" fontId="28" fillId="3" borderId="3" xfId="0" applyNumberFormat="1" applyFont="1" applyFill="1" applyBorder="1" applyAlignment="1">
      <alignment horizontal="right" vertical="center" indent="1"/>
    </xf>
    <xf numFmtId="175" fontId="31" fillId="4" borderId="8" xfId="0" applyNumberFormat="1" applyFont="1" applyFill="1" applyBorder="1" applyAlignment="1">
      <alignment horizontal="right" vertical="center" indent="1"/>
    </xf>
    <xf numFmtId="173" fontId="28" fillId="3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indent="1"/>
    </xf>
    <xf numFmtId="178" fontId="36" fillId="7" borderId="3" xfId="0" applyNumberFormat="1" applyFont="1" applyFill="1" applyBorder="1" applyAlignment="1">
      <alignment horizontal="center" vertical="center"/>
    </xf>
    <xf numFmtId="4" fontId="15" fillId="7" borderId="3" xfId="0" applyNumberFormat="1" applyFont="1" applyFill="1" applyBorder="1" applyAlignment="1">
      <alignment horizontal="right" vertical="center" indent="1"/>
    </xf>
    <xf numFmtId="3" fontId="15" fillId="7" borderId="3" xfId="0" applyNumberFormat="1" applyFont="1" applyFill="1" applyBorder="1" applyAlignment="1">
      <alignment horizontal="right" vertical="center" indent="1"/>
    </xf>
    <xf numFmtId="164" fontId="30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 indent="1"/>
    </xf>
    <xf numFmtId="0" fontId="18" fillId="4" borderId="3" xfId="0" applyFont="1" applyFill="1" applyBorder="1" applyAlignment="1">
      <alignment horizontal="left" vertical="center" indent="1"/>
    </xf>
    <xf numFmtId="178" fontId="36" fillId="4" borderId="3" xfId="0" applyNumberFormat="1" applyFont="1" applyFill="1" applyBorder="1" applyAlignment="1">
      <alignment horizontal="center" vertical="center"/>
    </xf>
    <xf numFmtId="4" fontId="24" fillId="4" borderId="3" xfId="0" applyNumberFormat="1" applyFont="1" applyFill="1" applyBorder="1" applyAlignment="1">
      <alignment horizontal="right" vertical="center" indent="1"/>
    </xf>
    <xf numFmtId="3" fontId="24" fillId="4" borderId="3" xfId="0" applyNumberFormat="1" applyFont="1" applyFill="1" applyBorder="1" applyAlignment="1">
      <alignment horizontal="right" vertical="center" indent="1"/>
    </xf>
    <xf numFmtId="164" fontId="1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 indent="1"/>
    </xf>
    <xf numFmtId="0" fontId="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174" fontId="22" fillId="0" borderId="3" xfId="0" applyNumberFormat="1" applyFont="1" applyBorder="1" applyAlignment="1">
      <alignment horizontal="right" vertical="center" indent="1"/>
    </xf>
    <xf numFmtId="174" fontId="23" fillId="0" borderId="3" xfId="0" applyNumberFormat="1" applyFont="1" applyBorder="1" applyAlignment="1">
      <alignment horizontal="right" vertical="center" indent="1"/>
    </xf>
    <xf numFmtId="3" fontId="16" fillId="4" borderId="3" xfId="0" applyNumberFormat="1" applyFont="1" applyFill="1" applyBorder="1" applyAlignment="1">
      <alignment horizontal="right" vertical="center" indent="1"/>
    </xf>
    <xf numFmtId="179" fontId="30" fillId="0" borderId="3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80" fontId="36" fillId="0" borderId="3" xfId="0" applyNumberFormat="1" applyFont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3" fontId="28" fillId="3" borderId="3" xfId="0" applyNumberFormat="1" applyFont="1" applyFill="1" applyBorder="1" applyAlignment="1">
      <alignment horizontal="right" vertical="center" indent="1"/>
    </xf>
    <xf numFmtId="174" fontId="28" fillId="3" borderId="3" xfId="0" applyNumberFormat="1" applyFont="1" applyFill="1" applyBorder="1" applyAlignment="1">
      <alignment horizontal="right" vertical="center" indent="1"/>
    </xf>
    <xf numFmtId="181" fontId="31" fillId="4" borderId="8" xfId="0" applyNumberFormat="1" applyFont="1" applyFill="1" applyBorder="1" applyAlignment="1">
      <alignment horizontal="right" vertical="center" indent="1"/>
    </xf>
    <xf numFmtId="179" fontId="28" fillId="3" borderId="3" xfId="0" applyNumberFormat="1" applyFont="1" applyFill="1" applyBorder="1" applyAlignment="1">
      <alignment horizontal="center" vertical="center"/>
    </xf>
    <xf numFmtId="180" fontId="28" fillId="3" borderId="3" xfId="0" applyNumberFormat="1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right" vertical="center" indent="1"/>
    </xf>
    <xf numFmtId="4" fontId="16" fillId="0" borderId="3" xfId="0" applyNumberFormat="1" applyFont="1" applyBorder="1" applyAlignment="1">
      <alignment horizontal="right" vertical="center" indent="1"/>
    </xf>
    <xf numFmtId="4" fontId="23" fillId="0" borderId="3" xfId="0" applyNumberFormat="1" applyFont="1" applyBorder="1" applyAlignment="1">
      <alignment horizontal="right" vertical="center" indent="1"/>
    </xf>
    <xf numFmtId="182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 indent="1"/>
    </xf>
    <xf numFmtId="0" fontId="39" fillId="0" borderId="9" xfId="0" applyFont="1" applyBorder="1"/>
    <xf numFmtId="0" fontId="45" fillId="12" borderId="10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4" fillId="10" borderId="0" xfId="0" applyFont="1" applyFill="1" applyAlignment="1">
      <alignment horizontal="left" vertical="top" wrapText="1"/>
    </xf>
    <xf numFmtId="38" fontId="46" fillId="0" borderId="10" xfId="0" applyNumberFormat="1" applyFont="1" applyBorder="1" applyAlignment="1">
      <alignment horizontal="right" vertical="center"/>
    </xf>
    <xf numFmtId="0" fontId="44" fillId="0" borderId="10" xfId="0" applyFont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left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0" fontId="44" fillId="4" borderId="10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3" fontId="48" fillId="0" borderId="10" xfId="0" applyNumberFormat="1" applyFont="1" applyBorder="1" applyAlignment="1">
      <alignment horizontal="right" vertical="center"/>
    </xf>
    <xf numFmtId="0" fontId="49" fillId="0" borderId="10" xfId="0" applyFont="1" applyBorder="1" applyAlignment="1">
      <alignment horizontal="left" vertical="center" wrapText="1"/>
    </xf>
    <xf numFmtId="174" fontId="48" fillId="0" borderId="10" xfId="0" applyNumberFormat="1" applyFont="1" applyBorder="1" applyAlignment="1">
      <alignment horizontal="right" vertical="center"/>
    </xf>
    <xf numFmtId="0" fontId="48" fillId="0" borderId="10" xfId="0" applyFont="1" applyBorder="1" applyAlignment="1">
      <alignment horizontal="right" vertical="center"/>
    </xf>
    <xf numFmtId="0" fontId="51" fillId="3" borderId="10" xfId="0" applyFont="1" applyFill="1" applyBorder="1" applyAlignment="1">
      <alignment horizontal="center" vertical="center" wrapText="1"/>
    </xf>
    <xf numFmtId="0" fontId="51" fillId="3" borderId="10" xfId="0" applyFont="1" applyFill="1" applyBorder="1" applyAlignment="1">
      <alignment horizontal="left" vertical="center" wrapText="1"/>
    </xf>
    <xf numFmtId="0" fontId="52" fillId="3" borderId="10" xfId="0" applyFont="1" applyFill="1" applyBorder="1" applyAlignment="1">
      <alignment horizontal="center" vertical="center" wrapText="1"/>
    </xf>
    <xf numFmtId="0" fontId="52" fillId="11" borderId="10" xfId="0" applyFont="1" applyFill="1" applyBorder="1" applyAlignment="1">
      <alignment horizontal="center" vertical="center" wrapText="1"/>
    </xf>
    <xf numFmtId="183" fontId="46" fillId="0" borderId="10" xfId="0" applyNumberFormat="1" applyFont="1" applyBorder="1" applyAlignment="1">
      <alignment horizontal="right" vertical="center"/>
    </xf>
    <xf numFmtId="183" fontId="47" fillId="0" borderId="10" xfId="0" applyNumberFormat="1" applyFont="1" applyBorder="1" applyAlignment="1">
      <alignment horizontal="right" vertical="center"/>
    </xf>
    <xf numFmtId="0" fontId="47" fillId="0" borderId="10" xfId="0" applyFont="1" applyBorder="1" applyAlignment="1">
      <alignment horizontal="left" vertical="center" wrapText="1"/>
    </xf>
    <xf numFmtId="183" fontId="47" fillId="13" borderId="10" xfId="0" applyNumberFormat="1" applyFont="1" applyFill="1" applyBorder="1" applyAlignment="1">
      <alignment horizontal="right" vertical="center"/>
    </xf>
    <xf numFmtId="183" fontId="47" fillId="4" borderId="10" xfId="0" applyNumberFormat="1" applyFont="1" applyFill="1" applyBorder="1" applyAlignment="1">
      <alignment horizontal="right" vertical="center"/>
    </xf>
    <xf numFmtId="0" fontId="45" fillId="0" borderId="10" xfId="0" applyFont="1" applyBorder="1" applyAlignment="1">
      <alignment horizontal="left" vertical="center" wrapText="1"/>
    </xf>
    <xf numFmtId="184" fontId="46" fillId="0" borderId="10" xfId="0" applyNumberFormat="1" applyFont="1" applyBorder="1" applyAlignment="1">
      <alignment horizontal="right" vertical="center"/>
    </xf>
    <xf numFmtId="185" fontId="47" fillId="4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left" vertical="center" wrapText="1"/>
    </xf>
    <xf numFmtId="0" fontId="49" fillId="4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4" xfId="0" applyBorder="1"/>
    <xf numFmtId="0" fontId="52" fillId="3" borderId="10" xfId="0" applyFont="1" applyFill="1" applyBorder="1" applyAlignment="1">
      <alignment horizontal="left" vertical="center" wrapText="1"/>
    </xf>
    <xf numFmtId="0" fontId="55" fillId="5" borderId="10" xfId="0" applyFont="1" applyFill="1" applyBorder="1" applyAlignment="1">
      <alignment horizontal="center" vertical="center" wrapText="1"/>
    </xf>
    <xf numFmtId="0" fontId="55" fillId="5" borderId="10" xfId="0" applyFont="1" applyFill="1" applyBorder="1" applyAlignment="1">
      <alignment horizontal="left" vertical="center" wrapText="1"/>
    </xf>
    <xf numFmtId="183" fontId="55" fillId="5" borderId="10" xfId="0" applyNumberFormat="1" applyFont="1" applyFill="1" applyBorder="1" applyAlignment="1">
      <alignment horizontal="right" vertical="center"/>
    </xf>
    <xf numFmtId="183" fontId="56" fillId="5" borderId="10" xfId="0" applyNumberFormat="1" applyFont="1" applyFill="1" applyBorder="1" applyAlignment="1">
      <alignment horizontal="right" vertical="center"/>
    </xf>
    <xf numFmtId="0" fontId="56" fillId="13" borderId="10" xfId="0" applyFont="1" applyFill="1" applyBorder="1" applyAlignment="1">
      <alignment horizontal="center" vertical="center" wrapText="1"/>
    </xf>
    <xf numFmtId="0" fontId="56" fillId="13" borderId="10" xfId="0" applyFont="1" applyFill="1" applyBorder="1" applyAlignment="1">
      <alignment horizontal="left" vertical="center" wrapText="1"/>
    </xf>
    <xf numFmtId="183" fontId="56" fillId="13" borderId="10" xfId="0" applyNumberFormat="1" applyFont="1" applyFill="1" applyBorder="1" applyAlignment="1">
      <alignment horizontal="right" vertical="center"/>
    </xf>
    <xf numFmtId="183" fontId="56" fillId="4" borderId="10" xfId="0" applyNumberFormat="1" applyFont="1" applyFill="1" applyBorder="1" applyAlignment="1">
      <alignment horizontal="right" vertical="center"/>
    </xf>
    <xf numFmtId="0" fontId="49" fillId="13" borderId="10" xfId="0" applyFont="1" applyFill="1" applyBorder="1" applyAlignment="1">
      <alignment horizontal="left" vertical="center" wrapText="1"/>
    </xf>
    <xf numFmtId="0" fontId="55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left" vertical="center" wrapText="1"/>
    </xf>
    <xf numFmtId="183" fontId="55" fillId="14" borderId="10" xfId="0" applyNumberFormat="1" applyFont="1" applyFill="1" applyBorder="1" applyAlignment="1">
      <alignment horizontal="right" vertical="center"/>
    </xf>
    <xf numFmtId="183" fontId="56" fillId="14" borderId="10" xfId="0" applyNumberFormat="1" applyFont="1" applyFill="1" applyBorder="1" applyAlignment="1">
      <alignment horizontal="right" vertical="center"/>
    </xf>
    <xf numFmtId="0" fontId="49" fillId="14" borderId="10" xfId="0" applyFont="1" applyFill="1" applyBorder="1" applyAlignment="1">
      <alignment horizontal="left" vertical="center" wrapText="1"/>
    </xf>
    <xf numFmtId="0" fontId="55" fillId="0" borderId="10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left" vertical="center" wrapText="1"/>
    </xf>
    <xf numFmtId="183" fontId="55" fillId="0" borderId="10" xfId="0" applyNumberFormat="1" applyFont="1" applyBorder="1" applyAlignment="1">
      <alignment horizontal="right" vertical="center"/>
    </xf>
    <xf numFmtId="183" fontId="56" fillId="0" borderId="10" xfId="0" applyNumberFormat="1" applyFont="1" applyBorder="1" applyAlignment="1">
      <alignment horizontal="right" vertical="center"/>
    </xf>
    <xf numFmtId="0" fontId="56" fillId="5" borderId="10" xfId="0" applyFont="1" applyFill="1" applyBorder="1" applyAlignment="1">
      <alignment horizontal="center" vertical="center" wrapText="1"/>
    </xf>
    <xf numFmtId="0" fontId="56" fillId="5" borderId="10" xfId="0" applyFont="1" applyFill="1" applyBorder="1" applyAlignment="1">
      <alignment horizontal="left" vertical="center" wrapText="1"/>
    </xf>
    <xf numFmtId="0" fontId="57" fillId="0" borderId="10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left" vertical="center" wrapText="1"/>
    </xf>
    <xf numFmtId="183" fontId="57" fillId="15" borderId="10" xfId="0" applyNumberFormat="1" applyFont="1" applyFill="1" applyBorder="1" applyAlignment="1">
      <alignment horizontal="right" vertical="center"/>
    </xf>
    <xf numFmtId="0" fontId="57" fillId="15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left" vertical="center" wrapText="1"/>
    </xf>
    <xf numFmtId="183" fontId="57" fillId="5" borderId="10" xfId="0" applyNumberFormat="1" applyFont="1" applyFill="1" applyBorder="1" applyAlignment="1">
      <alignment horizontal="right" vertical="center"/>
    </xf>
    <xf numFmtId="183" fontId="57" fillId="12" borderId="10" xfId="0" applyNumberFormat="1" applyFont="1" applyFill="1" applyBorder="1" applyAlignment="1">
      <alignment horizontal="right" vertical="center"/>
    </xf>
    <xf numFmtId="185" fontId="57" fillId="12" borderId="10" xfId="0" applyNumberFormat="1" applyFont="1" applyFill="1" applyBorder="1" applyAlignment="1">
      <alignment horizontal="right" vertical="center"/>
    </xf>
    <xf numFmtId="185" fontId="56" fillId="4" borderId="10" xfId="0" applyNumberFormat="1" applyFont="1" applyFill="1" applyBorder="1" applyAlignment="1">
      <alignment horizontal="right" vertical="center"/>
    </xf>
    <xf numFmtId="0" fontId="49" fillId="0" borderId="10" xfId="0" applyFont="1" applyBorder="1" applyAlignment="1">
      <alignment horizontal="center" vertical="center" wrapText="1"/>
    </xf>
    <xf numFmtId="0" fontId="57" fillId="12" borderId="10" xfId="0" applyFont="1" applyFill="1" applyBorder="1" applyAlignment="1">
      <alignment horizontal="center" vertical="center" wrapText="1"/>
    </xf>
    <xf numFmtId="183" fontId="55" fillId="12" borderId="10" xfId="0" applyNumberFormat="1" applyFont="1" applyFill="1" applyBorder="1" applyAlignment="1">
      <alignment horizontal="right" vertical="center"/>
    </xf>
    <xf numFmtId="0" fontId="55" fillId="12" borderId="10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3" fontId="55" fillId="0" borderId="10" xfId="0" applyNumberFormat="1" applyFont="1" applyBorder="1" applyAlignment="1">
      <alignment horizontal="right" vertical="center"/>
    </xf>
    <xf numFmtId="185" fontId="55" fillId="0" borderId="10" xfId="0" applyNumberFormat="1" applyFont="1" applyBorder="1" applyAlignment="1">
      <alignment horizontal="center" vertical="center" wrapText="1"/>
    </xf>
    <xf numFmtId="3" fontId="56" fillId="4" borderId="10" xfId="0" applyNumberFormat="1" applyFont="1" applyFill="1" applyBorder="1" applyAlignment="1">
      <alignment horizontal="right" vertical="center"/>
    </xf>
    <xf numFmtId="183" fontId="55" fillId="4" borderId="10" xfId="0" applyNumberFormat="1" applyFont="1" applyFill="1" applyBorder="1" applyAlignment="1">
      <alignment horizontal="right" vertical="center"/>
    </xf>
    <xf numFmtId="0" fontId="57" fillId="5" borderId="10" xfId="0" applyFont="1" applyFill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right" vertical="center"/>
    </xf>
    <xf numFmtId="178" fontId="55" fillId="0" borderId="10" xfId="0" applyNumberFormat="1" applyFont="1" applyBorder="1" applyAlignment="1">
      <alignment horizontal="right" vertical="center"/>
    </xf>
    <xf numFmtId="186" fontId="55" fillId="0" borderId="10" xfId="0" applyNumberFormat="1" applyFont="1" applyBorder="1" applyAlignment="1">
      <alignment horizontal="right" vertical="center"/>
    </xf>
    <xf numFmtId="0" fontId="56" fillId="13" borderId="10" xfId="0" applyFont="1" applyFill="1" applyBorder="1" applyAlignment="1">
      <alignment horizontal="right" vertical="center"/>
    </xf>
    <xf numFmtId="185" fontId="56" fillId="13" borderId="10" xfId="0" applyNumberFormat="1" applyFont="1" applyFill="1" applyBorder="1" applyAlignment="1">
      <alignment horizontal="right" vertical="center"/>
    </xf>
    <xf numFmtId="178" fontId="56" fillId="13" borderId="10" xfId="0" applyNumberFormat="1" applyFont="1" applyFill="1" applyBorder="1" applyAlignment="1">
      <alignment horizontal="right" vertical="center"/>
    </xf>
    <xf numFmtId="186" fontId="56" fillId="13" borderId="10" xfId="0" applyNumberFormat="1" applyFont="1" applyFill="1" applyBorder="1" applyAlignment="1">
      <alignment horizontal="right" vertical="center"/>
    </xf>
    <xf numFmtId="0" fontId="57" fillId="4" borderId="10" xfId="0" applyFont="1" applyFill="1" applyBorder="1" applyAlignment="1">
      <alignment horizontal="center" vertical="center" wrapText="1"/>
    </xf>
    <xf numFmtId="49" fontId="55" fillId="0" borderId="10" xfId="0" applyNumberFormat="1" applyFont="1" applyBorder="1" applyAlignment="1">
      <alignment horizontal="right" vertical="center"/>
    </xf>
    <xf numFmtId="49" fontId="55" fillId="4" borderId="10" xfId="0" applyNumberFormat="1" applyFont="1" applyFill="1" applyBorder="1" applyAlignment="1">
      <alignment horizontal="right" vertical="center"/>
    </xf>
    <xf numFmtId="3" fontId="55" fillId="4" borderId="10" xfId="0" applyNumberFormat="1" applyFont="1" applyFill="1" applyBorder="1" applyAlignment="1">
      <alignment horizontal="right" vertical="center"/>
    </xf>
    <xf numFmtId="185" fontId="55" fillId="4" borderId="10" xfId="0" applyNumberFormat="1" applyFont="1" applyFill="1" applyBorder="1" applyAlignment="1">
      <alignment horizontal="right" vertical="center"/>
    </xf>
    <xf numFmtId="187" fontId="55" fillId="0" borderId="10" xfId="0" applyNumberFormat="1" applyFont="1" applyBorder="1" applyAlignment="1">
      <alignment horizontal="right" vertical="center"/>
    </xf>
    <xf numFmtId="187" fontId="55" fillId="4" borderId="10" xfId="0" applyNumberFormat="1" applyFont="1" applyFill="1" applyBorder="1" applyAlignment="1">
      <alignment horizontal="right" vertical="center"/>
    </xf>
    <xf numFmtId="0" fontId="57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right" vertical="center"/>
    </xf>
    <xf numFmtId="0" fontId="55" fillId="5" borderId="10" xfId="0" applyFont="1" applyFill="1" applyBorder="1" applyAlignment="1">
      <alignment horizontal="right" vertical="center"/>
    </xf>
    <xf numFmtId="10" fontId="55" fillId="0" borderId="10" xfId="0" applyNumberFormat="1" applyFont="1" applyBorder="1" applyAlignment="1">
      <alignment horizontal="right" vertical="center"/>
    </xf>
    <xf numFmtId="2" fontId="55" fillId="0" borderId="10" xfId="0" applyNumberFormat="1" applyFont="1" applyBorder="1" applyAlignment="1">
      <alignment horizontal="right" vertical="center"/>
    </xf>
    <xf numFmtId="0" fontId="57" fillId="4" borderId="10" xfId="0" applyFont="1" applyFill="1" applyBorder="1" applyAlignment="1">
      <alignment horizontal="left" vertical="center" wrapText="1"/>
    </xf>
    <xf numFmtId="10" fontId="57" fillId="4" borderId="10" xfId="0" applyNumberFormat="1" applyFont="1" applyFill="1" applyBorder="1" applyAlignment="1">
      <alignment horizontal="right" vertical="center"/>
    </xf>
    <xf numFmtId="0" fontId="52" fillId="11" borderId="10" xfId="0" applyFont="1" applyFill="1" applyBorder="1" applyAlignment="1">
      <alignment horizontal="left" vertical="center" wrapText="1"/>
    </xf>
    <xf numFmtId="183" fontId="57" fillId="13" borderId="10" xfId="0" applyNumberFormat="1" applyFont="1" applyFill="1" applyBorder="1" applyAlignment="1">
      <alignment horizontal="right" vertical="center"/>
    </xf>
    <xf numFmtId="178" fontId="55" fillId="0" borderId="10" xfId="0" applyNumberFormat="1" applyFont="1" applyBorder="1" applyAlignment="1">
      <alignment horizontal="center" vertical="center" wrapText="1"/>
    </xf>
    <xf numFmtId="178" fontId="57" fillId="13" borderId="10" xfId="0" applyNumberFormat="1" applyFont="1" applyFill="1" applyBorder="1" applyAlignment="1">
      <alignment horizontal="right" vertical="center"/>
    </xf>
    <xf numFmtId="0" fontId="57" fillId="13" borderId="10" xfId="0" applyFont="1" applyFill="1" applyBorder="1" applyAlignment="1">
      <alignment horizontal="right" vertical="center"/>
    </xf>
    <xf numFmtId="183" fontId="57" fillId="4" borderId="10" xfId="0" applyNumberFormat="1" applyFont="1" applyFill="1" applyBorder="1" applyAlignment="1">
      <alignment horizontal="right" vertical="center"/>
    </xf>
    <xf numFmtId="183" fontId="47" fillId="5" borderId="10" xfId="0" applyNumberFormat="1" applyFont="1" applyFill="1" applyBorder="1" applyAlignment="1">
      <alignment horizontal="right" vertical="center"/>
    </xf>
    <xf numFmtId="0" fontId="0" fillId="13" borderId="10" xfId="0" applyFill="1" applyBorder="1"/>
    <xf numFmtId="185" fontId="57" fillId="4" borderId="10" xfId="0" applyNumberFormat="1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left" vertical="center" wrapText="1"/>
    </xf>
    <xf numFmtId="189" fontId="55" fillId="0" borderId="10" xfId="0" applyNumberFormat="1" applyFont="1" applyBorder="1" applyAlignment="1">
      <alignment horizontal="center" vertical="center" wrapText="1"/>
    </xf>
    <xf numFmtId="0" fontId="47" fillId="13" borderId="10" xfId="0" applyFont="1" applyFill="1" applyBorder="1" applyAlignment="1">
      <alignment horizontal="right" vertical="center"/>
    </xf>
    <xf numFmtId="189" fontId="47" fillId="13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right" vertical="center"/>
    </xf>
    <xf numFmtId="0" fontId="57" fillId="4" borderId="10" xfId="0" applyFont="1" applyFill="1" applyBorder="1" applyAlignment="1">
      <alignment horizontal="right" vertical="center"/>
    </xf>
    <xf numFmtId="0" fontId="55" fillId="16" borderId="10" xfId="0" applyFont="1" applyFill="1" applyBorder="1" applyAlignment="1">
      <alignment horizontal="left" vertical="center" wrapText="1"/>
    </xf>
    <xf numFmtId="183" fontId="55" fillId="17" borderId="10" xfId="0" applyNumberFormat="1" applyFont="1" applyFill="1" applyBorder="1" applyAlignment="1">
      <alignment horizontal="right" vertical="center"/>
    </xf>
    <xf numFmtId="183" fontId="55" fillId="15" borderId="10" xfId="0" applyNumberFormat="1" applyFont="1" applyFill="1" applyBorder="1" applyAlignment="1">
      <alignment horizontal="right" vertical="center"/>
    </xf>
    <xf numFmtId="0" fontId="57" fillId="16" borderId="10" xfId="0" applyFont="1" applyFill="1" applyBorder="1" applyAlignment="1">
      <alignment horizontal="center" vertical="center" wrapText="1"/>
    </xf>
    <xf numFmtId="183" fontId="55" fillId="16" borderId="10" xfId="0" applyNumberFormat="1" applyFont="1" applyFill="1" applyBorder="1" applyAlignment="1">
      <alignment horizontal="right" vertical="center"/>
    </xf>
    <xf numFmtId="183" fontId="55" fillId="18" borderId="10" xfId="0" applyNumberFormat="1" applyFont="1" applyFill="1" applyBorder="1" applyAlignment="1">
      <alignment horizontal="right" vertical="center"/>
    </xf>
    <xf numFmtId="185" fontId="55" fillId="16" borderId="10" xfId="0" applyNumberFormat="1" applyFont="1" applyFill="1" applyBorder="1" applyAlignment="1">
      <alignment horizontal="right" vertical="center"/>
    </xf>
    <xf numFmtId="185" fontId="55" fillId="14" borderId="10" xfId="0" applyNumberFormat="1" applyFont="1" applyFill="1" applyBorder="1" applyAlignment="1">
      <alignment horizontal="right" vertical="center"/>
    </xf>
    <xf numFmtId="185" fontId="55" fillId="18" borderId="10" xfId="0" applyNumberFormat="1" applyFont="1" applyFill="1" applyBorder="1" applyAlignment="1">
      <alignment horizontal="right" vertical="center"/>
    </xf>
    <xf numFmtId="185" fontId="55" fillId="5" borderId="10" xfId="0" applyNumberFormat="1" applyFont="1" applyFill="1" applyBorder="1" applyAlignment="1">
      <alignment horizontal="right" vertical="center"/>
    </xf>
    <xf numFmtId="182" fontId="55" fillId="16" borderId="10" xfId="0" applyNumberFormat="1" applyFont="1" applyFill="1" applyBorder="1" applyAlignment="1">
      <alignment horizontal="right" vertical="center"/>
    </xf>
    <xf numFmtId="182" fontId="55" fillId="14" borderId="10" xfId="0" applyNumberFormat="1" applyFont="1" applyFill="1" applyBorder="1" applyAlignment="1">
      <alignment horizontal="right" vertical="center"/>
    </xf>
    <xf numFmtId="182" fontId="57" fillId="4" borderId="10" xfId="0" applyNumberFormat="1" applyFont="1" applyFill="1" applyBorder="1" applyAlignment="1">
      <alignment horizontal="right" vertical="center"/>
    </xf>
    <xf numFmtId="182" fontId="55" fillId="18" borderId="10" xfId="0" applyNumberFormat="1" applyFont="1" applyFill="1" applyBorder="1" applyAlignment="1">
      <alignment horizontal="right" vertical="center"/>
    </xf>
    <xf numFmtId="182" fontId="55" fillId="5" borderId="10" xfId="0" applyNumberFormat="1" applyFont="1" applyFill="1" applyBorder="1" applyAlignment="1">
      <alignment horizontal="right" vertical="center"/>
    </xf>
    <xf numFmtId="182" fontId="55" fillId="0" borderId="10" xfId="0" applyNumberFormat="1" applyFont="1" applyBorder="1" applyAlignment="1">
      <alignment horizontal="right" vertical="center"/>
    </xf>
    <xf numFmtId="189" fontId="55" fillId="16" borderId="10" xfId="0" applyNumberFormat="1" applyFont="1" applyFill="1" applyBorder="1" applyAlignment="1">
      <alignment horizontal="right" vertical="center"/>
    </xf>
    <xf numFmtId="189" fontId="55" fillId="14" borderId="10" xfId="0" applyNumberFormat="1" applyFont="1" applyFill="1" applyBorder="1" applyAlignment="1">
      <alignment horizontal="right" vertical="center"/>
    </xf>
    <xf numFmtId="189" fontId="57" fillId="4" borderId="10" xfId="0" applyNumberFormat="1" applyFont="1" applyFill="1" applyBorder="1" applyAlignment="1">
      <alignment horizontal="right" vertical="center"/>
    </xf>
    <xf numFmtId="189" fontId="55" fillId="18" borderId="10" xfId="0" applyNumberFormat="1" applyFont="1" applyFill="1" applyBorder="1" applyAlignment="1">
      <alignment horizontal="right" vertical="center"/>
    </xf>
    <xf numFmtId="189" fontId="55" fillId="5" borderId="10" xfId="0" applyNumberFormat="1" applyFont="1" applyFill="1" applyBorder="1" applyAlignment="1">
      <alignment horizontal="right" vertical="center"/>
    </xf>
    <xf numFmtId="189" fontId="55" fillId="0" borderId="10" xfId="0" applyNumberFormat="1" applyFont="1" applyBorder="1" applyAlignment="1">
      <alignment horizontal="right" vertical="center"/>
    </xf>
    <xf numFmtId="0" fontId="60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left" vertical="center" wrapText="1"/>
    </xf>
    <xf numFmtId="0" fontId="62" fillId="19" borderId="10" xfId="0" applyFont="1" applyFill="1" applyBorder="1" applyAlignment="1">
      <alignment horizontal="center" vertical="center" wrapText="1"/>
    </xf>
    <xf numFmtId="0" fontId="61" fillId="19" borderId="10" xfId="0" applyFont="1" applyFill="1" applyBorder="1" applyAlignment="1">
      <alignment horizontal="center" vertical="center" wrapText="1"/>
    </xf>
    <xf numFmtId="0" fontId="62" fillId="20" borderId="10" xfId="0" applyFont="1" applyFill="1" applyBorder="1" applyAlignment="1">
      <alignment horizontal="center" vertical="center" wrapText="1"/>
    </xf>
    <xf numFmtId="0" fontId="61" fillId="20" borderId="10" xfId="0" applyFont="1" applyFill="1" applyBorder="1" applyAlignment="1">
      <alignment horizontal="center" vertical="center" wrapText="1"/>
    </xf>
    <xf numFmtId="0" fontId="62" fillId="4" borderId="10" xfId="0" applyFont="1" applyFill="1" applyBorder="1" applyAlignment="1">
      <alignment horizontal="center" vertical="center" wrapText="1"/>
    </xf>
    <xf numFmtId="0" fontId="61" fillId="4" borderId="10" xfId="0" applyFont="1" applyFill="1" applyBorder="1" applyAlignment="1">
      <alignment horizontal="center" vertical="center" wrapText="1"/>
    </xf>
    <xf numFmtId="0" fontId="62" fillId="21" borderId="10" xfId="0" applyFont="1" applyFill="1" applyBorder="1" applyAlignment="1">
      <alignment horizontal="center" vertical="center" wrapText="1"/>
    </xf>
    <xf numFmtId="0" fontId="61" fillId="21" borderId="10" xfId="0" applyFont="1" applyFill="1" applyBorder="1" applyAlignment="1">
      <alignment horizontal="center" vertical="center" wrapText="1"/>
    </xf>
    <xf numFmtId="0" fontId="63" fillId="7" borderId="10" xfId="0" applyFont="1" applyFill="1" applyBorder="1"/>
    <xf numFmtId="0" fontId="51" fillId="2" borderId="10" xfId="0" applyFont="1" applyFill="1" applyBorder="1" applyAlignment="1">
      <alignment horizontal="center" vertical="center"/>
    </xf>
    <xf numFmtId="0" fontId="64" fillId="4" borderId="10" xfId="0" applyFont="1" applyFill="1" applyBorder="1" applyAlignment="1">
      <alignment horizontal="center" vertical="center" wrapText="1"/>
    </xf>
    <xf numFmtId="0" fontId="65" fillId="20" borderId="10" xfId="0" applyFont="1" applyFill="1" applyBorder="1" applyAlignment="1">
      <alignment horizontal="center" vertical="center" wrapText="1"/>
    </xf>
    <xf numFmtId="0" fontId="65" fillId="19" borderId="10" xfId="0" applyFont="1" applyFill="1" applyBorder="1" applyAlignment="1">
      <alignment horizontal="center" vertical="center" wrapText="1"/>
    </xf>
    <xf numFmtId="0" fontId="64" fillId="21" borderId="10" xfId="0" applyFont="1" applyFill="1" applyBorder="1" applyAlignment="1">
      <alignment horizontal="center" vertical="center" wrapText="1"/>
    </xf>
    <xf numFmtId="0" fontId="64" fillId="5" borderId="10" xfId="0" applyFont="1" applyFill="1" applyBorder="1" applyAlignment="1">
      <alignment horizontal="center" vertical="center" wrapText="1"/>
    </xf>
    <xf numFmtId="0" fontId="65" fillId="4" borderId="10" xfId="0" applyFont="1" applyFill="1" applyBorder="1" applyAlignment="1">
      <alignment horizontal="center" vertical="center" wrapText="1"/>
    </xf>
    <xf numFmtId="0" fontId="65" fillId="21" borderId="10" xfId="0" applyFont="1" applyFill="1" applyBorder="1" applyAlignment="1">
      <alignment horizontal="center" vertical="center" wrapText="1"/>
    </xf>
    <xf numFmtId="0" fontId="64" fillId="20" borderId="10" xfId="0" applyFont="1" applyFill="1" applyBorder="1" applyAlignment="1">
      <alignment horizontal="center" vertical="center" wrapText="1"/>
    </xf>
    <xf numFmtId="0" fontId="63" fillId="0" borderId="0" xfId="0" applyFont="1"/>
    <xf numFmtId="0" fontId="61" fillId="5" borderId="10" xfId="0" applyFont="1" applyFill="1" applyBorder="1" applyAlignment="1">
      <alignment horizontal="center" vertical="center"/>
    </xf>
    <xf numFmtId="0" fontId="61" fillId="4" borderId="10" xfId="0" applyFont="1" applyFill="1" applyBorder="1" applyAlignment="1">
      <alignment horizontal="center" vertical="center"/>
    </xf>
    <xf numFmtId="0" fontId="61" fillId="20" borderId="10" xfId="0" applyFont="1" applyFill="1" applyBorder="1" applyAlignment="1">
      <alignment horizontal="center" vertical="center"/>
    </xf>
    <xf numFmtId="0" fontId="61" fillId="19" borderId="10" xfId="0" applyFont="1" applyFill="1" applyBorder="1" applyAlignment="1">
      <alignment horizontal="center" vertical="center"/>
    </xf>
    <xf numFmtId="0" fontId="61" fillId="21" borderId="10" xfId="0" applyFont="1" applyFill="1" applyBorder="1" applyAlignment="1">
      <alignment horizontal="center" vertical="center"/>
    </xf>
    <xf numFmtId="0" fontId="64" fillId="0" borderId="10" xfId="0" applyFont="1" applyBorder="1" applyAlignment="1">
      <alignment horizontal="center" vertical="top" wrapText="1"/>
    </xf>
    <xf numFmtId="0" fontId="64" fillId="0" borderId="10" xfId="0" applyFont="1" applyBorder="1" applyAlignment="1">
      <alignment horizontal="left" vertical="top" wrapText="1"/>
    </xf>
    <xf numFmtId="0" fontId="62" fillId="21" borderId="10" xfId="0" applyFont="1" applyFill="1" applyBorder="1" applyAlignment="1">
      <alignment horizontal="center" vertical="top" wrapText="1"/>
    </xf>
    <xf numFmtId="0" fontId="62" fillId="19" borderId="10" xfId="0" applyFont="1" applyFill="1" applyBorder="1" applyAlignment="1">
      <alignment horizontal="center" vertical="top" wrapText="1"/>
    </xf>
    <xf numFmtId="0" fontId="62" fillId="20" borderId="10" xfId="0" applyFont="1" applyFill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center"/>
    </xf>
    <xf numFmtId="0" fontId="61" fillId="0" borderId="10" xfId="0" applyFont="1" applyBorder="1" applyAlignment="1">
      <alignment horizontal="center" vertical="center"/>
    </xf>
    <xf numFmtId="0" fontId="62" fillId="12" borderId="10" xfId="0" applyFont="1" applyFill="1" applyBorder="1"/>
    <xf numFmtId="0" fontId="62" fillId="12" borderId="10" xfId="0" applyFont="1" applyFill="1" applyBorder="1" applyAlignment="1">
      <alignment horizontal="center" vertical="center"/>
    </xf>
    <xf numFmtId="0" fontId="62" fillId="0" borderId="0" xfId="0" applyFont="1"/>
    <xf numFmtId="0" fontId="61" fillId="5" borderId="10" xfId="0" applyFont="1" applyFill="1" applyBorder="1" applyAlignment="1">
      <alignment horizontal="left" vertical="center"/>
    </xf>
    <xf numFmtId="0" fontId="61" fillId="4" borderId="10" xfId="0" applyFont="1" applyFill="1" applyBorder="1" applyAlignment="1">
      <alignment horizontal="left" vertical="center"/>
    </xf>
    <xf numFmtId="0" fontId="61" fillId="20" borderId="10" xfId="0" applyFont="1" applyFill="1" applyBorder="1" applyAlignment="1">
      <alignment horizontal="left" vertical="center"/>
    </xf>
    <xf numFmtId="0" fontId="61" fillId="19" borderId="10" xfId="0" applyFont="1" applyFill="1" applyBorder="1" applyAlignment="1">
      <alignment horizontal="left" vertical="center"/>
    </xf>
    <xf numFmtId="0" fontId="61" fillId="21" borderId="10" xfId="0" applyFont="1" applyFill="1" applyBorder="1" applyAlignment="1">
      <alignment horizontal="left" vertical="center"/>
    </xf>
    <xf numFmtId="0" fontId="63" fillId="12" borderId="10" xfId="0" applyFont="1" applyFill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right" vertical="center" wrapText="1"/>
    </xf>
    <xf numFmtId="164" fontId="63" fillId="0" borderId="10" xfId="0" applyNumberFormat="1" applyFont="1" applyBorder="1" applyAlignment="1">
      <alignment horizontal="right" vertical="center" wrapText="1"/>
    </xf>
    <xf numFmtId="0" fontId="63" fillId="5" borderId="10" xfId="0" applyFont="1" applyFill="1" applyBorder="1" applyAlignment="1">
      <alignment horizontal="left" vertical="center" wrapText="1"/>
    </xf>
    <xf numFmtId="0" fontId="63" fillId="14" borderId="10" xfId="0" applyFont="1" applyFill="1" applyBorder="1" applyAlignment="1">
      <alignment horizontal="left" vertical="center" wrapText="1"/>
    </xf>
    <xf numFmtId="0" fontId="63" fillId="4" borderId="10" xfId="0" applyFont="1" applyFill="1" applyBorder="1" applyAlignment="1">
      <alignment horizontal="left" vertical="center" wrapText="1"/>
    </xf>
    <xf numFmtId="0" fontId="63" fillId="22" borderId="10" xfId="0" applyFont="1" applyFill="1" applyBorder="1" applyAlignment="1">
      <alignment horizontal="left" vertical="center" wrapText="1"/>
    </xf>
    <xf numFmtId="0" fontId="62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right" vertical="center" wrapText="1"/>
    </xf>
    <xf numFmtId="164" fontId="63" fillId="12" borderId="10" xfId="0" applyNumberFormat="1" applyFont="1" applyFill="1" applyBorder="1" applyAlignment="1">
      <alignment horizontal="right" vertical="center" wrapText="1"/>
    </xf>
    <xf numFmtId="0" fontId="61" fillId="12" borderId="10" xfId="0" applyFont="1" applyFill="1" applyBorder="1" applyAlignment="1">
      <alignment horizontal="left" vertical="center" wrapText="1"/>
    </xf>
    <xf numFmtId="174" fontId="61" fillId="12" borderId="10" xfId="0" applyNumberFormat="1" applyFont="1" applyFill="1" applyBorder="1" applyAlignment="1">
      <alignment horizontal="right" vertical="center" wrapText="1"/>
    </xf>
    <xf numFmtId="164" fontId="61" fillId="12" borderId="10" xfId="0" applyNumberFormat="1" applyFont="1" applyFill="1" applyBorder="1" applyAlignment="1">
      <alignment horizontal="right" vertical="center" wrapText="1"/>
    </xf>
    <xf numFmtId="0" fontId="61" fillId="5" borderId="10" xfId="0" applyFont="1" applyFill="1" applyBorder="1" applyAlignment="1">
      <alignment horizontal="left" vertical="center" wrapText="1"/>
    </xf>
    <xf numFmtId="174" fontId="61" fillId="5" borderId="10" xfId="0" applyNumberFormat="1" applyFont="1" applyFill="1" applyBorder="1" applyAlignment="1">
      <alignment horizontal="right" vertical="center" wrapText="1"/>
    </xf>
    <xf numFmtId="164" fontId="61" fillId="5" borderId="10" xfId="0" applyNumberFormat="1" applyFont="1" applyFill="1" applyBorder="1" applyAlignment="1">
      <alignment horizontal="right" vertical="center" wrapText="1"/>
    </xf>
    <xf numFmtId="0" fontId="61" fillId="14" borderId="10" xfId="0" applyFont="1" applyFill="1" applyBorder="1" applyAlignment="1">
      <alignment horizontal="left" vertical="center" wrapText="1"/>
    </xf>
    <xf numFmtId="174" fontId="61" fillId="14" borderId="10" xfId="0" applyNumberFormat="1" applyFont="1" applyFill="1" applyBorder="1" applyAlignment="1">
      <alignment horizontal="right" vertical="center" wrapText="1"/>
    </xf>
    <xf numFmtId="164" fontId="61" fillId="14" borderId="10" xfId="0" applyNumberFormat="1" applyFont="1" applyFill="1" applyBorder="1" applyAlignment="1">
      <alignment horizontal="right" vertical="center" wrapText="1"/>
    </xf>
    <xf numFmtId="0" fontId="61" fillId="4" borderId="10" xfId="0" applyFont="1" applyFill="1" applyBorder="1" applyAlignment="1">
      <alignment horizontal="left" vertical="center" wrapText="1"/>
    </xf>
    <xf numFmtId="174" fontId="61" fillId="4" borderId="10" xfId="0" applyNumberFormat="1" applyFont="1" applyFill="1" applyBorder="1" applyAlignment="1">
      <alignment horizontal="right" vertical="center" wrapText="1"/>
    </xf>
    <xf numFmtId="164" fontId="61" fillId="4" borderId="10" xfId="0" applyNumberFormat="1" applyFont="1" applyFill="1" applyBorder="1" applyAlignment="1">
      <alignment horizontal="right" vertical="center" wrapText="1"/>
    </xf>
    <xf numFmtId="0" fontId="61" fillId="22" borderId="10" xfId="0" applyFont="1" applyFill="1" applyBorder="1" applyAlignment="1">
      <alignment horizontal="left" vertical="center" wrapText="1"/>
    </xf>
    <xf numFmtId="174" fontId="61" fillId="22" borderId="10" xfId="0" applyNumberFormat="1" applyFont="1" applyFill="1" applyBorder="1" applyAlignment="1">
      <alignment horizontal="right" vertical="center" wrapText="1"/>
    </xf>
    <xf numFmtId="164" fontId="61" fillId="22" borderId="10" xfId="0" applyNumberFormat="1" applyFont="1" applyFill="1" applyBorder="1" applyAlignment="1">
      <alignment horizontal="right" vertical="center" wrapText="1"/>
    </xf>
    <xf numFmtId="171" fontId="61" fillId="12" borderId="10" xfId="0" applyNumberFormat="1" applyFont="1" applyFill="1" applyBorder="1" applyAlignment="1">
      <alignment horizontal="right" vertical="center" wrapText="1"/>
    </xf>
    <xf numFmtId="10" fontId="61" fillId="12" borderId="10" xfId="0" applyNumberFormat="1" applyFont="1" applyFill="1" applyBorder="1" applyAlignment="1">
      <alignment horizontal="right" vertical="center" wrapText="1"/>
    </xf>
    <xf numFmtId="171" fontId="61" fillId="5" borderId="10" xfId="0" applyNumberFormat="1" applyFont="1" applyFill="1" applyBorder="1" applyAlignment="1">
      <alignment horizontal="right" vertical="center" wrapText="1"/>
    </xf>
    <xf numFmtId="10" fontId="61" fillId="5" borderId="10" xfId="0" applyNumberFormat="1" applyFont="1" applyFill="1" applyBorder="1" applyAlignment="1">
      <alignment horizontal="right" vertical="center" wrapText="1"/>
    </xf>
    <xf numFmtId="171" fontId="61" fillId="14" borderId="10" xfId="0" applyNumberFormat="1" applyFont="1" applyFill="1" applyBorder="1" applyAlignment="1">
      <alignment horizontal="right" vertical="center" wrapText="1"/>
    </xf>
    <xf numFmtId="10" fontId="61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center" vertical="center" wrapText="1"/>
    </xf>
    <xf numFmtId="174" fontId="61" fillId="14" borderId="10" xfId="0" applyNumberFormat="1" applyFont="1" applyFill="1" applyBorder="1" applyAlignment="1">
      <alignment horizontal="center" vertical="center" wrapText="1"/>
    </xf>
    <xf numFmtId="0" fontId="61" fillId="14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68" fillId="0" borderId="0" xfId="0" applyFont="1"/>
    <xf numFmtId="0" fontId="61" fillId="12" borderId="10" xfId="0" applyFont="1" applyFill="1" applyBorder="1" applyAlignment="1">
      <alignment horizontal="center" vertical="center" wrapText="1"/>
    </xf>
    <xf numFmtId="0" fontId="63" fillId="14" borderId="10" xfId="0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left" vertical="center" wrapText="1"/>
    </xf>
    <xf numFmtId="191" fontId="63" fillId="12" borderId="10" xfId="0" applyNumberFormat="1" applyFont="1" applyFill="1" applyBorder="1" applyAlignment="1">
      <alignment horizontal="center" vertical="center" wrapText="1"/>
    </xf>
    <xf numFmtId="3" fontId="61" fillId="12" borderId="10" xfId="0" applyNumberFormat="1" applyFont="1" applyFill="1" applyBorder="1" applyAlignment="1">
      <alignment horizontal="right" vertical="center" wrapText="1"/>
    </xf>
    <xf numFmtId="3" fontId="63" fillId="14" borderId="10" xfId="0" applyNumberFormat="1" applyFont="1" applyFill="1" applyBorder="1" applyAlignment="1">
      <alignment horizontal="right" vertical="center" wrapText="1"/>
    </xf>
    <xf numFmtId="3" fontId="72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top" wrapText="1"/>
    </xf>
    <xf numFmtId="0" fontId="62" fillId="12" borderId="10" xfId="0" applyFont="1" applyFill="1" applyBorder="1" applyAlignment="1">
      <alignment horizontal="left" vertical="center"/>
    </xf>
    <xf numFmtId="0" fontId="73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center" vertical="center" wrapText="1"/>
    </xf>
    <xf numFmtId="3" fontId="61" fillId="5" borderId="10" xfId="0" applyNumberFormat="1" applyFont="1" applyFill="1" applyBorder="1" applyAlignment="1">
      <alignment horizontal="center" vertical="center" wrapText="1"/>
    </xf>
    <xf numFmtId="164" fontId="61" fillId="0" borderId="10" xfId="0" applyNumberFormat="1" applyFont="1" applyBorder="1" applyAlignment="1">
      <alignment horizontal="center" vertical="center" wrapText="1"/>
    </xf>
    <xf numFmtId="0" fontId="63" fillId="12" borderId="10" xfId="0" applyFont="1" applyFill="1" applyBorder="1" applyAlignment="1">
      <alignment horizontal="center" vertical="center" wrapText="1"/>
    </xf>
    <xf numFmtId="3" fontId="63" fillId="12" borderId="10" xfId="0" applyNumberFormat="1" applyFont="1" applyFill="1" applyBorder="1" applyAlignment="1">
      <alignment horizontal="center" vertical="center" wrapText="1"/>
    </xf>
    <xf numFmtId="164" fontId="63" fillId="12" borderId="10" xfId="0" applyNumberFormat="1" applyFont="1" applyFill="1" applyBorder="1" applyAlignment="1">
      <alignment horizontal="center" vertical="center" wrapText="1"/>
    </xf>
    <xf numFmtId="0" fontId="61" fillId="5" borderId="10" xfId="0" applyFont="1" applyFill="1" applyBorder="1" applyAlignment="1">
      <alignment horizontal="center" vertical="center" wrapText="1"/>
    </xf>
    <xf numFmtId="0" fontId="63" fillId="7" borderId="10" xfId="0" applyFont="1" applyFill="1" applyBorder="1" applyAlignment="1">
      <alignment horizontal="left" vertical="center" wrapText="1"/>
    </xf>
    <xf numFmtId="174" fontId="61" fillId="7" borderId="10" xfId="0" applyNumberFormat="1" applyFont="1" applyFill="1" applyBorder="1" applyAlignment="1">
      <alignment horizontal="right" vertical="center" wrapText="1"/>
    </xf>
    <xf numFmtId="0" fontId="51" fillId="2" borderId="10" xfId="0" applyFont="1" applyFill="1" applyBorder="1" applyAlignment="1">
      <alignment horizontal="left" vertical="center" wrapText="1"/>
    </xf>
    <xf numFmtId="174" fontId="53" fillId="2" borderId="10" xfId="0" applyNumberFormat="1" applyFont="1" applyFill="1" applyBorder="1" applyAlignment="1">
      <alignment horizontal="right" vertical="center" wrapText="1"/>
    </xf>
    <xf numFmtId="174" fontId="63" fillId="14" borderId="10" xfId="0" applyNumberFormat="1" applyFont="1" applyFill="1" applyBorder="1" applyAlignment="1">
      <alignment horizontal="right" vertical="center" wrapText="1"/>
    </xf>
    <xf numFmtId="174" fontId="51" fillId="2" borderId="10" xfId="0" applyNumberFormat="1" applyFont="1" applyFill="1" applyBorder="1" applyAlignment="1">
      <alignment horizontal="right" vertical="center" wrapText="1"/>
    </xf>
    <xf numFmtId="164" fontId="51" fillId="2" borderId="10" xfId="0" applyNumberFormat="1" applyFont="1" applyFill="1" applyBorder="1" applyAlignment="1">
      <alignment horizontal="right" vertical="center" wrapText="1"/>
    </xf>
    <xf numFmtId="0" fontId="75" fillId="23" borderId="10" xfId="0" applyFont="1" applyFill="1" applyBorder="1" applyAlignment="1">
      <alignment horizontal="center" vertical="center"/>
    </xf>
    <xf numFmtId="0" fontId="75" fillId="14" borderId="10" xfId="0" applyFont="1" applyFill="1" applyBorder="1" applyAlignment="1">
      <alignment horizontal="center" vertical="center"/>
    </xf>
    <xf numFmtId="0" fontId="76" fillId="5" borderId="10" xfId="0" applyFont="1" applyFill="1" applyBorder="1" applyAlignment="1">
      <alignment horizontal="center" vertical="center"/>
    </xf>
    <xf numFmtId="0" fontId="75" fillId="7" borderId="10" xfId="0" applyFont="1" applyFill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0" fontId="75" fillId="4" borderId="10" xfId="0" applyFont="1" applyFill="1" applyBorder="1" applyAlignment="1">
      <alignment horizontal="center" vertical="center"/>
    </xf>
    <xf numFmtId="0" fontId="65" fillId="23" borderId="10" xfId="0" applyFont="1" applyFill="1" applyBorder="1" applyAlignment="1">
      <alignment horizontal="center" vertical="center"/>
    </xf>
    <xf numFmtId="0" fontId="65" fillId="14" borderId="10" xfId="0" applyFont="1" applyFill="1" applyBorder="1" applyAlignment="1">
      <alignment horizontal="center" vertical="center"/>
    </xf>
    <xf numFmtId="0" fontId="65" fillId="4" borderId="10" xfId="0" applyFont="1" applyFill="1" applyBorder="1" applyAlignment="1">
      <alignment horizontal="center" vertical="center"/>
    </xf>
    <xf numFmtId="0" fontId="65" fillId="5" borderId="10" xfId="0" applyFont="1" applyFill="1" applyBorder="1" applyAlignment="1">
      <alignment horizontal="center" vertical="center"/>
    </xf>
    <xf numFmtId="0" fontId="65" fillId="7" borderId="10" xfId="0" applyFont="1" applyFill="1" applyBorder="1" applyAlignment="1">
      <alignment horizontal="center" vertical="center"/>
    </xf>
    <xf numFmtId="0" fontId="65" fillId="0" borderId="10" xfId="0" applyFont="1" applyBorder="1" applyAlignment="1">
      <alignment horizontal="left" vertical="center" wrapText="1"/>
    </xf>
    <xf numFmtId="0" fontId="77" fillId="12" borderId="10" xfId="0" applyFont="1" applyFill="1" applyBorder="1" applyAlignment="1">
      <alignment horizontal="center" vertical="center"/>
    </xf>
    <xf numFmtId="0" fontId="78" fillId="24" borderId="10" xfId="0" applyFont="1" applyFill="1" applyBorder="1" applyAlignment="1">
      <alignment horizontal="center" vertical="center"/>
    </xf>
    <xf numFmtId="0" fontId="79" fillId="14" borderId="10" xfId="0" applyFont="1" applyFill="1" applyBorder="1" applyAlignment="1">
      <alignment horizontal="center" vertical="center"/>
    </xf>
    <xf numFmtId="0" fontId="80" fillId="25" borderId="10" xfId="0" applyFont="1" applyFill="1" applyBorder="1" applyAlignment="1">
      <alignment horizontal="center" vertical="center"/>
    </xf>
    <xf numFmtId="0" fontId="80" fillId="22" borderId="10" xfId="0" applyFont="1" applyFill="1" applyBorder="1" applyAlignment="1">
      <alignment horizontal="center" vertical="center"/>
    </xf>
    <xf numFmtId="0" fontId="81" fillId="0" borderId="0" xfId="0" applyFont="1"/>
    <xf numFmtId="0" fontId="61" fillId="24" borderId="10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top"/>
    </xf>
    <xf numFmtId="0" fontId="72" fillId="12" borderId="10" xfId="0" applyFont="1" applyFill="1" applyBorder="1" applyAlignment="1">
      <alignment horizontal="center" vertical="center"/>
    </xf>
    <xf numFmtId="0" fontId="61" fillId="0" borderId="10" xfId="0" applyFont="1" applyBorder="1" applyAlignment="1">
      <alignment horizontal="center" vertical="top" wrapText="1"/>
    </xf>
    <xf numFmtId="0" fontId="53" fillId="2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top"/>
    </xf>
    <xf numFmtId="0" fontId="89" fillId="0" borderId="10" xfId="0" applyFont="1" applyBorder="1" applyAlignment="1">
      <alignment horizontal="left" vertical="top" wrapText="1" indent="1"/>
    </xf>
    <xf numFmtId="0" fontId="63" fillId="12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63" fillId="5" borderId="10" xfId="0" applyFont="1" applyFill="1" applyBorder="1" applyAlignment="1">
      <alignment horizontal="center" vertical="center"/>
    </xf>
    <xf numFmtId="0" fontId="63" fillId="4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89" fillId="26" borderId="10" xfId="0" applyFont="1" applyFill="1" applyBorder="1" applyAlignment="1">
      <alignment horizontal="left" vertical="top" wrapText="1" indent="1"/>
    </xf>
    <xf numFmtId="0" fontId="52" fillId="27" borderId="10" xfId="0" applyFont="1" applyFill="1" applyBorder="1" applyAlignment="1">
      <alignment horizontal="center" vertical="center"/>
    </xf>
    <xf numFmtId="0" fontId="52" fillId="27" borderId="10" xfId="0" applyFont="1" applyFill="1" applyBorder="1" applyAlignment="1">
      <alignment horizontal="left" vertical="center" indent="1"/>
    </xf>
    <xf numFmtId="0" fontId="92" fillId="0" borderId="10" xfId="0" applyFont="1" applyBorder="1" applyAlignment="1">
      <alignment horizontal="left" vertical="center" indent="1"/>
    </xf>
    <xf numFmtId="0" fontId="93" fillId="0" borderId="10" xfId="0" applyFont="1" applyBorder="1" applyAlignment="1">
      <alignment horizontal="center" vertical="center"/>
    </xf>
    <xf numFmtId="0" fontId="63" fillId="24" borderId="10" xfId="0" applyFont="1" applyFill="1" applyBorder="1" applyAlignment="1">
      <alignment horizontal="center" vertical="center"/>
    </xf>
    <xf numFmtId="0" fontId="63" fillId="29" borderId="10" xfId="0" applyFont="1" applyFill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91" fillId="0" borderId="10" xfId="0" applyFont="1" applyBorder="1" applyAlignment="1">
      <alignment horizontal="left" vertical="center" indent="1"/>
    </xf>
    <xf numFmtId="191" fontId="55" fillId="0" borderId="10" xfId="0" applyNumberFormat="1" applyFont="1" applyBorder="1" applyAlignment="1">
      <alignment horizontal="left" vertical="center" wrapText="1"/>
    </xf>
    <xf numFmtId="10" fontId="55" fillId="0" borderId="10" xfId="0" applyNumberFormat="1" applyFont="1" applyBorder="1" applyAlignment="1">
      <alignment horizontal="left" vertical="center" wrapText="1"/>
    </xf>
    <xf numFmtId="1" fontId="55" fillId="0" borderId="10" xfId="0" applyNumberFormat="1" applyFont="1" applyBorder="1" applyAlignment="1">
      <alignment horizontal="left" vertical="center" wrapText="1"/>
    </xf>
    <xf numFmtId="0" fontId="51" fillId="32" borderId="10" xfId="0" applyFont="1" applyFill="1" applyBorder="1" applyAlignment="1">
      <alignment horizontal="center" vertical="center" wrapText="1"/>
    </xf>
    <xf numFmtId="174" fontId="55" fillId="0" borderId="10" xfId="0" applyNumberFormat="1" applyFont="1" applyBorder="1" applyAlignment="1">
      <alignment horizontal="right" vertical="center" wrapText="1"/>
    </xf>
    <xf numFmtId="0" fontId="57" fillId="33" borderId="10" xfId="0" applyFont="1" applyFill="1" applyBorder="1" applyAlignment="1">
      <alignment horizontal="center" vertical="center" wrapText="1"/>
    </xf>
    <xf numFmtId="0" fontId="57" fillId="33" borderId="10" xfId="0" applyFont="1" applyFill="1" applyBorder="1" applyAlignment="1">
      <alignment horizontal="left" vertical="center" wrapText="1"/>
    </xf>
    <xf numFmtId="174" fontId="57" fillId="33" borderId="10" xfId="0" applyNumberFormat="1" applyFont="1" applyFill="1" applyBorder="1" applyAlignment="1">
      <alignment horizontal="right" vertical="center" wrapText="1"/>
    </xf>
    <xf numFmtId="0" fontId="55" fillId="0" borderId="10" xfId="0" applyFont="1" applyBorder="1" applyAlignment="1">
      <alignment horizontal="right" vertical="center" wrapText="1"/>
    </xf>
    <xf numFmtId="0" fontId="57" fillId="35" borderId="10" xfId="0" applyFont="1" applyFill="1" applyBorder="1" applyAlignment="1">
      <alignment horizontal="center" vertical="center" wrapText="1"/>
    </xf>
    <xf numFmtId="0" fontId="57" fillId="35" borderId="10" xfId="0" applyFont="1" applyFill="1" applyBorder="1" applyAlignment="1">
      <alignment horizontal="left" vertical="center" wrapText="1"/>
    </xf>
    <xf numFmtId="174" fontId="57" fillId="35" borderId="10" xfId="0" applyNumberFormat="1" applyFont="1" applyFill="1" applyBorder="1" applyAlignment="1">
      <alignment horizontal="right" vertical="center" wrapText="1"/>
    </xf>
    <xf numFmtId="0" fontId="0" fillId="35" borderId="0" xfId="0" applyFill="1"/>
    <xf numFmtId="192" fontId="55" fillId="0" borderId="10" xfId="0" applyNumberFormat="1" applyFont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left" vertical="center" wrapText="1"/>
    </xf>
    <xf numFmtId="174" fontId="99" fillId="35" borderId="10" xfId="0" applyNumberFormat="1" applyFont="1" applyFill="1" applyBorder="1" applyAlignment="1">
      <alignment horizontal="right" vertical="center" wrapText="1"/>
    </xf>
    <xf numFmtId="185" fontId="99" fillId="35" borderId="10" xfId="0" applyNumberFormat="1" applyFont="1" applyFill="1" applyBorder="1" applyAlignment="1">
      <alignment horizontal="center" vertical="center" wrapText="1"/>
    </xf>
    <xf numFmtId="192" fontId="99" fillId="35" borderId="10" xfId="0" applyNumberFormat="1" applyFont="1" applyFill="1" applyBorder="1" applyAlignment="1">
      <alignment horizontal="center" vertical="center" wrapText="1"/>
    </xf>
    <xf numFmtId="174" fontId="55" fillId="5" borderId="10" xfId="0" applyNumberFormat="1" applyFont="1" applyFill="1" applyBorder="1" applyAlignment="1">
      <alignment horizontal="right" vertical="center"/>
    </xf>
    <xf numFmtId="3" fontId="57" fillId="33" borderId="10" xfId="0" applyNumberFormat="1" applyFont="1" applyFill="1" applyBorder="1" applyAlignment="1">
      <alignment horizontal="right" vertical="center"/>
    </xf>
    <xf numFmtId="0" fontId="72" fillId="0" borderId="0" xfId="0" applyFont="1"/>
    <xf numFmtId="0" fontId="100" fillId="14" borderId="15" xfId="0" applyFont="1" applyFill="1" applyBorder="1" applyAlignment="1">
      <alignment horizontal="center" vertical="center" wrapText="1"/>
    </xf>
    <xf numFmtId="193" fontId="100" fillId="0" borderId="15" xfId="0" applyNumberFormat="1" applyFont="1" applyBorder="1" applyAlignment="1">
      <alignment horizontal="center" vertical="center" wrapText="1"/>
    </xf>
    <xf numFmtId="192" fontId="100" fillId="0" borderId="15" xfId="0" applyNumberFormat="1" applyFont="1" applyBorder="1" applyAlignment="1">
      <alignment horizontal="center" vertical="center" wrapText="1"/>
    </xf>
    <xf numFmtId="193" fontId="100" fillId="38" borderId="15" xfId="0" applyNumberFormat="1" applyFont="1" applyFill="1" applyBorder="1" applyAlignment="1">
      <alignment horizontal="center" vertical="center" wrapText="1"/>
    </xf>
    <xf numFmtId="192" fontId="100" fillId="38" borderId="15" xfId="0" applyNumberFormat="1" applyFont="1" applyFill="1" applyBorder="1" applyAlignment="1">
      <alignment horizontal="center" vertical="center" wrapText="1"/>
    </xf>
    <xf numFmtId="193" fontId="100" fillId="37" borderId="15" xfId="0" applyNumberFormat="1" applyFont="1" applyFill="1" applyBorder="1" applyAlignment="1">
      <alignment horizontal="center" vertical="center" wrapText="1"/>
    </xf>
    <xf numFmtId="192" fontId="100" fillId="37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 applyAlignment="1">
      <alignment horizontal="center" vertical="center" wrapText="1"/>
    </xf>
    <xf numFmtId="3" fontId="100" fillId="0" borderId="15" xfId="0" applyNumberFormat="1" applyFont="1" applyBorder="1" applyAlignment="1">
      <alignment horizontal="center" vertical="center" wrapText="1"/>
    </xf>
    <xf numFmtId="0" fontId="100" fillId="4" borderId="15" xfId="0" applyFont="1" applyFill="1" applyBorder="1" applyAlignment="1">
      <alignment horizontal="center" vertical="center" wrapText="1"/>
    </xf>
    <xf numFmtId="193" fontId="100" fillId="4" borderId="15" xfId="0" applyNumberFormat="1" applyFont="1" applyFill="1" applyBorder="1" applyAlignment="1">
      <alignment horizontal="center" vertical="center" wrapText="1"/>
    </xf>
    <xf numFmtId="192" fontId="100" fillId="4" borderId="15" xfId="0" applyNumberFormat="1" applyFont="1" applyFill="1" applyBorder="1" applyAlignment="1">
      <alignment horizontal="center" vertical="center" wrapText="1"/>
    </xf>
    <xf numFmtId="0" fontId="100" fillId="5" borderId="15" xfId="0" applyFont="1" applyFill="1" applyBorder="1" applyAlignment="1">
      <alignment horizontal="center" vertical="center" wrapText="1"/>
    </xf>
    <xf numFmtId="193" fontId="100" fillId="35" borderId="15" xfId="0" applyNumberFormat="1" applyFont="1" applyFill="1" applyBorder="1" applyAlignment="1">
      <alignment horizontal="center" vertical="center" wrapText="1"/>
    </xf>
    <xf numFmtId="192" fontId="100" fillId="35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/>
    <xf numFmtId="0" fontId="100" fillId="0" borderId="10" xfId="0" applyFont="1" applyBorder="1" applyAlignment="1">
      <alignment horizontal="left" vertical="center" wrapText="1"/>
    </xf>
    <xf numFmtId="0" fontId="100" fillId="0" borderId="0" xfId="0" applyFont="1"/>
    <xf numFmtId="0" fontId="102" fillId="0" borderId="0" xfId="0" applyFont="1"/>
    <xf numFmtId="0" fontId="102" fillId="39" borderId="10" xfId="0" applyFont="1" applyFill="1" applyBorder="1" applyAlignment="1">
      <alignment horizontal="center" vertical="center" wrapText="1"/>
    </xf>
    <xf numFmtId="3" fontId="102" fillId="39" borderId="10" xfId="0" applyNumberFormat="1" applyFont="1" applyFill="1" applyBorder="1" applyAlignment="1">
      <alignment horizontal="right" vertical="center"/>
    </xf>
    <xf numFmtId="185" fontId="102" fillId="39" borderId="10" xfId="0" applyNumberFormat="1" applyFont="1" applyFill="1" applyBorder="1" applyAlignment="1">
      <alignment horizontal="right" vertical="center"/>
    </xf>
    <xf numFmtId="0" fontId="100" fillId="0" borderId="15" xfId="0" applyFont="1" applyBorder="1" applyAlignment="1">
      <alignment horizontal="left" vertical="center" wrapText="1"/>
    </xf>
    <xf numFmtId="3" fontId="100" fillId="0" borderId="15" xfId="0" applyNumberFormat="1" applyFont="1" applyBorder="1" applyAlignment="1">
      <alignment horizontal="right" vertical="center"/>
    </xf>
    <xf numFmtId="185" fontId="100" fillId="0" borderId="15" xfId="0" applyNumberFormat="1" applyFont="1" applyBorder="1" applyAlignment="1">
      <alignment horizontal="right" vertical="center"/>
    </xf>
    <xf numFmtId="3" fontId="100" fillId="5" borderId="15" xfId="0" applyNumberFormat="1" applyFont="1" applyFill="1" applyBorder="1" applyAlignment="1">
      <alignment horizontal="right" vertical="center"/>
    </xf>
    <xf numFmtId="185" fontId="100" fillId="5" borderId="15" xfId="0" applyNumberFormat="1" applyFont="1" applyFill="1" applyBorder="1" applyAlignment="1">
      <alignment horizontal="right" vertical="center"/>
    </xf>
    <xf numFmtId="0" fontId="101" fillId="0" borderId="0" xfId="0" applyFont="1"/>
    <xf numFmtId="0" fontId="103" fillId="38" borderId="0" xfId="0" applyFont="1" applyFill="1" applyAlignment="1">
      <alignment horizontal="left" vertical="top" wrapText="1"/>
    </xf>
    <xf numFmtId="0" fontId="100" fillId="16" borderId="15" xfId="0" applyFont="1" applyFill="1" applyBorder="1" applyAlignment="1">
      <alignment horizontal="left" vertical="center" wrapText="1"/>
    </xf>
    <xf numFmtId="190" fontId="100" fillId="0" borderId="15" xfId="0" applyNumberFormat="1" applyFont="1" applyBorder="1" applyAlignment="1">
      <alignment horizontal="right" vertical="center"/>
    </xf>
    <xf numFmtId="0" fontId="100" fillId="16" borderId="15" xfId="0" applyFont="1" applyFill="1" applyBorder="1" applyAlignment="1">
      <alignment horizontal="center" vertical="center" wrapText="1"/>
    </xf>
    <xf numFmtId="185" fontId="100" fillId="38" borderId="10" xfId="0" applyNumberFormat="1" applyFont="1" applyFill="1" applyBorder="1" applyAlignment="1">
      <alignment horizontal="right" vertical="center"/>
    </xf>
    <xf numFmtId="185" fontId="100" fillId="4" borderId="10" xfId="0" applyNumberFormat="1" applyFont="1" applyFill="1" applyBorder="1" applyAlignment="1">
      <alignment horizontal="right" vertical="center"/>
    </xf>
    <xf numFmtId="185" fontId="100" fillId="18" borderId="10" xfId="0" applyNumberFormat="1" applyFont="1" applyFill="1" applyBorder="1" applyAlignment="1">
      <alignment horizontal="right" vertical="center"/>
    </xf>
    <xf numFmtId="185" fontId="100" fillId="5" borderId="10" xfId="0" applyNumberFormat="1" applyFont="1" applyFill="1" applyBorder="1" applyAlignment="1">
      <alignment horizontal="right" vertical="center"/>
    </xf>
    <xf numFmtId="178" fontId="100" fillId="16" borderId="10" xfId="0" applyNumberFormat="1" applyFont="1" applyFill="1" applyBorder="1" applyAlignment="1">
      <alignment horizontal="right" vertical="center"/>
    </xf>
    <xf numFmtId="178" fontId="100" fillId="14" borderId="10" xfId="0" applyNumberFormat="1" applyFont="1" applyFill="1" applyBorder="1" applyAlignment="1">
      <alignment horizontal="right" vertical="center"/>
    </xf>
    <xf numFmtId="178" fontId="100" fillId="4" borderId="10" xfId="0" applyNumberFormat="1" applyFont="1" applyFill="1" applyBorder="1" applyAlignment="1">
      <alignment horizontal="right" vertical="center"/>
    </xf>
    <xf numFmtId="178" fontId="100" fillId="18" borderId="10" xfId="0" applyNumberFormat="1" applyFont="1" applyFill="1" applyBorder="1" applyAlignment="1">
      <alignment horizontal="right" vertical="center"/>
    </xf>
    <xf numFmtId="178" fontId="100" fillId="5" borderId="10" xfId="0" applyNumberFormat="1" applyFont="1" applyFill="1" applyBorder="1" applyAlignment="1">
      <alignment horizontal="right" vertical="center"/>
    </xf>
    <xf numFmtId="183" fontId="100" fillId="16" borderId="10" xfId="0" applyNumberFormat="1" applyFont="1" applyFill="1" applyBorder="1" applyAlignment="1">
      <alignment horizontal="right" vertical="center"/>
    </xf>
    <xf numFmtId="183" fontId="100" fillId="14" borderId="10" xfId="0" applyNumberFormat="1" applyFont="1" applyFill="1" applyBorder="1" applyAlignment="1">
      <alignment horizontal="right" vertical="center"/>
    </xf>
    <xf numFmtId="183" fontId="100" fillId="4" borderId="10" xfId="0" applyNumberFormat="1" applyFont="1" applyFill="1" applyBorder="1" applyAlignment="1">
      <alignment horizontal="right" vertical="center"/>
    </xf>
    <xf numFmtId="183" fontId="100" fillId="18" borderId="10" xfId="0" applyNumberFormat="1" applyFont="1" applyFill="1" applyBorder="1" applyAlignment="1">
      <alignment horizontal="right" vertical="center"/>
    </xf>
    <xf numFmtId="183" fontId="100" fillId="5" borderId="10" xfId="0" applyNumberFormat="1" applyFont="1" applyFill="1" applyBorder="1" applyAlignment="1">
      <alignment horizontal="right" vertical="center"/>
    </xf>
    <xf numFmtId="183" fontId="100" fillId="0" borderId="10" xfId="0" applyNumberFormat="1" applyFont="1" applyBorder="1" applyAlignment="1">
      <alignment horizontal="right" vertical="center"/>
    </xf>
    <xf numFmtId="185" fontId="100" fillId="0" borderId="10" xfId="0" applyNumberFormat="1" applyFont="1" applyBorder="1" applyAlignment="1">
      <alignment horizontal="right" vertical="center"/>
    </xf>
    <xf numFmtId="178" fontId="100" fillId="0" borderId="10" xfId="0" applyNumberFormat="1" applyFont="1" applyBorder="1" applyAlignment="1">
      <alignment horizontal="right" vertical="center"/>
    </xf>
    <xf numFmtId="0" fontId="100" fillId="0" borderId="10" xfId="0" applyFont="1" applyBorder="1" applyAlignment="1">
      <alignment horizontal="center" vertical="center" wrapText="1"/>
    </xf>
    <xf numFmtId="0" fontId="100" fillId="4" borderId="10" xfId="0" applyFont="1" applyFill="1" applyBorder="1" applyAlignment="1">
      <alignment horizontal="center" vertical="center" wrapText="1"/>
    </xf>
    <xf numFmtId="0" fontId="100" fillId="0" borderId="10" xfId="0" applyFont="1" applyBorder="1" applyAlignment="1">
      <alignment horizontal="left" vertical="top" wrapText="1"/>
    </xf>
    <xf numFmtId="0" fontId="100" fillId="5" borderId="3" xfId="0" applyFont="1" applyFill="1" applyBorder="1" applyAlignment="1">
      <alignment horizontal="center" vertical="center"/>
    </xf>
    <xf numFmtId="0" fontId="102" fillId="40" borderId="0" xfId="0" applyFont="1" applyFill="1" applyAlignment="1">
      <alignment vertical="top" wrapText="1"/>
    </xf>
    <xf numFmtId="0" fontId="100" fillId="40" borderId="0" xfId="0" applyFont="1" applyFill="1" applyAlignment="1">
      <alignment vertical="top" wrapText="1"/>
    </xf>
    <xf numFmtId="0" fontId="41" fillId="4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46" fillId="0" borderId="10" xfId="0" applyFont="1" applyBorder="1" applyAlignment="1">
      <alignment horizontal="center" vertical="center" wrapText="1"/>
    </xf>
    <xf numFmtId="0" fontId="0" fillId="0" borderId="12" xfId="0" applyBorder="1"/>
    <xf numFmtId="0" fontId="1" fillId="6" borderId="0" xfId="0" applyFont="1" applyFill="1" applyAlignment="1">
      <alignment horizontal="left" vertical="center" indent="1"/>
    </xf>
    <xf numFmtId="0" fontId="0" fillId="0" borderId="0" xfId="0"/>
    <xf numFmtId="0" fontId="10" fillId="0" borderId="0" xfId="0" applyFont="1" applyAlignment="1">
      <alignment horizontal="left" vertical="center"/>
    </xf>
    <xf numFmtId="0" fontId="11" fillId="7" borderId="0" xfId="0" applyFont="1" applyFill="1" applyAlignment="1">
      <alignment horizontal="left" vertical="top" wrapText="1" indent="1"/>
    </xf>
    <xf numFmtId="0" fontId="41" fillId="5" borderId="1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center" wrapText="1"/>
    </xf>
    <xf numFmtId="0" fontId="0" fillId="0" borderId="13" xfId="0" applyBorder="1"/>
    <xf numFmtId="0" fontId="43" fillId="4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45" fillId="4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45" fillId="12" borderId="10" xfId="0" applyFont="1" applyFill="1" applyBorder="1" applyAlignment="1">
      <alignment horizontal="center" vertical="center" wrapText="1"/>
    </xf>
    <xf numFmtId="0" fontId="40" fillId="3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0" fillId="11" borderId="9" xfId="0" applyFont="1" applyFill="1" applyBorder="1" applyAlignment="1">
      <alignment horizontal="center" vertical="center" wrapText="1"/>
    </xf>
    <xf numFmtId="0" fontId="44" fillId="10" borderId="9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43" fillId="5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2" fillId="0" borderId="0" xfId="0" applyFont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indent="1"/>
    </xf>
    <xf numFmtId="0" fontId="20" fillId="0" borderId="3" xfId="0" applyFont="1" applyBorder="1" applyAlignment="1">
      <alignment horizontal="left" vertical="center" indent="1"/>
    </xf>
    <xf numFmtId="0" fontId="29" fillId="5" borderId="3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1" fillId="0" borderId="3" xfId="0" applyFont="1" applyBorder="1" applyAlignment="1">
      <alignment horizontal="left" vertical="center" indent="1"/>
    </xf>
    <xf numFmtId="0" fontId="8" fillId="5" borderId="3" xfId="0" applyFont="1" applyFill="1" applyBorder="1" applyAlignment="1">
      <alignment horizontal="left" vertical="center" indent="1"/>
    </xf>
    <xf numFmtId="176" fontId="33" fillId="0" borderId="3" xfId="0" applyNumberFormat="1" applyFont="1" applyBorder="1" applyAlignment="1">
      <alignment horizontal="right" vertical="center" indent="1"/>
    </xf>
    <xf numFmtId="176" fontId="34" fillId="0" borderId="3" xfId="0" applyNumberFormat="1" applyFont="1" applyBorder="1" applyAlignment="1">
      <alignment horizontal="right" vertical="center" indent="1"/>
    </xf>
    <xf numFmtId="0" fontId="32" fillId="0" borderId="3" xfId="0" applyFont="1" applyBorder="1" applyAlignment="1">
      <alignment horizontal="left" vertical="center" indent="1"/>
    </xf>
    <xf numFmtId="177" fontId="35" fillId="5" borderId="3" xfId="0" applyNumberFormat="1" applyFont="1" applyFill="1" applyBorder="1" applyAlignment="1">
      <alignment horizontal="right" vertical="center" indent="1"/>
    </xf>
    <xf numFmtId="0" fontId="9" fillId="9" borderId="0" xfId="0" applyFont="1" applyFill="1" applyAlignment="1">
      <alignment horizontal="left" vertical="center" indent="1"/>
    </xf>
    <xf numFmtId="0" fontId="20" fillId="0" borderId="3" xfId="0" applyFont="1" applyBorder="1" applyAlignment="1">
      <alignment horizontal="left" vertical="center" wrapText="1" indent="1"/>
    </xf>
    <xf numFmtId="0" fontId="28" fillId="3" borderId="3" xfId="0" applyFont="1" applyFill="1" applyBorder="1" applyAlignment="1">
      <alignment horizontal="left" vertical="center" indent="1"/>
    </xf>
    <xf numFmtId="0" fontId="8" fillId="5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179" fontId="30" fillId="0" borderId="3" xfId="0" applyNumberFormat="1" applyFont="1" applyBorder="1" applyAlignment="1">
      <alignment horizontal="center" vertical="center"/>
    </xf>
    <xf numFmtId="0" fontId="54" fillId="5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44" fillId="0" borderId="0" xfId="0" applyFont="1" applyAlignment="1">
      <alignment horizontal="left" vertical="top" wrapText="1"/>
    </xf>
    <xf numFmtId="0" fontId="45" fillId="12" borderId="10" xfId="0" applyFont="1" applyFill="1" applyBorder="1" applyAlignment="1">
      <alignment horizontal="left" vertical="center" wrapText="1"/>
    </xf>
    <xf numFmtId="0" fontId="47" fillId="4" borderId="10" xfId="0" applyFont="1" applyFill="1" applyBorder="1" applyAlignment="1">
      <alignment horizontal="left" vertical="center" wrapText="1"/>
    </xf>
    <xf numFmtId="0" fontId="49" fillId="0" borderId="10" xfId="0" applyFont="1" applyBorder="1" applyAlignment="1">
      <alignment horizontal="left" vertical="center" wrapText="1"/>
    </xf>
    <xf numFmtId="38" fontId="46" fillId="0" borderId="10" xfId="0" applyNumberFormat="1" applyFont="1" applyBorder="1" applyAlignment="1">
      <alignment horizontal="right" vertical="center"/>
    </xf>
    <xf numFmtId="0" fontId="49" fillId="4" borderId="10" xfId="0" applyFont="1" applyFill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38" fontId="47" fillId="5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left" vertical="center" wrapText="1"/>
    </xf>
    <xf numFmtId="0" fontId="53" fillId="11" borderId="10" xfId="0" applyFont="1" applyFill="1" applyBorder="1" applyAlignment="1">
      <alignment horizontal="left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7" fillId="5" borderId="10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left" vertical="center" wrapText="1"/>
    </xf>
    <xf numFmtId="0" fontId="50" fillId="11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56" fillId="4" borderId="10" xfId="0" applyFont="1" applyFill="1" applyBorder="1" applyAlignment="1">
      <alignment horizontal="left" vertical="center" wrapText="1"/>
    </xf>
    <xf numFmtId="183" fontId="55" fillId="0" borderId="10" xfId="0" applyNumberFormat="1" applyFont="1" applyBorder="1" applyAlignment="1">
      <alignment horizontal="right" vertical="center"/>
    </xf>
    <xf numFmtId="183" fontId="56" fillId="4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left" vertical="center" wrapText="1"/>
    </xf>
    <xf numFmtId="0" fontId="56" fillId="4" borderId="10" xfId="0" applyFont="1" applyFill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center" vertical="center" wrapText="1"/>
    </xf>
    <xf numFmtId="0" fontId="52" fillId="3" borderId="10" xfId="0" applyFont="1" applyFill="1" applyBorder="1" applyAlignment="1">
      <alignment horizontal="center" vertical="center" wrapText="1"/>
    </xf>
    <xf numFmtId="185" fontId="56" fillId="4" borderId="10" xfId="0" applyNumberFormat="1" applyFont="1" applyFill="1" applyBorder="1" applyAlignment="1">
      <alignment horizontal="center" vertical="center" wrapText="1"/>
    </xf>
    <xf numFmtId="0" fontId="98" fillId="30" borderId="0" xfId="0" applyFont="1" applyFill="1" applyAlignment="1">
      <alignment horizontal="center" vertical="center" wrapText="1"/>
    </xf>
    <xf numFmtId="0" fontId="47" fillId="31" borderId="0" xfId="0" applyFont="1" applyFill="1" applyAlignment="1">
      <alignment horizontal="left" vertical="center" wrapText="1"/>
    </xf>
    <xf numFmtId="0" fontId="49" fillId="33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47" fillId="34" borderId="0" xfId="0" applyFont="1" applyFill="1" applyAlignment="1">
      <alignment horizontal="left" vertical="center" wrapText="1"/>
    </xf>
    <xf numFmtId="0" fontId="47" fillId="36" borderId="0" xfId="0" applyFont="1" applyFill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50" fillId="3" borderId="0" xfId="0" applyFont="1" applyFill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0" fontId="53" fillId="3" borderId="0" xfId="0" applyFont="1" applyFill="1" applyAlignment="1">
      <alignment horizontal="left" vertical="center" wrapText="1"/>
    </xf>
    <xf numFmtId="0" fontId="56" fillId="13" borderId="0" xfId="0" applyFont="1" applyFill="1" applyAlignment="1">
      <alignment horizontal="left" vertical="center" wrapText="1"/>
    </xf>
    <xf numFmtId="0" fontId="63" fillId="14" borderId="10" xfId="0" applyFont="1" applyFill="1" applyBorder="1" applyAlignment="1">
      <alignment horizontal="center" vertical="top" wrapText="1"/>
    </xf>
    <xf numFmtId="183" fontId="47" fillId="4" borderId="10" xfId="0" applyNumberFormat="1" applyFont="1" applyFill="1" applyBorder="1" applyAlignment="1">
      <alignment horizontal="right" vertical="center"/>
    </xf>
    <xf numFmtId="0" fontId="59" fillId="0" borderId="0" xfId="0" applyFont="1"/>
    <xf numFmtId="0" fontId="62" fillId="14" borderId="10" xfId="0" applyFont="1" applyFill="1" applyBorder="1" applyAlignment="1">
      <alignment horizontal="center" vertical="center"/>
    </xf>
    <xf numFmtId="0" fontId="57" fillId="4" borderId="10" xfId="0" applyFont="1" applyFill="1" applyBorder="1" applyAlignment="1">
      <alignment horizontal="left" vertical="center" wrapText="1"/>
    </xf>
    <xf numFmtId="0" fontId="74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57" fillId="0" borderId="10" xfId="0" applyFont="1" applyBorder="1" applyAlignment="1">
      <alignment horizontal="left" vertical="center" wrapText="1"/>
    </xf>
    <xf numFmtId="0" fontId="60" fillId="0" borderId="0" xfId="0" applyFont="1"/>
    <xf numFmtId="0" fontId="61" fillId="0" borderId="0" xfId="0" applyFont="1" applyAlignment="1">
      <alignment horizontal="left" vertical="top" wrapText="1"/>
    </xf>
    <xf numFmtId="0" fontId="55" fillId="0" borderId="0" xfId="0" applyFont="1" applyAlignment="1">
      <alignment horizontal="right" vertical="center"/>
    </xf>
    <xf numFmtId="183" fontId="57" fillId="4" borderId="10" xfId="0" applyNumberFormat="1" applyFont="1" applyFill="1" applyBorder="1" applyAlignment="1">
      <alignment horizontal="right" vertical="center"/>
    </xf>
    <xf numFmtId="0" fontId="57" fillId="13" borderId="10" xfId="0" applyFont="1" applyFill="1" applyBorder="1" applyAlignment="1">
      <alignment horizontal="left" vertical="center" wrapText="1"/>
    </xf>
    <xf numFmtId="0" fontId="52" fillId="11" borderId="10" xfId="0" applyFont="1" applyFill="1" applyBorder="1" applyAlignment="1">
      <alignment horizontal="center" vertical="center" wrapText="1"/>
    </xf>
    <xf numFmtId="192" fontId="102" fillId="4" borderId="10" xfId="0" applyNumberFormat="1" applyFont="1" applyFill="1" applyBorder="1" applyAlignment="1">
      <alignment horizontal="right" vertical="center"/>
    </xf>
    <xf numFmtId="0" fontId="100" fillId="0" borderId="10" xfId="0" applyFont="1" applyBorder="1" applyAlignment="1">
      <alignment horizontal="left" vertical="center" wrapText="1"/>
    </xf>
    <xf numFmtId="0" fontId="100" fillId="5" borderId="15" xfId="0" applyFont="1" applyFill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193" fontId="102" fillId="4" borderId="10" xfId="0" applyNumberFormat="1" applyFont="1" applyFill="1" applyBorder="1" applyAlignment="1">
      <alignment horizontal="right" vertical="center"/>
    </xf>
    <xf numFmtId="0" fontId="100" fillId="0" borderId="18" xfId="0" applyFont="1" applyBorder="1" applyAlignment="1">
      <alignment horizontal="left" vertical="center" wrapText="1"/>
    </xf>
    <xf numFmtId="0" fontId="0" fillId="0" borderId="19" xfId="0" applyBorder="1"/>
    <xf numFmtId="3" fontId="47" fillId="4" borderId="10" xfId="0" applyNumberFormat="1" applyFont="1" applyFill="1" applyBorder="1" applyAlignment="1">
      <alignment horizontal="right" vertical="center"/>
    </xf>
    <xf numFmtId="188" fontId="102" fillId="4" borderId="10" xfId="0" applyNumberFormat="1" applyFont="1" applyFill="1" applyBorder="1" applyAlignment="1">
      <alignment horizontal="right" vertical="center"/>
    </xf>
    <xf numFmtId="0" fontId="100" fillId="5" borderId="18" xfId="0" applyFont="1" applyFill="1" applyBorder="1" applyAlignment="1">
      <alignment horizontal="left" vertical="center" wrapText="1"/>
    </xf>
    <xf numFmtId="0" fontId="101" fillId="0" borderId="10" xfId="0" applyFont="1" applyBorder="1" applyAlignment="1">
      <alignment horizontal="left" vertical="center" wrapText="1"/>
    </xf>
    <xf numFmtId="0" fontId="102" fillId="39" borderId="10" xfId="0" applyFont="1" applyFill="1" applyBorder="1" applyAlignment="1">
      <alignment horizontal="left" vertical="center" wrapText="1"/>
    </xf>
    <xf numFmtId="3" fontId="102" fillId="4" borderId="10" xfId="0" applyNumberFormat="1" applyFont="1" applyFill="1" applyBorder="1" applyAlignment="1">
      <alignment horizontal="right" vertical="center"/>
    </xf>
    <xf numFmtId="0" fontId="100" fillId="0" borderId="15" xfId="0" applyFont="1" applyBorder="1" applyAlignment="1">
      <alignment horizontal="left" vertical="center" wrapText="1"/>
    </xf>
    <xf numFmtId="0" fontId="47" fillId="13" borderId="10" xfId="0" applyFont="1" applyFill="1" applyBorder="1" applyAlignment="1">
      <alignment horizontal="left" vertical="center" wrapText="1"/>
    </xf>
    <xf numFmtId="178" fontId="55" fillId="0" borderId="10" xfId="0" applyNumberFormat="1" applyFont="1" applyBorder="1" applyAlignment="1">
      <alignment horizontal="right" vertical="center"/>
    </xf>
    <xf numFmtId="0" fontId="49" fillId="33" borderId="0" xfId="0" applyFont="1" applyFill="1" applyAlignment="1">
      <alignment horizontal="left" vertical="center" wrapText="1"/>
    </xf>
    <xf numFmtId="178" fontId="47" fillId="4" borderId="10" xfId="0" applyNumberFormat="1" applyFont="1" applyFill="1" applyBorder="1" applyAlignment="1">
      <alignment horizontal="right" vertical="center"/>
    </xf>
    <xf numFmtId="0" fontId="100" fillId="0" borderId="0" xfId="0" applyFont="1" applyAlignment="1">
      <alignment horizontal="left" vertical="center" wrapText="1"/>
    </xf>
    <xf numFmtId="185" fontId="47" fillId="4" borderId="10" xfId="0" applyNumberFormat="1" applyFont="1" applyFill="1" applyBorder="1" applyAlignment="1">
      <alignment horizontal="right" vertical="center"/>
    </xf>
    <xf numFmtId="0" fontId="101" fillId="3" borderId="0" xfId="0" applyFont="1" applyFill="1" applyAlignment="1">
      <alignment horizontal="left" vertical="center" wrapText="1"/>
    </xf>
    <xf numFmtId="0" fontId="57" fillId="5" borderId="10" xfId="0" applyFont="1" applyFill="1" applyBorder="1" applyAlignment="1">
      <alignment horizontal="left" vertical="center" wrapText="1"/>
    </xf>
    <xf numFmtId="0" fontId="57" fillId="16" borderId="10" xfId="0" applyFont="1" applyFill="1" applyBorder="1" applyAlignment="1">
      <alignment horizontal="left" vertical="center" wrapText="1"/>
    </xf>
    <xf numFmtId="0" fontId="57" fillId="14" borderId="10" xfId="0" applyFont="1" applyFill="1" applyBorder="1" applyAlignment="1">
      <alignment horizontal="left" vertical="center" wrapText="1"/>
    </xf>
    <xf numFmtId="0" fontId="57" fillId="18" borderId="10" xfId="0" applyFont="1" applyFill="1" applyBorder="1" applyAlignment="1">
      <alignment horizontal="left" vertical="center" wrapText="1"/>
    </xf>
    <xf numFmtId="0" fontId="57" fillId="12" borderId="10" xfId="0" applyFont="1" applyFill="1" applyBorder="1" applyAlignment="1">
      <alignment horizontal="left" vertical="center" wrapText="1"/>
    </xf>
    <xf numFmtId="0" fontId="100" fillId="4" borderId="10" xfId="0" applyFont="1" applyFill="1" applyBorder="1" applyAlignment="1">
      <alignment horizontal="left" vertical="center" wrapText="1"/>
    </xf>
    <xf numFmtId="185" fontId="102" fillId="38" borderId="10" xfId="0" applyNumberFormat="1" applyFont="1" applyFill="1" applyBorder="1" applyAlignment="1">
      <alignment horizontal="right" vertical="center"/>
    </xf>
    <xf numFmtId="0" fontId="67" fillId="0" borderId="0" xfId="0" applyFont="1"/>
    <xf numFmtId="0" fontId="66" fillId="0" borderId="0" xfId="0" applyFont="1" applyAlignment="1">
      <alignment horizontal="left" vertical="top" wrapText="1"/>
    </xf>
    <xf numFmtId="0" fontId="58" fillId="0" borderId="0" xfId="0" applyFont="1"/>
    <xf numFmtId="0" fontId="61" fillId="0" borderId="10" xfId="0" applyFont="1" applyBorder="1" applyAlignment="1">
      <alignment horizontal="left" vertical="center" wrapText="1"/>
    </xf>
    <xf numFmtId="0" fontId="69" fillId="12" borderId="10" xfId="0" applyFont="1" applyFill="1" applyBorder="1" applyAlignment="1">
      <alignment horizontal="left" vertical="center" wrapText="1"/>
    </xf>
    <xf numFmtId="0" fontId="71" fillId="12" borderId="10" xfId="0" applyFont="1" applyFill="1" applyBorder="1" applyAlignment="1">
      <alignment horizontal="left" vertical="center" wrapText="1"/>
    </xf>
    <xf numFmtId="0" fontId="70" fillId="12" borderId="10" xfId="0" applyFont="1" applyFill="1" applyBorder="1" applyAlignment="1">
      <alignment horizontal="left" vertical="center" wrapText="1"/>
    </xf>
    <xf numFmtId="0" fontId="62" fillId="0" borderId="10" xfId="0" applyFont="1" applyBorder="1" applyAlignment="1">
      <alignment horizontal="left" vertical="center" wrapText="1"/>
    </xf>
    <xf numFmtId="0" fontId="63" fillId="12" borderId="10" xfId="0" applyFont="1" applyFill="1" applyBorder="1" applyAlignment="1">
      <alignment horizontal="left" vertical="center" wrapText="1"/>
    </xf>
    <xf numFmtId="0" fontId="61" fillId="0" borderId="10" xfId="0" applyFont="1" applyBorder="1" applyAlignment="1">
      <alignment horizontal="left" vertical="center" wrapText="1" indent="1"/>
    </xf>
    <xf numFmtId="0" fontId="66" fillId="0" borderId="10" xfId="0" applyFont="1" applyBorder="1" applyAlignment="1">
      <alignment horizontal="left" vertical="center" wrapText="1"/>
    </xf>
    <xf numFmtId="0" fontId="62" fillId="12" borderId="10" xfId="0" applyFont="1" applyFill="1" applyBorder="1" applyAlignment="1">
      <alignment horizontal="left" vertical="center" wrapText="1" indent="1"/>
    </xf>
    <xf numFmtId="0" fontId="61" fillId="0" borderId="10" xfId="0" applyFont="1" applyBorder="1" applyAlignment="1">
      <alignment horizontal="left" vertical="top" wrapText="1" indent="1"/>
    </xf>
    <xf numFmtId="0" fontId="63" fillId="24" borderId="10" xfId="0" applyFont="1" applyFill="1" applyBorder="1" applyAlignment="1">
      <alignment horizontal="center" vertical="top" wrapText="1"/>
    </xf>
    <xf numFmtId="0" fontId="66" fillId="26" borderId="10" xfId="0" applyFont="1" applyFill="1" applyBorder="1" applyAlignment="1">
      <alignment horizontal="left" vertical="center" wrapText="1" indent="1"/>
    </xf>
    <xf numFmtId="0" fontId="62" fillId="4" borderId="10" xfId="0" applyFont="1" applyFill="1" applyBorder="1" applyAlignment="1">
      <alignment horizontal="center" vertical="center" wrapText="1"/>
    </xf>
    <xf numFmtId="0" fontId="66" fillId="26" borderId="10" xfId="0" applyFont="1" applyFill="1" applyBorder="1" applyAlignment="1">
      <alignment horizontal="center" vertical="center" wrapText="1"/>
    </xf>
    <xf numFmtId="0" fontId="74" fillId="0" borderId="0" xfId="0" applyFont="1" applyAlignment="1">
      <alignment horizontal="left" vertical="top" wrapText="1"/>
    </xf>
    <xf numFmtId="0" fontId="61" fillId="0" borderId="10" xfId="0" applyFont="1" applyBorder="1" applyAlignment="1">
      <alignment horizontal="center" vertical="center" wrapText="1"/>
    </xf>
    <xf numFmtId="0" fontId="82" fillId="0" borderId="0" xfId="0" applyFont="1" applyAlignment="1">
      <alignment horizontal="left" vertical="center"/>
    </xf>
    <xf numFmtId="0" fontId="84" fillId="2" borderId="0" xfId="0" applyFont="1" applyFill="1" applyAlignment="1">
      <alignment horizontal="left" vertical="center" indent="1"/>
    </xf>
    <xf numFmtId="0" fontId="86" fillId="0" borderId="0" xfId="0" applyFont="1" applyAlignment="1">
      <alignment horizontal="left" vertical="top" wrapText="1"/>
    </xf>
    <xf numFmtId="0" fontId="67" fillId="0" borderId="0" xfId="0" applyFont="1" applyAlignment="1">
      <alignment horizontal="left" vertical="top" wrapText="1"/>
    </xf>
    <xf numFmtId="0" fontId="84" fillId="3" borderId="0" xfId="0" applyFont="1" applyFill="1" applyAlignment="1">
      <alignment horizontal="left" vertical="center" indent="1"/>
    </xf>
    <xf numFmtId="0" fontId="55" fillId="0" borderId="0" xfId="0" applyFont="1" applyAlignment="1">
      <alignment horizontal="left" vertical="top" wrapText="1"/>
    </xf>
    <xf numFmtId="0" fontId="104" fillId="0" borderId="0" xfId="0" applyFont="1" applyAlignment="1">
      <alignment horizontal="left" vertical="top" wrapText="1"/>
    </xf>
    <xf numFmtId="0" fontId="83" fillId="0" borderId="0" xfId="0" applyFont="1"/>
    <xf numFmtId="0" fontId="51" fillId="2" borderId="10" xfId="0" applyFont="1" applyFill="1" applyBorder="1" applyAlignment="1">
      <alignment horizontal="left" vertical="center" wrapText="1"/>
    </xf>
    <xf numFmtId="0" fontId="100" fillId="0" borderId="10" xfId="0" applyFont="1" applyBorder="1" applyAlignment="1">
      <alignment horizontal="left" vertical="top" wrapText="1" indent="1"/>
    </xf>
    <xf numFmtId="0" fontId="72" fillId="14" borderId="10" xfId="0" applyFont="1" applyFill="1" applyBorder="1" applyAlignment="1">
      <alignment horizontal="center" vertical="center"/>
    </xf>
    <xf numFmtId="0" fontId="88" fillId="0" borderId="0" xfId="0" applyFont="1" applyAlignment="1">
      <alignment horizontal="left" vertical="top" wrapText="1"/>
    </xf>
    <xf numFmtId="0" fontId="51" fillId="2" borderId="10" xfId="0" applyFont="1" applyFill="1" applyBorder="1" applyAlignment="1">
      <alignment horizontal="left" vertical="center" wrapText="1" indent="1"/>
    </xf>
    <xf numFmtId="0" fontId="87" fillId="0" borderId="0" xfId="0" applyFont="1" applyAlignment="1">
      <alignment horizontal="left" vertical="top" wrapText="1"/>
    </xf>
    <xf numFmtId="0" fontId="63" fillId="4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63" fillId="12" borderId="10" xfId="0" applyFont="1" applyFill="1" applyBorder="1" applyAlignment="1">
      <alignment horizontal="center" vertical="center"/>
    </xf>
    <xf numFmtId="0" fontId="63" fillId="5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53" fillId="2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left" vertical="top" wrapText="1" indent="1"/>
    </xf>
    <xf numFmtId="0" fontId="91" fillId="26" borderId="10" xfId="0" applyFont="1" applyFill="1" applyBorder="1" applyAlignment="1">
      <alignment horizontal="center" vertical="center"/>
    </xf>
    <xf numFmtId="0" fontId="74" fillId="0" borderId="10" xfId="0" applyFont="1" applyBorder="1" applyAlignment="1">
      <alignment horizontal="left" vertical="center" indent="1"/>
    </xf>
    <xf numFmtId="0" fontId="90" fillId="0" borderId="0" xfId="0" applyFont="1" applyAlignment="1">
      <alignment horizontal="left" vertical="top" wrapText="1"/>
    </xf>
    <xf numFmtId="0" fontId="61" fillId="0" borderId="10" xfId="0" applyFont="1" applyBorder="1" applyAlignment="1">
      <alignment horizontal="center" vertical="center"/>
    </xf>
    <xf numFmtId="0" fontId="84" fillId="28" borderId="0" xfId="0" applyFont="1" applyFill="1" applyAlignment="1">
      <alignment horizontal="left" vertical="center" indent="1"/>
    </xf>
    <xf numFmtId="0" fontId="52" fillId="27" borderId="10" xfId="0" applyFont="1" applyFill="1" applyBorder="1" applyAlignment="1">
      <alignment horizontal="left" vertical="center" indent="1"/>
    </xf>
    <xf numFmtId="0" fontId="74" fillId="0" borderId="10" xfId="0" applyFont="1" applyBorder="1" applyAlignment="1">
      <alignment horizontal="left" vertical="center" wrapText="1" indent="1"/>
    </xf>
    <xf numFmtId="0" fontId="53" fillId="2" borderId="0" xfId="0" applyFont="1" applyFill="1" applyAlignment="1">
      <alignment horizontal="left" vertical="center" indent="1"/>
    </xf>
    <xf numFmtId="0" fontId="73" fillId="0" borderId="10" xfId="0" applyFont="1" applyBorder="1" applyAlignment="1">
      <alignment horizontal="center" vertical="center"/>
    </xf>
    <xf numFmtId="0" fontId="94" fillId="0" borderId="0" xfId="0" applyFont="1" applyAlignment="1">
      <alignment horizontal="left" vertical="top" wrapText="1"/>
    </xf>
    <xf numFmtId="0" fontId="88" fillId="0" borderId="0" xfId="0" applyFont="1" applyAlignment="1">
      <alignment horizontal="left"/>
    </xf>
    <xf numFmtId="0" fontId="46" fillId="0" borderId="0" xfId="0" applyFont="1" applyAlignment="1">
      <alignment horizontal="left" vertical="top" wrapText="1"/>
    </xf>
    <xf numFmtId="0" fontId="67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66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97" fillId="0" borderId="0" xfId="0" applyFont="1" applyAlignment="1">
      <alignment horizontal="left" vertical="top" wrapText="1"/>
    </xf>
    <xf numFmtId="0" fontId="96" fillId="0" borderId="0" xfId="0" applyFont="1" applyAlignment="1">
      <alignment horizontal="center" vertical="center"/>
    </xf>
    <xf numFmtId="0" fontId="86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105" fillId="11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6" width="22" customWidth="1"/>
    <col min="7" max="7" width="2" customWidth="1"/>
  </cols>
  <sheetData>
    <row r="2" spans="2:12" ht="22" customHeight="1" x14ac:dyDescent="0.2">
      <c r="B2" s="478" t="s">
        <v>0</v>
      </c>
      <c r="C2" s="468"/>
      <c r="D2" s="468"/>
      <c r="E2" s="468"/>
      <c r="F2" s="468"/>
    </row>
    <row r="4" spans="2:12" ht="36" customHeight="1" x14ac:dyDescent="0.2">
      <c r="B4" s="484" t="s">
        <v>1</v>
      </c>
      <c r="C4" s="468"/>
      <c r="D4" s="468"/>
      <c r="E4" s="468"/>
      <c r="F4" s="468"/>
    </row>
    <row r="5" spans="2:12" ht="22" customHeight="1" x14ac:dyDescent="0.2">
      <c r="B5" s="481" t="s">
        <v>2</v>
      </c>
      <c r="C5" s="468"/>
      <c r="D5" s="468"/>
      <c r="E5" s="468"/>
      <c r="F5" s="468"/>
    </row>
    <row r="7" spans="2:12" ht="24" customHeight="1" x14ac:dyDescent="0.2">
      <c r="B7" s="480" t="s">
        <v>3</v>
      </c>
      <c r="C7" s="468"/>
      <c r="D7" s="468"/>
      <c r="E7" s="468"/>
      <c r="F7" s="468"/>
      <c r="G7" s="468"/>
      <c r="H7" s="468"/>
      <c r="I7" s="468"/>
      <c r="J7" s="468"/>
      <c r="K7" s="468"/>
      <c r="L7" s="106"/>
    </row>
    <row r="8" spans="2:12" ht="36" customHeight="1" x14ac:dyDescent="0.2">
      <c r="B8" s="463" t="s">
        <v>4</v>
      </c>
      <c r="C8" s="464"/>
      <c r="D8" s="463" t="s">
        <v>5</v>
      </c>
      <c r="E8" s="464"/>
      <c r="F8" s="471" t="s">
        <v>6</v>
      </c>
      <c r="G8" s="464"/>
      <c r="H8" s="463" t="s">
        <v>7</v>
      </c>
      <c r="I8" s="464"/>
      <c r="J8" s="463" t="s">
        <v>8</v>
      </c>
      <c r="K8" s="464"/>
      <c r="L8" s="106"/>
    </row>
    <row r="9" spans="2:12" ht="20" customHeight="1" x14ac:dyDescent="0.2">
      <c r="B9" s="475" t="s">
        <v>9</v>
      </c>
      <c r="C9" s="464"/>
      <c r="D9" s="475" t="s">
        <v>10</v>
      </c>
      <c r="E9" s="464"/>
      <c r="F9" s="476" t="s">
        <v>11</v>
      </c>
      <c r="G9" s="464"/>
      <c r="H9" s="475" t="s">
        <v>12</v>
      </c>
      <c r="I9" s="464"/>
      <c r="J9" s="475" t="s">
        <v>13</v>
      </c>
      <c r="K9" s="464"/>
      <c r="L9" s="106"/>
    </row>
    <row r="10" spans="2:12" ht="18" customHeight="1" x14ac:dyDescent="0.2">
      <c r="B10" s="474" t="s">
        <v>14</v>
      </c>
      <c r="C10" s="464"/>
      <c r="D10" s="474" t="s">
        <v>15</v>
      </c>
      <c r="E10" s="464"/>
      <c r="F10" s="485" t="s">
        <v>16</v>
      </c>
      <c r="G10" s="464"/>
      <c r="H10" s="474" t="s">
        <v>17</v>
      </c>
      <c r="I10" s="464"/>
      <c r="J10" s="474" t="s">
        <v>18</v>
      </c>
      <c r="K10" s="464"/>
      <c r="L10" s="106"/>
    </row>
    <row r="11" spans="2:12" x14ac:dyDescent="0.2"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</row>
    <row r="12" spans="2:12" ht="18" customHeight="1" x14ac:dyDescent="0.2">
      <c r="B12" s="483" t="s">
        <v>19</v>
      </c>
      <c r="C12" s="468"/>
      <c r="D12" s="468"/>
      <c r="E12" s="468"/>
      <c r="F12" s="468"/>
      <c r="G12" s="468"/>
      <c r="H12" s="468"/>
      <c r="I12" s="468"/>
      <c r="J12" s="468"/>
      <c r="K12" s="468"/>
      <c r="L12" s="106"/>
    </row>
    <row r="13" spans="2:12" ht="18" customHeight="1" x14ac:dyDescent="0.2">
      <c r="B13" s="468"/>
      <c r="C13" s="468"/>
      <c r="D13" s="468"/>
      <c r="E13" s="468"/>
      <c r="F13" s="468"/>
      <c r="G13" s="468"/>
      <c r="H13" s="468"/>
      <c r="I13" s="468"/>
      <c r="J13" s="468"/>
      <c r="K13" s="468"/>
      <c r="L13" s="106"/>
    </row>
    <row r="14" spans="2:12" ht="30" customHeight="1" x14ac:dyDescent="0.2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</row>
    <row r="15" spans="2:12" ht="22" customHeight="1" x14ac:dyDescent="0.2">
      <c r="B15" s="482" t="s">
        <v>20</v>
      </c>
      <c r="C15" s="468"/>
      <c r="D15" s="468"/>
      <c r="E15" s="468"/>
      <c r="F15" s="468"/>
      <c r="G15" s="468"/>
      <c r="H15" s="468"/>
      <c r="I15" s="468"/>
      <c r="J15" s="468"/>
      <c r="K15" s="468"/>
      <c r="L15" s="106"/>
    </row>
    <row r="16" spans="2:12" x14ac:dyDescent="0.2">
      <c r="B16" s="479" t="s">
        <v>21</v>
      </c>
      <c r="C16" s="473"/>
      <c r="D16" s="473"/>
      <c r="E16" s="466"/>
      <c r="F16" s="479" t="s">
        <v>22</v>
      </c>
      <c r="G16" s="466"/>
      <c r="H16" s="477" t="s">
        <v>23</v>
      </c>
      <c r="I16" s="466"/>
      <c r="J16" s="479" t="s">
        <v>24</v>
      </c>
      <c r="K16" s="466"/>
      <c r="L16" s="106"/>
    </row>
    <row r="17" spans="2:12" ht="18" customHeight="1" x14ac:dyDescent="0.2">
      <c r="B17" s="472" t="s">
        <v>25</v>
      </c>
      <c r="C17" s="473"/>
      <c r="D17" s="473"/>
      <c r="E17" s="466"/>
      <c r="F17" s="465" t="s">
        <v>26</v>
      </c>
      <c r="G17" s="466"/>
      <c r="H17" s="477" t="s">
        <v>4</v>
      </c>
      <c r="I17" s="466"/>
      <c r="J17" s="465" t="s">
        <v>27</v>
      </c>
      <c r="K17" s="466"/>
      <c r="L17" s="106"/>
    </row>
    <row r="18" spans="2:12" ht="18" customHeight="1" x14ac:dyDescent="0.2">
      <c r="B18" s="472" t="s">
        <v>28</v>
      </c>
      <c r="C18" s="473"/>
      <c r="D18" s="473"/>
      <c r="E18" s="466"/>
      <c r="F18" s="465" t="s">
        <v>29</v>
      </c>
      <c r="G18" s="466"/>
      <c r="H18" s="477" t="s">
        <v>5</v>
      </c>
      <c r="I18" s="466"/>
      <c r="J18" s="465" t="s">
        <v>30</v>
      </c>
      <c r="K18" s="466"/>
      <c r="L18" s="106"/>
    </row>
    <row r="19" spans="2:12" ht="18" customHeight="1" x14ac:dyDescent="0.2">
      <c r="B19" s="472" t="s">
        <v>31</v>
      </c>
      <c r="C19" s="473"/>
      <c r="D19" s="473"/>
      <c r="E19" s="466"/>
      <c r="F19" s="465" t="s">
        <v>32</v>
      </c>
      <c r="G19" s="466"/>
      <c r="H19" s="477" t="s">
        <v>6</v>
      </c>
      <c r="I19" s="466"/>
      <c r="J19" s="465" t="s">
        <v>33</v>
      </c>
      <c r="K19" s="466"/>
      <c r="L19" s="106"/>
    </row>
    <row r="20" spans="2:12" ht="18" customHeight="1" x14ac:dyDescent="0.2">
      <c r="B20" s="472" t="s">
        <v>34</v>
      </c>
      <c r="C20" s="473"/>
      <c r="D20" s="473"/>
      <c r="E20" s="466"/>
      <c r="F20" s="465" t="s">
        <v>35</v>
      </c>
      <c r="G20" s="466"/>
      <c r="H20" s="477" t="s">
        <v>7</v>
      </c>
      <c r="I20" s="466"/>
      <c r="J20" s="465" t="s">
        <v>36</v>
      </c>
      <c r="K20" s="466"/>
      <c r="L20" s="106"/>
    </row>
    <row r="21" spans="2:12" ht="18" customHeight="1" x14ac:dyDescent="0.2">
      <c r="B21" s="472" t="s">
        <v>37</v>
      </c>
      <c r="C21" s="473"/>
      <c r="D21" s="473"/>
      <c r="E21" s="466"/>
      <c r="F21" s="465" t="s">
        <v>38</v>
      </c>
      <c r="G21" s="466"/>
      <c r="H21" s="477" t="s">
        <v>39</v>
      </c>
      <c r="I21" s="466"/>
      <c r="J21" s="465" t="s">
        <v>40</v>
      </c>
      <c r="K21" s="466"/>
      <c r="L21" s="106"/>
    </row>
    <row r="22" spans="2:12" ht="20" customHeight="1" x14ac:dyDescent="0.2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</row>
    <row r="23" spans="2:12" ht="18" customHeight="1" x14ac:dyDescent="0.2"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</row>
    <row r="24" spans="2:12" ht="18" customHeight="1" x14ac:dyDescent="0.2"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</row>
    <row r="25" spans="2:12" ht="18" customHeight="1" x14ac:dyDescent="0.2"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</row>
    <row r="26" spans="2:12" ht="18" customHeight="1" x14ac:dyDescent="0.2">
      <c r="B26" s="2" t="s">
        <v>41</v>
      </c>
      <c r="C26" s="469" t="s">
        <v>42</v>
      </c>
      <c r="D26" s="468"/>
      <c r="E26" s="468"/>
      <c r="F26" s="468"/>
    </row>
    <row r="27" spans="2:12" ht="18" customHeight="1" x14ac:dyDescent="0.2">
      <c r="B27" s="2" t="s">
        <v>43</v>
      </c>
      <c r="C27" s="469" t="s">
        <v>44</v>
      </c>
      <c r="D27" s="468"/>
      <c r="E27" s="468"/>
      <c r="F27" s="468"/>
    </row>
    <row r="28" spans="2:12" ht="18" customHeight="1" x14ac:dyDescent="0.2">
      <c r="B28" s="2" t="s">
        <v>45</v>
      </c>
      <c r="C28" s="469" t="s">
        <v>46</v>
      </c>
      <c r="D28" s="468"/>
      <c r="E28" s="468"/>
      <c r="F28" s="468"/>
    </row>
    <row r="29" spans="2:12" ht="18" customHeight="1" x14ac:dyDescent="0.2">
      <c r="B29" s="2" t="s">
        <v>47</v>
      </c>
      <c r="C29" s="469" t="s">
        <v>48</v>
      </c>
      <c r="D29" s="468"/>
      <c r="E29" s="468"/>
      <c r="F29" s="468"/>
    </row>
    <row r="30" spans="2:12" ht="18" customHeight="1" x14ac:dyDescent="0.2">
      <c r="B30" s="2" t="s">
        <v>49</v>
      </c>
      <c r="C30" s="469" t="s">
        <v>50</v>
      </c>
      <c r="D30" s="468"/>
      <c r="E30" s="468"/>
      <c r="F30" s="468"/>
    </row>
    <row r="31" spans="2:12" ht="18" customHeight="1" x14ac:dyDescent="0.2">
      <c r="B31" s="2" t="s">
        <v>51</v>
      </c>
      <c r="C31" s="469" t="s">
        <v>52</v>
      </c>
      <c r="D31" s="468"/>
      <c r="E31" s="468"/>
      <c r="F31" s="468"/>
    </row>
    <row r="32" spans="2:12" ht="18" customHeight="1" x14ac:dyDescent="0.2">
      <c r="B32" s="2" t="s">
        <v>53</v>
      </c>
      <c r="C32" s="469" t="s">
        <v>54</v>
      </c>
      <c r="D32" s="468"/>
      <c r="E32" s="468"/>
      <c r="F32" s="468"/>
    </row>
    <row r="33" spans="2:6" ht="18" customHeight="1" x14ac:dyDescent="0.2">
      <c r="B33" s="2" t="s">
        <v>55</v>
      </c>
      <c r="C33" s="469" t="s">
        <v>56</v>
      </c>
      <c r="D33" s="468"/>
      <c r="E33" s="468"/>
      <c r="F33" s="468"/>
    </row>
    <row r="35" spans="2:6" ht="18" customHeight="1" x14ac:dyDescent="0.2">
      <c r="B35" s="467" t="s">
        <v>57</v>
      </c>
      <c r="C35" s="468"/>
      <c r="D35" s="468"/>
      <c r="E35" s="468"/>
      <c r="F35" s="468"/>
    </row>
    <row r="36" spans="2:6" ht="16" customHeight="1" x14ac:dyDescent="0.2">
      <c r="B36" s="470" t="s">
        <v>58</v>
      </c>
      <c r="C36" s="468"/>
      <c r="D36" s="468"/>
      <c r="E36" s="468"/>
      <c r="F36" s="468"/>
    </row>
    <row r="37" spans="2:6" ht="16" customHeight="1" x14ac:dyDescent="0.2">
      <c r="B37" s="468"/>
      <c r="C37" s="468"/>
      <c r="D37" s="468"/>
      <c r="E37" s="468"/>
      <c r="F37" s="468"/>
    </row>
    <row r="38" spans="2:6" ht="16" customHeight="1" x14ac:dyDescent="0.2">
      <c r="B38" s="468"/>
      <c r="C38" s="468"/>
      <c r="D38" s="468"/>
      <c r="E38" s="468"/>
      <c r="F38" s="468"/>
    </row>
    <row r="39" spans="2:6" ht="16" customHeight="1" x14ac:dyDescent="0.2">
      <c r="B39" s="468"/>
      <c r="C39" s="468"/>
      <c r="D39" s="468"/>
      <c r="E39" s="468"/>
      <c r="F39" s="468"/>
    </row>
  </sheetData>
  <mergeCells count="55">
    <mergeCell ref="B4:F4"/>
    <mergeCell ref="D10:E10"/>
    <mergeCell ref="H20:I20"/>
    <mergeCell ref="F10:G10"/>
    <mergeCell ref="F16:G16"/>
    <mergeCell ref="H10:I10"/>
    <mergeCell ref="F19:G19"/>
    <mergeCell ref="H9:I9"/>
    <mergeCell ref="H8:I8"/>
    <mergeCell ref="C32:F32"/>
    <mergeCell ref="B20:E20"/>
    <mergeCell ref="C28:F28"/>
    <mergeCell ref="C30:F30"/>
    <mergeCell ref="J18:K18"/>
    <mergeCell ref="B19:E19"/>
    <mergeCell ref="C27:F27"/>
    <mergeCell ref="B2:F2"/>
    <mergeCell ref="F20:G20"/>
    <mergeCell ref="B16:E16"/>
    <mergeCell ref="F18:G18"/>
    <mergeCell ref="B7:K7"/>
    <mergeCell ref="H17:I17"/>
    <mergeCell ref="J20:K20"/>
    <mergeCell ref="H16:I16"/>
    <mergeCell ref="J16:K16"/>
    <mergeCell ref="H19:I19"/>
    <mergeCell ref="H18:I18"/>
    <mergeCell ref="B5:F5"/>
    <mergeCell ref="J10:K10"/>
    <mergeCell ref="B15:K15"/>
    <mergeCell ref="J19:K19"/>
    <mergeCell ref="B12:K13"/>
    <mergeCell ref="D8:E8"/>
    <mergeCell ref="B17:E17"/>
    <mergeCell ref="C31:F31"/>
    <mergeCell ref="J9:K9"/>
    <mergeCell ref="F21:G21"/>
    <mergeCell ref="H21:I21"/>
    <mergeCell ref="J21:K21"/>
    <mergeCell ref="J8:K8"/>
    <mergeCell ref="J17:K17"/>
    <mergeCell ref="B35:F35"/>
    <mergeCell ref="C33:F33"/>
    <mergeCell ref="B36:F39"/>
    <mergeCell ref="B8:C8"/>
    <mergeCell ref="F17:G17"/>
    <mergeCell ref="F8:G8"/>
    <mergeCell ref="B18:E18"/>
    <mergeCell ref="C26:F26"/>
    <mergeCell ref="B10:C10"/>
    <mergeCell ref="B21:E21"/>
    <mergeCell ref="C29:F29"/>
    <mergeCell ref="B9:C9"/>
    <mergeCell ref="D9:E9"/>
    <mergeCell ref="F9:G9"/>
  </mergeCells>
  <printOptions horizontalCentered="1"/>
  <pageMargins left="0.59" right="0.59" top="0.59" bottom="0.59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F141"/>
  <sheetViews>
    <sheetView showGridLines="0" workbookViewId="0">
      <pane ySplit="5" topLeftCell="A6" activePane="bottomLeft" state="frozen"/>
      <selection pane="bottomLeft" activeCell="D21" sqref="D21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42" customWidth="1"/>
    <col min="4" max="4" width="18" customWidth="1"/>
    <col min="5" max="5" width="10" customWidth="1"/>
    <col min="6" max="6" width="38" customWidth="1"/>
    <col min="7" max="7" width="2" customWidth="1"/>
  </cols>
  <sheetData>
    <row r="2" spans="2:6" ht="30" customHeight="1" x14ac:dyDescent="0.2">
      <c r="B2" s="489" t="s">
        <v>59</v>
      </c>
      <c r="C2" s="468"/>
      <c r="D2" s="468"/>
      <c r="E2" s="468"/>
      <c r="F2" s="468"/>
    </row>
    <row r="3" spans="2:6" x14ac:dyDescent="0.2">
      <c r="B3" s="491" t="s">
        <v>60</v>
      </c>
      <c r="C3" s="468"/>
      <c r="D3" s="468"/>
      <c r="E3" s="468"/>
      <c r="F3" s="468"/>
    </row>
    <row r="5" spans="2:6" ht="22" customHeight="1" x14ac:dyDescent="0.2">
      <c r="B5" s="3" t="s">
        <v>61</v>
      </c>
      <c r="C5" s="3" t="s">
        <v>62</v>
      </c>
      <c r="D5" s="3" t="s">
        <v>63</v>
      </c>
      <c r="E5" s="3" t="s">
        <v>64</v>
      </c>
      <c r="F5" s="3" t="s">
        <v>65</v>
      </c>
    </row>
    <row r="6" spans="2:6" ht="20" customHeight="1" x14ac:dyDescent="0.2">
      <c r="B6" s="490" t="s">
        <v>66</v>
      </c>
      <c r="C6" s="468"/>
      <c r="D6" s="468"/>
      <c r="E6" s="468"/>
      <c r="F6" s="468"/>
    </row>
    <row r="7" spans="2:6" ht="18" customHeight="1" x14ac:dyDescent="0.2">
      <c r="B7" s="4">
        <v>1</v>
      </c>
      <c r="C7" s="5" t="s">
        <v>67</v>
      </c>
      <c r="D7" s="6">
        <v>6.5000000000000002E-2</v>
      </c>
      <c r="E7" s="4" t="s">
        <v>68</v>
      </c>
      <c r="F7" s="7" t="s">
        <v>69</v>
      </c>
    </row>
    <row r="8" spans="2:6" ht="18" customHeight="1" x14ac:dyDescent="0.2">
      <c r="B8" s="4">
        <v>2</v>
      </c>
      <c r="C8" s="5" t="s">
        <v>70</v>
      </c>
      <c r="D8" s="6">
        <v>0.14000000000000001</v>
      </c>
      <c r="E8" s="4" t="s">
        <v>68</v>
      </c>
      <c r="F8" s="7" t="s">
        <v>71</v>
      </c>
    </row>
    <row r="9" spans="2:6" ht="18" customHeight="1" x14ac:dyDescent="0.2">
      <c r="B9" s="4">
        <v>3</v>
      </c>
      <c r="C9" s="5" t="s">
        <v>72</v>
      </c>
      <c r="D9" s="6">
        <v>0.2</v>
      </c>
      <c r="E9" s="4" t="s">
        <v>68</v>
      </c>
      <c r="F9" s="7" t="s">
        <v>73</v>
      </c>
    </row>
    <row r="10" spans="2:6" ht="18" customHeight="1" x14ac:dyDescent="0.2">
      <c r="B10" s="4">
        <v>4</v>
      </c>
      <c r="C10" s="5" t="s">
        <v>74</v>
      </c>
      <c r="D10" s="6">
        <v>0.2</v>
      </c>
      <c r="E10" s="4" t="s">
        <v>68</v>
      </c>
      <c r="F10" s="7" t="s">
        <v>75</v>
      </c>
    </row>
    <row r="11" spans="2:6" ht="18" customHeight="1" x14ac:dyDescent="0.2">
      <c r="B11" s="4">
        <v>5</v>
      </c>
      <c r="C11" s="5" t="s">
        <v>76</v>
      </c>
      <c r="D11" s="6">
        <v>0.3</v>
      </c>
      <c r="E11" s="4" t="s">
        <v>68</v>
      </c>
      <c r="F11" s="7" t="s">
        <v>77</v>
      </c>
    </row>
    <row r="12" spans="2:6" ht="18" customHeight="1" x14ac:dyDescent="0.2">
      <c r="B12" s="4">
        <v>6</v>
      </c>
      <c r="C12" s="5" t="s">
        <v>78</v>
      </c>
      <c r="D12" s="6">
        <v>0.15</v>
      </c>
      <c r="E12" s="4" t="s">
        <v>68</v>
      </c>
      <c r="F12" s="7" t="s">
        <v>79</v>
      </c>
    </row>
    <row r="13" spans="2:6" ht="18" customHeight="1" x14ac:dyDescent="0.2">
      <c r="B13" s="4">
        <v>7</v>
      </c>
      <c r="C13" s="5" t="s">
        <v>80</v>
      </c>
      <c r="D13" s="6">
        <v>0.03</v>
      </c>
      <c r="E13" s="4" t="s">
        <v>68</v>
      </c>
      <c r="F13" s="7" t="s">
        <v>81</v>
      </c>
    </row>
    <row r="14" spans="2:6" ht="18" customHeight="1" x14ac:dyDescent="0.2">
      <c r="B14" s="4">
        <v>8</v>
      </c>
      <c r="C14" s="5" t="s">
        <v>82</v>
      </c>
      <c r="D14" s="8">
        <v>95</v>
      </c>
      <c r="E14" s="4" t="s">
        <v>83</v>
      </c>
      <c r="F14" s="7" t="s">
        <v>84</v>
      </c>
    </row>
    <row r="16" spans="2:6" ht="20" customHeight="1" x14ac:dyDescent="0.2">
      <c r="B16" s="490" t="s">
        <v>85</v>
      </c>
      <c r="C16" s="468"/>
      <c r="D16" s="468"/>
      <c r="E16" s="468"/>
      <c r="F16" s="468"/>
    </row>
    <row r="17" spans="2:6" ht="18" customHeight="1" x14ac:dyDescent="0.2">
      <c r="B17" s="4">
        <v>9</v>
      </c>
      <c r="C17" s="5" t="s">
        <v>86</v>
      </c>
      <c r="D17" s="8">
        <v>3000</v>
      </c>
      <c r="E17" s="4" t="s">
        <v>14</v>
      </c>
      <c r="F17" s="7" t="s">
        <v>87</v>
      </c>
    </row>
    <row r="18" spans="2:6" ht="18" customHeight="1" x14ac:dyDescent="0.2">
      <c r="B18" s="4">
        <v>10</v>
      </c>
      <c r="C18" s="5" t="s">
        <v>88</v>
      </c>
      <c r="D18" s="8">
        <v>1250</v>
      </c>
      <c r="E18" s="4" t="s">
        <v>14</v>
      </c>
      <c r="F18" s="7" t="s">
        <v>89</v>
      </c>
    </row>
    <row r="19" spans="2:6" ht="18" customHeight="1" x14ac:dyDescent="0.2">
      <c r="B19" s="4">
        <v>11</v>
      </c>
      <c r="C19" s="5" t="s">
        <v>90</v>
      </c>
      <c r="D19" s="8">
        <v>1850</v>
      </c>
      <c r="E19" s="4" t="s">
        <v>14</v>
      </c>
      <c r="F19" s="7" t="s">
        <v>91</v>
      </c>
    </row>
    <row r="20" spans="2:6" ht="18" customHeight="1" x14ac:dyDescent="0.2">
      <c r="B20" s="4">
        <v>12</v>
      </c>
      <c r="C20" s="5" t="s">
        <v>92</v>
      </c>
      <c r="D20" s="8">
        <v>4545</v>
      </c>
      <c r="E20" s="4" t="s">
        <v>14</v>
      </c>
      <c r="F20" s="7" t="s">
        <v>93</v>
      </c>
    </row>
    <row r="21" spans="2:6" ht="18" customHeight="1" x14ac:dyDescent="0.2">
      <c r="B21" s="4">
        <v>13</v>
      </c>
      <c r="C21" s="5" t="s">
        <v>94</v>
      </c>
      <c r="D21" s="8">
        <v>2280</v>
      </c>
      <c r="E21" s="4" t="s">
        <v>14</v>
      </c>
      <c r="F21" s="7" t="s">
        <v>95</v>
      </c>
    </row>
    <row r="22" spans="2:6" ht="18" customHeight="1" x14ac:dyDescent="0.2">
      <c r="B22" s="4">
        <v>14</v>
      </c>
      <c r="C22" s="5" t="s">
        <v>96</v>
      </c>
      <c r="D22" s="9">
        <v>12</v>
      </c>
      <c r="E22" s="4" t="s">
        <v>97</v>
      </c>
      <c r="F22" s="7" t="s">
        <v>98</v>
      </c>
    </row>
    <row r="23" spans="2:6" ht="18" customHeight="1" x14ac:dyDescent="0.2">
      <c r="B23" s="4">
        <v>15</v>
      </c>
      <c r="C23" s="5" t="s">
        <v>99</v>
      </c>
      <c r="D23" s="8">
        <v>154.19999999999999</v>
      </c>
      <c r="E23" s="4" t="s">
        <v>14</v>
      </c>
      <c r="F23" s="7" t="s">
        <v>100</v>
      </c>
    </row>
    <row r="25" spans="2:6" ht="20" customHeight="1" x14ac:dyDescent="0.2">
      <c r="B25" s="490" t="s">
        <v>101</v>
      </c>
      <c r="C25" s="468"/>
      <c r="D25" s="468"/>
      <c r="E25" s="468"/>
      <c r="F25" s="468"/>
    </row>
    <row r="26" spans="2:6" ht="18" customHeight="1" x14ac:dyDescent="0.2">
      <c r="B26" s="4">
        <v>16</v>
      </c>
      <c r="C26" s="5" t="s">
        <v>102</v>
      </c>
      <c r="D26" s="6">
        <v>0.2</v>
      </c>
      <c r="E26" s="4" t="s">
        <v>68</v>
      </c>
      <c r="F26" s="7" t="s">
        <v>103</v>
      </c>
    </row>
    <row r="27" spans="2:6" ht="18" customHeight="1" x14ac:dyDescent="0.2">
      <c r="B27" s="4">
        <v>17</v>
      </c>
      <c r="C27" s="5" t="s">
        <v>104</v>
      </c>
      <c r="D27" s="6">
        <v>0.28000000000000003</v>
      </c>
      <c r="E27" s="4" t="s">
        <v>68</v>
      </c>
      <c r="F27" s="7" t="s">
        <v>105</v>
      </c>
    </row>
    <row r="28" spans="2:6" ht="18" customHeight="1" x14ac:dyDescent="0.2">
      <c r="B28" s="4">
        <v>18</v>
      </c>
      <c r="C28" s="5" t="s">
        <v>106</v>
      </c>
      <c r="D28" s="6">
        <v>0.28000000000000003</v>
      </c>
      <c r="E28" s="4" t="s">
        <v>68</v>
      </c>
      <c r="F28" s="7" t="s">
        <v>105</v>
      </c>
    </row>
    <row r="29" spans="2:6" ht="18" customHeight="1" x14ac:dyDescent="0.2">
      <c r="B29" s="4">
        <v>19</v>
      </c>
      <c r="C29" s="5" t="s">
        <v>107</v>
      </c>
      <c r="D29" s="6">
        <v>0.24</v>
      </c>
      <c r="E29" s="4" t="s">
        <v>68</v>
      </c>
      <c r="F29" s="7" t="s">
        <v>108</v>
      </c>
    </row>
    <row r="31" spans="2:6" ht="20" customHeight="1" x14ac:dyDescent="0.2">
      <c r="B31" s="490" t="s">
        <v>109</v>
      </c>
      <c r="C31" s="468"/>
      <c r="D31" s="468"/>
      <c r="E31" s="468"/>
      <c r="F31" s="468"/>
    </row>
    <row r="32" spans="2:6" ht="18" customHeight="1" x14ac:dyDescent="0.2">
      <c r="B32" s="4">
        <v>20</v>
      </c>
      <c r="C32" s="5" t="s">
        <v>110</v>
      </c>
      <c r="D32" s="8">
        <v>500</v>
      </c>
      <c r="E32" s="4" t="s">
        <v>14</v>
      </c>
      <c r="F32" s="7" t="s">
        <v>111</v>
      </c>
    </row>
    <row r="33" spans="2:6" ht="18" customHeight="1" x14ac:dyDescent="0.2">
      <c r="B33" s="4">
        <v>21</v>
      </c>
      <c r="C33" s="5" t="s">
        <v>112</v>
      </c>
      <c r="D33" s="6">
        <v>0.2</v>
      </c>
      <c r="E33" s="4" t="s">
        <v>68</v>
      </c>
      <c r="F33" s="7" t="s">
        <v>113</v>
      </c>
    </row>
    <row r="34" spans="2:6" ht="18" customHeight="1" x14ac:dyDescent="0.2">
      <c r="B34" s="4">
        <v>22</v>
      </c>
      <c r="C34" s="5" t="s">
        <v>114</v>
      </c>
      <c r="D34" s="8">
        <v>2000</v>
      </c>
      <c r="E34" s="4" t="s">
        <v>14</v>
      </c>
      <c r="F34" s="7" t="s">
        <v>115</v>
      </c>
    </row>
    <row r="35" spans="2:6" ht="18" customHeight="1" x14ac:dyDescent="0.2">
      <c r="B35" s="4">
        <v>23</v>
      </c>
      <c r="C35" s="5" t="s">
        <v>116</v>
      </c>
      <c r="D35" s="8">
        <v>2500</v>
      </c>
      <c r="E35" s="4" t="s">
        <v>14</v>
      </c>
      <c r="F35" s="7" t="s">
        <v>117</v>
      </c>
    </row>
    <row r="36" spans="2:6" ht="18" customHeight="1" x14ac:dyDescent="0.2">
      <c r="B36" s="4">
        <v>24</v>
      </c>
      <c r="C36" s="5" t="s">
        <v>118</v>
      </c>
      <c r="D36" s="6">
        <v>0.08</v>
      </c>
      <c r="E36" s="4" t="s">
        <v>68</v>
      </c>
      <c r="F36" s="7" t="s">
        <v>119</v>
      </c>
    </row>
    <row r="38" spans="2:6" ht="20" customHeight="1" x14ac:dyDescent="0.2">
      <c r="B38" s="490" t="s">
        <v>120</v>
      </c>
      <c r="C38" s="468"/>
      <c r="D38" s="468"/>
      <c r="E38" s="468"/>
      <c r="F38" s="468"/>
    </row>
    <row r="39" spans="2:6" ht="18" customHeight="1" x14ac:dyDescent="0.2">
      <c r="B39" s="4">
        <v>25</v>
      </c>
      <c r="C39" s="5" t="s">
        <v>121</v>
      </c>
      <c r="D39" s="6">
        <v>0.6</v>
      </c>
      <c r="E39" s="4" t="s">
        <v>68</v>
      </c>
      <c r="F39" s="7" t="s">
        <v>122</v>
      </c>
    </row>
    <row r="40" spans="2:6" ht="18" customHeight="1" x14ac:dyDescent="0.2">
      <c r="B40" s="4">
        <v>26</v>
      </c>
      <c r="C40" s="5" t="s">
        <v>123</v>
      </c>
      <c r="D40" s="6">
        <v>0.4</v>
      </c>
      <c r="E40" s="4" t="s">
        <v>68</v>
      </c>
      <c r="F40" s="7" t="s">
        <v>122</v>
      </c>
    </row>
    <row r="41" spans="2:6" ht="18" customHeight="1" x14ac:dyDescent="0.2">
      <c r="B41" s="4">
        <v>27</v>
      </c>
      <c r="C41" s="5" t="s">
        <v>124</v>
      </c>
      <c r="D41" s="6">
        <v>0.5</v>
      </c>
      <c r="E41" s="4" t="s">
        <v>68</v>
      </c>
      <c r="F41" s="7" t="s">
        <v>125</v>
      </c>
    </row>
    <row r="42" spans="2:6" ht="18" customHeight="1" x14ac:dyDescent="0.2">
      <c r="B42" s="4">
        <v>28</v>
      </c>
      <c r="C42" s="5" t="s">
        <v>126</v>
      </c>
      <c r="D42" s="6">
        <v>0.5</v>
      </c>
      <c r="E42" s="4" t="s">
        <v>68</v>
      </c>
      <c r="F42" s="7" t="s">
        <v>125</v>
      </c>
    </row>
    <row r="43" spans="2:6" ht="18" customHeight="1" x14ac:dyDescent="0.2">
      <c r="B43" s="4">
        <v>29</v>
      </c>
      <c r="C43" s="5" t="s">
        <v>127</v>
      </c>
      <c r="D43" s="6">
        <v>0.8</v>
      </c>
      <c r="E43" s="4" t="s">
        <v>68</v>
      </c>
      <c r="F43" s="7" t="s">
        <v>128</v>
      </c>
    </row>
    <row r="44" spans="2:6" ht="18" customHeight="1" x14ac:dyDescent="0.2">
      <c r="B44" s="4">
        <v>30</v>
      </c>
      <c r="C44" s="5" t="s">
        <v>129</v>
      </c>
      <c r="D44" s="10">
        <v>1</v>
      </c>
      <c r="E44" s="4" t="s">
        <v>130</v>
      </c>
      <c r="F44" s="7" t="s">
        <v>131</v>
      </c>
    </row>
    <row r="45" spans="2:6" ht="18" customHeight="1" x14ac:dyDescent="0.2">
      <c r="B45" s="4">
        <v>31</v>
      </c>
      <c r="C45" s="5" t="s">
        <v>132</v>
      </c>
      <c r="D45" s="10">
        <v>1</v>
      </c>
      <c r="E45" s="4" t="s">
        <v>130</v>
      </c>
      <c r="F45" s="7" t="s">
        <v>133</v>
      </c>
    </row>
    <row r="46" spans="2:6" x14ac:dyDescent="0.2">
      <c r="B46" s="156" t="s">
        <v>134</v>
      </c>
      <c r="C46" s="156" t="s">
        <v>135</v>
      </c>
      <c r="D46" s="386">
        <v>1</v>
      </c>
      <c r="E46" s="156" t="s">
        <v>130</v>
      </c>
      <c r="F46" s="120" t="s">
        <v>131</v>
      </c>
    </row>
    <row r="47" spans="2:6" ht="20" customHeight="1" x14ac:dyDescent="0.2">
      <c r="B47" s="156" t="s">
        <v>136</v>
      </c>
      <c r="C47" s="156" t="s">
        <v>137</v>
      </c>
      <c r="D47" s="387">
        <v>0.12</v>
      </c>
      <c r="E47" s="156" t="s">
        <v>68</v>
      </c>
      <c r="F47" s="120" t="s">
        <v>138</v>
      </c>
    </row>
    <row r="48" spans="2:6" ht="18" customHeight="1" x14ac:dyDescent="0.2">
      <c r="B48" s="156" t="s">
        <v>139</v>
      </c>
      <c r="C48" s="156" t="s">
        <v>140</v>
      </c>
      <c r="D48" s="388">
        <v>5</v>
      </c>
      <c r="E48" s="156" t="s">
        <v>141</v>
      </c>
      <c r="F48" s="120" t="s">
        <v>142</v>
      </c>
    </row>
    <row r="49" spans="2:6" ht="18" customHeight="1" x14ac:dyDescent="0.2">
      <c r="B49" s="156" t="s">
        <v>143</v>
      </c>
      <c r="C49" s="156" t="s">
        <v>144</v>
      </c>
      <c r="D49" s="387">
        <v>0.65</v>
      </c>
      <c r="E49" s="156" t="s">
        <v>68</v>
      </c>
      <c r="F49" s="120" t="s">
        <v>145</v>
      </c>
    </row>
    <row r="50" spans="2:6" ht="18" customHeight="1" x14ac:dyDescent="0.2">
      <c r="B50" s="156" t="s">
        <v>146</v>
      </c>
      <c r="C50" s="156" t="s">
        <v>147</v>
      </c>
      <c r="D50" s="387">
        <v>0.35</v>
      </c>
      <c r="E50" s="156" t="s">
        <v>68</v>
      </c>
      <c r="F50" s="120" t="s">
        <v>148</v>
      </c>
    </row>
    <row r="51" spans="2:6" ht="18" customHeight="1" x14ac:dyDescent="0.2">
      <c r="B51" s="156" t="s">
        <v>149</v>
      </c>
      <c r="C51" s="156" t="s">
        <v>150</v>
      </c>
      <c r="D51" s="386">
        <v>6</v>
      </c>
      <c r="E51" s="156" t="s">
        <v>130</v>
      </c>
      <c r="F51" s="120" t="s">
        <v>151</v>
      </c>
    </row>
    <row r="52" spans="2:6" ht="18" customHeight="1" x14ac:dyDescent="0.2">
      <c r="B52" s="156" t="s">
        <v>152</v>
      </c>
      <c r="C52" s="156" t="s">
        <v>153</v>
      </c>
      <c r="D52" s="387">
        <v>0.25</v>
      </c>
      <c r="E52" s="156" t="s">
        <v>68</v>
      </c>
      <c r="F52" s="120" t="s">
        <v>154</v>
      </c>
    </row>
    <row r="53" spans="2:6" ht="18" customHeight="1" x14ac:dyDescent="0.2">
      <c r="B53" s="156" t="s">
        <v>155</v>
      </c>
      <c r="C53" s="156" t="s">
        <v>156</v>
      </c>
      <c r="D53" s="387">
        <v>0.19800000000000001</v>
      </c>
      <c r="E53" s="156" t="s">
        <v>68</v>
      </c>
      <c r="F53" s="120" t="s">
        <v>157</v>
      </c>
    </row>
    <row r="54" spans="2:6" ht="18" customHeight="1" x14ac:dyDescent="0.2"/>
    <row r="55" spans="2:6" ht="18" customHeight="1" x14ac:dyDescent="0.2">
      <c r="B55" s="490" t="s">
        <v>158</v>
      </c>
      <c r="C55" s="468"/>
      <c r="D55" s="468"/>
      <c r="E55" s="468"/>
      <c r="F55" s="468"/>
    </row>
    <row r="56" spans="2:6" x14ac:dyDescent="0.2">
      <c r="B56" s="4">
        <v>32</v>
      </c>
      <c r="C56" s="5" t="s">
        <v>159</v>
      </c>
      <c r="D56" s="6">
        <v>0.48</v>
      </c>
      <c r="E56" s="4" t="s">
        <v>68</v>
      </c>
      <c r="F56" s="7" t="s">
        <v>160</v>
      </c>
    </row>
    <row r="57" spans="2:6" ht="20" customHeight="1" x14ac:dyDescent="0.2">
      <c r="B57" s="486">
        <v>33</v>
      </c>
      <c r="C57" s="487"/>
      <c r="D57" s="487"/>
      <c r="E57" s="487"/>
      <c r="F57" s="488"/>
    </row>
    <row r="58" spans="2:6" ht="18" customHeight="1" x14ac:dyDescent="0.2">
      <c r="B58" s="4">
        <v>34</v>
      </c>
      <c r="C58" s="5" t="s">
        <v>161</v>
      </c>
      <c r="D58" s="6">
        <v>0.08</v>
      </c>
      <c r="E58" s="4" t="s">
        <v>68</v>
      </c>
      <c r="F58" s="7" t="s">
        <v>162</v>
      </c>
    </row>
    <row r="59" spans="2:6" ht="18" customHeight="1" x14ac:dyDescent="0.2">
      <c r="B59" s="4">
        <v>35</v>
      </c>
      <c r="C59" s="5" t="s">
        <v>163</v>
      </c>
      <c r="D59" s="6">
        <v>0.1</v>
      </c>
      <c r="E59" s="4" t="s">
        <v>68</v>
      </c>
      <c r="F59" s="7" t="s">
        <v>164</v>
      </c>
    </row>
    <row r="60" spans="2:6" ht="18" customHeight="1" x14ac:dyDescent="0.2">
      <c r="B60" s="4">
        <v>36</v>
      </c>
      <c r="C60" s="5" t="s">
        <v>165</v>
      </c>
      <c r="D60" s="6">
        <v>0.04</v>
      </c>
      <c r="E60" s="4" t="s">
        <v>68</v>
      </c>
      <c r="F60" s="7" t="s">
        <v>166</v>
      </c>
    </row>
    <row r="61" spans="2:6" ht="18" customHeight="1" x14ac:dyDescent="0.2">
      <c r="B61" s="4">
        <v>37</v>
      </c>
      <c r="C61" s="5" t="s">
        <v>167</v>
      </c>
      <c r="D61" s="6">
        <v>0.05</v>
      </c>
      <c r="E61" s="4" t="s">
        <v>68</v>
      </c>
      <c r="F61" s="7" t="s">
        <v>168</v>
      </c>
    </row>
    <row r="62" spans="2:6" ht="18" customHeight="1" x14ac:dyDescent="0.2">
      <c r="B62" s="4">
        <v>38</v>
      </c>
      <c r="C62" s="5" t="s">
        <v>169</v>
      </c>
      <c r="D62" s="6">
        <v>0.02</v>
      </c>
      <c r="E62" s="4" t="s">
        <v>68</v>
      </c>
      <c r="F62" s="7" t="s">
        <v>170</v>
      </c>
    </row>
    <row r="63" spans="2:6" ht="18" customHeight="1" x14ac:dyDescent="0.2">
      <c r="B63" s="4">
        <v>39</v>
      </c>
      <c r="C63" s="5" t="s">
        <v>171</v>
      </c>
      <c r="D63" s="6">
        <v>0.03</v>
      </c>
      <c r="E63" s="4" t="s">
        <v>68</v>
      </c>
      <c r="F63" s="7" t="s">
        <v>172</v>
      </c>
    </row>
    <row r="64" spans="2:6" ht="18" customHeight="1" x14ac:dyDescent="0.2"/>
    <row r="65" spans="2:6" x14ac:dyDescent="0.2">
      <c r="B65" s="1" t="s">
        <v>173</v>
      </c>
    </row>
    <row r="66" spans="2:6" ht="20" customHeight="1" x14ac:dyDescent="0.2">
      <c r="B66" s="486">
        <v>40</v>
      </c>
      <c r="C66" s="487"/>
      <c r="D66" s="487"/>
      <c r="E66" s="487"/>
      <c r="F66" s="488"/>
    </row>
    <row r="67" spans="2:6" ht="18" customHeight="1" x14ac:dyDescent="0.2">
      <c r="B67" s="4">
        <v>41</v>
      </c>
      <c r="C67" s="5" t="s">
        <v>174</v>
      </c>
      <c r="D67" s="6">
        <v>0</v>
      </c>
      <c r="E67" s="4" t="s">
        <v>68</v>
      </c>
      <c r="F67" s="7" t="s">
        <v>175</v>
      </c>
    </row>
    <row r="68" spans="2:6" ht="18" customHeight="1" x14ac:dyDescent="0.2">
      <c r="B68" s="4">
        <v>42</v>
      </c>
      <c r="C68" s="5" t="s">
        <v>176</v>
      </c>
      <c r="D68" s="6">
        <v>0.35</v>
      </c>
      <c r="E68" s="4" t="s">
        <v>68</v>
      </c>
      <c r="F68" s="7" t="s">
        <v>177</v>
      </c>
    </row>
    <row r="69" spans="2:6" ht="18" customHeight="1" x14ac:dyDescent="0.2">
      <c r="B69" s="4">
        <v>43</v>
      </c>
      <c r="C69" s="5" t="s">
        <v>178</v>
      </c>
      <c r="D69" s="6">
        <v>0.6</v>
      </c>
      <c r="E69" s="4" t="s">
        <v>68</v>
      </c>
      <c r="F69" s="7" t="s">
        <v>179</v>
      </c>
    </row>
    <row r="70" spans="2:6" ht="18" customHeight="1" x14ac:dyDescent="0.2">
      <c r="B70" s="4">
        <v>44</v>
      </c>
      <c r="C70" s="5" t="s">
        <v>180</v>
      </c>
      <c r="D70" s="6">
        <v>0.25</v>
      </c>
      <c r="E70" s="4" t="s">
        <v>68</v>
      </c>
      <c r="F70" s="7" t="s">
        <v>181</v>
      </c>
    </row>
    <row r="71" spans="2:6" ht="18" customHeight="1" x14ac:dyDescent="0.2">
      <c r="B71" s="4">
        <v>45</v>
      </c>
      <c r="C71" s="5" t="s">
        <v>182</v>
      </c>
      <c r="D71" s="6">
        <v>0.15</v>
      </c>
      <c r="E71" s="4" t="s">
        <v>68</v>
      </c>
      <c r="F71" s="7" t="s">
        <v>183</v>
      </c>
    </row>
    <row r="72" spans="2:6" ht="18" customHeight="1" x14ac:dyDescent="0.2">
      <c r="B72" s="4">
        <v>46</v>
      </c>
      <c r="C72" s="5" t="s">
        <v>184</v>
      </c>
      <c r="D72" s="6">
        <v>0.7</v>
      </c>
      <c r="E72" s="4" t="s">
        <v>68</v>
      </c>
      <c r="F72" s="7" t="s">
        <v>185</v>
      </c>
    </row>
    <row r="74" spans="2:6" ht="20" customHeight="1" x14ac:dyDescent="0.2">
      <c r="B74" s="490" t="s">
        <v>186</v>
      </c>
      <c r="C74" s="468"/>
      <c r="D74" s="468"/>
      <c r="E74" s="468"/>
      <c r="F74" s="468"/>
    </row>
    <row r="75" spans="2:6" ht="18" customHeight="1" x14ac:dyDescent="0.2">
      <c r="B75" s="4">
        <v>47</v>
      </c>
      <c r="C75" s="5" t="s">
        <v>187</v>
      </c>
      <c r="D75" s="9">
        <v>50</v>
      </c>
      <c r="E75" s="4" t="s">
        <v>188</v>
      </c>
      <c r="F75" s="7" t="s">
        <v>189</v>
      </c>
    </row>
    <row r="76" spans="2:6" ht="18" customHeight="1" x14ac:dyDescent="0.2">
      <c r="B76" s="4">
        <v>48</v>
      </c>
      <c r="C76" s="5" t="s">
        <v>190</v>
      </c>
      <c r="D76" s="11">
        <v>4740000</v>
      </c>
      <c r="E76" s="4" t="s">
        <v>191</v>
      </c>
      <c r="F76" s="7" t="s">
        <v>192</v>
      </c>
    </row>
    <row r="77" spans="2:6" ht="18" customHeight="1" x14ac:dyDescent="0.2">
      <c r="B77" s="4">
        <v>49</v>
      </c>
      <c r="C77" s="5" t="s">
        <v>193</v>
      </c>
      <c r="D77" s="11">
        <v>1422000</v>
      </c>
      <c r="E77" s="4" t="s">
        <v>191</v>
      </c>
      <c r="F77" s="7" t="s">
        <v>194</v>
      </c>
    </row>
    <row r="78" spans="2:6" ht="18" customHeight="1" x14ac:dyDescent="0.2">
      <c r="B78" s="4">
        <v>50</v>
      </c>
      <c r="C78" s="5" t="s">
        <v>195</v>
      </c>
      <c r="D78" s="11">
        <v>6162000</v>
      </c>
      <c r="E78" s="4" t="s">
        <v>191</v>
      </c>
      <c r="F78" s="7" t="s">
        <v>196</v>
      </c>
    </row>
    <row r="79" spans="2:6" ht="18" customHeight="1" x14ac:dyDescent="0.2">
      <c r="B79" s="4">
        <v>51</v>
      </c>
      <c r="C79" s="5" t="s">
        <v>197</v>
      </c>
      <c r="D79" s="8">
        <v>73.944000000000003</v>
      </c>
      <c r="E79" s="4" t="s">
        <v>14</v>
      </c>
      <c r="F79" s="7" t="s">
        <v>198</v>
      </c>
    </row>
    <row r="80" spans="2:6" x14ac:dyDescent="0.2">
      <c r="B80" s="4">
        <v>52</v>
      </c>
      <c r="C80" s="5" t="s">
        <v>199</v>
      </c>
      <c r="D80" s="8">
        <v>221.83199999999999</v>
      </c>
      <c r="E80" s="4" t="s">
        <v>14</v>
      </c>
      <c r="F80" s="7" t="s">
        <v>200</v>
      </c>
    </row>
    <row r="81" spans="2:6" ht="20" customHeight="1" x14ac:dyDescent="0.2">
      <c r="B81" s="468"/>
      <c r="C81" s="468"/>
      <c r="D81" s="468"/>
      <c r="E81" s="468"/>
      <c r="F81" s="468"/>
    </row>
    <row r="82" spans="2:6" ht="18" customHeight="1" x14ac:dyDescent="0.2">
      <c r="B82" s="1" t="s">
        <v>201</v>
      </c>
    </row>
    <row r="83" spans="2:6" ht="18" customHeight="1" x14ac:dyDescent="0.2">
      <c r="B83" s="4">
        <v>53</v>
      </c>
      <c r="C83" s="5" t="s">
        <v>202</v>
      </c>
      <c r="D83" s="9">
        <v>50</v>
      </c>
      <c r="E83" s="4" t="s">
        <v>188</v>
      </c>
      <c r="F83" s="7" t="s">
        <v>203</v>
      </c>
    </row>
    <row r="84" spans="2:6" ht="18" customHeight="1" x14ac:dyDescent="0.2">
      <c r="B84" s="4">
        <v>54</v>
      </c>
      <c r="C84" s="5" t="s">
        <v>204</v>
      </c>
      <c r="D84" s="9">
        <v>60</v>
      </c>
      <c r="E84" s="4" t="s">
        <v>188</v>
      </c>
      <c r="F84" s="7" t="s">
        <v>205</v>
      </c>
    </row>
    <row r="85" spans="2:6" ht="18" customHeight="1" x14ac:dyDescent="0.2">
      <c r="B85" s="4">
        <v>55</v>
      </c>
      <c r="C85" s="5" t="s">
        <v>206</v>
      </c>
      <c r="D85" s="9">
        <v>70</v>
      </c>
      <c r="E85" s="4" t="s">
        <v>188</v>
      </c>
      <c r="F85" s="7" t="s">
        <v>207</v>
      </c>
    </row>
    <row r="86" spans="2:6" ht="18" customHeight="1" x14ac:dyDescent="0.2">
      <c r="B86" s="4">
        <v>56</v>
      </c>
      <c r="C86" s="5" t="s">
        <v>208</v>
      </c>
      <c r="D86" s="6">
        <v>7.0000000000000007E-2</v>
      </c>
      <c r="E86" s="4" t="s">
        <v>68</v>
      </c>
      <c r="F86" s="7" t="s">
        <v>209</v>
      </c>
    </row>
    <row r="87" spans="2:6" x14ac:dyDescent="0.2">
      <c r="B87" s="4">
        <v>57</v>
      </c>
      <c r="C87" s="5" t="s">
        <v>210</v>
      </c>
      <c r="D87" s="6">
        <v>0.15</v>
      </c>
      <c r="E87" s="4" t="s">
        <v>68</v>
      </c>
      <c r="F87" s="7" t="s">
        <v>211</v>
      </c>
    </row>
    <row r="88" spans="2:6" ht="20" customHeight="1" x14ac:dyDescent="0.2">
      <c r="B88" s="468"/>
      <c r="C88" s="468"/>
      <c r="D88" s="468"/>
      <c r="E88" s="468"/>
      <c r="F88" s="468"/>
    </row>
    <row r="89" spans="2:6" ht="18" customHeight="1" x14ac:dyDescent="0.2">
      <c r="B89" s="1" t="s">
        <v>212</v>
      </c>
    </row>
    <row r="90" spans="2:6" ht="18" customHeight="1" x14ac:dyDescent="0.2">
      <c r="B90" s="4">
        <v>58</v>
      </c>
      <c r="C90" s="5" t="s">
        <v>213</v>
      </c>
      <c r="D90" s="8">
        <v>8.25</v>
      </c>
      <c r="E90" s="4" t="s">
        <v>14</v>
      </c>
      <c r="F90" s="7" t="s">
        <v>214</v>
      </c>
    </row>
    <row r="91" spans="2:6" ht="18" customHeight="1" x14ac:dyDescent="0.2">
      <c r="B91" s="4">
        <v>59</v>
      </c>
      <c r="C91" s="5" t="s">
        <v>215</v>
      </c>
      <c r="D91" s="8">
        <v>0.39600000000000002</v>
      </c>
      <c r="E91" s="4" t="s">
        <v>14</v>
      </c>
      <c r="F91" s="7" t="s">
        <v>216</v>
      </c>
    </row>
    <row r="92" spans="2:6" ht="18" customHeight="1" x14ac:dyDescent="0.2">
      <c r="B92" s="4">
        <v>60</v>
      </c>
      <c r="C92" s="5" t="s">
        <v>217</v>
      </c>
      <c r="D92" s="8">
        <v>5.9160000000000004</v>
      </c>
      <c r="E92" s="4" t="s">
        <v>14</v>
      </c>
      <c r="F92" s="7" t="s">
        <v>218</v>
      </c>
    </row>
    <row r="93" spans="2:6" ht="18" customHeight="1" x14ac:dyDescent="0.2">
      <c r="B93" s="4">
        <v>61</v>
      </c>
      <c r="C93" s="5" t="s">
        <v>219</v>
      </c>
      <c r="D93" s="8">
        <v>14.561999999999999</v>
      </c>
      <c r="E93" s="4" t="s">
        <v>14</v>
      </c>
      <c r="F93" s="7" t="s">
        <v>220</v>
      </c>
    </row>
    <row r="94" spans="2:6" x14ac:dyDescent="0.2">
      <c r="B94" s="4">
        <v>62</v>
      </c>
      <c r="C94" s="5" t="s">
        <v>221</v>
      </c>
      <c r="D94" s="8">
        <v>88.506</v>
      </c>
      <c r="E94" s="4" t="s">
        <v>14</v>
      </c>
      <c r="F94" s="7" t="s">
        <v>222</v>
      </c>
    </row>
    <row r="95" spans="2:6" ht="20" customHeight="1" x14ac:dyDescent="0.2">
      <c r="B95" s="468"/>
      <c r="C95" s="468"/>
      <c r="D95" s="468"/>
      <c r="E95" s="468"/>
      <c r="F95" s="468"/>
    </row>
    <row r="96" spans="2:6" ht="18" customHeight="1" x14ac:dyDescent="0.2">
      <c r="B96" s="1" t="s">
        <v>223</v>
      </c>
    </row>
    <row r="97" spans="2:6" ht="18" customHeight="1" x14ac:dyDescent="0.2">
      <c r="B97" s="4">
        <v>63</v>
      </c>
      <c r="C97" s="5" t="s">
        <v>224</v>
      </c>
      <c r="D97" s="8">
        <v>1850</v>
      </c>
      <c r="E97" s="4" t="s">
        <v>14</v>
      </c>
      <c r="F97" s="7" t="s">
        <v>225</v>
      </c>
    </row>
    <row r="98" spans="2:6" ht="18" customHeight="1" x14ac:dyDescent="0.2">
      <c r="B98" s="4">
        <v>64</v>
      </c>
      <c r="C98" s="5" t="s">
        <v>226</v>
      </c>
      <c r="D98" s="8">
        <v>154.19999999999999</v>
      </c>
      <c r="E98" s="4" t="s">
        <v>14</v>
      </c>
      <c r="F98" s="7" t="s">
        <v>100</v>
      </c>
    </row>
    <row r="99" spans="2:6" ht="18" customHeight="1" x14ac:dyDescent="0.2">
      <c r="B99" s="4">
        <v>65</v>
      </c>
      <c r="C99" s="5" t="s">
        <v>227</v>
      </c>
      <c r="D99" s="9">
        <v>18</v>
      </c>
      <c r="E99" s="4" t="s">
        <v>228</v>
      </c>
      <c r="F99" s="7" t="s">
        <v>229</v>
      </c>
    </row>
    <row r="100" spans="2:6" ht="18" customHeight="1" x14ac:dyDescent="0.2">
      <c r="B100" s="4">
        <v>66</v>
      </c>
      <c r="C100" s="5" t="s">
        <v>230</v>
      </c>
      <c r="D100" s="9">
        <v>12</v>
      </c>
      <c r="E100" s="4" t="s">
        <v>228</v>
      </c>
      <c r="F100" s="7" t="s">
        <v>231</v>
      </c>
    </row>
    <row r="101" spans="2:6" x14ac:dyDescent="0.2">
      <c r="B101" s="4">
        <v>67</v>
      </c>
      <c r="C101" s="5" t="s">
        <v>232</v>
      </c>
      <c r="D101" s="6">
        <v>0.15</v>
      </c>
      <c r="E101" s="4" t="s">
        <v>68</v>
      </c>
      <c r="F101" s="7" t="s">
        <v>233</v>
      </c>
    </row>
    <row r="102" spans="2:6" ht="20" customHeight="1" x14ac:dyDescent="0.2">
      <c r="B102" s="468"/>
      <c r="C102" s="468"/>
      <c r="D102" s="468"/>
      <c r="E102" s="468"/>
      <c r="F102" s="468"/>
    </row>
    <row r="103" spans="2:6" ht="18" customHeight="1" x14ac:dyDescent="0.2">
      <c r="B103" s="1" t="s">
        <v>234</v>
      </c>
    </row>
    <row r="104" spans="2:6" ht="18" customHeight="1" x14ac:dyDescent="0.2">
      <c r="B104" s="4">
        <v>68</v>
      </c>
      <c r="C104" s="5" t="s">
        <v>235</v>
      </c>
      <c r="D104" s="9">
        <v>45</v>
      </c>
      <c r="E104" s="4" t="s">
        <v>236</v>
      </c>
      <c r="F104" s="7" t="s">
        <v>237</v>
      </c>
    </row>
    <row r="105" spans="2:6" ht="18" customHeight="1" x14ac:dyDescent="0.2">
      <c r="B105" s="4">
        <v>69</v>
      </c>
      <c r="C105" s="5" t="s">
        <v>238</v>
      </c>
      <c r="D105" s="9">
        <v>30</v>
      </c>
      <c r="E105" s="4" t="s">
        <v>236</v>
      </c>
      <c r="F105" s="7" t="s">
        <v>239</v>
      </c>
    </row>
    <row r="106" spans="2:6" ht="18" customHeight="1" x14ac:dyDescent="0.2">
      <c r="B106" s="4">
        <v>70</v>
      </c>
      <c r="C106" s="5" t="s">
        <v>240</v>
      </c>
      <c r="D106" s="9">
        <v>60</v>
      </c>
      <c r="E106" s="4" t="s">
        <v>236</v>
      </c>
      <c r="F106" s="7" t="s">
        <v>241</v>
      </c>
    </row>
    <row r="107" spans="2:6" ht="18" customHeight="1" x14ac:dyDescent="0.2">
      <c r="B107" s="4">
        <v>71</v>
      </c>
      <c r="C107" s="5" t="s">
        <v>242</v>
      </c>
      <c r="D107" s="9">
        <v>75</v>
      </c>
      <c r="E107" s="4" t="s">
        <v>236</v>
      </c>
      <c r="F107" s="7" t="s">
        <v>243</v>
      </c>
    </row>
    <row r="108" spans="2:6" ht="18" customHeight="1" x14ac:dyDescent="0.2">
      <c r="B108" s="4">
        <v>72</v>
      </c>
      <c r="C108" s="5" t="s">
        <v>244</v>
      </c>
      <c r="D108" s="8">
        <v>50</v>
      </c>
      <c r="E108" s="4" t="s">
        <v>14</v>
      </c>
      <c r="F108" s="7" t="s">
        <v>245</v>
      </c>
    </row>
    <row r="109" spans="2:6" ht="18" customHeight="1" x14ac:dyDescent="0.2"/>
    <row r="110" spans="2:6" ht="18" customHeight="1" x14ac:dyDescent="0.2">
      <c r="B110" s="1" t="s">
        <v>246</v>
      </c>
    </row>
    <row r="111" spans="2:6" x14ac:dyDescent="0.2">
      <c r="B111" s="4">
        <v>73</v>
      </c>
      <c r="C111" s="5" t="s">
        <v>247</v>
      </c>
      <c r="D111" s="10">
        <v>3</v>
      </c>
      <c r="E111" s="4" t="s">
        <v>130</v>
      </c>
      <c r="F111" s="7" t="s">
        <v>248</v>
      </c>
    </row>
    <row r="112" spans="2:6" ht="22" customHeight="1" x14ac:dyDescent="0.2">
      <c r="B112" s="486">
        <v>74</v>
      </c>
      <c r="C112" s="487"/>
      <c r="D112" s="487"/>
      <c r="E112" s="487"/>
      <c r="F112" s="488"/>
    </row>
    <row r="113" spans="2:6" x14ac:dyDescent="0.2">
      <c r="B113" s="4">
        <v>75</v>
      </c>
      <c r="C113" s="5" t="s">
        <v>249</v>
      </c>
      <c r="D113" s="10">
        <v>7</v>
      </c>
      <c r="E113" s="4" t="s">
        <v>130</v>
      </c>
      <c r="F113" s="7" t="s">
        <v>250</v>
      </c>
    </row>
    <row r="114" spans="2:6" ht="22" customHeight="1" x14ac:dyDescent="0.2">
      <c r="B114" s="486">
        <v>76</v>
      </c>
      <c r="C114" s="487"/>
      <c r="D114" s="487"/>
      <c r="E114" s="488"/>
      <c r="F114" s="7" t="s">
        <v>251</v>
      </c>
    </row>
    <row r="115" spans="2:6" ht="36" customHeight="1" x14ac:dyDescent="0.2">
      <c r="B115" s="486">
        <v>77</v>
      </c>
      <c r="C115" s="487"/>
      <c r="D115" s="487"/>
      <c r="E115" s="488"/>
      <c r="F115" s="7" t="s">
        <v>252</v>
      </c>
    </row>
    <row r="116" spans="2:6" x14ac:dyDescent="0.2">
      <c r="B116" s="4">
        <v>78</v>
      </c>
      <c r="C116" s="5" t="s">
        <v>253</v>
      </c>
      <c r="D116" s="9">
        <v>2032</v>
      </c>
      <c r="E116" s="4" t="s">
        <v>254</v>
      </c>
      <c r="F116" s="7" t="s">
        <v>255</v>
      </c>
    </row>
    <row r="117" spans="2:6" ht="18" customHeight="1" x14ac:dyDescent="0.2">
      <c r="B117" s="4">
        <v>79</v>
      </c>
      <c r="C117" s="5" t="s">
        <v>256</v>
      </c>
      <c r="D117" s="6">
        <v>0.3</v>
      </c>
      <c r="E117" s="4" t="s">
        <v>68</v>
      </c>
      <c r="F117" s="7" t="s">
        <v>257</v>
      </c>
    </row>
    <row r="118" spans="2:6" ht="20" customHeight="1" x14ac:dyDescent="0.2">
      <c r="B118" s="4">
        <v>80</v>
      </c>
      <c r="C118" s="5" t="s">
        <v>258</v>
      </c>
      <c r="D118" s="10">
        <v>2.5</v>
      </c>
      <c r="E118" s="4" t="s">
        <v>130</v>
      </c>
      <c r="F118" s="7" t="s">
        <v>259</v>
      </c>
    </row>
    <row r="119" spans="2:6" ht="20" customHeight="1" x14ac:dyDescent="0.2"/>
    <row r="120" spans="2:6" ht="20" customHeight="1" x14ac:dyDescent="0.2">
      <c r="B120" s="12" t="s">
        <v>260</v>
      </c>
    </row>
    <row r="121" spans="2:6" ht="20" customHeight="1" x14ac:dyDescent="0.2"/>
    <row r="122" spans="2:6" ht="20" customHeight="1" x14ac:dyDescent="0.2">
      <c r="B122" s="110" t="s">
        <v>261</v>
      </c>
      <c r="C122" s="139"/>
      <c r="D122" s="139"/>
      <c r="E122" s="138"/>
    </row>
    <row r="123" spans="2:6" ht="20" customHeight="1" x14ac:dyDescent="0.2">
      <c r="B123" s="111" t="s">
        <v>262</v>
      </c>
    </row>
    <row r="125" spans="2:6" x14ac:dyDescent="0.2">
      <c r="B125" s="479" t="s">
        <v>61</v>
      </c>
      <c r="C125" s="473"/>
      <c r="D125" s="473"/>
      <c r="E125" s="466"/>
    </row>
    <row r="126" spans="2:6" ht="18" customHeight="1" x14ac:dyDescent="0.2">
      <c r="B126" s="109" t="s">
        <v>263</v>
      </c>
      <c r="C126" s="108" t="s">
        <v>264</v>
      </c>
      <c r="D126" s="112">
        <v>2152</v>
      </c>
      <c r="E126" s="113" t="s">
        <v>265</v>
      </c>
    </row>
    <row r="127" spans="2:6" ht="18" customHeight="1" x14ac:dyDescent="0.2">
      <c r="B127" s="109" t="s">
        <v>266</v>
      </c>
      <c r="C127" s="108" t="s">
        <v>267</v>
      </c>
      <c r="D127" s="112">
        <v>600</v>
      </c>
      <c r="E127" s="113" t="s">
        <v>268</v>
      </c>
    </row>
    <row r="128" spans="2:6" ht="18" customHeight="1" x14ac:dyDescent="0.2">
      <c r="B128" s="109" t="s">
        <v>269</v>
      </c>
      <c r="C128" s="108" t="s">
        <v>270</v>
      </c>
      <c r="D128" s="112">
        <v>248</v>
      </c>
      <c r="E128" s="113" t="s">
        <v>271</v>
      </c>
    </row>
    <row r="129" spans="2:5" ht="18" customHeight="1" x14ac:dyDescent="0.2">
      <c r="B129" s="114" t="s">
        <v>272</v>
      </c>
      <c r="C129" s="115" t="s">
        <v>273</v>
      </c>
      <c r="D129" s="116">
        <v>3000</v>
      </c>
      <c r="E129" s="117" t="s">
        <v>274</v>
      </c>
    </row>
    <row r="130" spans="2:5" ht="18" customHeight="1" x14ac:dyDescent="0.2">
      <c r="B130" s="109" t="s">
        <v>275</v>
      </c>
      <c r="C130" s="108" t="s">
        <v>276</v>
      </c>
      <c r="D130" s="112">
        <v>-500</v>
      </c>
      <c r="E130" s="113" t="s">
        <v>277</v>
      </c>
    </row>
    <row r="131" spans="2:5" ht="18" customHeight="1" x14ac:dyDescent="0.2">
      <c r="B131" s="114" t="s">
        <v>272</v>
      </c>
      <c r="C131" s="115" t="s">
        <v>278</v>
      </c>
      <c r="D131" s="116">
        <v>2500</v>
      </c>
      <c r="E131" s="117" t="s">
        <v>279</v>
      </c>
    </row>
    <row r="132" spans="2:5" ht="18" customHeight="1" x14ac:dyDescent="0.2"/>
    <row r="133" spans="2:5" ht="18" customHeight="1" x14ac:dyDescent="0.2">
      <c r="B133" s="118" t="s">
        <v>280</v>
      </c>
    </row>
    <row r="134" spans="2:5" ht="65" x14ac:dyDescent="0.2">
      <c r="B134" s="109" t="s">
        <v>281</v>
      </c>
      <c r="C134" s="108" t="s">
        <v>282</v>
      </c>
      <c r="D134" s="119">
        <v>1250</v>
      </c>
      <c r="E134" s="120" t="s">
        <v>283</v>
      </c>
    </row>
    <row r="135" spans="2:5" ht="52" x14ac:dyDescent="0.2">
      <c r="B135" s="109" t="s">
        <v>284</v>
      </c>
      <c r="C135" s="108" t="s">
        <v>285</v>
      </c>
      <c r="D135" s="119">
        <v>600</v>
      </c>
      <c r="E135" s="120" t="s">
        <v>286</v>
      </c>
    </row>
    <row r="136" spans="2:5" ht="65" x14ac:dyDescent="0.2">
      <c r="B136" s="109" t="s">
        <v>287</v>
      </c>
      <c r="C136" s="108" t="s">
        <v>288</v>
      </c>
      <c r="D136" s="119">
        <v>1850</v>
      </c>
      <c r="E136" s="120" t="s">
        <v>289</v>
      </c>
    </row>
    <row r="137" spans="2:5" ht="39" x14ac:dyDescent="0.2">
      <c r="B137" s="109" t="s">
        <v>290</v>
      </c>
      <c r="C137" s="108" t="s">
        <v>291</v>
      </c>
      <c r="D137" s="121">
        <v>277.5</v>
      </c>
      <c r="E137" s="120" t="s">
        <v>292</v>
      </c>
    </row>
    <row r="138" spans="2:5" ht="39" x14ac:dyDescent="0.2">
      <c r="B138" s="109" t="s">
        <v>293</v>
      </c>
      <c r="C138" s="108" t="s">
        <v>294</v>
      </c>
      <c r="D138" s="122" t="s">
        <v>295</v>
      </c>
      <c r="E138" s="120" t="s">
        <v>296</v>
      </c>
    </row>
    <row r="139" spans="2:5" ht="39" x14ac:dyDescent="0.2">
      <c r="B139" s="109" t="s">
        <v>297</v>
      </c>
      <c r="C139" s="108" t="s">
        <v>298</v>
      </c>
      <c r="D139" s="119">
        <v>3000</v>
      </c>
      <c r="E139" s="120" t="s">
        <v>299</v>
      </c>
    </row>
    <row r="140" spans="2:5" ht="39" x14ac:dyDescent="0.2">
      <c r="B140" s="109" t="s">
        <v>300</v>
      </c>
      <c r="C140" s="108" t="s">
        <v>301</v>
      </c>
      <c r="D140" s="119">
        <v>2152</v>
      </c>
      <c r="E140" s="120" t="s">
        <v>302</v>
      </c>
    </row>
    <row r="141" spans="2:5" ht="52" x14ac:dyDescent="0.2">
      <c r="B141" s="109" t="s">
        <v>303</v>
      </c>
      <c r="C141" s="108" t="s">
        <v>304</v>
      </c>
      <c r="D141" s="119">
        <v>1689</v>
      </c>
      <c r="E141" s="120" t="s">
        <v>305</v>
      </c>
    </row>
  </sheetData>
  <mergeCells count="19"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  <mergeCell ref="B16:F16"/>
    <mergeCell ref="B81:F81"/>
    <mergeCell ref="B25:F25"/>
  </mergeCells>
  <printOptions horizontalCentered="1"/>
  <pageMargins left="0.59" right="0.59" top="0.59" bottom="0.59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F33"/>
  <sheetViews>
    <sheetView showGridLines="0" workbookViewId="0">
      <pane ySplit="5" topLeftCell="A6" activePane="bottomLeft" state="frozen"/>
      <selection pane="bottomLeft" activeCell="L14" sqref="L14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3" width="14" customWidth="1"/>
    <col min="4" max="4" width="22" customWidth="1"/>
    <col min="5" max="5" width="70" customWidth="1"/>
    <col min="6" max="6" width="18" customWidth="1"/>
    <col min="7" max="7" width="2" customWidth="1"/>
  </cols>
  <sheetData>
    <row r="2" spans="2:6" ht="30" customHeight="1" x14ac:dyDescent="0.2">
      <c r="B2" s="489" t="s">
        <v>306</v>
      </c>
      <c r="C2" s="468"/>
      <c r="D2" s="468"/>
      <c r="E2" s="468"/>
      <c r="F2" s="468"/>
    </row>
    <row r="3" spans="2:6" x14ac:dyDescent="0.2">
      <c r="B3" s="491" t="s">
        <v>307</v>
      </c>
      <c r="C3" s="468"/>
      <c r="D3" s="468"/>
      <c r="E3" s="468"/>
      <c r="F3" s="468"/>
    </row>
    <row r="5" spans="2:6" ht="22" customHeight="1" x14ac:dyDescent="0.2">
      <c r="B5" s="3" t="s">
        <v>308</v>
      </c>
      <c r="C5" s="3" t="s">
        <v>309</v>
      </c>
      <c r="D5" s="3" t="s">
        <v>310</v>
      </c>
      <c r="E5" s="3" t="s">
        <v>311</v>
      </c>
      <c r="F5" s="3" t="s">
        <v>312</v>
      </c>
    </row>
    <row r="6" spans="2:6" ht="36" customHeight="1" x14ac:dyDescent="0.2">
      <c r="B6" s="13" t="s">
        <v>313</v>
      </c>
      <c r="C6" s="14" t="s">
        <v>314</v>
      </c>
      <c r="D6" s="5" t="s">
        <v>315</v>
      </c>
      <c r="E6" s="15" t="s">
        <v>316</v>
      </c>
      <c r="F6" s="16" t="s">
        <v>317</v>
      </c>
    </row>
    <row r="7" spans="2:6" ht="36" customHeight="1" x14ac:dyDescent="0.2">
      <c r="B7" s="13" t="s">
        <v>318</v>
      </c>
      <c r="C7" s="14" t="s">
        <v>319</v>
      </c>
      <c r="D7" s="5" t="s">
        <v>315</v>
      </c>
      <c r="E7" s="15" t="s">
        <v>320</v>
      </c>
      <c r="F7" s="16" t="s">
        <v>317</v>
      </c>
    </row>
    <row r="8" spans="2:6" ht="36" customHeight="1" x14ac:dyDescent="0.2">
      <c r="B8" s="13" t="s">
        <v>321</v>
      </c>
      <c r="C8" s="14" t="s">
        <v>322</v>
      </c>
      <c r="D8" s="5" t="s">
        <v>315</v>
      </c>
      <c r="E8" s="15" t="s">
        <v>323</v>
      </c>
      <c r="F8" s="16" t="s">
        <v>317</v>
      </c>
    </row>
    <row r="9" spans="2:6" ht="36" customHeight="1" x14ac:dyDescent="0.2">
      <c r="B9" s="13" t="s">
        <v>324</v>
      </c>
      <c r="C9" s="14" t="s">
        <v>325</v>
      </c>
      <c r="D9" s="5" t="s">
        <v>315</v>
      </c>
      <c r="E9" s="15" t="s">
        <v>326</v>
      </c>
      <c r="F9" s="16" t="s">
        <v>317</v>
      </c>
    </row>
    <row r="10" spans="2:6" ht="36" customHeight="1" x14ac:dyDescent="0.2">
      <c r="B10" s="13" t="s">
        <v>327</v>
      </c>
      <c r="C10" s="14" t="s">
        <v>328</v>
      </c>
      <c r="D10" s="5" t="s">
        <v>315</v>
      </c>
      <c r="E10" s="15" t="s">
        <v>329</v>
      </c>
      <c r="F10" s="460" t="s">
        <v>317</v>
      </c>
    </row>
    <row r="11" spans="2:6" ht="85" x14ac:dyDescent="0.2">
      <c r="B11" s="461" t="s">
        <v>330</v>
      </c>
      <c r="C11" s="462" t="s">
        <v>331</v>
      </c>
      <c r="D11" s="462" t="s">
        <v>332</v>
      </c>
      <c r="E11" s="462" t="s">
        <v>333</v>
      </c>
      <c r="F11" s="462" t="s">
        <v>334</v>
      </c>
    </row>
    <row r="12" spans="2:6" ht="20" customHeight="1" x14ac:dyDescent="0.2">
      <c r="B12" s="468"/>
      <c r="C12" s="468"/>
      <c r="D12" s="468"/>
      <c r="E12" s="468"/>
      <c r="F12" s="468"/>
    </row>
    <row r="13" spans="2:6" ht="16" customHeight="1" x14ac:dyDescent="0.2">
      <c r="B13" s="1" t="s">
        <v>335</v>
      </c>
      <c r="C13" s="468"/>
      <c r="D13" s="468"/>
      <c r="E13" s="468"/>
    </row>
    <row r="14" spans="2:6" ht="16" customHeight="1" x14ac:dyDescent="0.2">
      <c r="B14" s="18" t="s">
        <v>336</v>
      </c>
      <c r="C14" s="492" t="s">
        <v>337</v>
      </c>
      <c r="D14" s="487"/>
      <c r="E14" s="488"/>
      <c r="F14" s="20" t="s">
        <v>338</v>
      </c>
    </row>
    <row r="15" spans="2:6" ht="16" customHeight="1" x14ac:dyDescent="0.2">
      <c r="B15" s="18" t="s">
        <v>339</v>
      </c>
      <c r="C15" s="492" t="s">
        <v>340</v>
      </c>
      <c r="D15" s="487"/>
      <c r="E15" s="488"/>
      <c r="F15" s="20" t="s">
        <v>338</v>
      </c>
    </row>
    <row r="16" spans="2:6" ht="16" customHeight="1" x14ac:dyDescent="0.2">
      <c r="B16" s="18" t="s">
        <v>341</v>
      </c>
      <c r="C16" s="492" t="s">
        <v>342</v>
      </c>
      <c r="D16" s="487"/>
      <c r="E16" s="488"/>
      <c r="F16" s="20" t="s">
        <v>338</v>
      </c>
    </row>
    <row r="17" spans="2:6" ht="16" customHeight="1" x14ac:dyDescent="0.2">
      <c r="B17" s="18" t="s">
        <v>343</v>
      </c>
      <c r="C17" s="492" t="s">
        <v>344</v>
      </c>
      <c r="D17" s="487"/>
      <c r="E17" s="488"/>
      <c r="F17" s="21" t="s">
        <v>345</v>
      </c>
    </row>
    <row r="18" spans="2:6" ht="16" customHeight="1" x14ac:dyDescent="0.2">
      <c r="B18" s="18" t="s">
        <v>346</v>
      </c>
      <c r="C18" s="492" t="s">
        <v>347</v>
      </c>
      <c r="D18" s="487"/>
      <c r="E18" s="488"/>
      <c r="F18" s="21" t="s">
        <v>345</v>
      </c>
    </row>
    <row r="19" spans="2:6" ht="16" customHeight="1" x14ac:dyDescent="0.2">
      <c r="B19" s="18" t="s">
        <v>348</v>
      </c>
      <c r="C19" s="492" t="s">
        <v>349</v>
      </c>
      <c r="D19" s="487"/>
      <c r="E19" s="488"/>
      <c r="F19" s="21" t="s">
        <v>345</v>
      </c>
    </row>
    <row r="20" spans="2:6" ht="16" customHeight="1" x14ac:dyDescent="0.2">
      <c r="B20" s="18" t="s">
        <v>350</v>
      </c>
      <c r="C20" s="492" t="s">
        <v>351</v>
      </c>
      <c r="D20" s="487"/>
      <c r="E20" s="488"/>
      <c r="F20" s="21" t="s">
        <v>345</v>
      </c>
    </row>
    <row r="21" spans="2:6" ht="16" customHeight="1" x14ac:dyDescent="0.2">
      <c r="B21" s="18" t="s">
        <v>352</v>
      </c>
      <c r="C21" s="492" t="s">
        <v>353</v>
      </c>
      <c r="D21" s="487"/>
      <c r="E21" s="488"/>
      <c r="F21" s="21" t="s">
        <v>345</v>
      </c>
    </row>
    <row r="22" spans="2:6" ht="16" customHeight="1" x14ac:dyDescent="0.2">
      <c r="B22" s="18" t="s">
        <v>354</v>
      </c>
      <c r="C22" s="492" t="s">
        <v>355</v>
      </c>
      <c r="D22" s="487"/>
      <c r="E22" s="488"/>
      <c r="F22" s="21" t="s">
        <v>345</v>
      </c>
    </row>
    <row r="23" spans="2:6" ht="16" customHeight="1" x14ac:dyDescent="0.2">
      <c r="B23" s="18" t="s">
        <v>356</v>
      </c>
      <c r="C23" s="492" t="s">
        <v>357</v>
      </c>
      <c r="D23" s="487"/>
      <c r="E23" s="488"/>
      <c r="F23" s="21" t="s">
        <v>345</v>
      </c>
    </row>
    <row r="24" spans="2:6" ht="16" customHeight="1" x14ac:dyDescent="0.2">
      <c r="B24" s="18" t="s">
        <v>358</v>
      </c>
      <c r="C24" s="492" t="s">
        <v>359</v>
      </c>
      <c r="D24" s="487"/>
      <c r="E24" s="488"/>
      <c r="F24" s="21" t="s">
        <v>345</v>
      </c>
    </row>
    <row r="25" spans="2:6" ht="16" customHeight="1" x14ac:dyDescent="0.2">
      <c r="B25" s="18" t="s">
        <v>360</v>
      </c>
      <c r="C25" s="492" t="s">
        <v>361</v>
      </c>
      <c r="D25" s="487"/>
      <c r="E25" s="488"/>
      <c r="F25" s="21" t="s">
        <v>345</v>
      </c>
    </row>
    <row r="26" spans="2:6" ht="16" customHeight="1" x14ac:dyDescent="0.2">
      <c r="B26" s="18" t="s">
        <v>362</v>
      </c>
      <c r="C26" s="492" t="s">
        <v>363</v>
      </c>
      <c r="D26" s="487"/>
      <c r="E26" s="488"/>
      <c r="F26" s="21" t="s">
        <v>345</v>
      </c>
    </row>
    <row r="27" spans="2:6" ht="16" customHeight="1" x14ac:dyDescent="0.2">
      <c r="B27" s="18" t="s">
        <v>364</v>
      </c>
      <c r="C27" s="492" t="s">
        <v>365</v>
      </c>
      <c r="D27" s="487"/>
      <c r="E27" s="488"/>
      <c r="F27" s="21" t="s">
        <v>345</v>
      </c>
    </row>
    <row r="28" spans="2:6" ht="16" customHeight="1" x14ac:dyDescent="0.2">
      <c r="B28" s="18" t="s">
        <v>366</v>
      </c>
      <c r="C28" s="492" t="s">
        <v>367</v>
      </c>
      <c r="D28" s="487"/>
      <c r="E28" s="488"/>
      <c r="F28" s="21" t="s">
        <v>345</v>
      </c>
    </row>
    <row r="29" spans="2:6" ht="16" customHeight="1" x14ac:dyDescent="0.2">
      <c r="B29" s="18" t="s">
        <v>368</v>
      </c>
      <c r="C29" s="492" t="s">
        <v>369</v>
      </c>
      <c r="D29" s="487"/>
      <c r="E29" s="488"/>
      <c r="F29" s="21" t="s">
        <v>345</v>
      </c>
    </row>
    <row r="30" spans="2:6" ht="16" customHeight="1" x14ac:dyDescent="0.2">
      <c r="B30" s="18" t="s">
        <v>370</v>
      </c>
      <c r="C30" s="492" t="s">
        <v>371</v>
      </c>
      <c r="D30" s="487"/>
      <c r="E30" s="488"/>
      <c r="F30" s="21" t="s">
        <v>345</v>
      </c>
    </row>
    <row r="31" spans="2:6" ht="16" customHeight="1" x14ac:dyDescent="0.2">
      <c r="B31" s="18" t="s">
        <v>372</v>
      </c>
      <c r="C31" s="492" t="s">
        <v>373</v>
      </c>
      <c r="D31" s="487"/>
      <c r="E31" s="488"/>
      <c r="F31" s="21" t="s">
        <v>345</v>
      </c>
    </row>
    <row r="32" spans="2:6" x14ac:dyDescent="0.2">
      <c r="B32" s="18" t="s">
        <v>374</v>
      </c>
      <c r="C32" s="19" t="s">
        <v>375</v>
      </c>
      <c r="D32" s="22"/>
      <c r="E32" s="23"/>
      <c r="F32" s="21" t="s">
        <v>345</v>
      </c>
    </row>
    <row r="33" spans="1:4" x14ac:dyDescent="0.2">
      <c r="A33" t="s">
        <v>3124</v>
      </c>
      <c r="B33" t="s">
        <v>3125</v>
      </c>
      <c r="C33" t="s">
        <v>3126</v>
      </c>
      <c r="D33" t="s">
        <v>3127</v>
      </c>
    </row>
  </sheetData>
  <mergeCells count="22">
    <mergeCell ref="C31:E31"/>
    <mergeCell ref="C22:E22"/>
    <mergeCell ref="B3:F3"/>
    <mergeCell ref="C21:E21"/>
    <mergeCell ref="B12:F12"/>
    <mergeCell ref="C27:E27"/>
    <mergeCell ref="C30:E30"/>
    <mergeCell ref="C29:E29"/>
    <mergeCell ref="B2:F2"/>
    <mergeCell ref="C23:E23"/>
    <mergeCell ref="C17:E17"/>
    <mergeCell ref="C28:E28"/>
    <mergeCell ref="C13:E13"/>
    <mergeCell ref="C19:E19"/>
    <mergeCell ref="C18:E18"/>
    <mergeCell ref="C15:E15"/>
    <mergeCell ref="C24:E24"/>
    <mergeCell ref="C14:E14"/>
    <mergeCell ref="C26:E26"/>
    <mergeCell ref="C20:E20"/>
    <mergeCell ref="C25:E25"/>
    <mergeCell ref="C16:E16"/>
  </mergeCells>
  <printOptions horizontalCentered="1"/>
  <pageMargins left="0.59" right="0.59" top="0.59" bottom="0.59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23"/>
  <sheetViews>
    <sheetView showGridLines="0" workbookViewId="0">
      <pane ySplit="5" topLeftCell="A6" activePane="bottomLeft" state="frozen"/>
      <selection pane="bottomLeft" activeCell="F19" sqref="F19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34" customWidth="1"/>
    <col min="4" max="4" width="10" customWidth="1"/>
    <col min="5" max="9" width="16" customWidth="1"/>
    <col min="10" max="10" width="2" customWidth="1"/>
  </cols>
  <sheetData>
    <row r="2" spans="2:15" ht="30" customHeight="1" x14ac:dyDescent="0.2">
      <c r="B2" s="489" t="s">
        <v>3128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</row>
    <row r="3" spans="2:15" x14ac:dyDescent="0.2">
      <c r="B3" s="491" t="s">
        <v>3129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</row>
    <row r="5" spans="2:15" ht="32" customHeight="1" x14ac:dyDescent="0.2">
      <c r="B5" s="24" t="s">
        <v>61</v>
      </c>
      <c r="C5" s="24" t="s">
        <v>376</v>
      </c>
      <c r="D5" s="24" t="s">
        <v>377</v>
      </c>
      <c r="E5" s="24" t="s">
        <v>378</v>
      </c>
      <c r="F5" s="24" t="s">
        <v>379</v>
      </c>
      <c r="G5" s="24" t="s">
        <v>380</v>
      </c>
      <c r="H5" s="24" t="s">
        <v>381</v>
      </c>
      <c r="I5" s="24" t="s">
        <v>382</v>
      </c>
    </row>
    <row r="6" spans="2:15" ht="20" customHeight="1" x14ac:dyDescent="0.2">
      <c r="B6" s="25">
        <v>1</v>
      </c>
      <c r="C6" s="5" t="s">
        <v>3130</v>
      </c>
      <c r="D6" s="26">
        <v>7</v>
      </c>
      <c r="E6" s="27">
        <v>200000</v>
      </c>
      <c r="F6" s="28">
        <f t="shared" ref="F6:F13" si="0">D6*E6</f>
        <v>1000000</v>
      </c>
      <c r="G6" s="28">
        <f t="shared" ref="G6:G13" si="1">F6*0.3</f>
        <v>300000</v>
      </c>
      <c r="H6" s="29">
        <f t="shared" ref="H6:H13" si="2">F6+G6</f>
        <v>1300000</v>
      </c>
      <c r="I6" s="29">
        <f t="shared" ref="I6:I13" si="3">H6*12</f>
        <v>15600000</v>
      </c>
    </row>
    <row r="7" spans="2:15" ht="20" customHeight="1" x14ac:dyDescent="0.2">
      <c r="B7" s="25">
        <v>2</v>
      </c>
      <c r="C7" s="5" t="s">
        <v>383</v>
      </c>
      <c r="D7" s="26">
        <v>3</v>
      </c>
      <c r="E7" s="27">
        <v>150000</v>
      </c>
      <c r="F7" s="28">
        <f t="shared" si="0"/>
        <v>450000</v>
      </c>
      <c r="G7" s="28">
        <f t="shared" si="1"/>
        <v>135000</v>
      </c>
      <c r="H7" s="29">
        <f t="shared" si="2"/>
        <v>585000</v>
      </c>
      <c r="I7" s="29">
        <f t="shared" si="3"/>
        <v>7020000</v>
      </c>
    </row>
    <row r="8" spans="2:15" ht="20" customHeight="1" x14ac:dyDescent="0.2">
      <c r="B8" s="25">
        <v>3</v>
      </c>
      <c r="C8" s="5" t="s">
        <v>384</v>
      </c>
      <c r="D8" s="26">
        <v>8</v>
      </c>
      <c r="E8" s="27">
        <v>150000</v>
      </c>
      <c r="F8" s="28">
        <f t="shared" si="0"/>
        <v>600000</v>
      </c>
      <c r="G8" s="28">
        <f t="shared" si="1"/>
        <v>180000</v>
      </c>
      <c r="H8" s="29">
        <f t="shared" si="2"/>
        <v>780000</v>
      </c>
      <c r="I8" s="29">
        <f t="shared" si="3"/>
        <v>9360000</v>
      </c>
    </row>
    <row r="9" spans="2:15" ht="20" customHeight="1" x14ac:dyDescent="0.2">
      <c r="B9" s="25">
        <v>4</v>
      </c>
      <c r="C9" s="5" t="s">
        <v>385</v>
      </c>
      <c r="D9" s="26">
        <v>5</v>
      </c>
      <c r="E9" s="27">
        <v>140000</v>
      </c>
      <c r="F9" s="28">
        <f t="shared" si="0"/>
        <v>700000</v>
      </c>
      <c r="G9" s="28">
        <f t="shared" si="1"/>
        <v>210000</v>
      </c>
      <c r="H9" s="29">
        <f t="shared" si="2"/>
        <v>910000</v>
      </c>
      <c r="I9" s="29">
        <f t="shared" si="3"/>
        <v>10920000</v>
      </c>
    </row>
    <row r="10" spans="2:15" ht="20" customHeight="1" x14ac:dyDescent="0.2">
      <c r="B10" s="25">
        <v>5</v>
      </c>
      <c r="C10" s="5" t="s">
        <v>386</v>
      </c>
      <c r="D10" s="26">
        <v>4</v>
      </c>
      <c r="E10" s="27">
        <v>110000</v>
      </c>
      <c r="F10" s="28">
        <f t="shared" si="0"/>
        <v>320000</v>
      </c>
      <c r="G10" s="28">
        <f>F10*0.3</f>
        <v>96000</v>
      </c>
      <c r="H10" s="29">
        <f t="shared" si="2"/>
        <v>416000</v>
      </c>
      <c r="I10" s="29">
        <f t="shared" si="3"/>
        <v>4992000</v>
      </c>
    </row>
    <row r="11" spans="2:15" ht="20" customHeight="1" x14ac:dyDescent="0.2">
      <c r="B11" s="25">
        <v>6</v>
      </c>
      <c r="C11" s="5" t="s">
        <v>387</v>
      </c>
      <c r="D11" s="26">
        <v>8</v>
      </c>
      <c r="E11" s="27">
        <v>180000</v>
      </c>
      <c r="F11" s="28">
        <f t="shared" si="0"/>
        <v>900000</v>
      </c>
      <c r="G11" s="28">
        <f t="shared" si="1"/>
        <v>270000</v>
      </c>
      <c r="H11" s="29">
        <f t="shared" si="2"/>
        <v>1170000</v>
      </c>
      <c r="I11" s="29">
        <f t="shared" si="3"/>
        <v>14040000</v>
      </c>
    </row>
    <row r="12" spans="2:15" ht="20" customHeight="1" x14ac:dyDescent="0.2">
      <c r="B12" s="25">
        <v>7</v>
      </c>
      <c r="C12" s="5" t="s">
        <v>388</v>
      </c>
      <c r="D12" s="26">
        <v>1</v>
      </c>
      <c r="E12" s="27">
        <v>90000</v>
      </c>
      <c r="F12" s="28">
        <f t="shared" si="0"/>
        <v>70000</v>
      </c>
      <c r="G12" s="28">
        <f t="shared" si="1"/>
        <v>21000</v>
      </c>
      <c r="H12" s="29">
        <f t="shared" si="2"/>
        <v>91000</v>
      </c>
      <c r="I12" s="29">
        <f t="shared" si="3"/>
        <v>1092000</v>
      </c>
    </row>
    <row r="13" spans="2:15" ht="20" customHeight="1" x14ac:dyDescent="0.2">
      <c r="B13" s="25">
        <v>8</v>
      </c>
      <c r="C13" s="5" t="s">
        <v>389</v>
      </c>
      <c r="D13" s="26">
        <v>7</v>
      </c>
      <c r="E13" s="27">
        <v>100000</v>
      </c>
      <c r="F13" s="28">
        <f t="shared" si="0"/>
        <v>700000</v>
      </c>
      <c r="G13" s="28">
        <f t="shared" si="1"/>
        <v>210000</v>
      </c>
      <c r="H13" s="29">
        <f t="shared" si="2"/>
        <v>910000</v>
      </c>
      <c r="I13" s="29">
        <f t="shared" si="3"/>
        <v>10920000</v>
      </c>
    </row>
    <row r="14" spans="2:15" ht="26" customHeight="1" x14ac:dyDescent="0.2">
      <c r="B14" s="30"/>
      <c r="C14" s="31" t="s">
        <v>390</v>
      </c>
      <c r="D14" s="32">
        <f>SUM(D6:D13)</f>
        <v>50</v>
      </c>
      <c r="E14" s="33"/>
      <c r="F14" s="33">
        <f>SUM(F6:F13)</f>
        <v>4740000</v>
      </c>
      <c r="G14" s="33">
        <f>SUM(G6:G13)</f>
        <v>1422000</v>
      </c>
      <c r="H14" s="33">
        <f>SUM(H6:H13)</f>
        <v>6162000</v>
      </c>
      <c r="I14" s="33">
        <f>SUM(I6:I13)</f>
        <v>73944000</v>
      </c>
    </row>
    <row r="16" spans="2:15" ht="20" customHeight="1" x14ac:dyDescent="0.2">
      <c r="B16" s="490" t="s">
        <v>391</v>
      </c>
      <c r="C16" s="468"/>
      <c r="D16" s="468"/>
      <c r="E16" s="468"/>
      <c r="F16" s="468"/>
      <c r="G16" s="468"/>
      <c r="H16" s="468"/>
      <c r="I16" s="468"/>
    </row>
    <row r="17" spans="2:9" ht="28" customHeight="1" x14ac:dyDescent="0.2">
      <c r="C17" s="24" t="s">
        <v>392</v>
      </c>
      <c r="D17" s="24" t="s">
        <v>393</v>
      </c>
      <c r="E17" s="24" t="s">
        <v>394</v>
      </c>
      <c r="F17" s="24" t="s">
        <v>395</v>
      </c>
      <c r="G17" s="24" t="s">
        <v>396</v>
      </c>
      <c r="H17" s="24" t="s">
        <v>397</v>
      </c>
      <c r="I17" s="24" t="s">
        <v>398</v>
      </c>
    </row>
    <row r="18" spans="2:9" ht="20" customHeight="1" x14ac:dyDescent="0.2">
      <c r="C18" s="34">
        <v>2026</v>
      </c>
      <c r="D18" s="35">
        <f>D14</f>
        <v>50</v>
      </c>
      <c r="E18" s="36">
        <f>F14</f>
        <v>4740000</v>
      </c>
      <c r="F18" s="36">
        <f>H14</f>
        <v>6162000</v>
      </c>
      <c r="G18" s="37">
        <f>I14/1000000</f>
        <v>73.944000000000003</v>
      </c>
      <c r="H18" s="38">
        <f>G14*12/1000000</f>
        <v>17.064</v>
      </c>
      <c r="I18" s="39" t="s">
        <v>399</v>
      </c>
    </row>
    <row r="19" spans="2:9" ht="20" customHeight="1" x14ac:dyDescent="0.2">
      <c r="C19" s="34">
        <v>2027</v>
      </c>
      <c r="D19" s="35">
        <f>D14</f>
        <v>50</v>
      </c>
      <c r="E19" s="36"/>
      <c r="F19" s="36"/>
      <c r="G19" s="37"/>
      <c r="H19" s="38"/>
      <c r="I19" s="39" t="s">
        <v>3131</v>
      </c>
    </row>
    <row r="20" spans="2:9" ht="20" customHeight="1" x14ac:dyDescent="0.2">
      <c r="C20" s="34">
        <v>2028</v>
      </c>
      <c r="D20" s="35">
        <f>D14</f>
        <v>50</v>
      </c>
      <c r="E20" s="36"/>
      <c r="F20" s="36"/>
      <c r="G20" s="37"/>
      <c r="H20" s="38"/>
      <c r="I20" s="39" t="s">
        <v>3131</v>
      </c>
    </row>
    <row r="21" spans="2:9" ht="24" customHeight="1" x14ac:dyDescent="0.2">
      <c r="C21" s="40" t="s">
        <v>400</v>
      </c>
      <c r="D21" s="32">
        <f>D18</f>
        <v>50</v>
      </c>
      <c r="E21" s="33">
        <f>E18</f>
        <v>4740000</v>
      </c>
      <c r="F21" s="33">
        <f>F18</f>
        <v>6162000</v>
      </c>
      <c r="G21" s="41">
        <f>SUM(G18:G20)</f>
        <v>221.83199999999999</v>
      </c>
      <c r="H21" s="41">
        <f>SUM(H18:H20)</f>
        <v>51.192</v>
      </c>
      <c r="I21" s="40" t="s">
        <v>401</v>
      </c>
    </row>
    <row r="23" spans="2:9" ht="32" customHeight="1" x14ac:dyDescent="0.2">
      <c r="B23" s="470" t="s">
        <v>3132</v>
      </c>
      <c r="C23" s="468"/>
      <c r="D23" s="468"/>
      <c r="E23" s="468"/>
      <c r="F23" s="468"/>
      <c r="G23" s="468"/>
      <c r="H23" s="468"/>
      <c r="I23" s="468"/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O28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3" width="13" customWidth="1"/>
    <col min="4" max="4" width="13.5" customWidth="1"/>
    <col min="5" max="5" width="14" customWidth="1"/>
    <col min="6" max="6" width="14.6640625" customWidth="1"/>
    <col min="7" max="7" width="14" customWidth="1"/>
    <col min="8" max="9" width="13.1640625" customWidth="1"/>
    <col min="10" max="10" width="12" customWidth="1"/>
    <col min="11" max="11" width="2" customWidth="1"/>
  </cols>
  <sheetData>
    <row r="2" spans="2:15" ht="30" customHeight="1" x14ac:dyDescent="0.2">
      <c r="B2" s="489" t="s">
        <v>3133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</row>
    <row r="3" spans="2:15" x14ac:dyDescent="0.2">
      <c r="B3" s="491" t="s">
        <v>3134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</row>
    <row r="5" spans="2:15" ht="20" customHeight="1" x14ac:dyDescent="0.2">
      <c r="B5" s="490" t="s">
        <v>402</v>
      </c>
      <c r="C5" s="468"/>
      <c r="D5" s="468"/>
      <c r="E5" s="468"/>
      <c r="F5" s="468"/>
      <c r="G5" s="468"/>
      <c r="H5" s="468"/>
      <c r="I5" s="468"/>
      <c r="J5" s="468"/>
    </row>
    <row r="6" spans="2:15" ht="22" customHeight="1" x14ac:dyDescent="0.2">
      <c r="B6" s="24" t="s">
        <v>62</v>
      </c>
      <c r="C6" s="24" t="s">
        <v>403</v>
      </c>
      <c r="D6" s="24" t="s">
        <v>404</v>
      </c>
      <c r="E6" s="24" t="s">
        <v>405</v>
      </c>
      <c r="F6" s="24" t="s">
        <v>406</v>
      </c>
      <c r="G6" s="24" t="s">
        <v>407</v>
      </c>
      <c r="H6" s="24" t="s">
        <v>408</v>
      </c>
      <c r="I6" s="24" t="s">
        <v>409</v>
      </c>
    </row>
    <row r="7" spans="2:15" ht="20" customHeight="1" x14ac:dyDescent="0.2">
      <c r="B7" s="42" t="s">
        <v>410</v>
      </c>
      <c r="C7" s="26">
        <v>43</v>
      </c>
      <c r="D7" s="26">
        <v>43</v>
      </c>
      <c r="E7" s="26">
        <v>43</v>
      </c>
      <c r="F7" s="26">
        <v>43</v>
      </c>
      <c r="G7" s="26">
        <v>43</v>
      </c>
      <c r="H7" s="26">
        <v>43</v>
      </c>
      <c r="I7" s="26">
        <v>43</v>
      </c>
    </row>
    <row r="8" spans="2:15" ht="18" customHeight="1" x14ac:dyDescent="0.2">
      <c r="B8" s="5" t="s">
        <v>411</v>
      </c>
      <c r="C8" s="43">
        <v>1</v>
      </c>
      <c r="D8" s="43">
        <v>1.08</v>
      </c>
      <c r="E8" s="43">
        <v>1.17</v>
      </c>
      <c r="F8" s="43">
        <v>1.26</v>
      </c>
      <c r="G8" s="43">
        <v>1.36</v>
      </c>
      <c r="H8" s="43">
        <v>1.47</v>
      </c>
      <c r="I8" s="43">
        <v>1.59</v>
      </c>
    </row>
    <row r="9" spans="2:15" ht="18" customHeight="1" x14ac:dyDescent="0.2">
      <c r="B9" s="5" t="s">
        <v>412</v>
      </c>
      <c r="C9" s="28"/>
      <c r="D9" s="28"/>
      <c r="E9" s="28"/>
      <c r="F9" s="28"/>
      <c r="G9" s="28"/>
      <c r="H9" s="28"/>
      <c r="I9" s="28"/>
    </row>
    <row r="10" spans="2:15" ht="18" customHeight="1" x14ac:dyDescent="0.2">
      <c r="B10" s="5" t="s">
        <v>413</v>
      </c>
      <c r="C10" s="28">
        <f t="shared" ref="C10:I10" si="0">C7*C9</f>
        <v>4740000</v>
      </c>
      <c r="D10" s="28">
        <f t="shared" si="0"/>
        <v>6086160</v>
      </c>
      <c r="E10" s="28">
        <f t="shared" si="0"/>
        <v>7597556.4000000004</v>
      </c>
      <c r="F10" s="28">
        <f t="shared" si="0"/>
        <v>8709750.0000000019</v>
      </c>
      <c r="G10" s="28">
        <f t="shared" si="0"/>
        <v>9941107.1999999993</v>
      </c>
      <c r="H10" s="28">
        <f t="shared" si="0"/>
        <v>11302150.800000001</v>
      </c>
      <c r="I10" s="28">
        <f t="shared" si="0"/>
        <v>12803972.399999999</v>
      </c>
    </row>
    <row r="11" spans="2:15" ht="20" customHeight="1" x14ac:dyDescent="0.2">
      <c r="B11" s="42" t="s">
        <v>414</v>
      </c>
      <c r="C11" s="29">
        <f t="shared" ref="C11:I11" si="1">C10*1.3</f>
        <v>6162000</v>
      </c>
      <c r="D11" s="29">
        <f t="shared" si="1"/>
        <v>7912008</v>
      </c>
      <c r="E11" s="29">
        <f t="shared" si="1"/>
        <v>9876823.3200000003</v>
      </c>
      <c r="F11" s="29">
        <f t="shared" si="1"/>
        <v>11322675.000000004</v>
      </c>
      <c r="G11" s="29">
        <f t="shared" si="1"/>
        <v>12923439.359999999</v>
      </c>
      <c r="H11" s="29">
        <f t="shared" si="1"/>
        <v>14692796.040000001</v>
      </c>
      <c r="I11" s="29">
        <f t="shared" si="1"/>
        <v>16645164.119999999</v>
      </c>
    </row>
    <row r="12" spans="2:15" ht="24" customHeight="1" x14ac:dyDescent="0.2">
      <c r="B12" s="31" t="s">
        <v>415</v>
      </c>
      <c r="C12" s="41">
        <f t="shared" ref="C12:I12" si="2">C11*12/1000000</f>
        <v>73.944000000000003</v>
      </c>
      <c r="D12" s="41">
        <f t="shared" si="2"/>
        <v>94.944096000000002</v>
      </c>
      <c r="E12" s="41">
        <f t="shared" si="2"/>
        <v>118.52187984</v>
      </c>
      <c r="F12" s="41">
        <f t="shared" si="2"/>
        <v>135.87210000000005</v>
      </c>
      <c r="G12" s="41">
        <f t="shared" si="2"/>
        <v>155.08127231999998</v>
      </c>
      <c r="H12" s="41">
        <f t="shared" si="2"/>
        <v>176.31355248000003</v>
      </c>
      <c r="I12" s="41">
        <f t="shared" si="2"/>
        <v>199.74196943999999</v>
      </c>
    </row>
    <row r="14" spans="2:15" ht="20" customHeight="1" x14ac:dyDescent="0.2">
      <c r="B14" s="490" t="s">
        <v>416</v>
      </c>
      <c r="C14" s="468"/>
      <c r="D14" s="468"/>
      <c r="E14" s="468"/>
      <c r="F14" s="468"/>
      <c r="G14" s="468"/>
      <c r="H14" s="468"/>
      <c r="I14" s="468"/>
      <c r="J14" s="468"/>
    </row>
    <row r="15" spans="2:15" ht="22" customHeight="1" x14ac:dyDescent="0.2">
      <c r="B15" s="24" t="s">
        <v>417</v>
      </c>
      <c r="C15" s="24" t="s">
        <v>418</v>
      </c>
      <c r="D15" s="24" t="s">
        <v>419</v>
      </c>
      <c r="E15" s="24" t="s">
        <v>420</v>
      </c>
      <c r="F15" s="24" t="s">
        <v>421</v>
      </c>
      <c r="G15" s="24" t="s">
        <v>422</v>
      </c>
    </row>
    <row r="16" spans="2:15" ht="20" customHeight="1" x14ac:dyDescent="0.2">
      <c r="B16" s="44" t="s">
        <v>403</v>
      </c>
      <c r="C16" s="45">
        <f>C12/4</f>
        <v>18.486000000000001</v>
      </c>
      <c r="D16" s="45">
        <f>C12/4</f>
        <v>18.486000000000001</v>
      </c>
      <c r="E16" s="45">
        <f>C12/4</f>
        <v>18.486000000000001</v>
      </c>
      <c r="F16" s="45">
        <f>C12/4</f>
        <v>18.486000000000001</v>
      </c>
      <c r="G16" s="46">
        <f>C12</f>
        <v>73.944000000000003</v>
      </c>
    </row>
    <row r="17" spans="2:10" ht="20" customHeight="1" x14ac:dyDescent="0.2">
      <c r="B17" s="44" t="s">
        <v>404</v>
      </c>
      <c r="C17" s="45">
        <f>D12/4</f>
        <v>23.736024</v>
      </c>
      <c r="D17" s="45">
        <f>D12/4</f>
        <v>23.736024</v>
      </c>
      <c r="E17" s="45">
        <f>D12/4</f>
        <v>23.736024</v>
      </c>
      <c r="F17" s="45">
        <f>D12/4</f>
        <v>23.736024</v>
      </c>
      <c r="G17" s="46">
        <f>D12</f>
        <v>94.944096000000002</v>
      </c>
    </row>
    <row r="18" spans="2:10" ht="20" customHeight="1" x14ac:dyDescent="0.2">
      <c r="B18" s="44" t="s">
        <v>405</v>
      </c>
      <c r="C18" s="45">
        <f>E12/4</f>
        <v>29.630469959999999</v>
      </c>
      <c r="D18" s="45">
        <f>E12/4</f>
        <v>29.630469959999999</v>
      </c>
      <c r="E18" s="45">
        <f>E12/4</f>
        <v>29.630469959999999</v>
      </c>
      <c r="F18" s="45">
        <f>E12/4</f>
        <v>29.630469959999999</v>
      </c>
      <c r="G18" s="46">
        <f>E12</f>
        <v>118.52187984</v>
      </c>
    </row>
    <row r="19" spans="2:10" ht="24" customHeight="1" x14ac:dyDescent="0.2">
      <c r="B19" s="40" t="s">
        <v>400</v>
      </c>
      <c r="C19" s="47">
        <f>SUM(C16:C18)</f>
        <v>71.852493960000004</v>
      </c>
      <c r="D19" s="47">
        <f>SUM(D16:D18)</f>
        <v>71.852493960000004</v>
      </c>
      <c r="E19" s="47">
        <f>SUM(E16:E18)</f>
        <v>71.852493960000004</v>
      </c>
      <c r="F19" s="47">
        <f>SUM(F16:F18)</f>
        <v>71.852493960000004</v>
      </c>
      <c r="G19" s="41">
        <f>SUM(G16:G18)</f>
        <v>287.40997584000002</v>
      </c>
    </row>
    <row r="21" spans="2:10" ht="20" customHeight="1" x14ac:dyDescent="0.2">
      <c r="B21" s="490" t="s">
        <v>423</v>
      </c>
      <c r="C21" s="468"/>
      <c r="D21" s="468"/>
      <c r="E21" s="468"/>
      <c r="F21" s="468"/>
      <c r="G21" s="468"/>
      <c r="H21" s="468"/>
      <c r="I21" s="468"/>
      <c r="J21" s="468"/>
    </row>
    <row r="22" spans="2:10" ht="22" customHeight="1" x14ac:dyDescent="0.2">
      <c r="B22" s="24" t="s">
        <v>424</v>
      </c>
      <c r="C22" s="24" t="s">
        <v>425</v>
      </c>
      <c r="D22" s="24" t="s">
        <v>426</v>
      </c>
      <c r="E22" s="24" t="s">
        <v>427</v>
      </c>
      <c r="F22" s="24" t="s">
        <v>428</v>
      </c>
    </row>
    <row r="23" spans="2:10" ht="20" customHeight="1" x14ac:dyDescent="0.2">
      <c r="B23" s="14">
        <v>2026</v>
      </c>
      <c r="C23" s="48">
        <v>73.944000000000003</v>
      </c>
      <c r="D23" s="45">
        <f>C12</f>
        <v>73.944000000000003</v>
      </c>
      <c r="E23" s="49">
        <f>D23-C23</f>
        <v>0</v>
      </c>
      <c r="F23" s="50">
        <f>(D23-C23)/C23</f>
        <v>0</v>
      </c>
    </row>
    <row r="24" spans="2:10" ht="20" customHeight="1" x14ac:dyDescent="0.2">
      <c r="B24" s="14">
        <v>2027</v>
      </c>
      <c r="C24" s="48">
        <v>73.944000000000003</v>
      </c>
      <c r="D24" s="45">
        <f>D12</f>
        <v>94.944096000000002</v>
      </c>
      <c r="E24" s="49">
        <f>D24-C24</f>
        <v>21.000095999999999</v>
      </c>
      <c r="F24" s="50">
        <f>(D24-C24)/C24</f>
        <v>0.28399999999999997</v>
      </c>
    </row>
    <row r="25" spans="2:10" ht="20" customHeight="1" x14ac:dyDescent="0.2">
      <c r="B25" s="14">
        <v>2028</v>
      </c>
      <c r="C25" s="48">
        <v>73.944000000000003</v>
      </c>
      <c r="D25" s="45">
        <f>E12</f>
        <v>118.52187984</v>
      </c>
      <c r="E25" s="49">
        <f>D25-C25</f>
        <v>44.577879839999994</v>
      </c>
      <c r="F25" s="50">
        <f>(D25-C25)/C25</f>
        <v>0.60285999999999995</v>
      </c>
    </row>
    <row r="26" spans="2:10" ht="24" customHeight="1" x14ac:dyDescent="0.2">
      <c r="B26" s="40" t="s">
        <v>429</v>
      </c>
      <c r="C26" s="41">
        <f>SUM(C23:C25)</f>
        <v>221.83199999999999</v>
      </c>
      <c r="D26" s="41">
        <f>SUM(D23:D25)</f>
        <v>287.40997584000002</v>
      </c>
      <c r="E26" s="51">
        <f>D26-C26</f>
        <v>65.577975840000022</v>
      </c>
      <c r="F26" s="52">
        <f>(D26-C26)/C26</f>
        <v>0.2956200000000001</v>
      </c>
    </row>
    <row r="28" spans="2:10" ht="50" customHeight="1" x14ac:dyDescent="0.2">
      <c r="B28" s="470" t="s">
        <v>430</v>
      </c>
      <c r="C28" s="468"/>
      <c r="D28" s="468"/>
      <c r="E28" s="468"/>
      <c r="F28" s="468"/>
      <c r="G28" s="468"/>
      <c r="H28" s="468"/>
      <c r="I28" s="468"/>
      <c r="J28" s="468"/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O39"/>
  <sheetViews>
    <sheetView showGridLines="0" workbookViewId="0">
      <pane ySplit="5" topLeftCell="A9" activePane="bottomLeft" state="frozen"/>
      <selection pane="bottomLeft" activeCell="D22" sqref="D22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7" width="14" customWidth="1"/>
    <col min="8" max="8" width="16" customWidth="1"/>
    <col min="9" max="9" width="2" customWidth="1"/>
  </cols>
  <sheetData>
    <row r="2" spans="2:15" ht="30" customHeight="1" x14ac:dyDescent="0.2">
      <c r="B2" s="489" t="s">
        <v>431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</row>
    <row r="3" spans="2:15" x14ac:dyDescent="0.2">
      <c r="B3" s="491" t="s">
        <v>432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</row>
    <row r="5" spans="2:15" ht="20" customHeight="1" x14ac:dyDescent="0.2">
      <c r="B5" s="490" t="s">
        <v>433</v>
      </c>
      <c r="C5" s="468"/>
      <c r="D5" s="468"/>
      <c r="E5" s="468"/>
      <c r="F5" s="468"/>
      <c r="G5" s="468"/>
      <c r="H5" s="468"/>
    </row>
    <row r="6" spans="2:15" ht="32" customHeight="1" x14ac:dyDescent="0.2">
      <c r="B6" s="24" t="s">
        <v>434</v>
      </c>
      <c r="C6" s="24" t="s">
        <v>403</v>
      </c>
      <c r="D6" s="24" t="s">
        <v>404</v>
      </c>
      <c r="E6" s="24" t="s">
        <v>405</v>
      </c>
      <c r="F6" s="24" t="s">
        <v>406</v>
      </c>
      <c r="G6" s="24" t="s">
        <v>407</v>
      </c>
      <c r="H6" s="24" t="s">
        <v>400</v>
      </c>
    </row>
    <row r="7" spans="2:15" ht="20" customHeight="1" x14ac:dyDescent="0.2">
      <c r="B7" s="42" t="s">
        <v>3135</v>
      </c>
      <c r="C7" s="53">
        <v>100.15</v>
      </c>
      <c r="D7" s="53">
        <v>108.16</v>
      </c>
      <c r="E7" s="53">
        <v>116.82</v>
      </c>
      <c r="F7" s="53">
        <v>126.16</v>
      </c>
      <c r="G7" s="53">
        <v>136.26</v>
      </c>
      <c r="H7" s="54">
        <f t="shared" ref="H7:H17" si="0">SUM(C7:E7)</f>
        <v>221.83199999999999</v>
      </c>
    </row>
    <row r="8" spans="2:15" ht="20" customHeight="1" x14ac:dyDescent="0.2">
      <c r="B8" s="5" t="s">
        <v>435</v>
      </c>
      <c r="C8" s="45">
        <v>8.25</v>
      </c>
      <c r="D8" s="45">
        <v>8.786249999999999</v>
      </c>
      <c r="E8" s="45">
        <v>9.3573562499999987</v>
      </c>
      <c r="F8" s="45">
        <v>9.9655844062499988</v>
      </c>
      <c r="G8" s="45">
        <v>10.61334739265625</v>
      </c>
      <c r="H8" s="54">
        <f t="shared" si="0"/>
        <v>26.393606249999998</v>
      </c>
    </row>
    <row r="9" spans="2:15" ht="20" customHeight="1" x14ac:dyDescent="0.2">
      <c r="B9" s="5" t="s">
        <v>215</v>
      </c>
      <c r="C9" s="45">
        <v>0.39600000000000002</v>
      </c>
      <c r="D9" s="45">
        <v>0.42174</v>
      </c>
      <c r="E9" s="45">
        <v>0.44915310000000003</v>
      </c>
      <c r="F9" s="45">
        <v>0.47834805149999998</v>
      </c>
      <c r="G9" s="45">
        <v>0.5094406748475</v>
      </c>
      <c r="H9" s="54">
        <f t="shared" si="0"/>
        <v>1.2668931000000001</v>
      </c>
    </row>
    <row r="10" spans="2:15" ht="20" customHeight="1" x14ac:dyDescent="0.2">
      <c r="B10" s="5" t="s">
        <v>436</v>
      </c>
      <c r="C10" s="45">
        <v>0.36</v>
      </c>
      <c r="D10" s="45">
        <v>0.38340000000000002</v>
      </c>
      <c r="E10" s="45">
        <v>0.40832099999999988</v>
      </c>
      <c r="F10" s="45">
        <v>0.43486186500000001</v>
      </c>
      <c r="G10" s="45">
        <v>0.4631278862249999</v>
      </c>
      <c r="H10" s="54">
        <f t="shared" si="0"/>
        <v>1.151721</v>
      </c>
    </row>
    <row r="11" spans="2:15" ht="20" customHeight="1" x14ac:dyDescent="0.2">
      <c r="B11" s="5" t="s">
        <v>437</v>
      </c>
      <c r="C11" s="45">
        <v>0.72</v>
      </c>
      <c r="D11" s="45">
        <v>0.76679999999999993</v>
      </c>
      <c r="E11" s="45">
        <v>0.81664199999999987</v>
      </c>
      <c r="F11" s="45">
        <v>0.86972372999999992</v>
      </c>
      <c r="G11" s="45">
        <v>0.92625577245000001</v>
      </c>
      <c r="H11" s="54">
        <f t="shared" si="0"/>
        <v>2.3034419999999995</v>
      </c>
    </row>
    <row r="12" spans="2:15" ht="20" customHeight="1" x14ac:dyDescent="0.2">
      <c r="B12" s="5" t="s">
        <v>438</v>
      </c>
      <c r="C12" s="45">
        <v>1.2</v>
      </c>
      <c r="D12" s="45">
        <v>1.278</v>
      </c>
      <c r="E12" s="45">
        <v>1.36107</v>
      </c>
      <c r="F12" s="45">
        <v>1.4495395499999999</v>
      </c>
      <c r="G12" s="45">
        <v>1.54375962075</v>
      </c>
      <c r="H12" s="54">
        <f t="shared" si="0"/>
        <v>3.8390699999999995</v>
      </c>
    </row>
    <row r="13" spans="2:15" ht="20" customHeight="1" x14ac:dyDescent="0.2">
      <c r="B13" s="5" t="s">
        <v>439</v>
      </c>
      <c r="C13" s="45">
        <v>0.6</v>
      </c>
      <c r="D13" s="45">
        <v>0.6389999999999999</v>
      </c>
      <c r="E13" s="45">
        <v>0.68053499999999989</v>
      </c>
      <c r="F13" s="45">
        <v>0.72476977499999995</v>
      </c>
      <c r="G13" s="45">
        <v>0.77187981037499986</v>
      </c>
      <c r="H13" s="54">
        <f t="shared" si="0"/>
        <v>1.9195349999999998</v>
      </c>
    </row>
    <row r="14" spans="2:15" ht="20" customHeight="1" x14ac:dyDescent="0.2">
      <c r="B14" s="5" t="s">
        <v>440</v>
      </c>
      <c r="C14" s="45">
        <v>1.5</v>
      </c>
      <c r="D14" s="45">
        <v>1.5974999999999999</v>
      </c>
      <c r="E14" s="45">
        <v>1.7013374999999999</v>
      </c>
      <c r="F14" s="45">
        <v>1.8119244375000001</v>
      </c>
      <c r="G14" s="45">
        <v>1.9296995259375</v>
      </c>
      <c r="H14" s="54">
        <f t="shared" si="0"/>
        <v>4.7988375000000003</v>
      </c>
    </row>
    <row r="15" spans="2:15" ht="20" customHeight="1" x14ac:dyDescent="0.2">
      <c r="B15" s="5" t="s">
        <v>441</v>
      </c>
      <c r="C15" s="45">
        <v>0.216</v>
      </c>
      <c r="D15" s="45">
        <v>0.23003999999999999</v>
      </c>
      <c r="E15" s="45">
        <v>0.24499259999999989</v>
      </c>
      <c r="F15" s="45">
        <v>0.26091711899999998</v>
      </c>
      <c r="G15" s="45">
        <v>0.27787673173499988</v>
      </c>
      <c r="H15" s="54">
        <f t="shared" si="0"/>
        <v>0.69103259999999989</v>
      </c>
    </row>
    <row r="16" spans="2:15" ht="20" customHeight="1" x14ac:dyDescent="0.2">
      <c r="B16" s="5" t="s">
        <v>442</v>
      </c>
      <c r="C16" s="45">
        <v>0.42</v>
      </c>
      <c r="D16" s="45">
        <v>0.44729999999999998</v>
      </c>
      <c r="E16" s="45">
        <v>0.47637449999999992</v>
      </c>
      <c r="F16" s="45">
        <v>0.50733884249999994</v>
      </c>
      <c r="G16" s="45">
        <v>0.54031586726249992</v>
      </c>
      <c r="H16" s="54">
        <f t="shared" si="0"/>
        <v>1.3436744999999999</v>
      </c>
    </row>
    <row r="17" spans="2:8" ht="20" customHeight="1" x14ac:dyDescent="0.2">
      <c r="B17" s="5" t="s">
        <v>443</v>
      </c>
      <c r="C17" s="45">
        <v>0.9</v>
      </c>
      <c r="D17" s="45">
        <v>0.95850000000000002</v>
      </c>
      <c r="E17" s="45">
        <v>1.0208025000000001</v>
      </c>
      <c r="F17" s="45">
        <v>1.0871546624999999</v>
      </c>
      <c r="G17" s="45">
        <v>1.1578197155625001</v>
      </c>
      <c r="H17" s="54">
        <f t="shared" si="0"/>
        <v>2.8793025000000001</v>
      </c>
    </row>
    <row r="18" spans="2:8" ht="26" customHeight="1" x14ac:dyDescent="0.2">
      <c r="B18" s="55" t="s">
        <v>444</v>
      </c>
      <c r="C18" s="56">
        <f t="shared" ref="C18:H18" si="1">SUM(C7:C17)</f>
        <v>88.506</v>
      </c>
      <c r="D18" s="56">
        <f t="shared" si="1"/>
        <v>89.452529999999996</v>
      </c>
      <c r="E18" s="56">
        <f t="shared" si="1"/>
        <v>90.460584450000013</v>
      </c>
      <c r="F18" s="56">
        <f t="shared" si="1"/>
        <v>91.534162439250011</v>
      </c>
      <c r="G18" s="56">
        <f t="shared" si="1"/>
        <v>154.99352299780125</v>
      </c>
      <c r="H18" s="56">
        <f t="shared" si="1"/>
        <v>268.41911445000005</v>
      </c>
    </row>
    <row r="20" spans="2:8" ht="20" customHeight="1" x14ac:dyDescent="0.2">
      <c r="B20" s="490" t="s">
        <v>445</v>
      </c>
      <c r="C20" s="468"/>
      <c r="D20" s="468"/>
      <c r="E20" s="468"/>
      <c r="F20" s="468"/>
      <c r="G20" s="468"/>
      <c r="H20" s="468"/>
    </row>
    <row r="21" spans="2:8" ht="22" customHeight="1" x14ac:dyDescent="0.2">
      <c r="B21" s="24" t="s">
        <v>376</v>
      </c>
      <c r="C21" s="24" t="s">
        <v>446</v>
      </c>
      <c r="D21" s="24" t="s">
        <v>447</v>
      </c>
      <c r="E21" s="494" t="s">
        <v>448</v>
      </c>
      <c r="F21" s="495"/>
      <c r="G21" s="495"/>
      <c r="H21" s="496"/>
    </row>
    <row r="22" spans="2:8" ht="20" customHeight="1" x14ac:dyDescent="0.2">
      <c r="B22" s="5" t="s">
        <v>449</v>
      </c>
      <c r="C22" s="57" t="str">
        <f>C6</f>
        <v>2026</v>
      </c>
      <c r="D22" s="58">
        <f>C22/C18</f>
        <v>22.89110342801618</v>
      </c>
      <c r="E22" s="497" t="s">
        <v>450</v>
      </c>
      <c r="F22" s="487"/>
      <c r="G22" s="487"/>
      <c r="H22" s="488"/>
    </row>
    <row r="23" spans="2:8" ht="20" customHeight="1" x14ac:dyDescent="0.2">
      <c r="B23" s="5" t="s">
        <v>451</v>
      </c>
      <c r="C23" s="57">
        <f>C7+C8</f>
        <v>82.194000000000003</v>
      </c>
      <c r="D23" s="58">
        <f>C23/C18</f>
        <v>0.92868280116602264</v>
      </c>
      <c r="E23" s="497" t="s">
        <v>452</v>
      </c>
      <c r="F23" s="487"/>
      <c r="G23" s="487"/>
      <c r="H23" s="488"/>
    </row>
    <row r="24" spans="2:8" ht="20" customHeight="1" x14ac:dyDescent="0.2">
      <c r="B24" s="5" t="s">
        <v>453</v>
      </c>
      <c r="C24" s="57">
        <f>C9+C10+C13</f>
        <v>1.3559999999999999</v>
      </c>
      <c r="D24" s="58">
        <f>C24/C18</f>
        <v>1.5320995186766998E-2</v>
      </c>
      <c r="E24" s="497" t="s">
        <v>454</v>
      </c>
      <c r="F24" s="487"/>
      <c r="G24" s="487"/>
      <c r="H24" s="488"/>
    </row>
    <row r="25" spans="2:8" ht="20" customHeight="1" x14ac:dyDescent="0.2">
      <c r="B25" s="5" t="s">
        <v>455</v>
      </c>
      <c r="C25" s="57">
        <f>C11+C12</f>
        <v>1.92</v>
      </c>
      <c r="D25" s="58">
        <f>C25/C18</f>
        <v>2.1693444512236457E-2</v>
      </c>
      <c r="E25" s="497" t="s">
        <v>456</v>
      </c>
      <c r="F25" s="487"/>
      <c r="G25" s="487"/>
      <c r="H25" s="488"/>
    </row>
    <row r="26" spans="2:8" ht="20" customHeight="1" x14ac:dyDescent="0.2">
      <c r="B26" s="5" t="s">
        <v>440</v>
      </c>
      <c r="C26" s="57">
        <f>C14</f>
        <v>1.5</v>
      </c>
      <c r="D26" s="58">
        <f>C26/C18</f>
        <v>1.6948003525184732E-2</v>
      </c>
      <c r="E26" s="497" t="s">
        <v>457</v>
      </c>
      <c r="F26" s="487"/>
      <c r="G26" s="487"/>
      <c r="H26" s="488"/>
    </row>
    <row r="27" spans="2:8" ht="20" customHeight="1" x14ac:dyDescent="0.2">
      <c r="B27" s="5" t="s">
        <v>458</v>
      </c>
      <c r="C27" s="57">
        <f>C15+C16</f>
        <v>0.63600000000000001</v>
      </c>
      <c r="D27" s="58">
        <f>C27/C18</f>
        <v>7.1859534946783271E-3</v>
      </c>
      <c r="E27" s="497" t="s">
        <v>459</v>
      </c>
      <c r="F27" s="487"/>
      <c r="G27" s="487"/>
      <c r="H27" s="488"/>
    </row>
    <row r="28" spans="2:8" ht="22" customHeight="1" x14ac:dyDescent="0.2">
      <c r="B28" s="60" t="s">
        <v>460</v>
      </c>
      <c r="C28" s="61">
        <f>SUM(C22:C27)</f>
        <v>87.605999999999995</v>
      </c>
      <c r="D28" s="62">
        <f>SUM(D22:D27)</f>
        <v>23.880934625901066</v>
      </c>
      <c r="E28" s="493" t="s">
        <v>461</v>
      </c>
      <c r="F28" s="487"/>
      <c r="G28" s="487"/>
      <c r="H28" s="488"/>
    </row>
    <row r="30" spans="2:8" ht="20" customHeight="1" x14ac:dyDescent="0.2">
      <c r="B30" s="490" t="s">
        <v>462</v>
      </c>
      <c r="C30" s="468"/>
      <c r="D30" s="468"/>
      <c r="E30" s="468"/>
      <c r="F30" s="468"/>
      <c r="G30" s="468"/>
      <c r="H30" s="468"/>
    </row>
    <row r="31" spans="2:8" ht="22" customHeight="1" x14ac:dyDescent="0.2">
      <c r="B31" s="24" t="s">
        <v>62</v>
      </c>
      <c r="C31" s="24" t="s">
        <v>63</v>
      </c>
      <c r="D31" s="24" t="s">
        <v>64</v>
      </c>
      <c r="E31" s="494" t="s">
        <v>448</v>
      </c>
      <c r="F31" s="495"/>
      <c r="G31" s="495"/>
      <c r="H31" s="496"/>
    </row>
    <row r="32" spans="2:8" ht="20" customHeight="1" x14ac:dyDescent="0.2">
      <c r="B32" s="5" t="s">
        <v>224</v>
      </c>
      <c r="C32" s="63">
        <v>1746.8</v>
      </c>
      <c r="D32" s="4" t="s">
        <v>14</v>
      </c>
      <c r="E32" s="497" t="s">
        <v>463</v>
      </c>
      <c r="F32" s="487"/>
      <c r="G32" s="487"/>
      <c r="H32" s="488"/>
    </row>
    <row r="33" spans="2:8" ht="20" customHeight="1" x14ac:dyDescent="0.2">
      <c r="B33" s="5" t="s">
        <v>226</v>
      </c>
      <c r="C33" s="63">
        <v>145.6</v>
      </c>
      <c r="D33" s="4" t="s">
        <v>14</v>
      </c>
      <c r="E33" s="497" t="s">
        <v>464</v>
      </c>
      <c r="F33" s="487"/>
      <c r="G33" s="487"/>
      <c r="H33" s="488"/>
    </row>
    <row r="34" spans="2:8" ht="20" customHeight="1" x14ac:dyDescent="0.2">
      <c r="B34" s="5" t="s">
        <v>465</v>
      </c>
      <c r="C34" s="63">
        <v>600</v>
      </c>
      <c r="D34" s="4" t="s">
        <v>14</v>
      </c>
      <c r="E34" s="497" t="s">
        <v>3136</v>
      </c>
      <c r="F34" s="487"/>
      <c r="G34" s="487"/>
      <c r="H34" s="488"/>
    </row>
    <row r="35" spans="2:8" ht="20" customHeight="1" x14ac:dyDescent="0.2">
      <c r="B35" s="5" t="s">
        <v>466</v>
      </c>
      <c r="C35" s="63">
        <v>1250</v>
      </c>
      <c r="D35" s="4" t="s">
        <v>14</v>
      </c>
      <c r="E35" s="497" t="s">
        <v>3137</v>
      </c>
      <c r="F35" s="487"/>
      <c r="G35" s="487"/>
      <c r="H35" s="488"/>
    </row>
    <row r="36" spans="2:8" ht="20" customHeight="1" x14ac:dyDescent="0.2">
      <c r="B36" s="5" t="s">
        <v>467</v>
      </c>
      <c r="C36" s="63">
        <v>12</v>
      </c>
      <c r="D36" s="4" t="s">
        <v>14</v>
      </c>
      <c r="E36" s="497" t="s">
        <v>468</v>
      </c>
      <c r="F36" s="487"/>
      <c r="G36" s="487"/>
      <c r="H36" s="488"/>
    </row>
    <row r="37" spans="2:8" ht="20" customHeight="1" x14ac:dyDescent="0.2">
      <c r="B37" s="5" t="s">
        <v>469</v>
      </c>
      <c r="C37" s="6">
        <v>0.15</v>
      </c>
      <c r="D37" s="4" t="s">
        <v>68</v>
      </c>
      <c r="E37" s="497" t="s">
        <v>470</v>
      </c>
      <c r="F37" s="487"/>
      <c r="G37" s="487"/>
      <c r="H37" s="488"/>
    </row>
    <row r="39" spans="2:8" ht="45" customHeight="1" x14ac:dyDescent="0.2">
      <c r="B39" s="470" t="s">
        <v>471</v>
      </c>
      <c r="C39" s="468"/>
      <c r="D39" s="468"/>
      <c r="E39" s="468"/>
      <c r="F39" s="468"/>
      <c r="G39" s="468"/>
      <c r="H39" s="468"/>
    </row>
  </sheetData>
  <mergeCells count="21">
    <mergeCell ref="E22:H22"/>
    <mergeCell ref="B2:O2"/>
    <mergeCell ref="E21:H21"/>
    <mergeCell ref="E33:H33"/>
    <mergeCell ref="E24:H24"/>
    <mergeCell ref="E23:H23"/>
    <mergeCell ref="E26:H26"/>
    <mergeCell ref="B30:H30"/>
    <mergeCell ref="B3:O3"/>
    <mergeCell ref="E25:H25"/>
    <mergeCell ref="E32:H32"/>
    <mergeCell ref="B5:H5"/>
    <mergeCell ref="B20:H20"/>
    <mergeCell ref="B39:H39"/>
    <mergeCell ref="E28:H28"/>
    <mergeCell ref="E31:H31"/>
    <mergeCell ref="E34:H34"/>
    <mergeCell ref="E27:H27"/>
    <mergeCell ref="E36:H36"/>
    <mergeCell ref="E37:H37"/>
    <mergeCell ref="E35:H35"/>
  </mergeCells>
  <printOptions horizontalCentered="1"/>
  <pageMargins left="0.59" right="0.59" top="0.59" bottom="0.59" header="0.3" footer="0.3"/>
  <pageSetup paperSize="8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H29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36" customWidth="1"/>
    <col min="3" max="4" width="14" customWidth="1"/>
    <col min="5" max="5" width="22.1640625" customWidth="1"/>
    <col min="6" max="6" width="23.83203125" customWidth="1"/>
    <col min="7" max="7" width="21.1640625" customWidth="1"/>
    <col min="8" max="8" width="14" customWidth="1"/>
    <col min="9" max="9" width="2" customWidth="1"/>
  </cols>
  <sheetData>
    <row r="2" spans="2:8" ht="30" customHeight="1" x14ac:dyDescent="0.2">
      <c r="B2" s="489" t="s">
        <v>472</v>
      </c>
      <c r="C2" s="468"/>
      <c r="D2" s="468"/>
      <c r="E2" s="468"/>
      <c r="F2" s="468"/>
      <c r="G2" s="468"/>
      <c r="H2" s="468"/>
    </row>
    <row r="3" spans="2:8" x14ac:dyDescent="0.2">
      <c r="B3" s="491" t="s">
        <v>473</v>
      </c>
      <c r="C3" s="468"/>
      <c r="D3" s="468"/>
      <c r="E3" s="468"/>
      <c r="F3" s="468"/>
      <c r="G3" s="468"/>
      <c r="H3" s="468"/>
    </row>
    <row r="5" spans="2:8" ht="20" customHeight="1" x14ac:dyDescent="0.2">
      <c r="B5" s="490" t="s">
        <v>474</v>
      </c>
      <c r="C5" s="468"/>
      <c r="D5" s="468"/>
      <c r="E5" s="468"/>
      <c r="F5" s="468"/>
      <c r="G5" s="468"/>
      <c r="H5" s="468"/>
    </row>
    <row r="6" spans="2:8" ht="26" customHeight="1" x14ac:dyDescent="0.2">
      <c r="B6" s="24" t="s">
        <v>475</v>
      </c>
      <c r="C6" s="24" t="s">
        <v>447</v>
      </c>
      <c r="D6" s="24" t="s">
        <v>403</v>
      </c>
      <c r="E6" s="24" t="s">
        <v>404</v>
      </c>
      <c r="F6" s="24" t="s">
        <v>405</v>
      </c>
      <c r="G6" s="24" t="s">
        <v>400</v>
      </c>
      <c r="H6" s="24" t="s">
        <v>476</v>
      </c>
    </row>
    <row r="7" spans="2:8" ht="20" customHeight="1" x14ac:dyDescent="0.2">
      <c r="B7" s="5" t="s">
        <v>159</v>
      </c>
      <c r="C7" s="64">
        <v>0.48</v>
      </c>
      <c r="D7" s="65">
        <v>144</v>
      </c>
      <c r="E7" s="65">
        <v>840</v>
      </c>
      <c r="F7" s="65">
        <v>1197.5999999999999</v>
      </c>
      <c r="G7" s="66">
        <f t="shared" ref="G7:G14" si="0">SUM(D7:F7)</f>
        <v>2181.6</v>
      </c>
      <c r="H7" s="67">
        <f t="shared" ref="H7:H15" si="1">(F7/D7)^(1/2)-1</f>
        <v>1.8838631497813254</v>
      </c>
    </row>
    <row r="8" spans="2:8" ht="20" customHeight="1" x14ac:dyDescent="0.2">
      <c r="B8" s="5" t="s">
        <v>477</v>
      </c>
      <c r="C8" s="64">
        <v>0.2</v>
      </c>
      <c r="D8" s="65">
        <v>60</v>
      </c>
      <c r="E8" s="65">
        <v>350</v>
      </c>
      <c r="F8" s="65">
        <v>499</v>
      </c>
      <c r="G8" s="66">
        <f t="shared" si="0"/>
        <v>909</v>
      </c>
      <c r="H8" s="67">
        <f t="shared" si="1"/>
        <v>1.8838631497813254</v>
      </c>
    </row>
    <row r="9" spans="2:8" ht="20" customHeight="1" x14ac:dyDescent="0.2">
      <c r="B9" s="5" t="s">
        <v>161</v>
      </c>
      <c r="C9" s="64">
        <v>0.08</v>
      </c>
      <c r="D9" s="65">
        <v>24</v>
      </c>
      <c r="E9" s="65">
        <v>140</v>
      </c>
      <c r="F9" s="65">
        <v>199.6</v>
      </c>
      <c r="G9" s="66">
        <f t="shared" si="0"/>
        <v>363.6</v>
      </c>
      <c r="H9" s="67">
        <f t="shared" si="1"/>
        <v>1.8838631497813254</v>
      </c>
    </row>
    <row r="10" spans="2:8" ht="20" customHeight="1" x14ac:dyDescent="0.2">
      <c r="B10" s="5" t="s">
        <v>163</v>
      </c>
      <c r="C10" s="64">
        <v>0.1</v>
      </c>
      <c r="D10" s="65">
        <v>30</v>
      </c>
      <c r="E10" s="65">
        <v>175</v>
      </c>
      <c r="F10" s="65">
        <v>249.5</v>
      </c>
      <c r="G10" s="66">
        <f t="shared" si="0"/>
        <v>454.5</v>
      </c>
      <c r="H10" s="67">
        <f t="shared" si="1"/>
        <v>1.8838631497813254</v>
      </c>
    </row>
    <row r="11" spans="2:8" ht="20" customHeight="1" x14ac:dyDescent="0.2">
      <c r="B11" s="5" t="s">
        <v>165</v>
      </c>
      <c r="C11" s="64">
        <v>0.04</v>
      </c>
      <c r="D11" s="65">
        <v>12</v>
      </c>
      <c r="E11" s="65">
        <v>70</v>
      </c>
      <c r="F11" s="65">
        <v>99.8</v>
      </c>
      <c r="G11" s="66">
        <f t="shared" si="0"/>
        <v>181.8</v>
      </c>
      <c r="H11" s="67">
        <f t="shared" si="1"/>
        <v>1.8838631497813254</v>
      </c>
    </row>
    <row r="12" spans="2:8" ht="20" customHeight="1" x14ac:dyDescent="0.2">
      <c r="B12" s="5" t="s">
        <v>167</v>
      </c>
      <c r="C12" s="64">
        <v>0.05</v>
      </c>
      <c r="D12" s="65">
        <v>15</v>
      </c>
      <c r="E12" s="65">
        <v>87.5</v>
      </c>
      <c r="F12" s="65">
        <v>124.75</v>
      </c>
      <c r="G12" s="66">
        <f t="shared" si="0"/>
        <v>227.25</v>
      </c>
      <c r="H12" s="67">
        <f t="shared" si="1"/>
        <v>1.8838631497813254</v>
      </c>
    </row>
    <row r="13" spans="2:8" ht="20" customHeight="1" x14ac:dyDescent="0.2">
      <c r="B13" s="5" t="s">
        <v>169</v>
      </c>
      <c r="C13" s="64">
        <v>0.02</v>
      </c>
      <c r="D13" s="65">
        <v>6</v>
      </c>
      <c r="E13" s="65">
        <v>35</v>
      </c>
      <c r="F13" s="65">
        <v>49.9</v>
      </c>
      <c r="G13" s="66">
        <f t="shared" si="0"/>
        <v>90.9</v>
      </c>
      <c r="H13" s="67">
        <f t="shared" si="1"/>
        <v>1.8838631497813254</v>
      </c>
    </row>
    <row r="14" spans="2:8" ht="20" customHeight="1" x14ac:dyDescent="0.2">
      <c r="B14" s="5" t="s">
        <v>478</v>
      </c>
      <c r="C14" s="64">
        <v>0.03</v>
      </c>
      <c r="D14" s="65">
        <v>9</v>
      </c>
      <c r="E14" s="65">
        <v>52.5</v>
      </c>
      <c r="F14" s="65">
        <v>74.849999999999994</v>
      </c>
      <c r="G14" s="66">
        <f t="shared" si="0"/>
        <v>136.35</v>
      </c>
      <c r="H14" s="67">
        <f t="shared" si="1"/>
        <v>1.8838631497813254</v>
      </c>
    </row>
    <row r="15" spans="2:8" ht="28" customHeight="1" x14ac:dyDescent="0.2">
      <c r="B15" s="55" t="s">
        <v>479</v>
      </c>
      <c r="C15" s="68">
        <f>SUM(C7:C14)</f>
        <v>1</v>
      </c>
      <c r="D15" s="69">
        <f>SUM(D7:D14)</f>
        <v>300</v>
      </c>
      <c r="E15" s="69">
        <f>SUM(E7:E14)</f>
        <v>1750</v>
      </c>
      <c r="F15" s="69">
        <f>SUM(F7:F14)</f>
        <v>2495</v>
      </c>
      <c r="G15" s="70">
        <f>SUM(G7:G14)</f>
        <v>4545</v>
      </c>
      <c r="H15" s="71">
        <f t="shared" si="1"/>
        <v>1.8838631497813254</v>
      </c>
    </row>
    <row r="17" spans="2:8" ht="20" customHeight="1" x14ac:dyDescent="0.2">
      <c r="B17" s="503" t="s">
        <v>480</v>
      </c>
      <c r="C17" s="468"/>
      <c r="D17" s="468"/>
      <c r="E17" s="468"/>
      <c r="F17" s="468"/>
      <c r="G17" s="468"/>
      <c r="H17" s="468"/>
    </row>
    <row r="18" spans="2:8" ht="22" customHeight="1" x14ac:dyDescent="0.2">
      <c r="B18" s="501" t="s">
        <v>481</v>
      </c>
      <c r="C18" s="487"/>
      <c r="D18" s="488"/>
      <c r="E18" s="499">
        <v>4545</v>
      </c>
      <c r="F18" s="488"/>
      <c r="G18" s="497" t="s">
        <v>482</v>
      </c>
      <c r="H18" s="488"/>
    </row>
    <row r="19" spans="2:8" ht="22" customHeight="1" x14ac:dyDescent="0.2">
      <c r="B19" s="501" t="s">
        <v>483</v>
      </c>
      <c r="C19" s="487"/>
      <c r="D19" s="488"/>
      <c r="E19" s="500">
        <f>G15</f>
        <v>4545</v>
      </c>
      <c r="F19" s="488"/>
      <c r="G19" s="497" t="s">
        <v>484</v>
      </c>
      <c r="H19" s="488"/>
    </row>
    <row r="20" spans="2:8" ht="22" customHeight="1" x14ac:dyDescent="0.2">
      <c r="B20" s="498" t="s">
        <v>485</v>
      </c>
      <c r="C20" s="487"/>
      <c r="D20" s="488"/>
      <c r="E20" s="502">
        <f>G15-4545</f>
        <v>0</v>
      </c>
      <c r="F20" s="488"/>
      <c r="G20" s="493" t="s">
        <v>486</v>
      </c>
      <c r="H20" s="488"/>
    </row>
    <row r="22" spans="2:8" ht="20" customHeight="1" x14ac:dyDescent="0.2">
      <c r="B22" s="490" t="s">
        <v>487</v>
      </c>
      <c r="C22" s="468"/>
      <c r="D22" s="468"/>
      <c r="E22" s="468"/>
      <c r="F22" s="468"/>
      <c r="G22" s="468"/>
      <c r="H22" s="468"/>
    </row>
    <row r="23" spans="2:8" ht="26" customHeight="1" x14ac:dyDescent="0.2">
      <c r="B23" s="24" t="s">
        <v>488</v>
      </c>
      <c r="C23" s="24" t="s">
        <v>489</v>
      </c>
      <c r="D23" s="24" t="s">
        <v>490</v>
      </c>
      <c r="E23" s="24" t="s">
        <v>491</v>
      </c>
      <c r="F23" s="24" t="s">
        <v>12</v>
      </c>
      <c r="G23" s="24" t="s">
        <v>492</v>
      </c>
      <c r="H23" s="24" t="s">
        <v>448</v>
      </c>
    </row>
    <row r="24" spans="2:8" ht="24" customHeight="1" x14ac:dyDescent="0.2">
      <c r="B24" s="72" t="s">
        <v>493</v>
      </c>
      <c r="C24" s="73">
        <v>0.7</v>
      </c>
      <c r="D24" s="74">
        <v>3181.5</v>
      </c>
      <c r="E24" s="75">
        <v>2100</v>
      </c>
      <c r="F24" s="75">
        <v>1596</v>
      </c>
      <c r="G24" s="76">
        <v>0.15</v>
      </c>
      <c r="H24" s="77" t="s">
        <v>494</v>
      </c>
    </row>
    <row r="25" spans="2:8" ht="24" customHeight="1" x14ac:dyDescent="0.2">
      <c r="B25" s="78" t="s">
        <v>495</v>
      </c>
      <c r="C25" s="79">
        <v>1</v>
      </c>
      <c r="D25" s="80">
        <v>4545</v>
      </c>
      <c r="E25" s="81">
        <v>3000</v>
      </c>
      <c r="F25" s="81">
        <v>2280</v>
      </c>
      <c r="G25" s="82">
        <v>0.3</v>
      </c>
      <c r="H25" s="83" t="s">
        <v>496</v>
      </c>
    </row>
    <row r="26" spans="2:8" ht="24" customHeight="1" x14ac:dyDescent="0.2">
      <c r="B26" s="72" t="s">
        <v>497</v>
      </c>
      <c r="C26" s="73">
        <v>1.25</v>
      </c>
      <c r="D26" s="74">
        <v>5681.25</v>
      </c>
      <c r="E26" s="75">
        <v>3750</v>
      </c>
      <c r="F26" s="75">
        <v>2850</v>
      </c>
      <c r="G26" s="76">
        <v>0.42</v>
      </c>
      <c r="H26" s="77" t="s">
        <v>498</v>
      </c>
    </row>
    <row r="28" spans="2:8" ht="70" customHeight="1" x14ac:dyDescent="0.2">
      <c r="B28" s="470" t="s">
        <v>499</v>
      </c>
      <c r="C28" s="468"/>
      <c r="D28" s="468"/>
      <c r="E28" s="468"/>
      <c r="F28" s="468"/>
      <c r="G28" s="468"/>
      <c r="H28" s="468"/>
    </row>
    <row r="29" spans="2:8" ht="15" customHeight="1" x14ac:dyDescent="0.2"/>
  </sheetData>
  <mergeCells count="15">
    <mergeCell ref="B28:H28"/>
    <mergeCell ref="E18:F18"/>
    <mergeCell ref="E19:F19"/>
    <mergeCell ref="G19:H19"/>
    <mergeCell ref="B18:D18"/>
    <mergeCell ref="B22:H22"/>
    <mergeCell ref="G20:H20"/>
    <mergeCell ref="B19:D19"/>
    <mergeCell ref="E20:F20"/>
    <mergeCell ref="B2:H2"/>
    <mergeCell ref="G18:H18"/>
    <mergeCell ref="B5:H5"/>
    <mergeCell ref="B20:D20"/>
    <mergeCell ref="B3:H3"/>
    <mergeCell ref="B17:H17"/>
  </mergeCells>
  <printOptions horizontalCentered="1"/>
  <pageMargins left="0.59" right="0.59" top="0.59" bottom="0.59" header="0.3" footer="0.3"/>
  <pageSetup paperSize="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M40"/>
  <sheetViews>
    <sheetView showGridLines="0" topLeftCell="B1" workbookViewId="0">
      <pane ySplit="5" topLeftCell="A27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11.1640625" customWidth="1"/>
    <col min="3" max="3" width="24" customWidth="1"/>
    <col min="4" max="4" width="20" customWidth="1"/>
    <col min="5" max="5" width="10" customWidth="1"/>
    <col min="6" max="8" width="12" customWidth="1"/>
    <col min="9" max="9" width="20.1640625" customWidth="1"/>
    <col min="10" max="11" width="12" customWidth="1"/>
    <col min="12" max="12" width="10" customWidth="1"/>
    <col min="13" max="13" width="13.83203125" customWidth="1"/>
  </cols>
  <sheetData>
    <row r="2" spans="2:13" ht="30" customHeight="1" x14ac:dyDescent="0.2">
      <c r="B2" s="489" t="s">
        <v>500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</row>
    <row r="3" spans="2:13" x14ac:dyDescent="0.2">
      <c r="B3" s="491" t="s">
        <v>501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</row>
    <row r="5" spans="2:13" ht="20" customHeight="1" x14ac:dyDescent="0.2">
      <c r="B5" s="490" t="s">
        <v>502</v>
      </c>
      <c r="C5" s="468"/>
      <c r="D5" s="468"/>
      <c r="E5" s="468"/>
      <c r="F5" s="468"/>
      <c r="G5" s="468"/>
      <c r="H5" s="468"/>
      <c r="I5" s="468"/>
      <c r="J5" s="468"/>
      <c r="K5" s="468"/>
      <c r="L5" s="468"/>
    </row>
    <row r="6" spans="2:13" ht="32" customHeight="1" x14ac:dyDescent="0.2">
      <c r="B6" s="24" t="s">
        <v>61</v>
      </c>
      <c r="C6" s="24" t="s">
        <v>503</v>
      </c>
      <c r="D6" s="24" t="s">
        <v>504</v>
      </c>
      <c r="E6" s="24" t="s">
        <v>505</v>
      </c>
      <c r="F6" s="24" t="s">
        <v>506</v>
      </c>
      <c r="G6" s="24" t="s">
        <v>507</v>
      </c>
      <c r="H6" s="24" t="s">
        <v>508</v>
      </c>
      <c r="I6" s="24" t="s">
        <v>490</v>
      </c>
      <c r="J6" s="24" t="s">
        <v>509</v>
      </c>
      <c r="K6" s="24" t="s">
        <v>510</v>
      </c>
      <c r="L6" s="24" t="s">
        <v>511</v>
      </c>
      <c r="M6" s="24" t="s">
        <v>512</v>
      </c>
    </row>
    <row r="7" spans="2:13" ht="22" customHeight="1" x14ac:dyDescent="0.2">
      <c r="B7" s="84">
        <v>1</v>
      </c>
      <c r="C7" s="42" t="s">
        <v>513</v>
      </c>
      <c r="D7" s="59" t="s">
        <v>514</v>
      </c>
      <c r="E7" s="85" t="s">
        <v>515</v>
      </c>
      <c r="F7" s="9">
        <v>150</v>
      </c>
      <c r="G7" s="86">
        <f t="shared" ref="G7:G18" si="0">F7*0.15</f>
        <v>22.5</v>
      </c>
      <c r="H7" s="87">
        <f t="shared" ref="H7:H18" si="1">F7+G7</f>
        <v>172.5</v>
      </c>
      <c r="I7" s="88">
        <v>310</v>
      </c>
      <c r="J7" s="89">
        <f t="shared" ref="J7:J19" si="2">(I7-H7)/H7</f>
        <v>0.79710144927536231</v>
      </c>
      <c r="K7" s="90">
        <f t="shared" ref="K7:K19" si="3">(I7-H7)/I7</f>
        <v>0.44354838709677419</v>
      </c>
      <c r="L7" s="91">
        <v>15</v>
      </c>
      <c r="M7" s="92" t="s">
        <v>516</v>
      </c>
    </row>
    <row r="8" spans="2:13" ht="22" customHeight="1" x14ac:dyDescent="0.2">
      <c r="B8" s="84">
        <v>2</v>
      </c>
      <c r="C8" s="42" t="s">
        <v>517</v>
      </c>
      <c r="D8" s="59" t="s">
        <v>518</v>
      </c>
      <c r="E8" s="85" t="s">
        <v>519</v>
      </c>
      <c r="F8" s="9">
        <v>100</v>
      </c>
      <c r="G8" s="86">
        <f t="shared" si="0"/>
        <v>15</v>
      </c>
      <c r="H8" s="87">
        <f t="shared" si="1"/>
        <v>115</v>
      </c>
      <c r="I8" s="88">
        <v>250</v>
      </c>
      <c r="J8" s="89">
        <f t="shared" si="2"/>
        <v>1.173913043478261</v>
      </c>
      <c r="K8" s="90">
        <f t="shared" si="3"/>
        <v>0.54</v>
      </c>
      <c r="L8" s="91">
        <v>18</v>
      </c>
      <c r="M8" s="93" t="s">
        <v>520</v>
      </c>
    </row>
    <row r="9" spans="2:13" ht="22" customHeight="1" x14ac:dyDescent="0.2">
      <c r="B9" s="84">
        <v>3</v>
      </c>
      <c r="C9" s="42" t="s">
        <v>521</v>
      </c>
      <c r="D9" s="59" t="s">
        <v>522</v>
      </c>
      <c r="E9" s="85" t="s">
        <v>523</v>
      </c>
      <c r="F9" s="9">
        <v>220</v>
      </c>
      <c r="G9" s="86">
        <f t="shared" si="0"/>
        <v>33</v>
      </c>
      <c r="H9" s="87">
        <f t="shared" si="1"/>
        <v>253</v>
      </c>
      <c r="I9" s="88">
        <v>500</v>
      </c>
      <c r="J9" s="89">
        <f t="shared" si="2"/>
        <v>0.97628458498023718</v>
      </c>
      <c r="K9" s="90">
        <f t="shared" si="3"/>
        <v>0.49399999999999999</v>
      </c>
      <c r="L9" s="91">
        <v>12</v>
      </c>
      <c r="M9" s="17" t="s">
        <v>524</v>
      </c>
    </row>
    <row r="10" spans="2:13" ht="22" customHeight="1" x14ac:dyDescent="0.2">
      <c r="B10" s="84">
        <v>4</v>
      </c>
      <c r="C10" s="42" t="s">
        <v>525</v>
      </c>
      <c r="D10" s="59" t="s">
        <v>526</v>
      </c>
      <c r="E10" s="85" t="s">
        <v>523</v>
      </c>
      <c r="F10" s="9">
        <v>90</v>
      </c>
      <c r="G10" s="86">
        <f t="shared" si="0"/>
        <v>13.5</v>
      </c>
      <c r="H10" s="87">
        <f t="shared" si="1"/>
        <v>103.5</v>
      </c>
      <c r="I10" s="88">
        <v>200</v>
      </c>
      <c r="J10" s="89">
        <f t="shared" si="2"/>
        <v>0.93236714975845414</v>
      </c>
      <c r="K10" s="90">
        <f t="shared" si="3"/>
        <v>0.48249999999999998</v>
      </c>
      <c r="L10" s="91">
        <v>18</v>
      </c>
      <c r="M10" s="93" t="s">
        <v>520</v>
      </c>
    </row>
    <row r="11" spans="2:13" ht="22" customHeight="1" x14ac:dyDescent="0.2">
      <c r="B11" s="84">
        <v>5</v>
      </c>
      <c r="C11" s="42" t="s">
        <v>527</v>
      </c>
      <c r="D11" s="59" t="s">
        <v>528</v>
      </c>
      <c r="E11" s="85" t="s">
        <v>529</v>
      </c>
      <c r="F11" s="9">
        <v>250</v>
      </c>
      <c r="G11" s="86">
        <f t="shared" si="0"/>
        <v>37.5</v>
      </c>
      <c r="H11" s="87">
        <f t="shared" si="1"/>
        <v>287.5</v>
      </c>
      <c r="I11" s="88">
        <v>620</v>
      </c>
      <c r="J11" s="89">
        <f t="shared" si="2"/>
        <v>1.1565217391304348</v>
      </c>
      <c r="K11" s="90">
        <f t="shared" si="3"/>
        <v>0.53629032258064513</v>
      </c>
      <c r="L11" s="91">
        <v>14</v>
      </c>
      <c r="M11" s="17" t="s">
        <v>524</v>
      </c>
    </row>
    <row r="12" spans="2:13" ht="22" customHeight="1" x14ac:dyDescent="0.2">
      <c r="B12" s="84">
        <v>6</v>
      </c>
      <c r="C12" s="42" t="s">
        <v>530</v>
      </c>
      <c r="D12" s="59" t="s">
        <v>531</v>
      </c>
      <c r="E12" s="85" t="s">
        <v>532</v>
      </c>
      <c r="F12" s="9">
        <v>180</v>
      </c>
      <c r="G12" s="86">
        <f t="shared" si="0"/>
        <v>27</v>
      </c>
      <c r="H12" s="87">
        <f t="shared" si="1"/>
        <v>207</v>
      </c>
      <c r="I12" s="88">
        <v>420</v>
      </c>
      <c r="J12" s="89">
        <f t="shared" si="2"/>
        <v>1.0289855072463767</v>
      </c>
      <c r="K12" s="90">
        <f t="shared" si="3"/>
        <v>0.50714285714285712</v>
      </c>
      <c r="L12" s="91">
        <v>16</v>
      </c>
      <c r="M12" s="92" t="s">
        <v>516</v>
      </c>
    </row>
    <row r="13" spans="2:13" ht="22" customHeight="1" x14ac:dyDescent="0.2">
      <c r="B13" s="84">
        <v>7</v>
      </c>
      <c r="C13" s="42" t="s">
        <v>533</v>
      </c>
      <c r="D13" s="59" t="s">
        <v>534</v>
      </c>
      <c r="E13" s="85" t="s">
        <v>535</v>
      </c>
      <c r="F13" s="9">
        <v>170</v>
      </c>
      <c r="G13" s="86">
        <f t="shared" si="0"/>
        <v>25.5</v>
      </c>
      <c r="H13" s="87">
        <f t="shared" si="1"/>
        <v>195.5</v>
      </c>
      <c r="I13" s="88">
        <v>460</v>
      </c>
      <c r="J13" s="89">
        <f t="shared" si="2"/>
        <v>1.3529411764705883</v>
      </c>
      <c r="K13" s="90">
        <f t="shared" si="3"/>
        <v>0.57499999999999996</v>
      </c>
      <c r="L13" s="91">
        <v>15</v>
      </c>
      <c r="M13" s="92" t="s">
        <v>516</v>
      </c>
    </row>
    <row r="14" spans="2:13" ht="22" customHeight="1" x14ac:dyDescent="0.2">
      <c r="B14" s="84">
        <v>8</v>
      </c>
      <c r="C14" s="42" t="s">
        <v>536</v>
      </c>
      <c r="D14" s="59" t="s">
        <v>537</v>
      </c>
      <c r="E14" s="85" t="s">
        <v>538</v>
      </c>
      <c r="F14" s="9">
        <v>130</v>
      </c>
      <c r="G14" s="86">
        <f t="shared" si="0"/>
        <v>19.5</v>
      </c>
      <c r="H14" s="87">
        <f t="shared" si="1"/>
        <v>149.5</v>
      </c>
      <c r="I14" s="88">
        <v>330</v>
      </c>
      <c r="J14" s="89">
        <f t="shared" si="2"/>
        <v>1.2073578595317727</v>
      </c>
      <c r="K14" s="90">
        <f t="shared" si="3"/>
        <v>0.54696969696969699</v>
      </c>
      <c r="L14" s="91">
        <v>17</v>
      </c>
      <c r="M14" s="94" t="s">
        <v>539</v>
      </c>
    </row>
    <row r="15" spans="2:13" ht="22" customHeight="1" x14ac:dyDescent="0.2">
      <c r="B15" s="84">
        <v>9</v>
      </c>
      <c r="C15" s="42" t="s">
        <v>540</v>
      </c>
      <c r="D15" s="59" t="s">
        <v>541</v>
      </c>
      <c r="E15" s="85" t="s">
        <v>538</v>
      </c>
      <c r="F15" s="9">
        <v>80</v>
      </c>
      <c r="G15" s="86">
        <f t="shared" si="0"/>
        <v>12</v>
      </c>
      <c r="H15" s="87">
        <f t="shared" si="1"/>
        <v>92</v>
      </c>
      <c r="I15" s="88">
        <v>220</v>
      </c>
      <c r="J15" s="89">
        <f t="shared" si="2"/>
        <v>1.3913043478260869</v>
      </c>
      <c r="K15" s="90">
        <f t="shared" si="3"/>
        <v>0.58181818181818179</v>
      </c>
      <c r="L15" s="91">
        <v>18</v>
      </c>
      <c r="M15" s="93" t="s">
        <v>520</v>
      </c>
    </row>
    <row r="16" spans="2:13" ht="22" customHeight="1" x14ac:dyDescent="0.2">
      <c r="B16" s="84">
        <v>10</v>
      </c>
      <c r="C16" s="42" t="s">
        <v>542</v>
      </c>
      <c r="D16" s="59" t="s">
        <v>543</v>
      </c>
      <c r="E16" s="85" t="s">
        <v>544</v>
      </c>
      <c r="F16" s="9">
        <v>180</v>
      </c>
      <c r="G16" s="86">
        <f t="shared" si="0"/>
        <v>27</v>
      </c>
      <c r="H16" s="87">
        <f t="shared" si="1"/>
        <v>207</v>
      </c>
      <c r="I16" s="88">
        <v>480</v>
      </c>
      <c r="J16" s="89">
        <f t="shared" si="2"/>
        <v>1.318840579710145</v>
      </c>
      <c r="K16" s="90">
        <f t="shared" si="3"/>
        <v>0.56874999999999998</v>
      </c>
      <c r="L16" s="91">
        <v>15</v>
      </c>
      <c r="M16" s="92" t="s">
        <v>516</v>
      </c>
    </row>
    <row r="17" spans="2:13" ht="22" customHeight="1" x14ac:dyDescent="0.2">
      <c r="B17" s="84">
        <v>11</v>
      </c>
      <c r="C17" s="42" t="s">
        <v>545</v>
      </c>
      <c r="D17" s="59" t="s">
        <v>546</v>
      </c>
      <c r="E17" s="85" t="s">
        <v>544</v>
      </c>
      <c r="F17" s="9">
        <v>140</v>
      </c>
      <c r="G17" s="86">
        <f t="shared" si="0"/>
        <v>21</v>
      </c>
      <c r="H17" s="87">
        <f t="shared" si="1"/>
        <v>161</v>
      </c>
      <c r="I17" s="88">
        <v>350</v>
      </c>
      <c r="J17" s="89">
        <f t="shared" si="2"/>
        <v>1.173913043478261</v>
      </c>
      <c r="K17" s="90">
        <f t="shared" si="3"/>
        <v>0.54</v>
      </c>
      <c r="L17" s="91">
        <v>17</v>
      </c>
      <c r="M17" s="94" t="s">
        <v>539</v>
      </c>
    </row>
    <row r="18" spans="2:13" ht="22" customHeight="1" x14ac:dyDescent="0.2">
      <c r="B18" s="84">
        <v>12</v>
      </c>
      <c r="C18" s="42" t="s">
        <v>547</v>
      </c>
      <c r="D18" s="59" t="s">
        <v>548</v>
      </c>
      <c r="E18" s="85" t="s">
        <v>251</v>
      </c>
      <c r="F18" s="9">
        <v>160</v>
      </c>
      <c r="G18" s="86">
        <f t="shared" si="0"/>
        <v>24</v>
      </c>
      <c r="H18" s="87">
        <f t="shared" si="1"/>
        <v>184</v>
      </c>
      <c r="I18" s="88">
        <v>405</v>
      </c>
      <c r="J18" s="89">
        <f t="shared" si="2"/>
        <v>1.201086956521739</v>
      </c>
      <c r="K18" s="90">
        <f t="shared" si="3"/>
        <v>0.54567901234567906</v>
      </c>
      <c r="L18" s="91">
        <v>16</v>
      </c>
      <c r="M18" s="92" t="s">
        <v>516</v>
      </c>
    </row>
    <row r="19" spans="2:13" ht="28" customHeight="1" x14ac:dyDescent="0.2">
      <c r="B19" s="505" t="s">
        <v>549</v>
      </c>
      <c r="C19" s="487"/>
      <c r="D19" s="487"/>
      <c r="E19" s="488"/>
      <c r="F19" s="95">
        <f>SUM(F7:F18)</f>
        <v>1850</v>
      </c>
      <c r="G19" s="96">
        <f>SUM(G7:G18)</f>
        <v>277.5</v>
      </c>
      <c r="H19" s="96">
        <f>SUM(H7:H18)</f>
        <v>2127.5</v>
      </c>
      <c r="I19" s="97">
        <f>SUM(I7:I18)</f>
        <v>4545</v>
      </c>
      <c r="J19" s="98">
        <f t="shared" si="2"/>
        <v>1.136310223266745</v>
      </c>
      <c r="K19" s="68">
        <f t="shared" si="3"/>
        <v>0.53190319031903188</v>
      </c>
      <c r="L19" s="99">
        <f>AVERAGE(L7:L18)</f>
        <v>15.916666666666666</v>
      </c>
      <c r="M19" s="100" t="s">
        <v>401</v>
      </c>
    </row>
    <row r="21" spans="2:13" ht="20" customHeight="1" x14ac:dyDescent="0.2">
      <c r="B21" s="503" t="s">
        <v>550</v>
      </c>
      <c r="C21" s="468"/>
      <c r="D21" s="468"/>
      <c r="E21" s="468"/>
      <c r="F21" s="468"/>
      <c r="G21" s="468"/>
      <c r="H21" s="468"/>
      <c r="I21" s="468"/>
      <c r="J21" s="468"/>
      <c r="K21" s="468"/>
      <c r="L21" s="468"/>
    </row>
    <row r="22" spans="2:13" ht="20" customHeight="1" x14ac:dyDescent="0.2">
      <c r="B22" s="507" t="s">
        <v>551</v>
      </c>
      <c r="C22" s="487"/>
      <c r="D22" s="487"/>
      <c r="E22" s="488"/>
      <c r="F22" s="101" t="s">
        <v>552</v>
      </c>
      <c r="G22" s="102">
        <v>1850</v>
      </c>
      <c r="H22" s="101" t="s">
        <v>553</v>
      </c>
      <c r="I22" s="103">
        <f>F19</f>
        <v>1850</v>
      </c>
      <c r="J22" s="506" t="s">
        <v>554</v>
      </c>
      <c r="K22" s="487"/>
      <c r="L22" s="487"/>
      <c r="M22" s="488"/>
    </row>
    <row r="23" spans="2:13" ht="20" customHeight="1" x14ac:dyDescent="0.2">
      <c r="B23" s="507" t="s">
        <v>555</v>
      </c>
      <c r="C23" s="487"/>
      <c r="D23" s="487"/>
      <c r="E23" s="488"/>
      <c r="F23" s="101" t="s">
        <v>552</v>
      </c>
      <c r="G23" s="102">
        <v>4545</v>
      </c>
      <c r="H23" s="101" t="s">
        <v>553</v>
      </c>
      <c r="I23" s="103">
        <f>I19</f>
        <v>4545</v>
      </c>
      <c r="J23" s="506" t="s">
        <v>554</v>
      </c>
      <c r="K23" s="487"/>
      <c r="L23" s="487"/>
      <c r="M23" s="488"/>
    </row>
    <row r="24" spans="2:13" ht="20" customHeight="1" x14ac:dyDescent="0.2">
      <c r="B24" s="507" t="s">
        <v>556</v>
      </c>
      <c r="C24" s="487"/>
      <c r="D24" s="487"/>
      <c r="E24" s="488"/>
      <c r="F24" s="101" t="s">
        <v>552</v>
      </c>
      <c r="G24" s="102">
        <v>154.19999999999999</v>
      </c>
      <c r="H24" s="101" t="s">
        <v>553</v>
      </c>
      <c r="I24" s="103">
        <f>F19/12</f>
        <v>154.16666666666666</v>
      </c>
      <c r="J24" s="506" t="s">
        <v>554</v>
      </c>
      <c r="K24" s="487"/>
      <c r="L24" s="487"/>
      <c r="M24" s="488"/>
    </row>
    <row r="25" spans="2:13" ht="20" customHeight="1" x14ac:dyDescent="0.2">
      <c r="B25" s="507" t="s">
        <v>557</v>
      </c>
      <c r="C25" s="487"/>
      <c r="D25" s="487"/>
      <c r="E25" s="488"/>
      <c r="F25" s="101" t="s">
        <v>552</v>
      </c>
      <c r="G25" s="102">
        <v>378.75</v>
      </c>
      <c r="H25" s="101" t="s">
        <v>553</v>
      </c>
      <c r="I25" s="103">
        <f>I19/12</f>
        <v>378.75</v>
      </c>
      <c r="J25" s="506" t="s">
        <v>554</v>
      </c>
      <c r="K25" s="487"/>
      <c r="L25" s="487"/>
      <c r="M25" s="488"/>
    </row>
    <row r="26" spans="2:13" ht="20" customHeight="1" x14ac:dyDescent="0.2">
      <c r="B26" s="507" t="s">
        <v>558</v>
      </c>
      <c r="C26" s="487"/>
      <c r="D26" s="487"/>
      <c r="E26" s="488"/>
      <c r="F26" s="101" t="s">
        <v>552</v>
      </c>
      <c r="G26" s="102">
        <v>2.4569999999999999</v>
      </c>
      <c r="H26" s="101" t="s">
        <v>553</v>
      </c>
      <c r="I26" s="103">
        <f>I19/F19</f>
        <v>2.4567567567567568</v>
      </c>
      <c r="J26" s="506" t="s">
        <v>554</v>
      </c>
      <c r="K26" s="487"/>
      <c r="L26" s="487"/>
      <c r="M26" s="488"/>
    </row>
    <row r="28" spans="2:13" ht="20" customHeight="1" x14ac:dyDescent="0.2">
      <c r="B28" s="490" t="s">
        <v>559</v>
      </c>
      <c r="C28" s="468"/>
      <c r="D28" s="468"/>
      <c r="E28" s="468"/>
      <c r="F28" s="468"/>
      <c r="G28" s="468"/>
      <c r="H28" s="468"/>
      <c r="I28" s="468"/>
      <c r="J28" s="468"/>
      <c r="K28" s="468"/>
      <c r="L28" s="468"/>
    </row>
    <row r="29" spans="2:13" ht="59" customHeight="1" x14ac:dyDescent="0.2">
      <c r="B29" s="24" t="s">
        <v>417</v>
      </c>
      <c r="C29" s="24" t="s">
        <v>560</v>
      </c>
      <c r="D29" s="494" t="s">
        <v>561</v>
      </c>
      <c r="E29" s="495"/>
      <c r="F29" s="495"/>
      <c r="G29" s="495"/>
      <c r="H29" s="496"/>
      <c r="I29" s="24" t="s">
        <v>562</v>
      </c>
      <c r="J29" s="24" t="s">
        <v>563</v>
      </c>
      <c r="K29" s="494" t="s">
        <v>564</v>
      </c>
      <c r="L29" s="495"/>
      <c r="M29" s="496"/>
    </row>
    <row r="30" spans="2:13" ht="28" customHeight="1" x14ac:dyDescent="0.2">
      <c r="B30" s="44" t="s">
        <v>515</v>
      </c>
      <c r="C30" s="104">
        <v>1</v>
      </c>
      <c r="D30" s="504" t="s">
        <v>513</v>
      </c>
      <c r="E30" s="487"/>
      <c r="F30" s="487"/>
      <c r="G30" s="487"/>
      <c r="H30" s="488"/>
      <c r="I30" s="105">
        <v>150</v>
      </c>
      <c r="J30" s="81">
        <v>310</v>
      </c>
      <c r="K30" s="508">
        <v>0.79710144927536231</v>
      </c>
      <c r="L30" s="487"/>
      <c r="M30" s="488"/>
    </row>
    <row r="31" spans="2:13" ht="28" customHeight="1" x14ac:dyDescent="0.2">
      <c r="B31" s="44" t="s">
        <v>519</v>
      </c>
      <c r="C31" s="104">
        <v>1</v>
      </c>
      <c r="D31" s="504" t="s">
        <v>517</v>
      </c>
      <c r="E31" s="487"/>
      <c r="F31" s="487"/>
      <c r="G31" s="487"/>
      <c r="H31" s="488"/>
      <c r="I31" s="105">
        <v>100</v>
      </c>
      <c r="J31" s="81">
        <v>250</v>
      </c>
      <c r="K31" s="508">
        <v>1.173913043478261</v>
      </c>
      <c r="L31" s="487"/>
      <c r="M31" s="488"/>
    </row>
    <row r="32" spans="2:13" ht="28" customHeight="1" x14ac:dyDescent="0.2">
      <c r="B32" s="44" t="s">
        <v>523</v>
      </c>
      <c r="C32" s="104">
        <v>2</v>
      </c>
      <c r="D32" s="504" t="s">
        <v>565</v>
      </c>
      <c r="E32" s="487"/>
      <c r="F32" s="487"/>
      <c r="G32" s="487"/>
      <c r="H32" s="488"/>
      <c r="I32" s="105">
        <v>310</v>
      </c>
      <c r="J32" s="81">
        <v>700</v>
      </c>
      <c r="K32" s="508">
        <v>0.96353436185133234</v>
      </c>
      <c r="L32" s="487"/>
      <c r="M32" s="488"/>
    </row>
    <row r="33" spans="2:13" ht="28" customHeight="1" x14ac:dyDescent="0.2">
      <c r="B33" s="44" t="s">
        <v>529</v>
      </c>
      <c r="C33" s="104">
        <v>1</v>
      </c>
      <c r="D33" s="504" t="s">
        <v>527</v>
      </c>
      <c r="E33" s="487"/>
      <c r="F33" s="487"/>
      <c r="G33" s="487"/>
      <c r="H33" s="488"/>
      <c r="I33" s="105">
        <v>250</v>
      </c>
      <c r="J33" s="81">
        <v>620</v>
      </c>
      <c r="K33" s="508">
        <v>1.156521739130435</v>
      </c>
      <c r="L33" s="487"/>
      <c r="M33" s="488"/>
    </row>
    <row r="34" spans="2:13" ht="28" customHeight="1" x14ac:dyDescent="0.2">
      <c r="B34" s="44" t="s">
        <v>532</v>
      </c>
      <c r="C34" s="104">
        <v>1</v>
      </c>
      <c r="D34" s="504" t="s">
        <v>530</v>
      </c>
      <c r="E34" s="487"/>
      <c r="F34" s="487"/>
      <c r="G34" s="487"/>
      <c r="H34" s="488"/>
      <c r="I34" s="105">
        <v>180</v>
      </c>
      <c r="J34" s="81">
        <v>420</v>
      </c>
      <c r="K34" s="508">
        <v>1.0289855072463769</v>
      </c>
      <c r="L34" s="487"/>
      <c r="M34" s="488"/>
    </row>
    <row r="35" spans="2:13" ht="28" customHeight="1" x14ac:dyDescent="0.2">
      <c r="B35" s="44" t="s">
        <v>535</v>
      </c>
      <c r="C35" s="104">
        <v>1</v>
      </c>
      <c r="D35" s="504" t="s">
        <v>533</v>
      </c>
      <c r="E35" s="487"/>
      <c r="F35" s="487"/>
      <c r="G35" s="487"/>
      <c r="H35" s="488"/>
      <c r="I35" s="105">
        <v>170</v>
      </c>
      <c r="J35" s="81">
        <v>460</v>
      </c>
      <c r="K35" s="508">
        <v>1.352941176470589</v>
      </c>
      <c r="L35" s="487"/>
      <c r="M35" s="488"/>
    </row>
    <row r="36" spans="2:13" ht="28" customHeight="1" x14ac:dyDescent="0.2">
      <c r="B36" s="44" t="s">
        <v>538</v>
      </c>
      <c r="C36" s="104">
        <v>2</v>
      </c>
      <c r="D36" s="504" t="s">
        <v>566</v>
      </c>
      <c r="E36" s="487"/>
      <c r="F36" s="487"/>
      <c r="G36" s="487"/>
      <c r="H36" s="488"/>
      <c r="I36" s="105">
        <v>210</v>
      </c>
      <c r="J36" s="81">
        <v>550</v>
      </c>
      <c r="K36" s="508">
        <v>1.2774327122153211</v>
      </c>
      <c r="L36" s="487"/>
      <c r="M36" s="488"/>
    </row>
    <row r="37" spans="2:13" ht="28" customHeight="1" x14ac:dyDescent="0.2">
      <c r="B37" s="44" t="s">
        <v>544</v>
      </c>
      <c r="C37" s="104">
        <v>2</v>
      </c>
      <c r="D37" s="504" t="s">
        <v>567</v>
      </c>
      <c r="E37" s="487"/>
      <c r="F37" s="487"/>
      <c r="G37" s="487"/>
      <c r="H37" s="488"/>
      <c r="I37" s="105">
        <v>320</v>
      </c>
      <c r="J37" s="81">
        <v>830</v>
      </c>
      <c r="K37" s="508">
        <v>1.255434782608696</v>
      </c>
      <c r="L37" s="487"/>
      <c r="M37" s="488"/>
    </row>
    <row r="38" spans="2:13" ht="28" customHeight="1" x14ac:dyDescent="0.2">
      <c r="B38" s="44" t="s">
        <v>251</v>
      </c>
      <c r="C38" s="104">
        <v>1</v>
      </c>
      <c r="D38" s="504" t="s">
        <v>547</v>
      </c>
      <c r="E38" s="487"/>
      <c r="F38" s="487"/>
      <c r="G38" s="487"/>
      <c r="H38" s="488"/>
      <c r="I38" s="105">
        <v>160</v>
      </c>
      <c r="J38" s="81">
        <v>405</v>
      </c>
      <c r="K38" s="508">
        <v>1.201086956521739</v>
      </c>
      <c r="L38" s="487"/>
      <c r="M38" s="488"/>
    </row>
    <row r="40" spans="2:13" ht="60" customHeight="1" x14ac:dyDescent="0.2">
      <c r="B40" s="470" t="s">
        <v>568</v>
      </c>
      <c r="C40" s="468"/>
      <c r="D40" s="468"/>
      <c r="E40" s="468"/>
      <c r="F40" s="468"/>
      <c r="G40" s="468"/>
      <c r="H40" s="468"/>
      <c r="I40" s="468"/>
      <c r="J40" s="468"/>
      <c r="K40" s="468"/>
      <c r="L40" s="468"/>
      <c r="M40" s="468"/>
    </row>
  </sheetData>
  <mergeCells count="37">
    <mergeCell ref="J23:M23"/>
    <mergeCell ref="B26:E26"/>
    <mergeCell ref="B21:L21"/>
    <mergeCell ref="B2:L2"/>
    <mergeCell ref="B25:E25"/>
    <mergeCell ref="B5:L5"/>
    <mergeCell ref="J22:M22"/>
    <mergeCell ref="B3:L3"/>
    <mergeCell ref="B24:E24"/>
    <mergeCell ref="D30:H30"/>
    <mergeCell ref="J26:M26"/>
    <mergeCell ref="K36:M36"/>
    <mergeCell ref="D33:H33"/>
    <mergeCell ref="D36:H36"/>
    <mergeCell ref="D29:H29"/>
    <mergeCell ref="K35:M35"/>
    <mergeCell ref="D35:H35"/>
    <mergeCell ref="K32:M32"/>
    <mergeCell ref="D34:H34"/>
    <mergeCell ref="K31:M31"/>
    <mergeCell ref="D31:H31"/>
    <mergeCell ref="D38:H38"/>
    <mergeCell ref="B19:E19"/>
    <mergeCell ref="J25:M25"/>
    <mergeCell ref="K29:M29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</mergeCells>
  <printOptions horizontalCentered="1"/>
  <pageMargins left="0.59" right="0.59" top="0.59" bottom="0.59" header="0.3" footer="0.3"/>
  <pageSetup paperSize="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V55"/>
  <sheetViews>
    <sheetView workbookViewId="0">
      <pane xSplit="3" ySplit="5" topLeftCell="E21" activePane="bottomRight" state="frozen"/>
      <selection pane="topRight"/>
      <selection pane="bottomLeft"/>
      <selection pane="bottomRight" activeCell="B45" sqref="B45:V45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42" customWidth="1"/>
    <col min="4" max="19" width="10" customWidth="1"/>
    <col min="20" max="21" width="12" customWidth="1"/>
    <col min="22" max="22" width="30" customWidth="1"/>
  </cols>
  <sheetData>
    <row r="2" spans="2:22" ht="30" customHeight="1" x14ac:dyDescent="0.2">
      <c r="B2" s="525" t="s">
        <v>569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</row>
    <row r="3" spans="2:22" ht="18" customHeight="1" x14ac:dyDescent="0.2">
      <c r="B3" s="526" t="s">
        <v>570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</row>
    <row r="5" spans="2:22" ht="22" customHeight="1" x14ac:dyDescent="0.2">
      <c r="B5" s="123" t="s">
        <v>61</v>
      </c>
      <c r="C5" s="124" t="s">
        <v>21</v>
      </c>
      <c r="D5" s="125" t="s">
        <v>571</v>
      </c>
      <c r="E5" s="125" t="s">
        <v>572</v>
      </c>
      <c r="F5" s="125" t="s">
        <v>573</v>
      </c>
      <c r="G5" s="125" t="s">
        <v>574</v>
      </c>
      <c r="H5" s="125" t="s">
        <v>575</v>
      </c>
      <c r="I5" s="125" t="s">
        <v>576</v>
      </c>
      <c r="J5" s="125" t="s">
        <v>577</v>
      </c>
      <c r="K5" s="125" t="s">
        <v>578</v>
      </c>
      <c r="L5" s="125" t="s">
        <v>579</v>
      </c>
      <c r="M5" s="125" t="s">
        <v>580</v>
      </c>
      <c r="N5" s="125" t="s">
        <v>581</v>
      </c>
      <c r="O5" s="125" t="s">
        <v>582</v>
      </c>
      <c r="P5" s="125" t="s">
        <v>406</v>
      </c>
      <c r="Q5" s="125" t="s">
        <v>407</v>
      </c>
      <c r="R5" s="125" t="s">
        <v>408</v>
      </c>
      <c r="S5" s="125" t="s">
        <v>409</v>
      </c>
      <c r="T5" s="126" t="s">
        <v>400</v>
      </c>
      <c r="U5" s="126" t="s">
        <v>583</v>
      </c>
      <c r="V5" s="126" t="s">
        <v>448</v>
      </c>
    </row>
    <row r="6" spans="2:22" ht="20" customHeight="1" x14ac:dyDescent="0.2">
      <c r="B6" s="521" t="s">
        <v>584</v>
      </c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73"/>
      <c r="V6" s="466"/>
    </row>
    <row r="7" spans="2:22" ht="16" x14ac:dyDescent="0.2">
      <c r="B7" s="109" t="s">
        <v>585</v>
      </c>
      <c r="C7" s="108" t="s">
        <v>586</v>
      </c>
      <c r="D7" s="127">
        <v>0</v>
      </c>
      <c r="E7" s="127">
        <v>0</v>
      </c>
      <c r="F7" s="127">
        <v>0</v>
      </c>
      <c r="G7" s="127">
        <v>148.80000000000001</v>
      </c>
      <c r="H7" s="127">
        <v>120</v>
      </c>
      <c r="I7" s="127">
        <v>336</v>
      </c>
      <c r="J7" s="127">
        <v>297.60000000000002</v>
      </c>
      <c r="K7" s="127">
        <v>201.6</v>
      </c>
      <c r="L7" s="127">
        <v>220.8</v>
      </c>
      <c r="M7" s="127">
        <v>264</v>
      </c>
      <c r="N7" s="127">
        <v>398.4</v>
      </c>
      <c r="O7" s="127">
        <v>194.4</v>
      </c>
      <c r="P7" s="127">
        <v>182.4</v>
      </c>
      <c r="Q7" s="127">
        <v>144</v>
      </c>
      <c r="R7" s="127">
        <v>105.6</v>
      </c>
      <c r="S7" s="127">
        <v>72</v>
      </c>
      <c r="T7" s="128">
        <v>2181.6</v>
      </c>
      <c r="U7" s="128">
        <v>2685.6</v>
      </c>
    </row>
    <row r="8" spans="2:22" ht="16" x14ac:dyDescent="0.2">
      <c r="B8" s="109" t="s">
        <v>587</v>
      </c>
      <c r="C8" s="108" t="s">
        <v>588</v>
      </c>
      <c r="D8" s="127">
        <v>0</v>
      </c>
      <c r="E8" s="127">
        <v>0</v>
      </c>
      <c r="F8" s="127">
        <v>0</v>
      </c>
      <c r="G8" s="127">
        <v>62</v>
      </c>
      <c r="H8" s="127">
        <v>50</v>
      </c>
      <c r="I8" s="127">
        <v>140</v>
      </c>
      <c r="J8" s="127">
        <v>124</v>
      </c>
      <c r="K8" s="127">
        <v>84</v>
      </c>
      <c r="L8" s="127">
        <v>92</v>
      </c>
      <c r="M8" s="127">
        <v>110</v>
      </c>
      <c r="N8" s="127">
        <v>166</v>
      </c>
      <c r="O8" s="127">
        <v>81</v>
      </c>
      <c r="P8" s="127">
        <v>76</v>
      </c>
      <c r="Q8" s="127">
        <v>60</v>
      </c>
      <c r="R8" s="127">
        <v>44</v>
      </c>
      <c r="S8" s="127">
        <v>30</v>
      </c>
      <c r="T8" s="128">
        <v>909</v>
      </c>
      <c r="U8" s="128">
        <v>1119</v>
      </c>
    </row>
    <row r="9" spans="2:22" ht="16" x14ac:dyDescent="0.2">
      <c r="B9" s="109" t="s">
        <v>589</v>
      </c>
      <c r="C9" s="108" t="s">
        <v>590</v>
      </c>
      <c r="D9" s="127">
        <v>0</v>
      </c>
      <c r="E9" s="127">
        <v>0</v>
      </c>
      <c r="F9" s="127">
        <v>0</v>
      </c>
      <c r="G9" s="127">
        <v>24.8</v>
      </c>
      <c r="H9" s="127">
        <v>20</v>
      </c>
      <c r="I9" s="127">
        <v>56</v>
      </c>
      <c r="J9" s="127">
        <v>49.6</v>
      </c>
      <c r="K9" s="127">
        <v>33.6</v>
      </c>
      <c r="L9" s="127">
        <v>36.799999999999997</v>
      </c>
      <c r="M9" s="127">
        <v>44</v>
      </c>
      <c r="N9" s="127">
        <v>66.400000000000006</v>
      </c>
      <c r="O9" s="127">
        <v>32.4</v>
      </c>
      <c r="P9" s="127">
        <v>30.4</v>
      </c>
      <c r="Q9" s="127">
        <v>24</v>
      </c>
      <c r="R9" s="127">
        <v>17.600000000000001</v>
      </c>
      <c r="S9" s="127">
        <v>12</v>
      </c>
      <c r="T9" s="128">
        <v>363.6</v>
      </c>
      <c r="U9" s="128">
        <v>447.6</v>
      </c>
    </row>
    <row r="10" spans="2:22" ht="16" x14ac:dyDescent="0.2">
      <c r="B10" s="109" t="s">
        <v>591</v>
      </c>
      <c r="C10" s="108" t="s">
        <v>592</v>
      </c>
      <c r="D10" s="127">
        <v>0</v>
      </c>
      <c r="E10" s="127">
        <v>0</v>
      </c>
      <c r="F10" s="127">
        <v>0</v>
      </c>
      <c r="G10" s="127">
        <v>31</v>
      </c>
      <c r="H10" s="127">
        <v>25</v>
      </c>
      <c r="I10" s="127">
        <v>70</v>
      </c>
      <c r="J10" s="127">
        <v>62</v>
      </c>
      <c r="K10" s="127">
        <v>42</v>
      </c>
      <c r="L10" s="127">
        <v>46</v>
      </c>
      <c r="M10" s="127">
        <v>55</v>
      </c>
      <c r="N10" s="127">
        <v>83</v>
      </c>
      <c r="O10" s="127">
        <v>40.5</v>
      </c>
      <c r="P10" s="127">
        <v>38</v>
      </c>
      <c r="Q10" s="127">
        <v>30</v>
      </c>
      <c r="R10" s="127">
        <v>22</v>
      </c>
      <c r="S10" s="127">
        <v>15</v>
      </c>
      <c r="T10" s="128">
        <v>454.5</v>
      </c>
      <c r="U10" s="128">
        <v>559.5</v>
      </c>
    </row>
    <row r="11" spans="2:22" ht="16" x14ac:dyDescent="0.2">
      <c r="B11" s="109" t="s">
        <v>593</v>
      </c>
      <c r="C11" s="108" t="s">
        <v>594</v>
      </c>
      <c r="D11" s="127">
        <v>0</v>
      </c>
      <c r="E11" s="127">
        <v>0</v>
      </c>
      <c r="F11" s="127">
        <v>0</v>
      </c>
      <c r="G11" s="127">
        <v>12.4</v>
      </c>
      <c r="H11" s="127">
        <v>10</v>
      </c>
      <c r="I11" s="127">
        <v>28</v>
      </c>
      <c r="J11" s="127">
        <v>24.8</v>
      </c>
      <c r="K11" s="127">
        <v>16.8</v>
      </c>
      <c r="L11" s="127">
        <v>18.399999999999999</v>
      </c>
      <c r="M11" s="127">
        <v>22</v>
      </c>
      <c r="N11" s="127">
        <v>33.200000000000003</v>
      </c>
      <c r="O11" s="127">
        <v>16.2</v>
      </c>
      <c r="P11" s="127">
        <v>15.2</v>
      </c>
      <c r="Q11" s="127">
        <v>12</v>
      </c>
      <c r="R11" s="127">
        <v>8.8000000000000007</v>
      </c>
      <c r="S11" s="127">
        <v>6</v>
      </c>
      <c r="T11" s="128">
        <v>181.8</v>
      </c>
      <c r="U11" s="128">
        <v>223.8</v>
      </c>
    </row>
    <row r="12" spans="2:22" ht="16" x14ac:dyDescent="0.2">
      <c r="B12" s="109" t="s">
        <v>595</v>
      </c>
      <c r="C12" s="108" t="s">
        <v>596</v>
      </c>
      <c r="D12" s="127">
        <v>0</v>
      </c>
      <c r="E12" s="127">
        <v>0</v>
      </c>
      <c r="F12" s="127">
        <v>0</v>
      </c>
      <c r="G12" s="127">
        <v>15.5</v>
      </c>
      <c r="H12" s="127">
        <v>12.5</v>
      </c>
      <c r="I12" s="127">
        <v>35</v>
      </c>
      <c r="J12" s="127">
        <v>31</v>
      </c>
      <c r="K12" s="127">
        <v>21</v>
      </c>
      <c r="L12" s="127">
        <v>23</v>
      </c>
      <c r="M12" s="127">
        <v>27.5</v>
      </c>
      <c r="N12" s="127">
        <v>41.5</v>
      </c>
      <c r="O12" s="127">
        <v>20.25</v>
      </c>
      <c r="P12" s="127">
        <v>19</v>
      </c>
      <c r="Q12" s="127">
        <v>15</v>
      </c>
      <c r="R12" s="127">
        <v>11</v>
      </c>
      <c r="S12" s="127">
        <v>7.5</v>
      </c>
      <c r="T12" s="128">
        <v>227.2</v>
      </c>
      <c r="U12" s="128">
        <v>279.8</v>
      </c>
    </row>
    <row r="13" spans="2:22" ht="16" x14ac:dyDescent="0.2">
      <c r="B13" s="109" t="s">
        <v>597</v>
      </c>
      <c r="C13" s="108" t="s">
        <v>598</v>
      </c>
      <c r="D13" s="127">
        <v>0</v>
      </c>
      <c r="E13" s="127">
        <v>0</v>
      </c>
      <c r="F13" s="127">
        <v>0</v>
      </c>
      <c r="G13" s="127">
        <v>6.2</v>
      </c>
      <c r="H13" s="127">
        <v>5</v>
      </c>
      <c r="I13" s="127">
        <v>14</v>
      </c>
      <c r="J13" s="127">
        <v>12.4</v>
      </c>
      <c r="K13" s="127">
        <v>8.4</v>
      </c>
      <c r="L13" s="127">
        <v>9.1999999999999993</v>
      </c>
      <c r="M13" s="127">
        <v>11</v>
      </c>
      <c r="N13" s="127">
        <v>16.600000000000001</v>
      </c>
      <c r="O13" s="127">
        <v>8.1</v>
      </c>
      <c r="P13" s="127">
        <v>7.6</v>
      </c>
      <c r="Q13" s="127">
        <v>6</v>
      </c>
      <c r="R13" s="127">
        <v>4.4000000000000004</v>
      </c>
      <c r="S13" s="127">
        <v>3</v>
      </c>
      <c r="T13" s="128">
        <v>90.9</v>
      </c>
      <c r="U13" s="128">
        <v>111.9</v>
      </c>
    </row>
    <row r="14" spans="2:22" ht="16" x14ac:dyDescent="0.2">
      <c r="B14" s="109" t="s">
        <v>599</v>
      </c>
      <c r="C14" s="108" t="s">
        <v>600</v>
      </c>
      <c r="D14" s="127">
        <v>0</v>
      </c>
      <c r="E14" s="127">
        <v>0</v>
      </c>
      <c r="F14" s="127">
        <v>0</v>
      </c>
      <c r="G14" s="127">
        <v>9.3000000000000007</v>
      </c>
      <c r="H14" s="127">
        <v>7.5</v>
      </c>
      <c r="I14" s="127">
        <v>21</v>
      </c>
      <c r="J14" s="127">
        <v>18.600000000000001</v>
      </c>
      <c r="K14" s="127">
        <v>12.6</v>
      </c>
      <c r="L14" s="127">
        <v>13.8</v>
      </c>
      <c r="M14" s="127">
        <v>16.5</v>
      </c>
      <c r="N14" s="127">
        <v>24.9</v>
      </c>
      <c r="O14" s="127">
        <v>12.15</v>
      </c>
      <c r="P14" s="127">
        <v>11.4</v>
      </c>
      <c r="Q14" s="127">
        <v>9</v>
      </c>
      <c r="R14" s="127">
        <v>6.6</v>
      </c>
      <c r="S14" s="127">
        <v>4.5</v>
      </c>
      <c r="T14" s="128">
        <v>136.30000000000001</v>
      </c>
      <c r="U14" s="128">
        <v>167.8</v>
      </c>
    </row>
    <row r="15" spans="2:22" ht="16" x14ac:dyDescent="0.2">
      <c r="B15" s="109" t="s">
        <v>601</v>
      </c>
      <c r="C15" s="129" t="s">
        <v>602</v>
      </c>
      <c r="D15" s="130">
        <v>0</v>
      </c>
      <c r="E15" s="130">
        <v>0</v>
      </c>
      <c r="F15" s="130">
        <v>0</v>
      </c>
      <c r="G15" s="130">
        <v>310</v>
      </c>
      <c r="H15" s="130">
        <v>250</v>
      </c>
      <c r="I15" s="130">
        <v>700</v>
      </c>
      <c r="J15" s="130">
        <v>620</v>
      </c>
      <c r="K15" s="130">
        <v>420</v>
      </c>
      <c r="L15" s="130">
        <v>460</v>
      </c>
      <c r="M15" s="130">
        <v>550</v>
      </c>
      <c r="N15" s="130">
        <v>830</v>
      </c>
      <c r="O15" s="130">
        <v>405</v>
      </c>
      <c r="P15" s="130">
        <v>380</v>
      </c>
      <c r="Q15" s="130">
        <v>300</v>
      </c>
      <c r="R15" s="130">
        <v>220</v>
      </c>
      <c r="S15" s="130">
        <v>150</v>
      </c>
      <c r="T15" s="131">
        <v>4545</v>
      </c>
      <c r="U15" s="131">
        <v>5595</v>
      </c>
    </row>
    <row r="16" spans="2:22" ht="20" customHeight="1" x14ac:dyDescent="0.2">
      <c r="B16" s="521" t="s">
        <v>603</v>
      </c>
      <c r="C16" s="473"/>
      <c r="D16" s="473"/>
      <c r="E16" s="473"/>
      <c r="F16" s="473"/>
      <c r="G16" s="473"/>
      <c r="H16" s="473"/>
      <c r="I16" s="473"/>
      <c r="J16" s="473"/>
      <c r="K16" s="473"/>
      <c r="L16" s="473"/>
      <c r="M16" s="473"/>
      <c r="N16" s="473"/>
      <c r="O16" s="473"/>
      <c r="P16" s="473"/>
      <c r="Q16" s="473"/>
      <c r="R16" s="473"/>
      <c r="S16" s="473"/>
      <c r="T16" s="473"/>
      <c r="U16" s="473"/>
      <c r="V16" s="466"/>
    </row>
    <row r="17" spans="2:22" ht="16" x14ac:dyDescent="0.2">
      <c r="B17" s="109" t="s">
        <v>604</v>
      </c>
      <c r="C17" s="108" t="s">
        <v>605</v>
      </c>
      <c r="D17" s="127">
        <v>0</v>
      </c>
      <c r="E17" s="127">
        <v>0</v>
      </c>
      <c r="F17" s="127">
        <v>0</v>
      </c>
      <c r="G17" s="127">
        <v>119.14</v>
      </c>
      <c r="H17" s="127">
        <v>96.08</v>
      </c>
      <c r="I17" s="127">
        <v>269.02999999999997</v>
      </c>
      <c r="J17" s="127">
        <v>238.29</v>
      </c>
      <c r="K17" s="127">
        <v>161.41999999999999</v>
      </c>
      <c r="L17" s="127">
        <v>176.79</v>
      </c>
      <c r="M17" s="127">
        <v>211.38</v>
      </c>
      <c r="N17" s="127">
        <v>318.99</v>
      </c>
      <c r="O17" s="127">
        <v>155.65</v>
      </c>
      <c r="P17" s="127">
        <v>146.05000000000001</v>
      </c>
      <c r="Q17" s="127">
        <v>115.3</v>
      </c>
      <c r="R17" s="127">
        <v>84.55</v>
      </c>
      <c r="S17" s="127">
        <v>57.65</v>
      </c>
      <c r="T17" s="128">
        <v>1746.8</v>
      </c>
      <c r="U17" s="128">
        <v>2150.3000000000002</v>
      </c>
    </row>
    <row r="18" spans="2:22" ht="16" x14ac:dyDescent="0.2">
      <c r="B18" s="109" t="s">
        <v>606</v>
      </c>
      <c r="C18" s="108" t="s">
        <v>291</v>
      </c>
      <c r="D18" s="127">
        <v>0</v>
      </c>
      <c r="E18" s="127">
        <v>0</v>
      </c>
      <c r="F18" s="127">
        <v>0</v>
      </c>
      <c r="G18" s="127">
        <v>17.87</v>
      </c>
      <c r="H18" s="127">
        <v>14.41</v>
      </c>
      <c r="I18" s="127">
        <v>40.36</v>
      </c>
      <c r="J18" s="127">
        <v>35.74</v>
      </c>
      <c r="K18" s="127">
        <v>24.21</v>
      </c>
      <c r="L18" s="127">
        <v>26.52</v>
      </c>
      <c r="M18" s="127">
        <v>31.71</v>
      </c>
      <c r="N18" s="127">
        <v>47.85</v>
      </c>
      <c r="O18" s="127">
        <v>23.35</v>
      </c>
      <c r="P18" s="127">
        <v>21.91</v>
      </c>
      <c r="Q18" s="127">
        <v>17.3</v>
      </c>
      <c r="R18" s="127">
        <v>12.68</v>
      </c>
      <c r="S18" s="127">
        <v>8.65</v>
      </c>
      <c r="T18" s="128">
        <v>262</v>
      </c>
      <c r="U18" s="128">
        <v>322.60000000000002</v>
      </c>
    </row>
    <row r="19" spans="2:22" ht="16" x14ac:dyDescent="0.2">
      <c r="B19" s="109" t="s">
        <v>607</v>
      </c>
      <c r="C19" s="129" t="s">
        <v>608</v>
      </c>
      <c r="D19" s="130">
        <v>0</v>
      </c>
      <c r="E19" s="130">
        <v>0</v>
      </c>
      <c r="F19" s="130">
        <v>0</v>
      </c>
      <c r="G19" s="130">
        <v>137.01</v>
      </c>
      <c r="H19" s="130">
        <v>110.49</v>
      </c>
      <c r="I19" s="130">
        <v>309.39</v>
      </c>
      <c r="J19" s="130">
        <v>274.02999999999997</v>
      </c>
      <c r="K19" s="130">
        <v>185.63</v>
      </c>
      <c r="L19" s="130">
        <v>203.31</v>
      </c>
      <c r="M19" s="130">
        <v>243.09</v>
      </c>
      <c r="N19" s="130">
        <v>366.84</v>
      </c>
      <c r="O19" s="130">
        <v>179</v>
      </c>
      <c r="P19" s="130">
        <v>167.96</v>
      </c>
      <c r="Q19" s="130">
        <v>132.6</v>
      </c>
      <c r="R19" s="130">
        <v>97.23</v>
      </c>
      <c r="S19" s="130">
        <v>66.3</v>
      </c>
      <c r="T19" s="130">
        <v>2008.8</v>
      </c>
      <c r="U19" s="130">
        <v>2472.9</v>
      </c>
    </row>
    <row r="20" spans="2:22" ht="16" x14ac:dyDescent="0.2">
      <c r="B20" s="109" t="s">
        <v>609</v>
      </c>
      <c r="C20" s="129" t="s">
        <v>610</v>
      </c>
      <c r="D20" s="130">
        <v>0</v>
      </c>
      <c r="E20" s="130">
        <v>0</v>
      </c>
      <c r="F20" s="130">
        <v>0</v>
      </c>
      <c r="G20" s="130">
        <v>172.99</v>
      </c>
      <c r="H20" s="130">
        <v>139.51</v>
      </c>
      <c r="I20" s="130">
        <v>390.61</v>
      </c>
      <c r="J20" s="130">
        <v>345.97</v>
      </c>
      <c r="K20" s="130">
        <v>234.37</v>
      </c>
      <c r="L20" s="130">
        <v>256.69</v>
      </c>
      <c r="M20" s="130">
        <v>306.91000000000003</v>
      </c>
      <c r="N20" s="130">
        <v>463.16</v>
      </c>
      <c r="O20" s="130">
        <v>226</v>
      </c>
      <c r="P20" s="130">
        <v>212.04</v>
      </c>
      <c r="Q20" s="130">
        <v>167.4</v>
      </c>
      <c r="R20" s="130">
        <v>122.77</v>
      </c>
      <c r="S20" s="130">
        <v>83.7</v>
      </c>
      <c r="T20" s="130">
        <v>2536.1999999999998</v>
      </c>
      <c r="U20" s="130">
        <v>3122.1</v>
      </c>
    </row>
    <row r="22" spans="2:22" ht="20" customHeight="1" x14ac:dyDescent="0.2">
      <c r="B22" s="521" t="s">
        <v>611</v>
      </c>
      <c r="C22" s="473"/>
      <c r="D22" s="473"/>
      <c r="E22" s="473"/>
      <c r="F22" s="473"/>
      <c r="G22" s="47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66"/>
    </row>
    <row r="23" spans="2:22" ht="16" x14ac:dyDescent="0.2">
      <c r="B23" s="109" t="s">
        <v>612</v>
      </c>
      <c r="C23" s="108" t="s">
        <v>613</v>
      </c>
      <c r="D23" s="127">
        <v>25.04</v>
      </c>
      <c r="E23" s="127">
        <v>25.04</v>
      </c>
      <c r="F23" s="127">
        <v>25.04</v>
      </c>
      <c r="G23" s="127">
        <v>25.04</v>
      </c>
      <c r="H23" s="127">
        <v>27.04</v>
      </c>
      <c r="I23" s="127">
        <v>27.04</v>
      </c>
      <c r="J23" s="127">
        <v>27.04</v>
      </c>
      <c r="K23" s="127">
        <v>27.04</v>
      </c>
      <c r="L23" s="127">
        <v>29.2</v>
      </c>
      <c r="M23" s="127">
        <v>29.2</v>
      </c>
      <c r="N23" s="127">
        <v>29.2</v>
      </c>
      <c r="O23" s="127">
        <v>29.2</v>
      </c>
      <c r="P23" s="127">
        <v>126.16</v>
      </c>
      <c r="Q23" s="127">
        <v>136.25</v>
      </c>
      <c r="R23" s="127">
        <v>147.16</v>
      </c>
      <c r="S23" s="127">
        <v>158.93</v>
      </c>
      <c r="T23" s="128">
        <v>325.10000000000002</v>
      </c>
      <c r="U23" s="128">
        <v>893.6</v>
      </c>
    </row>
    <row r="24" spans="2:22" ht="16" x14ac:dyDescent="0.2">
      <c r="B24" s="109" t="s">
        <v>614</v>
      </c>
      <c r="C24" s="108" t="s">
        <v>615</v>
      </c>
      <c r="D24" s="127">
        <v>0.75</v>
      </c>
      <c r="E24" s="127">
        <v>0.75</v>
      </c>
      <c r="F24" s="127">
        <v>0.75</v>
      </c>
      <c r="G24" s="127">
        <v>0.75</v>
      </c>
      <c r="H24" s="127">
        <v>0.75</v>
      </c>
      <c r="I24" s="127">
        <v>0.75</v>
      </c>
      <c r="J24" s="127">
        <v>0.75</v>
      </c>
      <c r="K24" s="127">
        <v>0.75</v>
      </c>
      <c r="L24" s="127">
        <v>0.75</v>
      </c>
      <c r="M24" s="127">
        <v>0.75</v>
      </c>
      <c r="N24" s="127">
        <v>0.75</v>
      </c>
      <c r="O24" s="127">
        <v>0.75</v>
      </c>
      <c r="P24" s="127">
        <v>3</v>
      </c>
      <c r="Q24" s="127">
        <v>3</v>
      </c>
      <c r="R24" s="127">
        <v>3</v>
      </c>
      <c r="S24" s="127">
        <v>3</v>
      </c>
      <c r="T24" s="128">
        <v>9</v>
      </c>
      <c r="U24" s="128">
        <v>21</v>
      </c>
    </row>
    <row r="25" spans="2:22" ht="16" x14ac:dyDescent="0.2">
      <c r="B25" s="109" t="s">
        <v>616</v>
      </c>
      <c r="C25" s="108" t="s">
        <v>617</v>
      </c>
      <c r="D25" s="127">
        <v>0.34</v>
      </c>
      <c r="E25" s="127">
        <v>0.34</v>
      </c>
      <c r="F25" s="127">
        <v>0.34</v>
      </c>
      <c r="G25" s="127">
        <v>0.34</v>
      </c>
      <c r="H25" s="127">
        <v>0.34</v>
      </c>
      <c r="I25" s="127">
        <v>0.34</v>
      </c>
      <c r="J25" s="127">
        <v>0.34</v>
      </c>
      <c r="K25" s="127">
        <v>0.34</v>
      </c>
      <c r="L25" s="127">
        <v>0.34</v>
      </c>
      <c r="M25" s="127">
        <v>0.34</v>
      </c>
      <c r="N25" s="127">
        <v>0.34</v>
      </c>
      <c r="O25" s="127">
        <v>0.34</v>
      </c>
      <c r="P25" s="127">
        <v>1.36</v>
      </c>
      <c r="Q25" s="127">
        <v>1.36</v>
      </c>
      <c r="R25" s="127">
        <v>1.36</v>
      </c>
      <c r="S25" s="127">
        <v>1.36</v>
      </c>
      <c r="T25" s="128">
        <v>4.0999999999999996</v>
      </c>
      <c r="U25" s="128">
        <v>9.5</v>
      </c>
    </row>
    <row r="26" spans="2:22" ht="16" x14ac:dyDescent="0.2">
      <c r="B26" s="109" t="s">
        <v>618</v>
      </c>
      <c r="C26" s="108" t="s">
        <v>619</v>
      </c>
      <c r="D26" s="127">
        <v>2.5499999999999998</v>
      </c>
      <c r="E26" s="127">
        <v>2.5499999999999998</v>
      </c>
      <c r="F26" s="127">
        <v>2.5499999999999998</v>
      </c>
      <c r="G26" s="127">
        <v>2.5499999999999998</v>
      </c>
      <c r="H26" s="127">
        <v>2.5499999999999998</v>
      </c>
      <c r="I26" s="127">
        <v>2.5499999999999998</v>
      </c>
      <c r="J26" s="127">
        <v>2.5499999999999998</v>
      </c>
      <c r="K26" s="127">
        <v>2.5499999999999998</v>
      </c>
      <c r="L26" s="127">
        <v>2.5499999999999998</v>
      </c>
      <c r="M26" s="127">
        <v>2.5499999999999998</v>
      </c>
      <c r="N26" s="127">
        <v>2.5499999999999998</v>
      </c>
      <c r="O26" s="127">
        <v>2.5499999999999998</v>
      </c>
      <c r="P26" s="127">
        <v>10.199999999999999</v>
      </c>
      <c r="Q26" s="127">
        <v>10.199999999999999</v>
      </c>
      <c r="R26" s="127">
        <v>10.199999999999999</v>
      </c>
      <c r="S26" s="127">
        <v>10.199999999999999</v>
      </c>
      <c r="T26" s="128">
        <v>30.6</v>
      </c>
      <c r="U26" s="128">
        <v>71.400000000000006</v>
      </c>
    </row>
    <row r="27" spans="2:22" ht="16" x14ac:dyDescent="0.2">
      <c r="B27" s="109" t="s">
        <v>620</v>
      </c>
      <c r="C27" s="129" t="s">
        <v>621</v>
      </c>
      <c r="D27" s="130">
        <v>28.68</v>
      </c>
      <c r="E27" s="130">
        <v>28.68</v>
      </c>
      <c r="F27" s="130">
        <v>28.68</v>
      </c>
      <c r="G27" s="130">
        <v>28.68</v>
      </c>
      <c r="H27" s="130">
        <v>30.68</v>
      </c>
      <c r="I27" s="130">
        <v>30.68</v>
      </c>
      <c r="J27" s="130">
        <v>30.68</v>
      </c>
      <c r="K27" s="130">
        <v>30.68</v>
      </c>
      <c r="L27" s="130">
        <v>32.840000000000003</v>
      </c>
      <c r="M27" s="130">
        <v>32.840000000000003</v>
      </c>
      <c r="N27" s="130">
        <v>32.840000000000003</v>
      </c>
      <c r="O27" s="130">
        <v>32.840000000000003</v>
      </c>
      <c r="P27" s="130">
        <v>140.72</v>
      </c>
      <c r="Q27" s="130">
        <v>150.81</v>
      </c>
      <c r="R27" s="130">
        <v>161.72</v>
      </c>
      <c r="S27" s="130">
        <v>173.49</v>
      </c>
      <c r="T27" s="130">
        <v>368.8</v>
      </c>
      <c r="U27" s="130">
        <v>995.5</v>
      </c>
    </row>
    <row r="28" spans="2:22" ht="16" x14ac:dyDescent="0.2">
      <c r="B28" s="109" t="s">
        <v>622</v>
      </c>
      <c r="C28" s="129" t="s">
        <v>623</v>
      </c>
      <c r="D28" s="130">
        <v>-28.68</v>
      </c>
      <c r="E28" s="130">
        <v>-28.68</v>
      </c>
      <c r="F28" s="130">
        <v>-28.68</v>
      </c>
      <c r="G28" s="130">
        <v>144.31</v>
      </c>
      <c r="H28" s="130">
        <v>108.83</v>
      </c>
      <c r="I28" s="130">
        <v>359.93</v>
      </c>
      <c r="J28" s="130">
        <v>315.29000000000002</v>
      </c>
      <c r="K28" s="130">
        <v>203.69</v>
      </c>
      <c r="L28" s="130">
        <v>223.85</v>
      </c>
      <c r="M28" s="130">
        <v>274.07</v>
      </c>
      <c r="N28" s="130">
        <v>430.32</v>
      </c>
      <c r="O28" s="130">
        <v>193.16</v>
      </c>
      <c r="P28" s="130">
        <v>71.319999999999993</v>
      </c>
      <c r="Q28" s="130">
        <v>16.59</v>
      </c>
      <c r="R28" s="130">
        <v>-38.950000000000003</v>
      </c>
      <c r="S28" s="130">
        <v>-89.79</v>
      </c>
      <c r="T28" s="131">
        <v>2167.4</v>
      </c>
      <c r="U28" s="131">
        <v>2126.6</v>
      </c>
    </row>
    <row r="30" spans="2:22" ht="20" customHeight="1" x14ac:dyDescent="0.2">
      <c r="B30" s="521" t="s">
        <v>624</v>
      </c>
      <c r="C30" s="473"/>
      <c r="D30" s="473"/>
      <c r="E30" s="473"/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  <c r="R30" s="473"/>
      <c r="S30" s="473"/>
      <c r="T30" s="473"/>
      <c r="U30" s="473"/>
      <c r="V30" s="466"/>
    </row>
    <row r="31" spans="2:22" ht="16" x14ac:dyDescent="0.2">
      <c r="B31" s="109" t="s">
        <v>625</v>
      </c>
      <c r="C31" s="108" t="s">
        <v>626</v>
      </c>
      <c r="D31" s="127">
        <v>0.75</v>
      </c>
      <c r="E31" s="127">
        <v>0.75</v>
      </c>
      <c r="F31" s="127">
        <v>0.75</v>
      </c>
      <c r="G31" s="127">
        <v>0.75</v>
      </c>
      <c r="H31" s="127">
        <v>0.75</v>
      </c>
      <c r="I31" s="127">
        <v>0.75</v>
      </c>
      <c r="J31" s="127">
        <v>0.75</v>
      </c>
      <c r="K31" s="127">
        <v>0.75</v>
      </c>
      <c r="L31" s="127">
        <v>0.75</v>
      </c>
      <c r="M31" s="127">
        <v>0.75</v>
      </c>
      <c r="N31" s="127">
        <v>0.75</v>
      </c>
      <c r="O31" s="127">
        <v>0.75</v>
      </c>
      <c r="P31" s="127">
        <v>3</v>
      </c>
      <c r="Q31" s="127">
        <v>3</v>
      </c>
      <c r="R31" s="127">
        <v>3</v>
      </c>
      <c r="S31" s="127">
        <v>3</v>
      </c>
      <c r="T31" s="128">
        <v>9</v>
      </c>
      <c r="U31" s="128">
        <v>21</v>
      </c>
    </row>
    <row r="32" spans="2:22" ht="16" x14ac:dyDescent="0.2">
      <c r="B32" s="109" t="s">
        <v>627</v>
      </c>
      <c r="C32" s="129" t="s">
        <v>628</v>
      </c>
      <c r="D32" s="130">
        <v>-29.43</v>
      </c>
      <c r="E32" s="130">
        <v>-29.43</v>
      </c>
      <c r="F32" s="130">
        <v>-29.43</v>
      </c>
      <c r="G32" s="130">
        <v>143.56</v>
      </c>
      <c r="H32" s="130">
        <v>108.08</v>
      </c>
      <c r="I32" s="130">
        <v>359.18</v>
      </c>
      <c r="J32" s="130">
        <v>314.54000000000002</v>
      </c>
      <c r="K32" s="130">
        <v>202.94</v>
      </c>
      <c r="L32" s="130">
        <v>223.1</v>
      </c>
      <c r="M32" s="130">
        <v>273.32</v>
      </c>
      <c r="N32" s="130">
        <v>429.57</v>
      </c>
      <c r="O32" s="130">
        <v>192.41</v>
      </c>
      <c r="P32" s="130">
        <v>68.319999999999993</v>
      </c>
      <c r="Q32" s="130">
        <v>13.59</v>
      </c>
      <c r="R32" s="130">
        <v>-41.95</v>
      </c>
      <c r="S32" s="130">
        <v>-92.79</v>
      </c>
      <c r="T32" s="130">
        <v>2158.4</v>
      </c>
      <c r="U32" s="130">
        <v>2105.6</v>
      </c>
    </row>
    <row r="33" spans="2:22" ht="16" x14ac:dyDescent="0.2">
      <c r="B33" s="109" t="s">
        <v>629</v>
      </c>
      <c r="C33" s="108" t="s">
        <v>630</v>
      </c>
      <c r="D33" s="127">
        <v>1</v>
      </c>
      <c r="E33" s="127">
        <v>1</v>
      </c>
      <c r="F33" s="127">
        <v>1.5</v>
      </c>
      <c r="G33" s="127">
        <v>1.5</v>
      </c>
      <c r="H33" s="127">
        <v>1.5</v>
      </c>
      <c r="I33" s="127">
        <v>1.5</v>
      </c>
      <c r="J33" s="127">
        <v>1.5</v>
      </c>
      <c r="K33" s="127">
        <v>1.5</v>
      </c>
      <c r="L33" s="127">
        <v>0.75</v>
      </c>
      <c r="M33" s="127">
        <v>0.75</v>
      </c>
      <c r="N33" s="127">
        <v>0.5</v>
      </c>
      <c r="O33" s="127">
        <v>0.5</v>
      </c>
      <c r="P33" s="127">
        <v>1</v>
      </c>
      <c r="Q33" s="127">
        <v>0.5</v>
      </c>
      <c r="R33" s="127">
        <v>0</v>
      </c>
      <c r="S33" s="127">
        <v>0</v>
      </c>
      <c r="T33" s="128">
        <v>13.5</v>
      </c>
      <c r="U33" s="128">
        <v>15</v>
      </c>
    </row>
    <row r="34" spans="2:22" ht="16" x14ac:dyDescent="0.2">
      <c r="B34" s="109" t="s">
        <v>631</v>
      </c>
      <c r="C34" s="129" t="s">
        <v>632</v>
      </c>
      <c r="D34" s="130">
        <v>-30.43</v>
      </c>
      <c r="E34" s="130">
        <v>-30.43</v>
      </c>
      <c r="F34" s="130">
        <v>-30.93</v>
      </c>
      <c r="G34" s="130">
        <v>142.06</v>
      </c>
      <c r="H34" s="130">
        <v>106.58</v>
      </c>
      <c r="I34" s="130">
        <v>357.68</v>
      </c>
      <c r="J34" s="130">
        <v>313.04000000000002</v>
      </c>
      <c r="K34" s="130">
        <v>201.44</v>
      </c>
      <c r="L34" s="130">
        <v>222.35</v>
      </c>
      <c r="M34" s="130">
        <v>272.57</v>
      </c>
      <c r="N34" s="130">
        <v>429.07</v>
      </c>
      <c r="O34" s="130">
        <v>191.91</v>
      </c>
      <c r="P34" s="130">
        <v>67.319999999999993</v>
      </c>
      <c r="Q34" s="130">
        <v>13.09</v>
      </c>
      <c r="R34" s="130">
        <v>-41.95</v>
      </c>
      <c r="S34" s="130">
        <v>-92.79</v>
      </c>
      <c r="T34" s="130">
        <v>2144.9</v>
      </c>
      <c r="U34" s="130">
        <v>2090.6</v>
      </c>
    </row>
    <row r="35" spans="2:22" ht="16" x14ac:dyDescent="0.2">
      <c r="B35" s="109" t="s">
        <v>633</v>
      </c>
      <c r="C35" s="108" t="s">
        <v>634</v>
      </c>
      <c r="D35" s="127">
        <v>0</v>
      </c>
      <c r="E35" s="127">
        <v>0</v>
      </c>
      <c r="F35" s="127">
        <v>0</v>
      </c>
      <c r="G35" s="127">
        <v>28.41</v>
      </c>
      <c r="H35" s="127">
        <v>21.32</v>
      </c>
      <c r="I35" s="127">
        <v>71.540000000000006</v>
      </c>
      <c r="J35" s="127">
        <v>62.61</v>
      </c>
      <c r="K35" s="127">
        <v>40.29</v>
      </c>
      <c r="L35" s="127">
        <v>44.47</v>
      </c>
      <c r="M35" s="127">
        <v>54.51</v>
      </c>
      <c r="N35" s="127">
        <v>85.81</v>
      </c>
      <c r="O35" s="127">
        <v>38.380000000000003</v>
      </c>
      <c r="P35" s="127">
        <v>13.46</v>
      </c>
      <c r="Q35" s="127">
        <v>2.62</v>
      </c>
      <c r="R35" s="127">
        <v>0</v>
      </c>
      <c r="S35" s="127">
        <v>0</v>
      </c>
      <c r="T35" s="128">
        <v>447.3</v>
      </c>
      <c r="U35" s="128">
        <v>463.4</v>
      </c>
    </row>
    <row r="36" spans="2:22" ht="16" x14ac:dyDescent="0.2">
      <c r="B36" s="109" t="s">
        <v>635</v>
      </c>
      <c r="C36" s="129" t="s">
        <v>636</v>
      </c>
      <c r="D36" s="130">
        <v>-30.43</v>
      </c>
      <c r="E36" s="130">
        <v>-30.43</v>
      </c>
      <c r="F36" s="130">
        <v>-30.93</v>
      </c>
      <c r="G36" s="130">
        <v>113.65</v>
      </c>
      <c r="H36" s="130">
        <v>85.26</v>
      </c>
      <c r="I36" s="130">
        <v>286.14</v>
      </c>
      <c r="J36" s="130">
        <v>250.43</v>
      </c>
      <c r="K36" s="130">
        <v>161.15</v>
      </c>
      <c r="L36" s="130">
        <v>177.88</v>
      </c>
      <c r="M36" s="130">
        <v>218.06</v>
      </c>
      <c r="N36" s="130">
        <v>343.26</v>
      </c>
      <c r="O36" s="130">
        <v>153.53</v>
      </c>
      <c r="P36" s="130">
        <v>53.86</v>
      </c>
      <c r="Q36" s="130">
        <v>10.47</v>
      </c>
      <c r="R36" s="130">
        <v>-41.95</v>
      </c>
      <c r="S36" s="130">
        <v>-92.79</v>
      </c>
      <c r="T36" s="131">
        <v>1697.6</v>
      </c>
      <c r="U36" s="131">
        <v>1627.2</v>
      </c>
    </row>
    <row r="38" spans="2:22" ht="20" customHeight="1" x14ac:dyDescent="0.2">
      <c r="B38" s="521" t="s">
        <v>637</v>
      </c>
      <c r="C38" s="473"/>
      <c r="D38" s="473"/>
      <c r="E38" s="473"/>
      <c r="F38" s="473"/>
      <c r="G38" s="473"/>
      <c r="H38" s="473"/>
      <c r="I38" s="473"/>
      <c r="J38" s="473"/>
      <c r="K38" s="473"/>
      <c r="L38" s="473"/>
      <c r="M38" s="473"/>
      <c r="N38" s="473"/>
      <c r="O38" s="473"/>
      <c r="P38" s="473"/>
      <c r="Q38" s="473"/>
      <c r="R38" s="473"/>
      <c r="S38" s="473"/>
      <c r="T38" s="473"/>
      <c r="U38" s="473"/>
      <c r="V38" s="466"/>
    </row>
    <row r="39" spans="2:22" ht="18" customHeight="1" x14ac:dyDescent="0.2">
      <c r="B39" s="109" t="s">
        <v>638</v>
      </c>
      <c r="C39" s="132" t="s">
        <v>639</v>
      </c>
      <c r="D39" s="133">
        <v>0</v>
      </c>
      <c r="E39" s="133">
        <v>0</v>
      </c>
      <c r="F39" s="133">
        <v>0</v>
      </c>
      <c r="G39" s="133">
        <v>55.8</v>
      </c>
      <c r="H39" s="133">
        <v>55.8</v>
      </c>
      <c r="I39" s="133">
        <v>55.8</v>
      </c>
      <c r="J39" s="133">
        <v>55.8</v>
      </c>
      <c r="K39" s="133">
        <v>55.8</v>
      </c>
      <c r="L39" s="133">
        <v>55.8</v>
      </c>
      <c r="M39" s="133">
        <v>55.8</v>
      </c>
      <c r="N39" s="133">
        <v>55.8</v>
      </c>
      <c r="O39" s="133">
        <v>55.8</v>
      </c>
      <c r="P39" s="133">
        <v>55.8</v>
      </c>
      <c r="Q39" s="133">
        <v>55.8</v>
      </c>
      <c r="R39" s="133">
        <v>55.8</v>
      </c>
      <c r="S39" s="133">
        <v>55.8</v>
      </c>
      <c r="T39" s="134">
        <v>55.8</v>
      </c>
    </row>
    <row r="40" spans="2:22" ht="18" customHeight="1" x14ac:dyDescent="0.2">
      <c r="B40" s="109" t="s">
        <v>640</v>
      </c>
      <c r="C40" s="132" t="s">
        <v>641</v>
      </c>
      <c r="D40" s="133">
        <v>0</v>
      </c>
      <c r="E40" s="133">
        <v>0</v>
      </c>
      <c r="F40" s="133">
        <v>0</v>
      </c>
      <c r="G40" s="133">
        <v>46.6</v>
      </c>
      <c r="H40" s="133">
        <v>43.5</v>
      </c>
      <c r="I40" s="133">
        <v>51.4</v>
      </c>
      <c r="J40" s="133">
        <v>50.9</v>
      </c>
      <c r="K40" s="133">
        <v>48.5</v>
      </c>
      <c r="L40" s="133">
        <v>48.7</v>
      </c>
      <c r="M40" s="133">
        <v>49.8</v>
      </c>
      <c r="N40" s="133">
        <v>51.8</v>
      </c>
      <c r="O40" s="133">
        <v>47.7</v>
      </c>
      <c r="P40" s="133">
        <v>18.8</v>
      </c>
      <c r="Q40" s="133">
        <v>5.5</v>
      </c>
      <c r="R40" s="133">
        <v>-17.7</v>
      </c>
      <c r="S40" s="133">
        <v>-59.9</v>
      </c>
      <c r="T40" s="134">
        <v>47.7</v>
      </c>
    </row>
    <row r="41" spans="2:22" ht="18" customHeight="1" x14ac:dyDescent="0.2">
      <c r="B41" s="109" t="s">
        <v>642</v>
      </c>
      <c r="C41" s="132" t="s">
        <v>643</v>
      </c>
      <c r="D41" s="133">
        <v>0</v>
      </c>
      <c r="E41" s="133">
        <v>0</v>
      </c>
      <c r="F41" s="133">
        <v>0</v>
      </c>
      <c r="G41" s="133">
        <v>36.700000000000003</v>
      </c>
      <c r="H41" s="133">
        <v>34.1</v>
      </c>
      <c r="I41" s="133">
        <v>40.9</v>
      </c>
      <c r="J41" s="133">
        <v>40.4</v>
      </c>
      <c r="K41" s="133">
        <v>38.4</v>
      </c>
      <c r="L41" s="133">
        <v>38.700000000000003</v>
      </c>
      <c r="M41" s="133">
        <v>39.6</v>
      </c>
      <c r="N41" s="133">
        <v>41.4</v>
      </c>
      <c r="O41" s="133">
        <v>37.9</v>
      </c>
      <c r="P41" s="133">
        <v>14.2</v>
      </c>
      <c r="Q41" s="133">
        <v>3.5</v>
      </c>
      <c r="R41" s="133">
        <v>-19.100000000000001</v>
      </c>
      <c r="S41" s="133">
        <v>-61.9</v>
      </c>
      <c r="T41" s="134">
        <v>37.4</v>
      </c>
    </row>
    <row r="44" spans="2:22" ht="24" customHeight="1" x14ac:dyDescent="0.2">
      <c r="B44" s="522" t="s">
        <v>644</v>
      </c>
      <c r="C44" s="510"/>
      <c r="D44" s="510"/>
      <c r="E44" s="510"/>
      <c r="F44" s="510"/>
      <c r="G44" s="510"/>
      <c r="H44" s="510"/>
      <c r="I44" s="510"/>
      <c r="J44" s="510"/>
      <c r="K44" s="510"/>
      <c r="L44" s="510"/>
      <c r="M44" s="510"/>
      <c r="N44" s="510"/>
      <c r="O44" s="510"/>
      <c r="P44" s="510"/>
      <c r="Q44" s="510"/>
      <c r="R44" s="510"/>
      <c r="S44" s="510"/>
      <c r="T44" s="510"/>
      <c r="U44" s="510"/>
      <c r="V44" s="464"/>
    </row>
    <row r="45" spans="2:22" ht="30" customHeight="1" x14ac:dyDescent="0.2">
      <c r="B45" s="511" t="s">
        <v>3138</v>
      </c>
      <c r="C45" s="468"/>
      <c r="D45" s="468"/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</row>
    <row r="47" spans="2:22" ht="20" customHeight="1" x14ac:dyDescent="0.2">
      <c r="B47" s="107" t="s">
        <v>61</v>
      </c>
      <c r="C47" s="512" t="s">
        <v>645</v>
      </c>
      <c r="D47" s="473"/>
      <c r="E47" s="473"/>
      <c r="F47" s="473"/>
      <c r="G47" s="473"/>
      <c r="H47" s="473"/>
      <c r="I47" s="473"/>
      <c r="J47" s="473"/>
      <c r="K47" s="466"/>
      <c r="L47" s="479" t="s">
        <v>646</v>
      </c>
      <c r="M47" s="473"/>
      <c r="N47" s="466"/>
      <c r="O47" s="479" t="s">
        <v>647</v>
      </c>
      <c r="P47" s="473"/>
      <c r="Q47" s="466"/>
      <c r="R47" s="512" t="s">
        <v>448</v>
      </c>
      <c r="S47" s="473"/>
      <c r="T47" s="473"/>
      <c r="U47" s="473"/>
      <c r="V47" s="466"/>
    </row>
    <row r="48" spans="2:22" ht="20" customHeight="1" x14ac:dyDescent="0.2">
      <c r="B48" s="109" t="s">
        <v>263</v>
      </c>
      <c r="C48" s="472" t="s">
        <v>264</v>
      </c>
      <c r="D48" s="473"/>
      <c r="E48" s="473"/>
      <c r="F48" s="473"/>
      <c r="G48" s="473"/>
      <c r="H48" s="473"/>
      <c r="I48" s="473"/>
      <c r="J48" s="473"/>
      <c r="K48" s="466"/>
      <c r="L48" s="515">
        <v>2167.4</v>
      </c>
      <c r="M48" s="473"/>
      <c r="N48" s="466"/>
      <c r="O48" s="465"/>
      <c r="P48" s="473"/>
      <c r="Q48" s="466"/>
      <c r="R48" s="514" t="s">
        <v>648</v>
      </c>
      <c r="S48" s="473"/>
      <c r="T48" s="473"/>
      <c r="U48" s="473"/>
      <c r="V48" s="466"/>
    </row>
    <row r="49" spans="2:22" ht="20" customHeight="1" x14ac:dyDescent="0.2">
      <c r="B49" s="109" t="s">
        <v>266</v>
      </c>
      <c r="C49" s="472" t="s">
        <v>649</v>
      </c>
      <c r="D49" s="473"/>
      <c r="E49" s="473"/>
      <c r="F49" s="473"/>
      <c r="G49" s="473"/>
      <c r="H49" s="473"/>
      <c r="I49" s="473"/>
      <c r="J49" s="473"/>
      <c r="K49" s="466"/>
      <c r="L49" s="515">
        <v>600</v>
      </c>
      <c r="M49" s="473"/>
      <c r="N49" s="466"/>
      <c r="O49" s="465" t="s">
        <v>650</v>
      </c>
      <c r="P49" s="473"/>
      <c r="Q49" s="466"/>
      <c r="R49" s="514" t="s">
        <v>651</v>
      </c>
      <c r="S49" s="473"/>
      <c r="T49" s="473"/>
      <c r="U49" s="473"/>
      <c r="V49" s="466"/>
    </row>
    <row r="50" spans="2:22" ht="20" customHeight="1" x14ac:dyDescent="0.2">
      <c r="B50" s="109" t="s">
        <v>269</v>
      </c>
      <c r="C50" s="472" t="s">
        <v>652</v>
      </c>
      <c r="D50" s="473"/>
      <c r="E50" s="473"/>
      <c r="F50" s="473"/>
      <c r="G50" s="473"/>
      <c r="H50" s="473"/>
      <c r="I50" s="473"/>
      <c r="J50" s="473"/>
      <c r="K50" s="466"/>
      <c r="L50" s="515">
        <v>232.6</v>
      </c>
      <c r="M50" s="473"/>
      <c r="N50" s="466"/>
      <c r="O50" s="465" t="s">
        <v>650</v>
      </c>
      <c r="P50" s="473"/>
      <c r="Q50" s="466"/>
      <c r="R50" s="514" t="s">
        <v>653</v>
      </c>
      <c r="S50" s="473"/>
      <c r="T50" s="473"/>
      <c r="U50" s="473"/>
      <c r="V50" s="466"/>
    </row>
    <row r="51" spans="2:22" ht="20" customHeight="1" x14ac:dyDescent="0.2">
      <c r="B51" s="135" t="s">
        <v>272</v>
      </c>
      <c r="C51" s="520" t="s">
        <v>654</v>
      </c>
      <c r="D51" s="473"/>
      <c r="E51" s="473"/>
      <c r="F51" s="473"/>
      <c r="G51" s="473"/>
      <c r="H51" s="473"/>
      <c r="I51" s="473"/>
      <c r="J51" s="473"/>
      <c r="K51" s="466"/>
      <c r="L51" s="519">
        <v>3000</v>
      </c>
      <c r="M51" s="473"/>
      <c r="N51" s="466"/>
      <c r="O51" s="523" t="s">
        <v>655</v>
      </c>
      <c r="P51" s="473"/>
      <c r="Q51" s="466"/>
      <c r="R51" s="524" t="s">
        <v>656</v>
      </c>
      <c r="S51" s="473"/>
      <c r="T51" s="473"/>
      <c r="U51" s="473"/>
      <c r="V51" s="466"/>
    </row>
    <row r="52" spans="2:22" ht="20" customHeight="1" x14ac:dyDescent="0.2">
      <c r="B52" s="109" t="s">
        <v>275</v>
      </c>
      <c r="C52" s="472" t="s">
        <v>276</v>
      </c>
      <c r="D52" s="473"/>
      <c r="E52" s="473"/>
      <c r="F52" s="473"/>
      <c r="G52" s="473"/>
      <c r="H52" s="473"/>
      <c r="I52" s="473"/>
      <c r="J52" s="473"/>
      <c r="K52" s="466"/>
      <c r="L52" s="515">
        <v>-785</v>
      </c>
      <c r="M52" s="473"/>
      <c r="N52" s="466"/>
      <c r="O52" s="465" t="s">
        <v>657</v>
      </c>
      <c r="P52" s="473"/>
      <c r="Q52" s="466"/>
      <c r="R52" s="514" t="s">
        <v>658</v>
      </c>
      <c r="S52" s="473"/>
      <c r="T52" s="473"/>
      <c r="U52" s="473"/>
      <c r="V52" s="466"/>
    </row>
    <row r="53" spans="2:22" ht="20" customHeight="1" x14ac:dyDescent="0.2">
      <c r="B53" s="114" t="s">
        <v>272</v>
      </c>
      <c r="C53" s="513" t="s">
        <v>659</v>
      </c>
      <c r="D53" s="473"/>
      <c r="E53" s="473"/>
      <c r="F53" s="473"/>
      <c r="G53" s="473"/>
      <c r="H53" s="473"/>
      <c r="I53" s="473"/>
      <c r="J53" s="473"/>
      <c r="K53" s="466"/>
      <c r="L53" s="518">
        <v>2215</v>
      </c>
      <c r="M53" s="473"/>
      <c r="N53" s="466"/>
      <c r="O53" s="517" t="s">
        <v>660</v>
      </c>
      <c r="P53" s="473"/>
      <c r="Q53" s="466"/>
      <c r="R53" s="516" t="s">
        <v>661</v>
      </c>
      <c r="S53" s="473"/>
      <c r="T53" s="473"/>
      <c r="U53" s="473"/>
      <c r="V53" s="466"/>
    </row>
    <row r="55" spans="2:22" ht="24" customHeight="1" x14ac:dyDescent="0.2">
      <c r="B55" s="509" t="s">
        <v>3139</v>
      </c>
      <c r="C55" s="510"/>
      <c r="D55" s="510"/>
      <c r="E55" s="510"/>
      <c r="F55" s="510"/>
      <c r="G55" s="510"/>
      <c r="H55" s="510"/>
      <c r="I55" s="510"/>
      <c r="J55" s="510"/>
      <c r="K55" s="510"/>
      <c r="L55" s="510"/>
      <c r="M55" s="510"/>
      <c r="N55" s="510"/>
      <c r="O55" s="510"/>
      <c r="P55" s="510"/>
      <c r="Q55" s="510"/>
      <c r="R55" s="510"/>
      <c r="S55" s="510"/>
      <c r="T55" s="510"/>
      <c r="U55" s="510"/>
      <c r="V55" s="464"/>
    </row>
  </sheetData>
  <mergeCells count="38">
    <mergeCell ref="B2:V2"/>
    <mergeCell ref="C50:K50"/>
    <mergeCell ref="B6:V6"/>
    <mergeCell ref="B30:V30"/>
    <mergeCell ref="B16:V16"/>
    <mergeCell ref="B3:V3"/>
    <mergeCell ref="B22:V22"/>
    <mergeCell ref="C51:K51"/>
    <mergeCell ref="B38:V38"/>
    <mergeCell ref="B44:V44"/>
    <mergeCell ref="O51:Q51"/>
    <mergeCell ref="L50:N50"/>
    <mergeCell ref="O47:Q47"/>
    <mergeCell ref="R51:V51"/>
    <mergeCell ref="C47:K47"/>
    <mergeCell ref="O49:Q49"/>
    <mergeCell ref="R48:V48"/>
    <mergeCell ref="L52:N52"/>
    <mergeCell ref="L49:N49"/>
    <mergeCell ref="L51:N51"/>
    <mergeCell ref="O50:Q50"/>
    <mergeCell ref="R49:V49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L53:N53"/>
    <mergeCell ref="L47:N47"/>
    <mergeCell ref="R52:V52"/>
    <mergeCell ref="C52:K52"/>
    <mergeCell ref="O52:Q52"/>
    <mergeCell ref="C48:K48"/>
    <mergeCell ref="O48:Q48"/>
  </mergeCells>
  <printOptions horizontalCentered="1"/>
  <pageMargins left="0.59" right="0.59" top="0.59" bottom="0.59" header="0.3" footer="0.3"/>
  <pageSetup paperSize="8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V25"/>
  <sheetViews>
    <sheetView zoomScale="85" workbookViewId="0">
      <pane xSplit="3" ySplit="5" topLeftCell="D6" activePane="bottomRight" state="frozen"/>
      <selection pane="topRight"/>
      <selection pane="bottomLeft"/>
      <selection pane="bottomRight" activeCell="V26" sqref="V26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40" customWidth="1"/>
    <col min="4" max="19" width="10" customWidth="1"/>
    <col min="20" max="21" width="12" customWidth="1"/>
    <col min="22" max="22" width="28" customWidth="1"/>
  </cols>
  <sheetData>
    <row r="2" spans="2:22" ht="28" customHeight="1" x14ac:dyDescent="0.2">
      <c r="B2" s="525" t="s">
        <v>662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</row>
    <row r="3" spans="2:22" x14ac:dyDescent="0.2">
      <c r="B3" s="528" t="s">
        <v>663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</row>
    <row r="5" spans="2:22" ht="20" customHeight="1" x14ac:dyDescent="0.2">
      <c r="B5" s="125" t="s">
        <v>61</v>
      </c>
      <c r="C5" s="140" t="s">
        <v>21</v>
      </c>
      <c r="D5" s="125" t="s">
        <v>571</v>
      </c>
      <c r="E5" s="125" t="s">
        <v>572</v>
      </c>
      <c r="F5" s="125" t="s">
        <v>573</v>
      </c>
      <c r="G5" s="125" t="s">
        <v>574</v>
      </c>
      <c r="H5" s="125" t="s">
        <v>575</v>
      </c>
      <c r="I5" s="125" t="s">
        <v>576</v>
      </c>
      <c r="J5" s="125" t="s">
        <v>577</v>
      </c>
      <c r="K5" s="125" t="s">
        <v>578</v>
      </c>
      <c r="L5" s="125" t="s">
        <v>579</v>
      </c>
      <c r="M5" s="125" t="s">
        <v>580</v>
      </c>
      <c r="N5" s="125" t="s">
        <v>581</v>
      </c>
      <c r="O5" s="125" t="s">
        <v>582</v>
      </c>
      <c r="P5" s="125" t="s">
        <v>406</v>
      </c>
      <c r="Q5" s="125" t="s">
        <v>407</v>
      </c>
      <c r="R5" s="125" t="s">
        <v>408</v>
      </c>
      <c r="S5" s="125" t="s">
        <v>409</v>
      </c>
      <c r="T5" s="126" t="s">
        <v>400</v>
      </c>
      <c r="U5" s="126" t="s">
        <v>583</v>
      </c>
      <c r="V5" s="126" t="s">
        <v>448</v>
      </c>
    </row>
    <row r="6" spans="2:22" ht="20" customHeight="1" x14ac:dyDescent="0.2">
      <c r="B6" s="521" t="s">
        <v>664</v>
      </c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73"/>
      <c r="V6" s="466"/>
    </row>
    <row r="7" spans="2:22" ht="18" customHeight="1" x14ac:dyDescent="0.2">
      <c r="B7" s="141" t="s">
        <v>585</v>
      </c>
      <c r="C7" s="142" t="s">
        <v>665</v>
      </c>
      <c r="D7" s="143">
        <v>-30.43</v>
      </c>
      <c r="E7" s="143">
        <v>-30.43</v>
      </c>
      <c r="F7" s="143">
        <v>-30.93</v>
      </c>
      <c r="G7" s="143">
        <v>113.65</v>
      </c>
      <c r="H7" s="143">
        <v>85.26</v>
      </c>
      <c r="I7" s="143">
        <v>286.14</v>
      </c>
      <c r="J7" s="143">
        <v>250.43</v>
      </c>
      <c r="K7" s="143">
        <v>161.15</v>
      </c>
      <c r="L7" s="143">
        <v>177.88</v>
      </c>
      <c r="M7" s="143">
        <v>218.06</v>
      </c>
      <c r="N7" s="143">
        <v>343.26</v>
      </c>
      <c r="O7" s="143">
        <v>153.53</v>
      </c>
      <c r="P7" s="143">
        <v>53.86</v>
      </c>
      <c r="Q7" s="143">
        <v>10.47</v>
      </c>
      <c r="R7" s="143">
        <v>-41.95</v>
      </c>
      <c r="S7" s="143">
        <v>-92.79</v>
      </c>
      <c r="T7" s="144">
        <v>1697.6</v>
      </c>
      <c r="U7" s="144">
        <v>1627.2</v>
      </c>
      <c r="V7" s="136" t="s">
        <v>666</v>
      </c>
    </row>
    <row r="8" spans="2:22" ht="18" customHeight="1" x14ac:dyDescent="0.2">
      <c r="B8" s="141" t="s">
        <v>587</v>
      </c>
      <c r="C8" s="142" t="s">
        <v>667</v>
      </c>
      <c r="D8" s="143">
        <v>0.75</v>
      </c>
      <c r="E8" s="143">
        <v>0.75</v>
      </c>
      <c r="F8" s="143">
        <v>0.75</v>
      </c>
      <c r="G8" s="143">
        <v>0.75</v>
      </c>
      <c r="H8" s="143">
        <v>0.75</v>
      </c>
      <c r="I8" s="143">
        <v>0.75</v>
      </c>
      <c r="J8" s="143">
        <v>0.75</v>
      </c>
      <c r="K8" s="143">
        <v>0.75</v>
      </c>
      <c r="L8" s="143">
        <v>0.75</v>
      </c>
      <c r="M8" s="143">
        <v>0.75</v>
      </c>
      <c r="N8" s="143">
        <v>0.75</v>
      </c>
      <c r="O8" s="143">
        <v>0.75</v>
      </c>
      <c r="P8" s="143">
        <v>3</v>
      </c>
      <c r="Q8" s="143">
        <v>3</v>
      </c>
      <c r="R8" s="143">
        <v>3</v>
      </c>
      <c r="S8" s="143">
        <v>3</v>
      </c>
      <c r="T8" s="144">
        <v>9</v>
      </c>
      <c r="U8" s="144">
        <v>21</v>
      </c>
      <c r="V8" s="136" t="s">
        <v>668</v>
      </c>
    </row>
    <row r="9" spans="2:22" ht="28" customHeight="1" x14ac:dyDescent="0.2">
      <c r="B9" s="141" t="s">
        <v>589</v>
      </c>
      <c r="C9" s="142" t="s">
        <v>669</v>
      </c>
      <c r="D9" s="143">
        <v>0</v>
      </c>
      <c r="E9" s="143">
        <v>0</v>
      </c>
      <c r="F9" s="143">
        <v>0</v>
      </c>
      <c r="G9" s="143">
        <v>119.14</v>
      </c>
      <c r="H9" s="143">
        <v>96.08</v>
      </c>
      <c r="I9" s="143">
        <v>269.02999999999997</v>
      </c>
      <c r="J9" s="143">
        <v>238.29</v>
      </c>
      <c r="K9" s="143">
        <v>161.41999999999999</v>
      </c>
      <c r="L9" s="143">
        <v>176.79</v>
      </c>
      <c r="M9" s="143">
        <v>211.38</v>
      </c>
      <c r="N9" s="143">
        <v>318.99</v>
      </c>
      <c r="O9" s="143">
        <v>155.65</v>
      </c>
      <c r="P9" s="143">
        <v>146.05000000000001</v>
      </c>
      <c r="Q9" s="143">
        <v>115.3</v>
      </c>
      <c r="R9" s="143">
        <v>84.55</v>
      </c>
      <c r="S9" s="143">
        <v>57.65</v>
      </c>
      <c r="T9" s="144">
        <v>1746.8</v>
      </c>
      <c r="U9" s="144">
        <v>2150.3000000000002</v>
      </c>
      <c r="V9" s="136" t="s">
        <v>670</v>
      </c>
    </row>
    <row r="10" spans="2:22" ht="18" customHeight="1" x14ac:dyDescent="0.2">
      <c r="B10" s="145" t="s">
        <v>591</v>
      </c>
      <c r="C10" s="146" t="s">
        <v>671</v>
      </c>
      <c r="D10" s="147">
        <v>-29.68</v>
      </c>
      <c r="E10" s="147">
        <v>-29.68</v>
      </c>
      <c r="F10" s="147">
        <v>-30.18</v>
      </c>
      <c r="G10" s="147">
        <v>233.54</v>
      </c>
      <c r="H10" s="147">
        <v>182.09</v>
      </c>
      <c r="I10" s="147">
        <v>555.91999999999996</v>
      </c>
      <c r="J10" s="147">
        <v>489.47</v>
      </c>
      <c r="K10" s="147">
        <v>323.32</v>
      </c>
      <c r="L10" s="147">
        <v>355.42</v>
      </c>
      <c r="M10" s="147">
        <v>430.19</v>
      </c>
      <c r="N10" s="147">
        <v>663</v>
      </c>
      <c r="O10" s="147">
        <v>309.93</v>
      </c>
      <c r="P10" s="147">
        <v>202.91</v>
      </c>
      <c r="Q10" s="147">
        <v>128.77000000000001</v>
      </c>
      <c r="R10" s="147">
        <v>45.6</v>
      </c>
      <c r="S10" s="147">
        <v>-32.14</v>
      </c>
      <c r="T10" s="148">
        <v>3453.3</v>
      </c>
      <c r="U10" s="148">
        <v>3798.5</v>
      </c>
      <c r="V10" s="149"/>
    </row>
    <row r="11" spans="2:22" ht="20" customHeight="1" x14ac:dyDescent="0.2">
      <c r="B11" s="521" t="s">
        <v>672</v>
      </c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66"/>
    </row>
    <row r="12" spans="2:22" ht="26" customHeight="1" x14ac:dyDescent="0.2">
      <c r="B12" s="150" t="s">
        <v>604</v>
      </c>
      <c r="C12" s="151" t="s">
        <v>673</v>
      </c>
      <c r="D12" s="152">
        <v>-75.540000000000006</v>
      </c>
      <c r="E12" s="152">
        <v>-94.42</v>
      </c>
      <c r="F12" s="152">
        <v>-113.3</v>
      </c>
      <c r="G12" s="152">
        <v>-94.42</v>
      </c>
      <c r="H12" s="152">
        <v>-169.96</v>
      </c>
      <c r="I12" s="152">
        <v>-207.72</v>
      </c>
      <c r="J12" s="152">
        <v>-207.72</v>
      </c>
      <c r="K12" s="152">
        <v>-169.96</v>
      </c>
      <c r="L12" s="152">
        <v>-169.96</v>
      </c>
      <c r="M12" s="152">
        <v>-160.51</v>
      </c>
      <c r="N12" s="152">
        <v>-160.51</v>
      </c>
      <c r="O12" s="152">
        <v>-122.75</v>
      </c>
      <c r="P12" s="152">
        <v>0</v>
      </c>
      <c r="Q12" s="152">
        <v>0</v>
      </c>
      <c r="R12" s="152">
        <v>0</v>
      </c>
      <c r="S12" s="152">
        <v>0</v>
      </c>
      <c r="T12" s="153">
        <v>-1746.8</v>
      </c>
      <c r="U12" s="153">
        <v>-1746.8</v>
      </c>
      <c r="V12" s="154" t="s">
        <v>674</v>
      </c>
    </row>
    <row r="13" spans="2:22" ht="32" customHeight="1" x14ac:dyDescent="0.2">
      <c r="B13" s="150" t="s">
        <v>606</v>
      </c>
      <c r="C13" s="151" t="s">
        <v>675</v>
      </c>
      <c r="D13" s="152">
        <v>-0.83</v>
      </c>
      <c r="E13" s="152">
        <v>-0.83</v>
      </c>
      <c r="F13" s="152">
        <v>-0.83</v>
      </c>
      <c r="G13" s="152">
        <v>-0.83</v>
      </c>
      <c r="H13" s="152">
        <v>-0.83</v>
      </c>
      <c r="I13" s="152">
        <v>-0.83</v>
      </c>
      <c r="J13" s="152">
        <v>-0.83</v>
      </c>
      <c r="K13" s="152">
        <v>-0.83</v>
      </c>
      <c r="L13" s="152">
        <v>-0.83</v>
      </c>
      <c r="M13" s="152">
        <v>-0.83</v>
      </c>
      <c r="N13" s="152">
        <v>-0.83</v>
      </c>
      <c r="O13" s="152">
        <v>-0.83</v>
      </c>
      <c r="P13" s="152">
        <v>0</v>
      </c>
      <c r="Q13" s="152">
        <v>0</v>
      </c>
      <c r="R13" s="152">
        <v>0</v>
      </c>
      <c r="S13" s="152">
        <v>0</v>
      </c>
      <c r="T13" s="153">
        <v>-10</v>
      </c>
      <c r="U13" s="153">
        <v>-10</v>
      </c>
      <c r="V13" s="154" t="s">
        <v>676</v>
      </c>
    </row>
    <row r="14" spans="2:22" ht="18" customHeight="1" x14ac:dyDescent="0.2">
      <c r="B14" s="145" t="s">
        <v>607</v>
      </c>
      <c r="C14" s="146" t="s">
        <v>677</v>
      </c>
      <c r="D14" s="147">
        <v>-76.37</v>
      </c>
      <c r="E14" s="147">
        <v>-95.25</v>
      </c>
      <c r="F14" s="147">
        <v>-114.13</v>
      </c>
      <c r="G14" s="147">
        <v>-95.25</v>
      </c>
      <c r="H14" s="147">
        <v>-170.79</v>
      </c>
      <c r="I14" s="147">
        <v>-208.55</v>
      </c>
      <c r="J14" s="147">
        <v>-208.55</v>
      </c>
      <c r="K14" s="147">
        <v>-170.79</v>
      </c>
      <c r="L14" s="147">
        <v>-170.79</v>
      </c>
      <c r="M14" s="147">
        <v>-161.34</v>
      </c>
      <c r="N14" s="147">
        <v>-161.34</v>
      </c>
      <c r="O14" s="147">
        <v>-123.58</v>
      </c>
      <c r="P14" s="147">
        <v>0</v>
      </c>
      <c r="Q14" s="147">
        <v>0</v>
      </c>
      <c r="R14" s="147">
        <v>0</v>
      </c>
      <c r="S14" s="147">
        <v>0</v>
      </c>
      <c r="T14" s="148">
        <v>-1756.7</v>
      </c>
      <c r="U14" s="148">
        <v>-1756.7</v>
      </c>
      <c r="V14" s="149"/>
    </row>
    <row r="15" spans="2:22" ht="20" customHeight="1" x14ac:dyDescent="0.2">
      <c r="B15" s="521" t="s">
        <v>678</v>
      </c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473"/>
      <c r="N15" s="473"/>
      <c r="O15" s="473"/>
      <c r="P15" s="473"/>
      <c r="Q15" s="473"/>
      <c r="R15" s="473"/>
      <c r="S15" s="473"/>
      <c r="T15" s="473"/>
      <c r="U15" s="473"/>
      <c r="V15" s="466"/>
    </row>
    <row r="16" spans="2:22" ht="18" customHeight="1" x14ac:dyDescent="0.2">
      <c r="B16" s="141" t="s">
        <v>612</v>
      </c>
      <c r="C16" s="142" t="s">
        <v>679</v>
      </c>
      <c r="D16" s="143">
        <v>250</v>
      </c>
      <c r="E16" s="143">
        <v>0</v>
      </c>
      <c r="F16" s="143">
        <v>0</v>
      </c>
      <c r="G16" s="143">
        <v>350</v>
      </c>
      <c r="H16" s="143">
        <v>0</v>
      </c>
      <c r="I16" s="143">
        <v>0</v>
      </c>
      <c r="J16" s="143">
        <v>350</v>
      </c>
      <c r="K16" s="143">
        <v>0</v>
      </c>
      <c r="L16" s="143">
        <v>0</v>
      </c>
      <c r="M16" s="143">
        <v>300</v>
      </c>
      <c r="N16" s="143">
        <v>0</v>
      </c>
      <c r="O16" s="143">
        <v>0</v>
      </c>
      <c r="P16" s="143">
        <v>0</v>
      </c>
      <c r="Q16" s="143">
        <v>0</v>
      </c>
      <c r="R16" s="143">
        <v>0</v>
      </c>
      <c r="S16" s="143">
        <v>0</v>
      </c>
      <c r="T16" s="144">
        <v>1250</v>
      </c>
      <c r="U16" s="144">
        <v>1250</v>
      </c>
      <c r="V16" s="136" t="s">
        <v>680</v>
      </c>
    </row>
    <row r="17" spans="2:22" ht="18" customHeight="1" x14ac:dyDescent="0.2">
      <c r="B17" s="141" t="s">
        <v>614</v>
      </c>
      <c r="C17" s="142" t="s">
        <v>681</v>
      </c>
      <c r="D17" s="143">
        <v>200</v>
      </c>
      <c r="E17" s="143">
        <v>0</v>
      </c>
      <c r="F17" s="143">
        <v>0</v>
      </c>
      <c r="G17" s="143">
        <v>150</v>
      </c>
      <c r="H17" s="143">
        <v>0</v>
      </c>
      <c r="I17" s="143">
        <v>0</v>
      </c>
      <c r="J17" s="143">
        <v>150</v>
      </c>
      <c r="K17" s="143">
        <v>0</v>
      </c>
      <c r="L17" s="143">
        <v>0</v>
      </c>
      <c r="M17" s="143">
        <v>100</v>
      </c>
      <c r="N17" s="143">
        <v>0</v>
      </c>
      <c r="O17" s="143">
        <v>0</v>
      </c>
      <c r="P17" s="143">
        <v>0</v>
      </c>
      <c r="Q17" s="143">
        <v>0</v>
      </c>
      <c r="R17" s="143">
        <v>0</v>
      </c>
      <c r="S17" s="143">
        <v>0</v>
      </c>
      <c r="T17" s="144">
        <v>600</v>
      </c>
      <c r="U17" s="144">
        <v>600</v>
      </c>
      <c r="V17" s="136" t="s">
        <v>682</v>
      </c>
    </row>
    <row r="18" spans="2:22" ht="31" customHeight="1" x14ac:dyDescent="0.2">
      <c r="B18" s="150" t="s">
        <v>616</v>
      </c>
      <c r="C18" s="151" t="s">
        <v>683</v>
      </c>
      <c r="D18" s="152">
        <v>0</v>
      </c>
      <c r="E18" s="152">
        <v>0</v>
      </c>
      <c r="F18" s="152">
        <v>0</v>
      </c>
      <c r="G18" s="152">
        <v>0</v>
      </c>
      <c r="H18" s="152">
        <v>0</v>
      </c>
      <c r="I18" s="152">
        <v>0</v>
      </c>
      <c r="J18" s="152">
        <v>0</v>
      </c>
      <c r="K18" s="152">
        <v>0</v>
      </c>
      <c r="L18" s="152">
        <v>0</v>
      </c>
      <c r="M18" s="152">
        <v>0</v>
      </c>
      <c r="N18" s="152">
        <v>0</v>
      </c>
      <c r="O18" s="152">
        <v>0</v>
      </c>
      <c r="P18" s="152">
        <v>-1200</v>
      </c>
      <c r="Q18" s="152">
        <v>-900</v>
      </c>
      <c r="R18" s="152">
        <v>-600</v>
      </c>
      <c r="S18" s="152">
        <v>-300</v>
      </c>
      <c r="T18" s="153">
        <v>0</v>
      </c>
      <c r="U18" s="153">
        <v>-3000</v>
      </c>
      <c r="V18" s="154" t="s">
        <v>684</v>
      </c>
    </row>
    <row r="19" spans="2:22" ht="18" customHeight="1" x14ac:dyDescent="0.2">
      <c r="B19" s="145" t="s">
        <v>618</v>
      </c>
      <c r="C19" s="146" t="s">
        <v>685</v>
      </c>
      <c r="D19" s="147">
        <v>450</v>
      </c>
      <c r="E19" s="147">
        <v>0</v>
      </c>
      <c r="F19" s="147">
        <v>0</v>
      </c>
      <c r="G19" s="147">
        <v>500</v>
      </c>
      <c r="H19" s="147">
        <v>0</v>
      </c>
      <c r="I19" s="147">
        <v>0</v>
      </c>
      <c r="J19" s="147">
        <v>500</v>
      </c>
      <c r="K19" s="147">
        <v>0</v>
      </c>
      <c r="L19" s="147">
        <v>0</v>
      </c>
      <c r="M19" s="147">
        <v>400</v>
      </c>
      <c r="N19" s="147">
        <v>0</v>
      </c>
      <c r="O19" s="147">
        <v>0</v>
      </c>
      <c r="P19" s="147">
        <v>-1200</v>
      </c>
      <c r="Q19" s="147">
        <v>-900</v>
      </c>
      <c r="R19" s="147">
        <v>-600</v>
      </c>
      <c r="S19" s="147">
        <v>-300</v>
      </c>
      <c r="T19" s="148">
        <v>1850</v>
      </c>
      <c r="U19" s="148">
        <v>-1150</v>
      </c>
      <c r="V19" s="149"/>
    </row>
    <row r="20" spans="2:22" ht="20" customHeight="1" x14ac:dyDescent="0.2">
      <c r="B20" s="521" t="s">
        <v>686</v>
      </c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3"/>
      <c r="N20" s="473"/>
      <c r="O20" s="473"/>
      <c r="P20" s="473"/>
      <c r="Q20" s="473"/>
      <c r="R20" s="473"/>
      <c r="S20" s="473"/>
      <c r="T20" s="473"/>
      <c r="U20" s="473"/>
      <c r="V20" s="466"/>
    </row>
    <row r="21" spans="2:22" ht="18" customHeight="1" x14ac:dyDescent="0.2">
      <c r="B21" s="145" t="s">
        <v>625</v>
      </c>
      <c r="C21" s="146" t="s">
        <v>687</v>
      </c>
      <c r="D21" s="147">
        <v>343.95</v>
      </c>
      <c r="E21" s="147">
        <v>-124.93</v>
      </c>
      <c r="F21" s="147">
        <v>-144.31</v>
      </c>
      <c r="G21" s="147">
        <v>638.29</v>
      </c>
      <c r="H21" s="147">
        <v>11.3</v>
      </c>
      <c r="I21" s="147">
        <v>347.37</v>
      </c>
      <c r="J21" s="147">
        <v>780.92</v>
      </c>
      <c r="K21" s="147">
        <v>152.53</v>
      </c>
      <c r="L21" s="147">
        <v>184.63</v>
      </c>
      <c r="M21" s="147">
        <v>668.85</v>
      </c>
      <c r="N21" s="147">
        <v>501.66</v>
      </c>
      <c r="O21" s="147">
        <v>186.35</v>
      </c>
      <c r="P21" s="147">
        <v>-997.09</v>
      </c>
      <c r="Q21" s="147">
        <v>-771.23</v>
      </c>
      <c r="R21" s="147">
        <v>-554.4</v>
      </c>
      <c r="S21" s="147">
        <v>-332.14</v>
      </c>
      <c r="T21" s="148">
        <v>3546.6</v>
      </c>
      <c r="U21" s="148">
        <v>891.7</v>
      </c>
      <c r="V21" s="149"/>
    </row>
    <row r="22" spans="2:22" ht="18" customHeight="1" x14ac:dyDescent="0.2">
      <c r="B22" s="155" t="s">
        <v>627</v>
      </c>
      <c r="C22" s="156" t="s">
        <v>688</v>
      </c>
      <c r="D22" s="157">
        <v>0</v>
      </c>
      <c r="E22" s="157">
        <v>343.95</v>
      </c>
      <c r="F22" s="157">
        <v>219.02</v>
      </c>
      <c r="G22" s="157">
        <v>74.709999999999994</v>
      </c>
      <c r="H22" s="157">
        <v>713</v>
      </c>
      <c r="I22" s="157">
        <v>724.3</v>
      </c>
      <c r="J22" s="157">
        <v>1071.67</v>
      </c>
      <c r="K22" s="157">
        <v>1852.59</v>
      </c>
      <c r="L22" s="157">
        <v>2005.12</v>
      </c>
      <c r="M22" s="157">
        <v>2189.75</v>
      </c>
      <c r="N22" s="157">
        <v>2858.6</v>
      </c>
      <c r="O22" s="157">
        <v>3360.26</v>
      </c>
      <c r="P22" s="157">
        <v>3546.61</v>
      </c>
      <c r="Q22" s="157">
        <v>2549.52</v>
      </c>
      <c r="R22" s="157">
        <v>1778.29</v>
      </c>
      <c r="S22" s="157">
        <v>1223.8900000000001</v>
      </c>
      <c r="T22" s="158">
        <v>15413</v>
      </c>
      <c r="U22" s="158">
        <v>24511.3</v>
      </c>
      <c r="V22" s="120"/>
    </row>
    <row r="23" spans="2:22" ht="18" customHeight="1" x14ac:dyDescent="0.2">
      <c r="B23" s="159" t="s">
        <v>629</v>
      </c>
      <c r="C23" s="160" t="s">
        <v>689</v>
      </c>
      <c r="D23" s="144">
        <v>343.95</v>
      </c>
      <c r="E23" s="144">
        <v>219.02</v>
      </c>
      <c r="F23" s="144">
        <v>74.709999999999994</v>
      </c>
      <c r="G23" s="144">
        <v>713</v>
      </c>
      <c r="H23" s="144">
        <v>724.3</v>
      </c>
      <c r="I23" s="144">
        <v>1071.67</v>
      </c>
      <c r="J23" s="144">
        <v>1852.59</v>
      </c>
      <c r="K23" s="144">
        <v>2005.12</v>
      </c>
      <c r="L23" s="144">
        <v>2189.75</v>
      </c>
      <c r="M23" s="144">
        <v>2858.6</v>
      </c>
      <c r="N23" s="144">
        <v>3360.26</v>
      </c>
      <c r="O23" s="144">
        <v>3546.61</v>
      </c>
      <c r="P23" s="144">
        <v>2549.52</v>
      </c>
      <c r="Q23" s="144">
        <v>1778.29</v>
      </c>
      <c r="R23" s="144">
        <v>1223.8900000000001</v>
      </c>
      <c r="S23" s="144">
        <v>891.75</v>
      </c>
      <c r="T23" s="148">
        <v>18959.599999999999</v>
      </c>
      <c r="U23" s="148">
        <v>25403</v>
      </c>
      <c r="V23" s="136" t="s">
        <v>690</v>
      </c>
    </row>
    <row r="25" spans="2:22" ht="22" customHeight="1" x14ac:dyDescent="0.2">
      <c r="B25" s="527" t="s">
        <v>3140</v>
      </c>
      <c r="C25" s="510"/>
      <c r="D25" s="510"/>
      <c r="E25" s="510"/>
      <c r="F25" s="510"/>
      <c r="G25" s="510"/>
      <c r="H25" s="510"/>
      <c r="I25" s="510"/>
      <c r="J25" s="510"/>
      <c r="K25" s="510"/>
      <c r="L25" s="510"/>
      <c r="M25" s="510"/>
      <c r="N25" s="510"/>
      <c r="O25" s="510"/>
      <c r="P25" s="510"/>
      <c r="Q25" s="510"/>
      <c r="R25" s="510"/>
      <c r="S25" s="510"/>
      <c r="T25" s="510"/>
      <c r="U25" s="510"/>
      <c r="V25" s="464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paperSize="8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T21"/>
  <sheetViews>
    <sheetView workbookViewId="0">
      <pane xSplit="3" ySplit="5" topLeftCell="D6" activePane="bottomRight" state="frozen"/>
      <selection pane="topRight"/>
      <selection pane="bottomLeft"/>
      <selection pane="bottomRight" activeCell="S8" sqref="S8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8" customWidth="1"/>
    <col min="4" max="19" width="10" customWidth="1"/>
    <col min="20" max="20" width="30" customWidth="1"/>
  </cols>
  <sheetData>
    <row r="2" spans="2:20" ht="28" customHeight="1" x14ac:dyDescent="0.2">
      <c r="B2" s="525" t="s">
        <v>691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</row>
    <row r="3" spans="2:20" x14ac:dyDescent="0.2">
      <c r="B3" s="528" t="s">
        <v>692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</row>
    <row r="5" spans="2:20" ht="20" customHeight="1" x14ac:dyDescent="0.2">
      <c r="B5" s="125" t="s">
        <v>61</v>
      </c>
      <c r="C5" s="140" t="s">
        <v>434</v>
      </c>
      <c r="D5" s="125" t="s">
        <v>571</v>
      </c>
      <c r="E5" s="125" t="s">
        <v>572</v>
      </c>
      <c r="F5" s="125" t="s">
        <v>573</v>
      </c>
      <c r="G5" s="125" t="s">
        <v>574</v>
      </c>
      <c r="H5" s="125" t="s">
        <v>575</v>
      </c>
      <c r="I5" s="125" t="s">
        <v>576</v>
      </c>
      <c r="J5" s="125" t="s">
        <v>577</v>
      </c>
      <c r="K5" s="125" t="s">
        <v>578</v>
      </c>
      <c r="L5" s="125" t="s">
        <v>579</v>
      </c>
      <c r="M5" s="125" t="s">
        <v>580</v>
      </c>
      <c r="N5" s="125" t="s">
        <v>581</v>
      </c>
      <c r="O5" s="125" t="s">
        <v>582</v>
      </c>
      <c r="P5" s="125" t="s">
        <v>406</v>
      </c>
      <c r="Q5" s="125" t="s">
        <v>407</v>
      </c>
      <c r="R5" s="125" t="s">
        <v>408</v>
      </c>
      <c r="S5" s="125" t="s">
        <v>409</v>
      </c>
      <c r="T5" s="126" t="s">
        <v>448</v>
      </c>
    </row>
    <row r="6" spans="2:20" ht="20" customHeight="1" x14ac:dyDescent="0.2">
      <c r="B6" s="521" t="s">
        <v>693</v>
      </c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66"/>
    </row>
    <row r="7" spans="2:20" ht="18" customHeight="1" x14ac:dyDescent="0.2">
      <c r="B7" s="155" t="s">
        <v>694</v>
      </c>
      <c r="C7" s="156" t="s">
        <v>695</v>
      </c>
      <c r="D7" s="157">
        <v>346.04</v>
      </c>
      <c r="E7" s="157">
        <v>222.08</v>
      </c>
      <c r="F7" s="157">
        <v>77.62</v>
      </c>
      <c r="G7" s="157">
        <v>716.13</v>
      </c>
      <c r="H7" s="157">
        <v>724.69</v>
      </c>
      <c r="I7" s="157">
        <v>1067.9000000000001</v>
      </c>
      <c r="J7" s="157">
        <v>1844.51</v>
      </c>
      <c r="K7" s="157">
        <v>1994.61</v>
      </c>
      <c r="L7" s="157">
        <v>2178.61</v>
      </c>
      <c r="M7" s="157">
        <v>2847.54</v>
      </c>
      <c r="N7" s="157">
        <v>3349.78</v>
      </c>
      <c r="O7" s="157">
        <v>3538.19</v>
      </c>
      <c r="P7" s="157">
        <v>2583.56</v>
      </c>
      <c r="Q7" s="157">
        <v>1862.72</v>
      </c>
      <c r="R7" s="157">
        <v>1375.68</v>
      </c>
      <c r="S7" s="157">
        <v>1128.02</v>
      </c>
      <c r="T7" s="120" t="s">
        <v>696</v>
      </c>
    </row>
    <row r="8" spans="2:20" ht="18" customHeight="1" x14ac:dyDescent="0.2">
      <c r="B8" s="155" t="s">
        <v>697</v>
      </c>
      <c r="C8" s="156" t="s">
        <v>698</v>
      </c>
      <c r="D8" s="157">
        <v>80</v>
      </c>
      <c r="E8" s="157">
        <v>180</v>
      </c>
      <c r="F8" s="157">
        <v>300</v>
      </c>
      <c r="G8" s="157">
        <v>273.82</v>
      </c>
      <c r="H8" s="157">
        <v>352.06</v>
      </c>
      <c r="I8" s="157">
        <v>287.13</v>
      </c>
      <c r="J8" s="157">
        <v>254.76</v>
      </c>
      <c r="K8" s="157">
        <v>263.8</v>
      </c>
      <c r="L8" s="157">
        <v>256.56</v>
      </c>
      <c r="M8" s="157">
        <v>202.69</v>
      </c>
      <c r="N8" s="157">
        <v>34.85</v>
      </c>
      <c r="O8" s="157">
        <v>0</v>
      </c>
      <c r="P8" s="157">
        <v>-154.68</v>
      </c>
      <c r="Q8" s="157">
        <v>-276.79000000000002</v>
      </c>
      <c r="R8" s="157">
        <v>-366.34</v>
      </c>
      <c r="S8" s="157">
        <v>-427.4</v>
      </c>
      <c r="T8" s="120" t="s">
        <v>699</v>
      </c>
    </row>
    <row r="9" spans="2:20" ht="18" customHeight="1" x14ac:dyDescent="0.2">
      <c r="B9" s="155" t="s">
        <v>700</v>
      </c>
      <c r="C9" s="156" t="s">
        <v>701</v>
      </c>
      <c r="D9" s="157">
        <v>0.08</v>
      </c>
      <c r="E9" s="157">
        <v>0.16</v>
      </c>
      <c r="F9" s="157">
        <v>0.24</v>
      </c>
      <c r="G9" s="157">
        <v>0.32</v>
      </c>
      <c r="H9" s="157">
        <v>0.4</v>
      </c>
      <c r="I9" s="157">
        <v>0.48</v>
      </c>
      <c r="J9" s="157">
        <v>0.56000000000000005</v>
      </c>
      <c r="K9" s="157">
        <v>0.64</v>
      </c>
      <c r="L9" s="157">
        <v>0.72</v>
      </c>
      <c r="M9" s="157">
        <v>0.8</v>
      </c>
      <c r="N9" s="157">
        <v>0.88</v>
      </c>
      <c r="O9" s="157">
        <v>0.96</v>
      </c>
      <c r="P9" s="157">
        <v>-2.04</v>
      </c>
      <c r="Q9" s="157">
        <v>-5.04</v>
      </c>
      <c r="R9" s="157">
        <v>-8.0399999999999991</v>
      </c>
      <c r="S9" s="157">
        <v>-11.04</v>
      </c>
      <c r="T9" s="120" t="s">
        <v>702</v>
      </c>
    </row>
    <row r="10" spans="2:20" ht="18" customHeight="1" x14ac:dyDescent="0.2">
      <c r="B10" s="145" t="s">
        <v>703</v>
      </c>
      <c r="C10" s="146" t="s">
        <v>704</v>
      </c>
      <c r="D10" s="148">
        <v>426.12</v>
      </c>
      <c r="E10" s="148">
        <v>402.24</v>
      </c>
      <c r="F10" s="148">
        <v>377.86</v>
      </c>
      <c r="G10" s="148">
        <v>990.27</v>
      </c>
      <c r="H10" s="148">
        <v>1077.1500000000001</v>
      </c>
      <c r="I10" s="148">
        <v>1355.51</v>
      </c>
      <c r="J10" s="148">
        <v>2099.83</v>
      </c>
      <c r="K10" s="148">
        <v>2259.0500000000002</v>
      </c>
      <c r="L10" s="148">
        <v>2435.89</v>
      </c>
      <c r="M10" s="148">
        <v>3051.03</v>
      </c>
      <c r="N10" s="148">
        <v>3385.51</v>
      </c>
      <c r="O10" s="148">
        <v>3539.15</v>
      </c>
      <c r="P10" s="148">
        <v>2426.84</v>
      </c>
      <c r="Q10" s="148">
        <v>1580.89</v>
      </c>
      <c r="R10" s="148">
        <v>1001.3</v>
      </c>
      <c r="S10" s="148">
        <v>689.58</v>
      </c>
      <c r="T10" s="149" t="s">
        <v>705</v>
      </c>
    </row>
    <row r="12" spans="2:20" ht="20" customHeight="1" x14ac:dyDescent="0.2">
      <c r="B12" s="521" t="s">
        <v>706</v>
      </c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66"/>
    </row>
    <row r="13" spans="2:20" ht="18" customHeight="1" x14ac:dyDescent="0.2">
      <c r="B13" s="155" t="s">
        <v>707</v>
      </c>
      <c r="C13" s="156" t="s">
        <v>708</v>
      </c>
      <c r="D13" s="157">
        <v>250</v>
      </c>
      <c r="E13" s="157">
        <v>250</v>
      </c>
      <c r="F13" s="157">
        <v>250</v>
      </c>
      <c r="G13" s="157">
        <v>600</v>
      </c>
      <c r="H13" s="157">
        <v>600</v>
      </c>
      <c r="I13" s="157">
        <v>600</v>
      </c>
      <c r="J13" s="157">
        <v>950</v>
      </c>
      <c r="K13" s="157">
        <v>950</v>
      </c>
      <c r="L13" s="157">
        <v>950</v>
      </c>
      <c r="M13" s="157">
        <v>1250</v>
      </c>
      <c r="N13" s="157">
        <v>1250</v>
      </c>
      <c r="O13" s="157">
        <v>1250</v>
      </c>
      <c r="P13" s="157">
        <v>530</v>
      </c>
      <c r="Q13" s="157">
        <v>-10</v>
      </c>
      <c r="R13" s="157">
        <v>-370</v>
      </c>
      <c r="S13" s="157">
        <v>-550</v>
      </c>
      <c r="T13" s="120" t="s">
        <v>709</v>
      </c>
    </row>
    <row r="14" spans="2:20" ht="18" customHeight="1" x14ac:dyDescent="0.2">
      <c r="B14" s="155" t="s">
        <v>710</v>
      </c>
      <c r="C14" s="156" t="s">
        <v>711</v>
      </c>
      <c r="D14" s="157">
        <v>200</v>
      </c>
      <c r="E14" s="157">
        <v>200</v>
      </c>
      <c r="F14" s="157">
        <v>200</v>
      </c>
      <c r="G14" s="157">
        <v>350</v>
      </c>
      <c r="H14" s="157">
        <v>350</v>
      </c>
      <c r="I14" s="157">
        <v>350</v>
      </c>
      <c r="J14" s="157">
        <v>500</v>
      </c>
      <c r="K14" s="157">
        <v>500</v>
      </c>
      <c r="L14" s="157">
        <v>500</v>
      </c>
      <c r="M14" s="157">
        <v>600</v>
      </c>
      <c r="N14" s="157">
        <v>600</v>
      </c>
      <c r="O14" s="157">
        <v>600</v>
      </c>
      <c r="P14" s="157">
        <v>120</v>
      </c>
      <c r="Q14" s="157">
        <v>-240</v>
      </c>
      <c r="R14" s="157">
        <v>-480</v>
      </c>
      <c r="S14" s="157">
        <v>-600</v>
      </c>
      <c r="T14" s="120" t="s">
        <v>712</v>
      </c>
    </row>
    <row r="15" spans="2:20" ht="18" customHeight="1" x14ac:dyDescent="0.2">
      <c r="B15" s="155" t="s">
        <v>713</v>
      </c>
      <c r="C15" s="156" t="s">
        <v>714</v>
      </c>
      <c r="D15" s="157">
        <v>-23.88</v>
      </c>
      <c r="E15" s="157">
        <v>-47.76</v>
      </c>
      <c r="F15" s="157">
        <v>-72.14</v>
      </c>
      <c r="G15" s="157">
        <v>40.270000000000003</v>
      </c>
      <c r="H15" s="157">
        <v>127.15</v>
      </c>
      <c r="I15" s="157">
        <v>405.51</v>
      </c>
      <c r="J15" s="157">
        <v>649.83000000000004</v>
      </c>
      <c r="K15" s="157">
        <v>809.05</v>
      </c>
      <c r="L15" s="157">
        <v>985.89</v>
      </c>
      <c r="M15" s="157">
        <v>1201.03</v>
      </c>
      <c r="N15" s="157">
        <v>1535.51</v>
      </c>
      <c r="O15" s="157">
        <v>1689.15</v>
      </c>
      <c r="P15" s="157">
        <v>1776.84</v>
      </c>
      <c r="Q15" s="157">
        <v>1830.89</v>
      </c>
      <c r="R15" s="157">
        <v>1851.3</v>
      </c>
      <c r="S15" s="157">
        <v>1839.58</v>
      </c>
      <c r="T15" s="120" t="s">
        <v>715</v>
      </c>
    </row>
    <row r="16" spans="2:20" ht="18" customHeight="1" x14ac:dyDescent="0.2">
      <c r="B16" s="145" t="s">
        <v>716</v>
      </c>
      <c r="C16" s="146" t="s">
        <v>717</v>
      </c>
      <c r="D16" s="148">
        <v>426.12</v>
      </c>
      <c r="E16" s="148">
        <v>402.24</v>
      </c>
      <c r="F16" s="148">
        <v>377.86</v>
      </c>
      <c r="G16" s="148">
        <v>990.27</v>
      </c>
      <c r="H16" s="148">
        <v>1077.1500000000001</v>
      </c>
      <c r="I16" s="148">
        <v>1355.51</v>
      </c>
      <c r="J16" s="148">
        <v>2099.83</v>
      </c>
      <c r="K16" s="148">
        <v>2259.0500000000002</v>
      </c>
      <c r="L16" s="148">
        <v>2435.89</v>
      </c>
      <c r="M16" s="148">
        <v>3051.03</v>
      </c>
      <c r="N16" s="148">
        <v>3385.51</v>
      </c>
      <c r="O16" s="148">
        <v>3539.15</v>
      </c>
      <c r="P16" s="148">
        <v>2426.84</v>
      </c>
      <c r="Q16" s="148">
        <v>1580.89</v>
      </c>
      <c r="R16" s="148">
        <v>1001.3</v>
      </c>
      <c r="S16" s="148">
        <v>689.58</v>
      </c>
      <c r="T16" s="149" t="s">
        <v>718</v>
      </c>
    </row>
    <row r="18" spans="2:20" ht="20" customHeight="1" x14ac:dyDescent="0.2">
      <c r="B18" s="521" t="s">
        <v>719</v>
      </c>
      <c r="C18" s="473"/>
      <c r="D18" s="473"/>
      <c r="E18" s="473"/>
      <c r="F18" s="473"/>
      <c r="G18" s="473"/>
      <c r="H18" s="473"/>
      <c r="I18" s="473"/>
      <c r="J18" s="473"/>
      <c r="K18" s="473"/>
      <c r="L18" s="473"/>
      <c r="M18" s="473"/>
      <c r="N18" s="473"/>
      <c r="O18" s="473"/>
      <c r="P18" s="473"/>
      <c r="Q18" s="473"/>
      <c r="R18" s="473"/>
      <c r="S18" s="473"/>
      <c r="T18" s="466"/>
    </row>
    <row r="19" spans="2:20" ht="20" customHeight="1" x14ac:dyDescent="0.2">
      <c r="B19" s="161" t="s">
        <v>720</v>
      </c>
      <c r="C19" s="162" t="s">
        <v>721</v>
      </c>
      <c r="D19" s="163">
        <v>0</v>
      </c>
      <c r="E19" s="163">
        <v>0</v>
      </c>
      <c r="F19" s="163">
        <v>0</v>
      </c>
      <c r="G19" s="163">
        <v>0</v>
      </c>
      <c r="H19" s="163">
        <v>0</v>
      </c>
      <c r="I19" s="163">
        <v>0</v>
      </c>
      <c r="J19" s="163">
        <v>0</v>
      </c>
      <c r="K19" s="163">
        <v>0</v>
      </c>
      <c r="L19" s="163">
        <v>0</v>
      </c>
      <c r="M19" s="163">
        <v>0</v>
      </c>
      <c r="N19" s="163">
        <v>0</v>
      </c>
      <c r="O19" s="163">
        <v>0</v>
      </c>
      <c r="P19" s="163">
        <v>0</v>
      </c>
      <c r="Q19" s="163">
        <v>0</v>
      </c>
      <c r="R19" s="163">
        <v>0</v>
      </c>
      <c r="S19" s="163">
        <v>0</v>
      </c>
      <c r="T19" s="164" t="s">
        <v>722</v>
      </c>
    </row>
    <row r="21" spans="2:20" ht="24" customHeight="1" x14ac:dyDescent="0.2">
      <c r="B21" s="527" t="s">
        <v>723</v>
      </c>
      <c r="C21" s="510"/>
      <c r="D21" s="510"/>
      <c r="E21" s="510"/>
      <c r="F21" s="510"/>
      <c r="G21" s="510"/>
      <c r="H21" s="510"/>
      <c r="I21" s="510"/>
      <c r="J21" s="510"/>
      <c r="K21" s="510"/>
      <c r="L21" s="510"/>
      <c r="M21" s="510"/>
      <c r="N21" s="510"/>
      <c r="O21" s="510"/>
      <c r="P21" s="510"/>
      <c r="Q21" s="510"/>
      <c r="R21" s="510"/>
      <c r="S21" s="510"/>
      <c r="T21" s="464"/>
    </row>
  </sheetData>
  <mergeCells count="6">
    <mergeCell ref="B2:T2"/>
    <mergeCell ref="B3:T3"/>
    <mergeCell ref="B18:T18"/>
    <mergeCell ref="B21:T21"/>
    <mergeCell ref="B12:T12"/>
    <mergeCell ref="B6:T6"/>
  </mergeCells>
  <printOptions horizontalCentered="1"/>
  <pageMargins left="0.59" right="0.59" top="0.59" bottom="0.59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U1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8" customWidth="1"/>
    <col min="4" max="19" width="10" customWidth="1"/>
    <col min="20" max="20" width="12" customWidth="1"/>
    <col min="21" max="21" width="30" customWidth="1"/>
  </cols>
  <sheetData>
    <row r="2" spans="2:21" ht="28" customHeight="1" x14ac:dyDescent="0.2">
      <c r="B2" s="525" t="s">
        <v>724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</row>
    <row r="3" spans="2:21" x14ac:dyDescent="0.2">
      <c r="B3" s="528" t="s">
        <v>725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</row>
    <row r="5" spans="2:21" ht="20" customHeight="1" x14ac:dyDescent="0.2">
      <c r="B5" s="125" t="s">
        <v>61</v>
      </c>
      <c r="C5" s="140" t="s">
        <v>434</v>
      </c>
      <c r="D5" s="125" t="s">
        <v>571</v>
      </c>
      <c r="E5" s="125" t="s">
        <v>572</v>
      </c>
      <c r="F5" s="125" t="s">
        <v>573</v>
      </c>
      <c r="G5" s="125" t="s">
        <v>574</v>
      </c>
      <c r="H5" s="125" t="s">
        <v>575</v>
      </c>
      <c r="I5" s="125" t="s">
        <v>576</v>
      </c>
      <c r="J5" s="125" t="s">
        <v>577</v>
      </c>
      <c r="K5" s="125" t="s">
        <v>578</v>
      </c>
      <c r="L5" s="125" t="s">
        <v>579</v>
      </c>
      <c r="M5" s="125" t="s">
        <v>580</v>
      </c>
      <c r="N5" s="125" t="s">
        <v>581</v>
      </c>
      <c r="O5" s="125" t="s">
        <v>582</v>
      </c>
      <c r="P5" s="125" t="s">
        <v>406</v>
      </c>
      <c r="Q5" s="125" t="s">
        <v>407</v>
      </c>
      <c r="R5" s="125" t="s">
        <v>408</v>
      </c>
      <c r="S5" s="125" t="s">
        <v>409</v>
      </c>
      <c r="T5" s="126" t="s">
        <v>400</v>
      </c>
      <c r="U5" s="126" t="s">
        <v>448</v>
      </c>
    </row>
    <row r="6" spans="2:21" ht="20" customHeight="1" x14ac:dyDescent="0.2">
      <c r="B6" s="521" t="s">
        <v>726</v>
      </c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66"/>
    </row>
    <row r="7" spans="2:21" ht="18" customHeight="1" x14ac:dyDescent="0.2">
      <c r="B7" s="141" t="s">
        <v>585</v>
      </c>
      <c r="C7" s="142" t="s">
        <v>727</v>
      </c>
      <c r="D7" s="143">
        <v>0</v>
      </c>
      <c r="E7" s="143">
        <v>0</v>
      </c>
      <c r="F7" s="143">
        <v>0</v>
      </c>
      <c r="G7" s="143">
        <v>77.5</v>
      </c>
      <c r="H7" s="143">
        <v>62.5</v>
      </c>
      <c r="I7" s="143">
        <v>175</v>
      </c>
      <c r="J7" s="143">
        <v>155</v>
      </c>
      <c r="K7" s="143">
        <v>105</v>
      </c>
      <c r="L7" s="143">
        <v>115</v>
      </c>
      <c r="M7" s="143">
        <v>137.5</v>
      </c>
      <c r="N7" s="143">
        <v>207.5</v>
      </c>
      <c r="O7" s="143">
        <v>101.25</v>
      </c>
      <c r="P7" s="143">
        <v>95</v>
      </c>
      <c r="Q7" s="143">
        <v>75</v>
      </c>
      <c r="R7" s="143">
        <v>55</v>
      </c>
      <c r="S7" s="143">
        <v>37.5</v>
      </c>
      <c r="T7" s="144">
        <v>1136.2</v>
      </c>
      <c r="U7" s="136" t="s">
        <v>728</v>
      </c>
    </row>
    <row r="8" spans="2:21" ht="18" customHeight="1" x14ac:dyDescent="0.2">
      <c r="B8" s="141" t="s">
        <v>587</v>
      </c>
      <c r="C8" s="142" t="s">
        <v>729</v>
      </c>
      <c r="D8" s="143">
        <v>0</v>
      </c>
      <c r="E8" s="143">
        <v>0</v>
      </c>
      <c r="F8" s="143">
        <v>0</v>
      </c>
      <c r="G8" s="143">
        <v>15.5</v>
      </c>
      <c r="H8" s="143">
        <v>12.5</v>
      </c>
      <c r="I8" s="143">
        <v>35</v>
      </c>
      <c r="J8" s="143">
        <v>31</v>
      </c>
      <c r="K8" s="143">
        <v>21</v>
      </c>
      <c r="L8" s="143">
        <v>23</v>
      </c>
      <c r="M8" s="143">
        <v>27.5</v>
      </c>
      <c r="N8" s="143">
        <v>41.5</v>
      </c>
      <c r="O8" s="143">
        <v>20.25</v>
      </c>
      <c r="P8" s="143">
        <v>19</v>
      </c>
      <c r="Q8" s="143">
        <v>15</v>
      </c>
      <c r="R8" s="143">
        <v>11</v>
      </c>
      <c r="S8" s="143">
        <v>7.5</v>
      </c>
      <c r="T8" s="144">
        <v>227.2</v>
      </c>
      <c r="U8" s="136" t="s">
        <v>730</v>
      </c>
    </row>
    <row r="9" spans="2:21" ht="20" customHeight="1" x14ac:dyDescent="0.2">
      <c r="B9" s="521" t="s">
        <v>731</v>
      </c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473"/>
      <c r="N9" s="473"/>
      <c r="O9" s="473"/>
      <c r="P9" s="473"/>
      <c r="Q9" s="473"/>
      <c r="R9" s="473"/>
      <c r="S9" s="473"/>
      <c r="T9" s="473"/>
      <c r="U9" s="466"/>
    </row>
    <row r="10" spans="2:21" ht="18" customHeight="1" x14ac:dyDescent="0.2">
      <c r="B10" s="150" t="s">
        <v>604</v>
      </c>
      <c r="C10" s="151" t="s">
        <v>732</v>
      </c>
      <c r="D10" s="152">
        <v>6.64</v>
      </c>
      <c r="E10" s="152">
        <v>6.64</v>
      </c>
      <c r="F10" s="152">
        <v>6.64</v>
      </c>
      <c r="G10" s="152">
        <v>12.32</v>
      </c>
      <c r="H10" s="152">
        <v>11.22</v>
      </c>
      <c r="I10" s="152">
        <v>19.46</v>
      </c>
      <c r="J10" s="152">
        <v>17.989999999999998</v>
      </c>
      <c r="K10" s="152">
        <v>14.33</v>
      </c>
      <c r="L10" s="152">
        <v>15.06</v>
      </c>
      <c r="M10" s="152">
        <v>16.71</v>
      </c>
      <c r="N10" s="152">
        <v>21.84</v>
      </c>
      <c r="O10" s="152">
        <v>14.06</v>
      </c>
      <c r="P10" s="152">
        <v>33.51</v>
      </c>
      <c r="Q10" s="152">
        <v>32.049999999999997</v>
      </c>
      <c r="R10" s="152">
        <v>30.58</v>
      </c>
      <c r="S10" s="152">
        <v>29.3</v>
      </c>
      <c r="T10" s="153">
        <v>162.9</v>
      </c>
      <c r="U10" s="154" t="s">
        <v>733</v>
      </c>
    </row>
    <row r="11" spans="2:21" ht="20" customHeight="1" x14ac:dyDescent="0.2">
      <c r="B11" s="521" t="s">
        <v>734</v>
      </c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66"/>
    </row>
    <row r="12" spans="2:21" ht="18" customHeight="1" x14ac:dyDescent="0.2">
      <c r="B12" s="145" t="s">
        <v>612</v>
      </c>
      <c r="C12" s="146" t="s">
        <v>735</v>
      </c>
      <c r="D12" s="147">
        <v>-6.64</v>
      </c>
      <c r="E12" s="147">
        <v>-6.64</v>
      </c>
      <c r="F12" s="147">
        <v>-6.64</v>
      </c>
      <c r="G12" s="147">
        <v>80.680000000000007</v>
      </c>
      <c r="H12" s="147">
        <v>63.78</v>
      </c>
      <c r="I12" s="147">
        <v>190.54</v>
      </c>
      <c r="J12" s="147">
        <v>168.01</v>
      </c>
      <c r="K12" s="147">
        <v>111.67</v>
      </c>
      <c r="L12" s="147">
        <v>122.94</v>
      </c>
      <c r="M12" s="147">
        <v>148.29</v>
      </c>
      <c r="N12" s="147">
        <v>227.16</v>
      </c>
      <c r="O12" s="147">
        <v>107.44</v>
      </c>
      <c r="P12" s="147">
        <v>80.489999999999995</v>
      </c>
      <c r="Q12" s="147">
        <v>57.95</v>
      </c>
      <c r="R12" s="147">
        <v>35.42</v>
      </c>
      <c r="S12" s="147">
        <v>15.7</v>
      </c>
      <c r="T12" s="148">
        <v>1200.5999999999999</v>
      </c>
      <c r="U12" s="149" t="s">
        <v>736</v>
      </c>
    </row>
    <row r="13" spans="2:21" ht="18" customHeight="1" x14ac:dyDescent="0.2">
      <c r="B13" s="145" t="s">
        <v>614</v>
      </c>
      <c r="C13" s="146" t="s">
        <v>737</v>
      </c>
      <c r="D13" s="147">
        <v>-6.64</v>
      </c>
      <c r="E13" s="147">
        <v>0</v>
      </c>
      <c r="F13" s="147">
        <v>0</v>
      </c>
      <c r="G13" s="147">
        <v>87.32</v>
      </c>
      <c r="H13" s="147">
        <v>-16.899999999999999</v>
      </c>
      <c r="I13" s="147">
        <v>126.76</v>
      </c>
      <c r="J13" s="147">
        <v>-22.53</v>
      </c>
      <c r="K13" s="147">
        <v>-56.34</v>
      </c>
      <c r="L13" s="147">
        <v>11.27</v>
      </c>
      <c r="M13" s="147">
        <v>25.35</v>
      </c>
      <c r="N13" s="147">
        <v>78.87</v>
      </c>
      <c r="O13" s="147">
        <v>-119.72</v>
      </c>
      <c r="P13" s="147">
        <v>-26.95</v>
      </c>
      <c r="Q13" s="147">
        <v>-22.54</v>
      </c>
      <c r="R13" s="147">
        <v>-22.53</v>
      </c>
      <c r="S13" s="147">
        <v>-19.72</v>
      </c>
      <c r="T13" s="148">
        <v>107.4</v>
      </c>
      <c r="U13" s="149" t="s">
        <v>738</v>
      </c>
    </row>
    <row r="14" spans="2:21" ht="18" customHeight="1" x14ac:dyDescent="0.2">
      <c r="B14" s="165" t="s">
        <v>616</v>
      </c>
      <c r="C14" s="166" t="s">
        <v>739</v>
      </c>
      <c r="D14" s="148">
        <v>6.64</v>
      </c>
      <c r="E14" s="148">
        <v>0</v>
      </c>
      <c r="F14" s="148">
        <v>0</v>
      </c>
      <c r="G14" s="148">
        <v>-87.32</v>
      </c>
      <c r="H14" s="148">
        <v>16.899999999999999</v>
      </c>
      <c r="I14" s="148">
        <v>-126.76</v>
      </c>
      <c r="J14" s="148">
        <v>22.53</v>
      </c>
      <c r="K14" s="148">
        <v>56.34</v>
      </c>
      <c r="L14" s="148">
        <v>-11.27</v>
      </c>
      <c r="M14" s="148">
        <v>-25.35</v>
      </c>
      <c r="N14" s="148">
        <v>-78.87</v>
      </c>
      <c r="O14" s="148">
        <v>119.72</v>
      </c>
      <c r="P14" s="148">
        <v>26.95</v>
      </c>
      <c r="Q14" s="148">
        <v>22.54</v>
      </c>
      <c r="R14" s="148">
        <v>22.53</v>
      </c>
      <c r="S14" s="148">
        <v>19.72</v>
      </c>
      <c r="T14" s="148">
        <v>-107.4</v>
      </c>
      <c r="U14" s="137" t="s">
        <v>740</v>
      </c>
    </row>
    <row r="16" spans="2:21" ht="22" customHeight="1" x14ac:dyDescent="0.2">
      <c r="B16" s="527" t="s">
        <v>741</v>
      </c>
      <c r="C16" s="510"/>
      <c r="D16" s="510"/>
      <c r="E16" s="510"/>
      <c r="F16" s="510"/>
      <c r="G16" s="510"/>
      <c r="H16" s="510"/>
      <c r="I16" s="510"/>
      <c r="J16" s="510"/>
      <c r="K16" s="510"/>
      <c r="L16" s="510"/>
      <c r="M16" s="510"/>
      <c r="N16" s="510"/>
      <c r="O16" s="510"/>
      <c r="P16" s="510"/>
      <c r="Q16" s="510"/>
      <c r="R16" s="510"/>
      <c r="S16" s="510"/>
      <c r="T16" s="510"/>
      <c r="U16" s="464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U24"/>
  <sheetViews>
    <sheetView workbookViewId="0">
      <pane xSplit="3" ySplit="5" topLeftCell="D6" activePane="bottomRight" state="frozen"/>
      <selection pane="topRight"/>
      <selection pane="bottomLeft"/>
      <selection pane="bottomRight" activeCell="T8" sqref="T8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40" customWidth="1"/>
    <col min="4" max="19" width="10" customWidth="1"/>
    <col min="20" max="20" width="12" customWidth="1"/>
    <col min="21" max="21" width="28" customWidth="1"/>
  </cols>
  <sheetData>
    <row r="2" spans="2:21" ht="28" customHeight="1" x14ac:dyDescent="0.2">
      <c r="B2" s="525" t="s">
        <v>742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</row>
    <row r="3" spans="2:21" x14ac:dyDescent="0.2">
      <c r="B3" s="528" t="s">
        <v>743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</row>
    <row r="5" spans="2:21" ht="20" customHeight="1" x14ac:dyDescent="0.2">
      <c r="B5" s="125" t="s">
        <v>61</v>
      </c>
      <c r="C5" s="140" t="s">
        <v>744</v>
      </c>
      <c r="D5" s="125" t="s">
        <v>571</v>
      </c>
      <c r="E5" s="125" t="s">
        <v>572</v>
      </c>
      <c r="F5" s="125" t="s">
        <v>573</v>
      </c>
      <c r="G5" s="125" t="s">
        <v>574</v>
      </c>
      <c r="H5" s="125" t="s">
        <v>575</v>
      </c>
      <c r="I5" s="125" t="s">
        <v>576</v>
      </c>
      <c r="J5" s="125" t="s">
        <v>577</v>
      </c>
      <c r="K5" s="125" t="s">
        <v>578</v>
      </c>
      <c r="L5" s="125" t="s">
        <v>579</v>
      </c>
      <c r="M5" s="125" t="s">
        <v>580</v>
      </c>
      <c r="N5" s="125" t="s">
        <v>581</v>
      </c>
      <c r="O5" s="125" t="s">
        <v>582</v>
      </c>
      <c r="P5" s="125" t="s">
        <v>406</v>
      </c>
      <c r="Q5" s="125" t="s">
        <v>407</v>
      </c>
      <c r="R5" s="125" t="s">
        <v>408</v>
      </c>
      <c r="S5" s="125" t="s">
        <v>409</v>
      </c>
      <c r="T5" s="126" t="s">
        <v>583</v>
      </c>
      <c r="U5" s="126" t="s">
        <v>448</v>
      </c>
    </row>
    <row r="6" spans="2:21" ht="20" customHeight="1" x14ac:dyDescent="0.2">
      <c r="B6" s="521" t="s">
        <v>745</v>
      </c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66"/>
    </row>
    <row r="7" spans="2:21" ht="18" customHeight="1" x14ac:dyDescent="0.2">
      <c r="B7" s="155" t="s">
        <v>585</v>
      </c>
      <c r="C7" s="156" t="s">
        <v>746</v>
      </c>
      <c r="D7" s="157">
        <v>0</v>
      </c>
      <c r="E7" s="157">
        <v>250</v>
      </c>
      <c r="F7" s="157">
        <v>250</v>
      </c>
      <c r="G7" s="157">
        <v>250</v>
      </c>
      <c r="H7" s="157">
        <v>600</v>
      </c>
      <c r="I7" s="157">
        <v>600</v>
      </c>
      <c r="J7" s="157">
        <v>600</v>
      </c>
      <c r="K7" s="157">
        <v>950</v>
      </c>
      <c r="L7" s="157">
        <v>950</v>
      </c>
      <c r="M7" s="157">
        <v>950</v>
      </c>
      <c r="N7" s="157">
        <v>1250</v>
      </c>
      <c r="O7" s="157">
        <v>1250</v>
      </c>
      <c r="P7" s="157">
        <v>1250</v>
      </c>
      <c r="Q7" s="157">
        <v>364</v>
      </c>
      <c r="R7" s="157">
        <v>0</v>
      </c>
      <c r="S7" s="157">
        <v>0</v>
      </c>
      <c r="T7" s="158">
        <v>0</v>
      </c>
      <c r="U7" s="120" t="s">
        <v>747</v>
      </c>
    </row>
    <row r="8" spans="2:21" ht="18" customHeight="1" x14ac:dyDescent="0.2">
      <c r="B8" s="141" t="s">
        <v>587</v>
      </c>
      <c r="C8" s="142" t="s">
        <v>748</v>
      </c>
      <c r="D8" s="143">
        <v>250</v>
      </c>
      <c r="E8" s="143">
        <v>0</v>
      </c>
      <c r="F8" s="143">
        <v>0</v>
      </c>
      <c r="G8" s="143">
        <v>350</v>
      </c>
      <c r="H8" s="143">
        <v>0</v>
      </c>
      <c r="I8" s="143">
        <v>0</v>
      </c>
      <c r="J8" s="143">
        <v>350</v>
      </c>
      <c r="K8" s="143">
        <v>0</v>
      </c>
      <c r="L8" s="143">
        <v>0</v>
      </c>
      <c r="M8" s="143">
        <v>300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4">
        <v>1250</v>
      </c>
      <c r="U8" s="136" t="s">
        <v>749</v>
      </c>
    </row>
    <row r="9" spans="2:21" ht="20" customHeight="1" x14ac:dyDescent="0.2">
      <c r="B9" s="521" t="s">
        <v>750</v>
      </c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473"/>
      <c r="N9" s="473"/>
      <c r="O9" s="473"/>
      <c r="P9" s="473"/>
      <c r="Q9" s="473"/>
      <c r="R9" s="473"/>
      <c r="S9" s="473"/>
      <c r="T9" s="473"/>
      <c r="U9" s="466"/>
    </row>
    <row r="10" spans="2:21" ht="18" customHeight="1" x14ac:dyDescent="0.2">
      <c r="B10" s="150" t="s">
        <v>604</v>
      </c>
      <c r="C10" s="151" t="s">
        <v>751</v>
      </c>
      <c r="D10" s="152">
        <v>1</v>
      </c>
      <c r="E10" s="152">
        <v>1</v>
      </c>
      <c r="F10" s="152">
        <v>1.5</v>
      </c>
      <c r="G10" s="152">
        <v>1.5</v>
      </c>
      <c r="H10" s="152">
        <v>1.5</v>
      </c>
      <c r="I10" s="152">
        <v>1.5</v>
      </c>
      <c r="J10" s="152">
        <v>1.5</v>
      </c>
      <c r="K10" s="152">
        <v>1.5</v>
      </c>
      <c r="L10" s="152">
        <v>0.75</v>
      </c>
      <c r="M10" s="152">
        <v>0.75</v>
      </c>
      <c r="N10" s="152">
        <v>0.5</v>
      </c>
      <c r="O10" s="152">
        <v>0.5</v>
      </c>
      <c r="P10" s="152">
        <v>1</v>
      </c>
      <c r="Q10" s="152">
        <v>0.5</v>
      </c>
      <c r="R10" s="152">
        <v>0</v>
      </c>
      <c r="S10" s="152">
        <v>0</v>
      </c>
      <c r="T10" s="153">
        <v>15</v>
      </c>
      <c r="U10" s="154" t="s">
        <v>752</v>
      </c>
    </row>
    <row r="11" spans="2:21" ht="18" customHeight="1" x14ac:dyDescent="0.2">
      <c r="B11" s="150" t="s">
        <v>606</v>
      </c>
      <c r="C11" s="151" t="s">
        <v>753</v>
      </c>
      <c r="D11" s="152">
        <v>1</v>
      </c>
      <c r="E11" s="152">
        <v>1</v>
      </c>
      <c r="F11" s="152">
        <v>1.5</v>
      </c>
      <c r="G11" s="152">
        <v>1.5</v>
      </c>
      <c r="H11" s="152">
        <v>1.5</v>
      </c>
      <c r="I11" s="152">
        <v>1.5</v>
      </c>
      <c r="J11" s="152">
        <v>1.5</v>
      </c>
      <c r="K11" s="152">
        <v>1.5</v>
      </c>
      <c r="L11" s="152">
        <v>0.75</v>
      </c>
      <c r="M11" s="152">
        <v>0.75</v>
      </c>
      <c r="N11" s="152">
        <v>0.5</v>
      </c>
      <c r="O11" s="152">
        <v>0.5</v>
      </c>
      <c r="P11" s="152">
        <v>1</v>
      </c>
      <c r="Q11" s="152">
        <v>0.5</v>
      </c>
      <c r="R11" s="152">
        <v>0</v>
      </c>
      <c r="S11" s="152">
        <v>0</v>
      </c>
      <c r="T11" s="153">
        <v>15</v>
      </c>
      <c r="U11" s="154" t="s">
        <v>754</v>
      </c>
    </row>
    <row r="12" spans="2:21" ht="20" customHeight="1" x14ac:dyDescent="0.2">
      <c r="B12" s="521" t="s">
        <v>755</v>
      </c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66"/>
    </row>
    <row r="13" spans="2:21" ht="18" customHeight="1" x14ac:dyDescent="0.2">
      <c r="B13" s="150" t="s">
        <v>612</v>
      </c>
      <c r="C13" s="151" t="s">
        <v>756</v>
      </c>
      <c r="D13" s="152">
        <v>0</v>
      </c>
      <c r="E13" s="152">
        <v>0</v>
      </c>
      <c r="F13" s="152">
        <v>0</v>
      </c>
      <c r="G13" s="152">
        <v>0</v>
      </c>
      <c r="H13" s="152">
        <v>0</v>
      </c>
      <c r="I13" s="152">
        <v>0</v>
      </c>
      <c r="J13" s="152">
        <v>0</v>
      </c>
      <c r="K13" s="152">
        <v>0</v>
      </c>
      <c r="L13" s="152">
        <v>0</v>
      </c>
      <c r="M13" s="152">
        <v>0</v>
      </c>
      <c r="N13" s="152">
        <v>0</v>
      </c>
      <c r="O13" s="152">
        <v>0</v>
      </c>
      <c r="P13" s="152">
        <v>886</v>
      </c>
      <c r="Q13" s="152">
        <v>364</v>
      </c>
      <c r="R13" s="152">
        <v>0</v>
      </c>
      <c r="S13" s="152">
        <v>0</v>
      </c>
      <c r="T13" s="153">
        <v>1250</v>
      </c>
      <c r="U13" s="154" t="s">
        <v>757</v>
      </c>
    </row>
    <row r="14" spans="2:21" ht="20" customHeight="1" x14ac:dyDescent="0.2">
      <c r="B14" s="521" t="s">
        <v>758</v>
      </c>
      <c r="C14" s="473"/>
      <c r="D14" s="473"/>
      <c r="E14" s="473"/>
      <c r="F14" s="473"/>
      <c r="G14" s="473"/>
      <c r="H14" s="473"/>
      <c r="I14" s="473"/>
      <c r="J14" s="473"/>
      <c r="K14" s="473"/>
      <c r="L14" s="473"/>
      <c r="M14" s="473"/>
      <c r="N14" s="473"/>
      <c r="O14" s="473"/>
      <c r="P14" s="473"/>
      <c r="Q14" s="473"/>
      <c r="R14" s="473"/>
      <c r="S14" s="473"/>
      <c r="T14" s="473"/>
      <c r="U14" s="466"/>
    </row>
    <row r="15" spans="2:21" ht="18" customHeight="1" x14ac:dyDescent="0.2">
      <c r="B15" s="145" t="s">
        <v>625</v>
      </c>
      <c r="C15" s="146" t="s">
        <v>759</v>
      </c>
      <c r="D15" s="147">
        <v>250</v>
      </c>
      <c r="E15" s="147">
        <v>250</v>
      </c>
      <c r="F15" s="147">
        <v>250</v>
      </c>
      <c r="G15" s="147">
        <v>600</v>
      </c>
      <c r="H15" s="147">
        <v>600</v>
      </c>
      <c r="I15" s="147">
        <v>600</v>
      </c>
      <c r="J15" s="147">
        <v>950</v>
      </c>
      <c r="K15" s="147">
        <v>950</v>
      </c>
      <c r="L15" s="147">
        <v>950</v>
      </c>
      <c r="M15" s="147">
        <v>1250</v>
      </c>
      <c r="N15" s="147">
        <v>1250</v>
      </c>
      <c r="O15" s="147">
        <v>1250</v>
      </c>
      <c r="P15" s="147">
        <v>364</v>
      </c>
      <c r="Q15" s="147">
        <v>0</v>
      </c>
      <c r="R15" s="147">
        <v>0</v>
      </c>
      <c r="S15" s="147">
        <v>0</v>
      </c>
      <c r="T15" s="148">
        <v>0</v>
      </c>
      <c r="U15" s="149" t="s">
        <v>760</v>
      </c>
    </row>
    <row r="16" spans="2:21" ht="20" customHeight="1" x14ac:dyDescent="0.2">
      <c r="B16" s="521" t="s">
        <v>761</v>
      </c>
      <c r="C16" s="473"/>
      <c r="D16" s="473"/>
      <c r="E16" s="473"/>
      <c r="F16" s="473"/>
      <c r="G16" s="473"/>
      <c r="H16" s="473"/>
      <c r="I16" s="473"/>
      <c r="J16" s="473"/>
      <c r="K16" s="473"/>
      <c r="L16" s="473"/>
      <c r="M16" s="473"/>
      <c r="N16" s="473"/>
      <c r="O16" s="473"/>
      <c r="P16" s="473"/>
      <c r="Q16" s="473"/>
      <c r="R16" s="473"/>
      <c r="S16" s="473"/>
      <c r="T16" s="473"/>
      <c r="U16" s="466"/>
    </row>
    <row r="17" spans="2:21" ht="18" customHeight="1" x14ac:dyDescent="0.2">
      <c r="B17" s="155" t="s">
        <v>638</v>
      </c>
      <c r="C17" s="156" t="s">
        <v>762</v>
      </c>
      <c r="D17" s="157">
        <v>250</v>
      </c>
      <c r="E17" s="157">
        <v>250</v>
      </c>
      <c r="F17" s="157">
        <v>250</v>
      </c>
      <c r="G17" s="157">
        <v>600</v>
      </c>
      <c r="H17" s="157">
        <v>600</v>
      </c>
      <c r="I17" s="157">
        <v>600</v>
      </c>
      <c r="J17" s="157">
        <v>950</v>
      </c>
      <c r="K17" s="157">
        <v>950</v>
      </c>
      <c r="L17" s="157">
        <v>950</v>
      </c>
      <c r="M17" s="157">
        <v>1250</v>
      </c>
      <c r="N17" s="157">
        <v>1250</v>
      </c>
      <c r="O17" s="157">
        <v>1250</v>
      </c>
      <c r="P17" s="157">
        <v>1250</v>
      </c>
      <c r="Q17" s="157">
        <v>1250</v>
      </c>
      <c r="R17" s="157">
        <v>1250</v>
      </c>
      <c r="S17" s="157">
        <v>1250</v>
      </c>
      <c r="T17" s="158">
        <v>1250</v>
      </c>
      <c r="U17" s="120" t="s">
        <v>763</v>
      </c>
    </row>
    <row r="18" spans="2:21" ht="18" customHeight="1" x14ac:dyDescent="0.2">
      <c r="B18" s="155" t="s">
        <v>640</v>
      </c>
      <c r="C18" s="156" t="s">
        <v>764</v>
      </c>
      <c r="D18" s="157">
        <v>1</v>
      </c>
      <c r="E18" s="157">
        <v>2</v>
      </c>
      <c r="F18" s="157">
        <v>3.5</v>
      </c>
      <c r="G18" s="157">
        <v>5</v>
      </c>
      <c r="H18" s="157">
        <v>6.5</v>
      </c>
      <c r="I18" s="157">
        <v>8</v>
      </c>
      <c r="J18" s="157">
        <v>9.5</v>
      </c>
      <c r="K18" s="157">
        <v>11</v>
      </c>
      <c r="L18" s="157">
        <v>11.75</v>
      </c>
      <c r="M18" s="157">
        <v>12.5</v>
      </c>
      <c r="N18" s="157">
        <v>13</v>
      </c>
      <c r="O18" s="157">
        <v>13.5</v>
      </c>
      <c r="P18" s="157">
        <v>14.5</v>
      </c>
      <c r="Q18" s="157">
        <v>15</v>
      </c>
      <c r="R18" s="157">
        <v>15</v>
      </c>
      <c r="S18" s="157">
        <v>15</v>
      </c>
      <c r="T18" s="158">
        <v>15</v>
      </c>
      <c r="U18" s="120" t="s">
        <v>765</v>
      </c>
    </row>
    <row r="19" spans="2:21" ht="18" customHeight="1" x14ac:dyDescent="0.2">
      <c r="B19" s="155" t="s">
        <v>642</v>
      </c>
      <c r="C19" s="156" t="s">
        <v>766</v>
      </c>
      <c r="D19" s="157">
        <v>0</v>
      </c>
      <c r="E19" s="157">
        <v>0</v>
      </c>
      <c r="F19" s="157">
        <v>0</v>
      </c>
      <c r="G19" s="157">
        <v>0</v>
      </c>
      <c r="H19" s="157">
        <v>0</v>
      </c>
      <c r="I19" s="157">
        <v>0</v>
      </c>
      <c r="J19" s="157">
        <v>0</v>
      </c>
      <c r="K19" s="157">
        <v>0</v>
      </c>
      <c r="L19" s="157">
        <v>0</v>
      </c>
      <c r="M19" s="157">
        <v>0</v>
      </c>
      <c r="N19" s="157">
        <v>0</v>
      </c>
      <c r="O19" s="157">
        <v>0</v>
      </c>
      <c r="P19" s="157">
        <v>886</v>
      </c>
      <c r="Q19" s="157">
        <v>1250</v>
      </c>
      <c r="R19" s="157">
        <v>1250</v>
      </c>
      <c r="S19" s="157">
        <v>1250</v>
      </c>
      <c r="T19" s="158">
        <v>1250</v>
      </c>
      <c r="U19" s="120" t="s">
        <v>767</v>
      </c>
    </row>
    <row r="20" spans="2:21" ht="20" customHeight="1" x14ac:dyDescent="0.2">
      <c r="B20" s="521" t="s">
        <v>768</v>
      </c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3"/>
      <c r="N20" s="473"/>
      <c r="O20" s="473"/>
      <c r="P20" s="473"/>
      <c r="Q20" s="473"/>
      <c r="R20" s="473"/>
      <c r="S20" s="473"/>
      <c r="T20" s="473"/>
      <c r="U20" s="466"/>
    </row>
    <row r="21" spans="2:21" ht="18" customHeight="1" x14ac:dyDescent="0.2">
      <c r="B21" s="141" t="s">
        <v>769</v>
      </c>
      <c r="C21" s="142" t="s">
        <v>770</v>
      </c>
      <c r="D21" s="143">
        <v>0</v>
      </c>
      <c r="E21" s="143">
        <v>0</v>
      </c>
      <c r="F21" s="143">
        <v>0</v>
      </c>
      <c r="G21" s="143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301</v>
      </c>
      <c r="R21" s="143">
        <v>443</v>
      </c>
      <c r="S21" s="143">
        <v>221</v>
      </c>
      <c r="T21" s="144">
        <v>965</v>
      </c>
      <c r="U21" s="136" t="s">
        <v>771</v>
      </c>
    </row>
    <row r="22" spans="2:21" ht="18" customHeight="1" x14ac:dyDescent="0.2">
      <c r="B22" s="155" t="s">
        <v>772</v>
      </c>
      <c r="C22" s="156" t="s">
        <v>773</v>
      </c>
      <c r="D22" s="157">
        <v>0</v>
      </c>
      <c r="E22" s="157">
        <v>0</v>
      </c>
      <c r="F22" s="157">
        <v>0</v>
      </c>
      <c r="G22" s="157">
        <v>0</v>
      </c>
      <c r="H22" s="157">
        <v>0</v>
      </c>
      <c r="I22" s="157">
        <v>0</v>
      </c>
      <c r="J22" s="157">
        <v>0</v>
      </c>
      <c r="K22" s="157">
        <v>0</v>
      </c>
      <c r="L22" s="157">
        <v>0</v>
      </c>
      <c r="M22" s="157">
        <v>0</v>
      </c>
      <c r="N22" s="157">
        <v>0</v>
      </c>
      <c r="O22" s="157">
        <v>0</v>
      </c>
      <c r="P22" s="157">
        <v>0</v>
      </c>
      <c r="Q22" s="157">
        <v>301</v>
      </c>
      <c r="R22" s="157">
        <v>744</v>
      </c>
      <c r="S22" s="157">
        <v>965</v>
      </c>
      <c r="T22" s="158">
        <v>965</v>
      </c>
      <c r="U22" s="120" t="s">
        <v>774</v>
      </c>
    </row>
    <row r="24" spans="2:21" ht="24" customHeight="1" x14ac:dyDescent="0.2">
      <c r="B24" s="527" t="s">
        <v>775</v>
      </c>
      <c r="C24" s="510"/>
      <c r="D24" s="510"/>
      <c r="E24" s="510"/>
      <c r="F24" s="510"/>
      <c r="G24" s="510"/>
      <c r="H24" s="510"/>
      <c r="I24" s="510"/>
      <c r="J24" s="510"/>
      <c r="K24" s="510"/>
      <c r="L24" s="510"/>
      <c r="M24" s="510"/>
      <c r="N24" s="510"/>
      <c r="O24" s="510"/>
      <c r="P24" s="510"/>
      <c r="Q24" s="510"/>
      <c r="R24" s="510"/>
      <c r="S24" s="510"/>
      <c r="T24" s="510"/>
      <c r="U24" s="464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Q2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40" customWidth="1"/>
    <col min="4" max="15" width="10" customWidth="1"/>
    <col min="16" max="16" width="14" customWidth="1"/>
    <col min="17" max="17" width="30" customWidth="1"/>
  </cols>
  <sheetData>
    <row r="2" spans="2:17" ht="28" customHeight="1" x14ac:dyDescent="0.2">
      <c r="B2" s="525" t="s">
        <v>776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</row>
    <row r="3" spans="2:17" x14ac:dyDescent="0.2">
      <c r="B3" s="528" t="s">
        <v>777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</row>
    <row r="5" spans="2:17" ht="22" customHeight="1" x14ac:dyDescent="0.2">
      <c r="B5" s="125" t="s">
        <v>61</v>
      </c>
      <c r="C5" s="140" t="s">
        <v>434</v>
      </c>
      <c r="D5" s="125" t="s">
        <v>571</v>
      </c>
      <c r="E5" s="125" t="s">
        <v>572</v>
      </c>
      <c r="F5" s="125" t="s">
        <v>573</v>
      </c>
      <c r="G5" s="125" t="s">
        <v>574</v>
      </c>
      <c r="H5" s="125" t="s">
        <v>575</v>
      </c>
      <c r="I5" s="125" t="s">
        <v>576</v>
      </c>
      <c r="J5" s="125" t="s">
        <v>577</v>
      </c>
      <c r="K5" s="125" t="s">
        <v>578</v>
      </c>
      <c r="L5" s="125" t="s">
        <v>579</v>
      </c>
      <c r="M5" s="125" t="s">
        <v>580</v>
      </c>
      <c r="N5" s="125" t="s">
        <v>581</v>
      </c>
      <c r="O5" s="125" t="s">
        <v>582</v>
      </c>
      <c r="P5" s="126" t="s">
        <v>400</v>
      </c>
      <c r="Q5" s="126" t="s">
        <v>778</v>
      </c>
    </row>
    <row r="6" spans="2:17" ht="20" customHeight="1" x14ac:dyDescent="0.2">
      <c r="B6" s="521" t="s">
        <v>779</v>
      </c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66"/>
    </row>
    <row r="7" spans="2:17" ht="22" customHeight="1" x14ac:dyDescent="0.2">
      <c r="B7" s="155" t="s">
        <v>780</v>
      </c>
      <c r="C7" s="156" t="s">
        <v>781</v>
      </c>
      <c r="D7" s="167">
        <v>250</v>
      </c>
      <c r="E7" s="157">
        <v>0</v>
      </c>
      <c r="F7" s="157">
        <v>0</v>
      </c>
      <c r="G7" s="157">
        <v>0</v>
      </c>
      <c r="H7" s="157">
        <v>0</v>
      </c>
      <c r="I7" s="157">
        <v>0</v>
      </c>
      <c r="J7" s="157">
        <v>0</v>
      </c>
      <c r="K7" s="157">
        <v>0</v>
      </c>
      <c r="L7" s="157">
        <v>0</v>
      </c>
      <c r="M7" s="157">
        <v>0</v>
      </c>
      <c r="N7" s="157">
        <v>0</v>
      </c>
      <c r="O7" s="157">
        <v>0</v>
      </c>
      <c r="P7" s="144">
        <v>250</v>
      </c>
      <c r="Q7" s="120" t="s">
        <v>782</v>
      </c>
    </row>
    <row r="8" spans="2:17" ht="22" customHeight="1" x14ac:dyDescent="0.2">
      <c r="B8" s="155" t="s">
        <v>783</v>
      </c>
      <c r="C8" s="156" t="s">
        <v>784</v>
      </c>
      <c r="D8" s="157">
        <v>0</v>
      </c>
      <c r="E8" s="157">
        <v>0</v>
      </c>
      <c r="F8" s="157">
        <v>0</v>
      </c>
      <c r="G8" s="167">
        <v>350</v>
      </c>
      <c r="H8" s="157">
        <v>0</v>
      </c>
      <c r="I8" s="157">
        <v>0</v>
      </c>
      <c r="J8" s="157">
        <v>0</v>
      </c>
      <c r="K8" s="157">
        <v>0</v>
      </c>
      <c r="L8" s="157">
        <v>0</v>
      </c>
      <c r="M8" s="157">
        <v>0</v>
      </c>
      <c r="N8" s="157">
        <v>0</v>
      </c>
      <c r="O8" s="157">
        <v>0</v>
      </c>
      <c r="P8" s="144">
        <v>350</v>
      </c>
      <c r="Q8" s="120" t="s">
        <v>785</v>
      </c>
    </row>
    <row r="9" spans="2:17" ht="22" customHeight="1" x14ac:dyDescent="0.2">
      <c r="B9" s="155" t="s">
        <v>786</v>
      </c>
      <c r="C9" s="156" t="s">
        <v>787</v>
      </c>
      <c r="D9" s="157">
        <v>0</v>
      </c>
      <c r="E9" s="157">
        <v>0</v>
      </c>
      <c r="F9" s="157">
        <v>0</v>
      </c>
      <c r="G9" s="157">
        <v>0</v>
      </c>
      <c r="H9" s="157">
        <v>0</v>
      </c>
      <c r="I9" s="157">
        <v>0</v>
      </c>
      <c r="J9" s="167">
        <v>350</v>
      </c>
      <c r="K9" s="157">
        <v>0</v>
      </c>
      <c r="L9" s="157">
        <v>0</v>
      </c>
      <c r="M9" s="157">
        <v>0</v>
      </c>
      <c r="N9" s="157">
        <v>0</v>
      </c>
      <c r="O9" s="157">
        <v>0</v>
      </c>
      <c r="P9" s="144">
        <v>350</v>
      </c>
      <c r="Q9" s="120" t="s">
        <v>788</v>
      </c>
    </row>
    <row r="10" spans="2:17" ht="22" customHeight="1" x14ac:dyDescent="0.2">
      <c r="B10" s="155" t="s">
        <v>789</v>
      </c>
      <c r="C10" s="156" t="s">
        <v>790</v>
      </c>
      <c r="D10" s="157">
        <v>0</v>
      </c>
      <c r="E10" s="157">
        <v>0</v>
      </c>
      <c r="F10" s="157">
        <v>0</v>
      </c>
      <c r="G10" s="157">
        <v>0</v>
      </c>
      <c r="H10" s="157">
        <v>0</v>
      </c>
      <c r="I10" s="157">
        <v>0</v>
      </c>
      <c r="J10" s="157">
        <v>0</v>
      </c>
      <c r="K10" s="157">
        <v>0</v>
      </c>
      <c r="L10" s="157">
        <v>0</v>
      </c>
      <c r="M10" s="167">
        <v>300</v>
      </c>
      <c r="N10" s="157">
        <v>0</v>
      </c>
      <c r="O10" s="157">
        <v>0</v>
      </c>
      <c r="P10" s="144">
        <v>300</v>
      </c>
      <c r="Q10" s="120" t="s">
        <v>791</v>
      </c>
    </row>
    <row r="11" spans="2:17" ht="24" customHeight="1" x14ac:dyDescent="0.2">
      <c r="B11" s="165" t="s">
        <v>792</v>
      </c>
      <c r="C11" s="166" t="s">
        <v>793</v>
      </c>
      <c r="D11" s="148">
        <v>250</v>
      </c>
      <c r="E11" s="148">
        <v>0</v>
      </c>
      <c r="F11" s="148">
        <v>0</v>
      </c>
      <c r="G11" s="148">
        <v>350</v>
      </c>
      <c r="H11" s="148">
        <v>0</v>
      </c>
      <c r="I11" s="148">
        <v>0</v>
      </c>
      <c r="J11" s="148">
        <v>350</v>
      </c>
      <c r="K11" s="148">
        <v>0</v>
      </c>
      <c r="L11" s="148">
        <v>0</v>
      </c>
      <c r="M11" s="148">
        <v>300</v>
      </c>
      <c r="N11" s="148">
        <v>0</v>
      </c>
      <c r="O11" s="148">
        <v>0</v>
      </c>
      <c r="P11" s="148">
        <v>1250</v>
      </c>
      <c r="Q11" s="166" t="s">
        <v>794</v>
      </c>
    </row>
    <row r="13" spans="2:17" ht="20" customHeight="1" x14ac:dyDescent="0.2">
      <c r="B13" s="521" t="s">
        <v>795</v>
      </c>
      <c r="C13" s="473"/>
      <c r="D13" s="473"/>
      <c r="E13" s="473"/>
      <c r="F13" s="473"/>
      <c r="G13" s="473"/>
      <c r="H13" s="473"/>
      <c r="I13" s="473"/>
      <c r="J13" s="473"/>
      <c r="K13" s="473"/>
      <c r="L13" s="473"/>
      <c r="M13" s="473"/>
      <c r="N13" s="473"/>
      <c r="O13" s="473"/>
      <c r="P13" s="473"/>
      <c r="Q13" s="466"/>
    </row>
    <row r="14" spans="2:17" ht="18" customHeight="1" x14ac:dyDescent="0.2">
      <c r="B14" s="155" t="s">
        <v>604</v>
      </c>
      <c r="C14" s="162" t="s">
        <v>796</v>
      </c>
      <c r="D14" s="168">
        <v>250</v>
      </c>
      <c r="E14" s="168">
        <v>250</v>
      </c>
      <c r="F14" s="168">
        <v>250</v>
      </c>
      <c r="G14" s="168">
        <v>600</v>
      </c>
      <c r="H14" s="168">
        <v>600</v>
      </c>
      <c r="I14" s="168">
        <v>600</v>
      </c>
      <c r="J14" s="168">
        <v>950</v>
      </c>
      <c r="K14" s="168">
        <v>950</v>
      </c>
      <c r="L14" s="168">
        <v>950</v>
      </c>
      <c r="M14" s="168">
        <v>1250</v>
      </c>
      <c r="N14" s="168">
        <v>1250</v>
      </c>
      <c r="O14" s="168">
        <v>1250</v>
      </c>
      <c r="P14" s="148">
        <v>1250</v>
      </c>
      <c r="Q14" s="120" t="s">
        <v>797</v>
      </c>
    </row>
    <row r="15" spans="2:17" ht="18" customHeight="1" x14ac:dyDescent="0.2">
      <c r="B15" s="155" t="s">
        <v>606</v>
      </c>
      <c r="C15" s="162" t="s">
        <v>798</v>
      </c>
      <c r="D15" s="169">
        <v>20</v>
      </c>
      <c r="E15" s="169">
        <v>20</v>
      </c>
      <c r="F15" s="169">
        <v>20</v>
      </c>
      <c r="G15" s="169">
        <v>48</v>
      </c>
      <c r="H15" s="169">
        <v>48</v>
      </c>
      <c r="I15" s="169">
        <v>48</v>
      </c>
      <c r="J15" s="169">
        <v>76</v>
      </c>
      <c r="K15" s="169">
        <v>76</v>
      </c>
      <c r="L15" s="169">
        <v>76</v>
      </c>
      <c r="M15" s="169">
        <v>100</v>
      </c>
      <c r="N15" s="169">
        <v>100</v>
      </c>
      <c r="O15" s="169">
        <v>100</v>
      </c>
      <c r="P15" s="170">
        <v>100</v>
      </c>
      <c r="Q15" s="120" t="s">
        <v>799</v>
      </c>
    </row>
    <row r="17" spans="2:17" ht="20" customHeight="1" x14ac:dyDescent="0.2">
      <c r="B17" s="521" t="s">
        <v>800</v>
      </c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473"/>
      <c r="N17" s="473"/>
      <c r="O17" s="473"/>
      <c r="P17" s="473"/>
      <c r="Q17" s="466"/>
    </row>
    <row r="18" spans="2:17" ht="22" customHeight="1" x14ac:dyDescent="0.2">
      <c r="B18" s="155" t="s">
        <v>612</v>
      </c>
      <c r="C18" s="162" t="s">
        <v>801</v>
      </c>
      <c r="D18" s="514" t="s">
        <v>802</v>
      </c>
      <c r="E18" s="473"/>
      <c r="F18" s="473"/>
      <c r="G18" s="473"/>
      <c r="H18" s="473"/>
      <c r="I18" s="473"/>
      <c r="J18" s="473"/>
      <c r="K18" s="473"/>
      <c r="L18" s="473"/>
      <c r="M18" s="473"/>
      <c r="N18" s="473"/>
      <c r="O18" s="473"/>
      <c r="P18" s="473"/>
      <c r="Q18" s="466"/>
    </row>
    <row r="19" spans="2:17" ht="22" customHeight="1" x14ac:dyDescent="0.2">
      <c r="B19" s="155" t="s">
        <v>614</v>
      </c>
      <c r="C19" s="162" t="s">
        <v>803</v>
      </c>
      <c r="D19" s="514" t="s">
        <v>804</v>
      </c>
      <c r="E19" s="473"/>
      <c r="F19" s="473"/>
      <c r="G19" s="473"/>
      <c r="H19" s="473"/>
      <c r="I19" s="473"/>
      <c r="J19" s="473"/>
      <c r="K19" s="473"/>
      <c r="L19" s="473"/>
      <c r="M19" s="473"/>
      <c r="N19" s="473"/>
      <c r="O19" s="473"/>
      <c r="P19" s="473"/>
      <c r="Q19" s="466"/>
    </row>
    <row r="20" spans="2:17" ht="22" customHeight="1" x14ac:dyDescent="0.2">
      <c r="B20" s="155" t="s">
        <v>616</v>
      </c>
      <c r="C20" s="162" t="s">
        <v>805</v>
      </c>
      <c r="D20" s="514" t="s">
        <v>806</v>
      </c>
      <c r="E20" s="473"/>
      <c r="F20" s="473"/>
      <c r="G20" s="473"/>
      <c r="H20" s="473"/>
      <c r="I20" s="473"/>
      <c r="J20" s="473"/>
      <c r="K20" s="473"/>
      <c r="L20" s="473"/>
      <c r="M20" s="473"/>
      <c r="N20" s="473"/>
      <c r="O20" s="473"/>
      <c r="P20" s="473"/>
      <c r="Q20" s="466"/>
    </row>
    <row r="21" spans="2:17" ht="22" customHeight="1" x14ac:dyDescent="0.2">
      <c r="B21" s="155" t="s">
        <v>618</v>
      </c>
      <c r="C21" s="162" t="s">
        <v>807</v>
      </c>
      <c r="D21" s="514" t="s">
        <v>808</v>
      </c>
      <c r="E21" s="473"/>
      <c r="F21" s="473"/>
      <c r="G21" s="473"/>
      <c r="H21" s="473"/>
      <c r="I21" s="473"/>
      <c r="J21" s="473"/>
      <c r="K21" s="473"/>
      <c r="L21" s="473"/>
      <c r="M21" s="473"/>
      <c r="N21" s="473"/>
      <c r="O21" s="473"/>
      <c r="P21" s="473"/>
      <c r="Q21" s="466"/>
    </row>
    <row r="22" spans="2:17" ht="22" customHeight="1" x14ac:dyDescent="0.2">
      <c r="B22" s="155" t="s">
        <v>620</v>
      </c>
      <c r="C22" s="162" t="s">
        <v>809</v>
      </c>
      <c r="D22" s="514" t="s">
        <v>810</v>
      </c>
      <c r="E22" s="473"/>
      <c r="F22" s="473"/>
      <c r="G22" s="473"/>
      <c r="H22" s="473"/>
      <c r="I22" s="473"/>
      <c r="J22" s="473"/>
      <c r="K22" s="473"/>
      <c r="L22" s="473"/>
      <c r="M22" s="473"/>
      <c r="N22" s="473"/>
      <c r="O22" s="473"/>
      <c r="P22" s="473"/>
      <c r="Q22" s="466"/>
    </row>
    <row r="23" spans="2:17" ht="22" customHeight="1" x14ac:dyDescent="0.2">
      <c r="B23" s="155" t="s">
        <v>622</v>
      </c>
      <c r="C23" s="162" t="s">
        <v>811</v>
      </c>
      <c r="D23" s="514" t="s">
        <v>812</v>
      </c>
      <c r="E23" s="473"/>
      <c r="F23" s="473"/>
      <c r="G23" s="473"/>
      <c r="H23" s="473"/>
      <c r="I23" s="473"/>
      <c r="J23" s="473"/>
      <c r="K23" s="473"/>
      <c r="L23" s="473"/>
      <c r="M23" s="473"/>
      <c r="N23" s="473"/>
      <c r="O23" s="473"/>
      <c r="P23" s="473"/>
      <c r="Q23" s="466"/>
    </row>
    <row r="24" spans="2:17" ht="22" customHeight="1" x14ac:dyDescent="0.2">
      <c r="B24" s="155" t="s">
        <v>813</v>
      </c>
      <c r="C24" s="162" t="s">
        <v>814</v>
      </c>
      <c r="D24" s="514" t="s">
        <v>815</v>
      </c>
      <c r="E24" s="473"/>
      <c r="F24" s="473"/>
      <c r="G24" s="473"/>
      <c r="H24" s="473"/>
      <c r="I24" s="473"/>
      <c r="J24" s="473"/>
      <c r="K24" s="473"/>
      <c r="L24" s="473"/>
      <c r="M24" s="473"/>
      <c r="N24" s="473"/>
      <c r="O24" s="473"/>
      <c r="P24" s="473"/>
      <c r="Q24" s="466"/>
    </row>
    <row r="26" spans="2:17" ht="22" customHeight="1" x14ac:dyDescent="0.2">
      <c r="B26" s="527" t="s">
        <v>816</v>
      </c>
      <c r="C26" s="510"/>
      <c r="D26" s="510"/>
      <c r="E26" s="510"/>
      <c r="F26" s="510"/>
      <c r="G26" s="510"/>
      <c r="H26" s="510"/>
      <c r="I26" s="510"/>
      <c r="J26" s="510"/>
      <c r="K26" s="510"/>
      <c r="L26" s="510"/>
      <c r="M26" s="510"/>
      <c r="N26" s="510"/>
      <c r="O26" s="510"/>
      <c r="P26" s="510"/>
      <c r="Q26" s="464"/>
    </row>
  </sheetData>
  <mergeCells count="13">
    <mergeCell ref="B26:Q26"/>
    <mergeCell ref="B2:Q2"/>
    <mergeCell ref="B3:Q3"/>
    <mergeCell ref="B17:Q17"/>
    <mergeCell ref="D24:Q24"/>
    <mergeCell ref="D19:Q19"/>
    <mergeCell ref="B13:Q13"/>
    <mergeCell ref="B6:Q6"/>
    <mergeCell ref="D23:Q23"/>
    <mergeCell ref="D18:Q18"/>
    <mergeCell ref="D22:Q22"/>
    <mergeCell ref="D21:Q21"/>
    <mergeCell ref="D20:Q20"/>
  </mergeCells>
  <printOptions horizontalCentered="1"/>
  <pageMargins left="0.59" right="0.59" top="0.59" bottom="0.59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I19"/>
  <sheetViews>
    <sheetView workbookViewId="0"/>
  </sheetViews>
  <sheetFormatPr baseColWidth="10" defaultColWidth="8.83203125" defaultRowHeight="15" x14ac:dyDescent="0.2"/>
  <cols>
    <col min="1" max="1" width="2" customWidth="1"/>
    <col min="2" max="2" width="6" customWidth="1"/>
    <col min="3" max="3" width="40" customWidth="1"/>
    <col min="4" max="8" width="14" customWidth="1"/>
    <col min="9" max="9" width="30" customWidth="1"/>
  </cols>
  <sheetData>
    <row r="2" spans="2:9" ht="28" customHeight="1" x14ac:dyDescent="0.2">
      <c r="B2" s="525" t="s">
        <v>817</v>
      </c>
      <c r="C2" s="468"/>
      <c r="D2" s="468"/>
      <c r="E2" s="468"/>
      <c r="F2" s="468"/>
      <c r="G2" s="468"/>
      <c r="H2" s="468"/>
      <c r="I2" s="468"/>
    </row>
    <row r="3" spans="2:9" x14ac:dyDescent="0.2">
      <c r="B3" s="528" t="s">
        <v>818</v>
      </c>
      <c r="C3" s="468"/>
      <c r="D3" s="468"/>
      <c r="E3" s="468"/>
      <c r="F3" s="468"/>
      <c r="G3" s="468"/>
      <c r="H3" s="468"/>
      <c r="I3" s="468"/>
    </row>
    <row r="5" spans="2:9" ht="22" customHeight="1" x14ac:dyDescent="0.2">
      <c r="B5" s="125" t="s">
        <v>61</v>
      </c>
      <c r="C5" s="125" t="s">
        <v>819</v>
      </c>
      <c r="D5" s="125" t="s">
        <v>820</v>
      </c>
      <c r="E5" s="125" t="s">
        <v>821</v>
      </c>
      <c r="F5" s="125" t="s">
        <v>822</v>
      </c>
      <c r="G5" s="125" t="s">
        <v>823</v>
      </c>
      <c r="H5" s="125" t="s">
        <v>824</v>
      </c>
      <c r="I5" s="125" t="s">
        <v>825</v>
      </c>
    </row>
    <row r="6" spans="2:9" ht="24" customHeight="1" x14ac:dyDescent="0.2">
      <c r="B6" s="155" t="s">
        <v>826</v>
      </c>
      <c r="C6" s="156" t="s">
        <v>827</v>
      </c>
      <c r="D6" s="169">
        <v>5</v>
      </c>
      <c r="E6" s="167">
        <v>62.5</v>
      </c>
      <c r="F6" s="157">
        <v>56.2</v>
      </c>
      <c r="G6" s="157">
        <v>68.8</v>
      </c>
      <c r="H6" s="171" t="s">
        <v>828</v>
      </c>
      <c r="I6" s="120" t="s">
        <v>829</v>
      </c>
    </row>
    <row r="7" spans="2:9" ht="24" customHeight="1" x14ac:dyDescent="0.2">
      <c r="B7" s="155" t="s">
        <v>830</v>
      </c>
      <c r="C7" s="156" t="s">
        <v>831</v>
      </c>
      <c r="D7" s="169">
        <v>65</v>
      </c>
      <c r="E7" s="167">
        <v>812.5</v>
      </c>
      <c r="F7" s="157">
        <v>731.2</v>
      </c>
      <c r="G7" s="157">
        <v>893.8</v>
      </c>
      <c r="H7" s="171" t="s">
        <v>828</v>
      </c>
      <c r="I7" s="120" t="s">
        <v>832</v>
      </c>
    </row>
    <row r="8" spans="2:9" ht="24" customHeight="1" x14ac:dyDescent="0.2">
      <c r="B8" s="155" t="s">
        <v>833</v>
      </c>
      <c r="C8" s="156" t="s">
        <v>834</v>
      </c>
      <c r="D8" s="169">
        <v>20</v>
      </c>
      <c r="E8" s="167">
        <v>250</v>
      </c>
      <c r="F8" s="157">
        <v>225</v>
      </c>
      <c r="G8" s="157">
        <v>275</v>
      </c>
      <c r="H8" s="171" t="s">
        <v>828</v>
      </c>
      <c r="I8" s="120" t="s">
        <v>835</v>
      </c>
    </row>
    <row r="9" spans="2:9" ht="24" customHeight="1" x14ac:dyDescent="0.2">
      <c r="B9" s="155" t="s">
        <v>836</v>
      </c>
      <c r="C9" s="156" t="s">
        <v>837</v>
      </c>
      <c r="D9" s="169">
        <v>10</v>
      </c>
      <c r="E9" s="167">
        <v>125</v>
      </c>
      <c r="F9" s="157">
        <v>112.5</v>
      </c>
      <c r="G9" s="157">
        <v>137.5</v>
      </c>
      <c r="H9" s="171" t="s">
        <v>838</v>
      </c>
      <c r="I9" s="120" t="s">
        <v>839</v>
      </c>
    </row>
    <row r="10" spans="2:9" ht="26" customHeight="1" x14ac:dyDescent="0.2">
      <c r="B10" s="165" t="s">
        <v>792</v>
      </c>
      <c r="C10" s="166" t="s">
        <v>840</v>
      </c>
      <c r="D10" s="170">
        <v>100</v>
      </c>
      <c r="E10" s="148">
        <v>1250</v>
      </c>
      <c r="F10" s="148">
        <v>1125</v>
      </c>
      <c r="G10" s="148">
        <v>1375</v>
      </c>
      <c r="H10" s="165" t="s">
        <v>841</v>
      </c>
      <c r="I10" s="166" t="s">
        <v>842</v>
      </c>
    </row>
    <row r="12" spans="2:9" ht="20" customHeight="1" x14ac:dyDescent="0.2">
      <c r="B12" s="521" t="s">
        <v>843</v>
      </c>
      <c r="C12" s="473"/>
      <c r="D12" s="473"/>
      <c r="E12" s="473"/>
      <c r="F12" s="473"/>
      <c r="G12" s="473"/>
      <c r="H12" s="473"/>
      <c r="I12" s="466"/>
    </row>
    <row r="13" spans="2:9" ht="22" customHeight="1" x14ac:dyDescent="0.2">
      <c r="B13" s="155" t="s">
        <v>844</v>
      </c>
      <c r="C13" s="532" t="s">
        <v>845</v>
      </c>
      <c r="D13" s="466"/>
      <c r="E13" s="530">
        <v>1250</v>
      </c>
      <c r="F13" s="473"/>
      <c r="G13" s="466"/>
      <c r="H13" s="514" t="s">
        <v>846</v>
      </c>
      <c r="I13" s="466"/>
    </row>
    <row r="14" spans="2:9" ht="22" customHeight="1" x14ac:dyDescent="0.2">
      <c r="B14" s="155" t="s">
        <v>847</v>
      </c>
      <c r="C14" s="532" t="s">
        <v>848</v>
      </c>
      <c r="D14" s="466"/>
      <c r="E14" s="530">
        <v>600</v>
      </c>
      <c r="F14" s="473"/>
      <c r="G14" s="466"/>
      <c r="H14" s="514" t="s">
        <v>849</v>
      </c>
      <c r="I14" s="466"/>
    </row>
    <row r="15" spans="2:9" ht="22" customHeight="1" x14ac:dyDescent="0.2">
      <c r="B15" s="165" t="s">
        <v>272</v>
      </c>
      <c r="C15" s="529" t="s">
        <v>850</v>
      </c>
      <c r="D15" s="466"/>
      <c r="E15" s="531">
        <v>1850</v>
      </c>
      <c r="F15" s="473"/>
      <c r="G15" s="466"/>
      <c r="H15" s="516" t="s">
        <v>851</v>
      </c>
      <c r="I15" s="466"/>
    </row>
    <row r="16" spans="2:9" ht="22" customHeight="1" x14ac:dyDescent="0.2">
      <c r="B16" s="155" t="s">
        <v>852</v>
      </c>
      <c r="C16" s="532" t="s">
        <v>853</v>
      </c>
      <c r="D16" s="466"/>
      <c r="E16" s="530">
        <v>277.5</v>
      </c>
      <c r="F16" s="473"/>
      <c r="G16" s="466"/>
      <c r="H16" s="514" t="s">
        <v>854</v>
      </c>
      <c r="I16" s="466"/>
    </row>
    <row r="17" spans="2:9" ht="22" customHeight="1" x14ac:dyDescent="0.2">
      <c r="B17" s="165" t="s">
        <v>272</v>
      </c>
      <c r="C17" s="529" t="s">
        <v>855</v>
      </c>
      <c r="D17" s="466"/>
      <c r="E17" s="531">
        <v>2127.5</v>
      </c>
      <c r="F17" s="473"/>
      <c r="G17" s="466"/>
      <c r="H17" s="516" t="e">
        <f>COGS в P&amp;L</f>
        <v>#NAME?</v>
      </c>
      <c r="I17" s="466"/>
    </row>
    <row r="19" spans="2:9" ht="22" customHeight="1" x14ac:dyDescent="0.2">
      <c r="B19" s="527" t="s">
        <v>856</v>
      </c>
      <c r="C19" s="510"/>
      <c r="D19" s="510"/>
      <c r="E19" s="510"/>
      <c r="F19" s="510"/>
      <c r="G19" s="510"/>
      <c r="H19" s="510"/>
      <c r="I19" s="464"/>
    </row>
  </sheetData>
  <mergeCells count="19">
    <mergeCell ref="B2:I2"/>
    <mergeCell ref="H17:I17"/>
    <mergeCell ref="E16:G16"/>
    <mergeCell ref="H16:I16"/>
    <mergeCell ref="E13:G13"/>
    <mergeCell ref="C15:D15"/>
    <mergeCell ref="B3:I3"/>
    <mergeCell ref="C14:D14"/>
    <mergeCell ref="E15:G15"/>
    <mergeCell ref="B12:I12"/>
    <mergeCell ref="B19:I19"/>
    <mergeCell ref="C17:D17"/>
    <mergeCell ref="H13:I13"/>
    <mergeCell ref="E14:G14"/>
    <mergeCell ref="H15:I15"/>
    <mergeCell ref="E17:G17"/>
    <mergeCell ref="C13:D13"/>
    <mergeCell ref="H14:I14"/>
    <mergeCell ref="C16:D16"/>
  </mergeCells>
  <printOptions horizontalCentered="1"/>
  <pageMargins left="0.59" right="0.59" top="0.59" bottom="0.59" header="0.3" footer="0.3"/>
  <pageSetup paperSize="9"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2:R20"/>
  <sheetViews>
    <sheetView workbookViewId="0">
      <pane xSplit="4" ySplit="5" topLeftCell="E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4" customWidth="1"/>
    <col min="4" max="16" width="8" customWidth="1"/>
    <col min="17" max="17" width="11" customWidth="1"/>
    <col min="18" max="18" width="10" customWidth="1"/>
  </cols>
  <sheetData>
    <row r="2" spans="2:18" ht="28" customHeight="1" x14ac:dyDescent="0.2">
      <c r="B2" s="525" t="s">
        <v>857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</row>
    <row r="3" spans="2:18" x14ac:dyDescent="0.2">
      <c r="B3" s="528" t="s">
        <v>858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</row>
    <row r="5" spans="2:18" ht="22" customHeight="1" x14ac:dyDescent="0.2">
      <c r="B5" s="125" t="s">
        <v>61</v>
      </c>
      <c r="C5" s="140" t="s">
        <v>859</v>
      </c>
      <c r="D5" s="125" t="s">
        <v>571</v>
      </c>
      <c r="E5" s="125" t="s">
        <v>572</v>
      </c>
      <c r="F5" s="125" t="s">
        <v>573</v>
      </c>
      <c r="G5" s="125" t="s">
        <v>574</v>
      </c>
      <c r="H5" s="125" t="s">
        <v>575</v>
      </c>
      <c r="I5" s="125" t="s">
        <v>576</v>
      </c>
      <c r="J5" s="125" t="s">
        <v>577</v>
      </c>
      <c r="K5" s="125" t="s">
        <v>578</v>
      </c>
      <c r="L5" s="125" t="s">
        <v>579</v>
      </c>
      <c r="M5" s="125" t="s">
        <v>580</v>
      </c>
      <c r="N5" s="125" t="s">
        <v>581</v>
      </c>
      <c r="O5" s="125" t="s">
        <v>582</v>
      </c>
      <c r="P5" s="126" t="s">
        <v>860</v>
      </c>
      <c r="Q5" s="126" t="s">
        <v>505</v>
      </c>
      <c r="R5" s="126" t="s">
        <v>376</v>
      </c>
    </row>
    <row r="6" spans="2:18" ht="20" customHeight="1" x14ac:dyDescent="0.2">
      <c r="B6" s="161" t="s">
        <v>861</v>
      </c>
      <c r="C6" s="156" t="s">
        <v>513</v>
      </c>
      <c r="D6" s="152">
        <v>7.5</v>
      </c>
      <c r="E6" s="152">
        <v>67.5</v>
      </c>
      <c r="F6" s="152">
        <v>52.5</v>
      </c>
      <c r="G6" s="152">
        <v>22.5</v>
      </c>
      <c r="H6" s="157"/>
      <c r="I6" s="157"/>
      <c r="J6" s="157"/>
      <c r="K6" s="157"/>
      <c r="L6" s="157"/>
      <c r="M6" s="157"/>
      <c r="N6" s="157"/>
      <c r="O6" s="157"/>
      <c r="P6" s="147">
        <v>150</v>
      </c>
      <c r="Q6" s="155" t="s">
        <v>574</v>
      </c>
      <c r="R6" s="172" t="s">
        <v>516</v>
      </c>
    </row>
    <row r="7" spans="2:18" ht="20" customHeight="1" x14ac:dyDescent="0.2">
      <c r="B7" s="161" t="s">
        <v>862</v>
      </c>
      <c r="C7" s="156" t="s">
        <v>517</v>
      </c>
      <c r="D7" s="173"/>
      <c r="E7" s="152">
        <v>5</v>
      </c>
      <c r="F7" s="152">
        <v>45</v>
      </c>
      <c r="G7" s="152">
        <v>35</v>
      </c>
      <c r="H7" s="152">
        <v>15</v>
      </c>
      <c r="I7" s="157"/>
      <c r="J7" s="157"/>
      <c r="K7" s="157"/>
      <c r="L7" s="157"/>
      <c r="M7" s="157"/>
      <c r="N7" s="157"/>
      <c r="O7" s="157"/>
      <c r="P7" s="147">
        <v>100</v>
      </c>
      <c r="Q7" s="155" t="s">
        <v>575</v>
      </c>
      <c r="R7" s="172" t="s">
        <v>520</v>
      </c>
    </row>
    <row r="8" spans="2:18" ht="20" customHeight="1" x14ac:dyDescent="0.2">
      <c r="B8" s="161" t="s">
        <v>863</v>
      </c>
      <c r="C8" s="156" t="s">
        <v>521</v>
      </c>
      <c r="D8" s="173"/>
      <c r="E8" s="157"/>
      <c r="F8" s="152">
        <v>11</v>
      </c>
      <c r="G8" s="152">
        <v>99</v>
      </c>
      <c r="H8" s="152">
        <v>77</v>
      </c>
      <c r="I8" s="152">
        <v>33</v>
      </c>
      <c r="J8" s="157"/>
      <c r="K8" s="157"/>
      <c r="L8" s="157"/>
      <c r="M8" s="157"/>
      <c r="N8" s="157"/>
      <c r="O8" s="157"/>
      <c r="P8" s="147">
        <v>220</v>
      </c>
      <c r="Q8" s="155" t="s">
        <v>576</v>
      </c>
      <c r="R8" s="172" t="s">
        <v>524</v>
      </c>
    </row>
    <row r="9" spans="2:18" ht="20" customHeight="1" x14ac:dyDescent="0.2">
      <c r="B9" s="161" t="s">
        <v>864</v>
      </c>
      <c r="C9" s="156" t="s">
        <v>525</v>
      </c>
      <c r="D9" s="173"/>
      <c r="E9" s="157"/>
      <c r="F9" s="152">
        <v>4.5</v>
      </c>
      <c r="G9" s="152">
        <v>40.5</v>
      </c>
      <c r="H9" s="152">
        <v>31.5</v>
      </c>
      <c r="I9" s="152">
        <v>13.5</v>
      </c>
      <c r="J9" s="157"/>
      <c r="K9" s="157"/>
      <c r="L9" s="157"/>
      <c r="M9" s="157"/>
      <c r="N9" s="157"/>
      <c r="O9" s="157"/>
      <c r="P9" s="147">
        <v>90</v>
      </c>
      <c r="Q9" s="155" t="s">
        <v>576</v>
      </c>
      <c r="R9" s="172" t="s">
        <v>520</v>
      </c>
    </row>
    <row r="10" spans="2:18" ht="20" customHeight="1" x14ac:dyDescent="0.2">
      <c r="B10" s="161" t="s">
        <v>865</v>
      </c>
      <c r="C10" s="156" t="s">
        <v>527</v>
      </c>
      <c r="D10" s="173"/>
      <c r="E10" s="157"/>
      <c r="F10" s="157"/>
      <c r="G10" s="152">
        <v>12.5</v>
      </c>
      <c r="H10" s="152">
        <v>112.5</v>
      </c>
      <c r="I10" s="152">
        <v>87.5</v>
      </c>
      <c r="J10" s="152">
        <v>37.5</v>
      </c>
      <c r="K10" s="157"/>
      <c r="L10" s="157"/>
      <c r="M10" s="157"/>
      <c r="N10" s="157"/>
      <c r="O10" s="157"/>
      <c r="P10" s="147">
        <v>250</v>
      </c>
      <c r="Q10" s="155" t="s">
        <v>577</v>
      </c>
      <c r="R10" s="172" t="s">
        <v>524</v>
      </c>
    </row>
    <row r="11" spans="2:18" ht="20" customHeight="1" x14ac:dyDescent="0.2">
      <c r="B11" s="161" t="s">
        <v>866</v>
      </c>
      <c r="C11" s="156" t="s">
        <v>530</v>
      </c>
      <c r="D11" s="173"/>
      <c r="E11" s="157"/>
      <c r="F11" s="157"/>
      <c r="G11" s="157"/>
      <c r="H11" s="152">
        <v>9</v>
      </c>
      <c r="I11" s="152">
        <v>81</v>
      </c>
      <c r="J11" s="152">
        <v>63</v>
      </c>
      <c r="K11" s="152">
        <v>27</v>
      </c>
      <c r="L11" s="157"/>
      <c r="M11" s="157"/>
      <c r="N11" s="157"/>
      <c r="O11" s="157"/>
      <c r="P11" s="147">
        <v>180</v>
      </c>
      <c r="Q11" s="155" t="s">
        <v>578</v>
      </c>
      <c r="R11" s="172" t="s">
        <v>516</v>
      </c>
    </row>
    <row r="12" spans="2:18" ht="20" customHeight="1" x14ac:dyDescent="0.2">
      <c r="B12" s="161" t="s">
        <v>867</v>
      </c>
      <c r="C12" s="156" t="s">
        <v>533</v>
      </c>
      <c r="D12" s="173"/>
      <c r="E12" s="157"/>
      <c r="F12" s="157"/>
      <c r="G12" s="157"/>
      <c r="H12" s="157"/>
      <c r="I12" s="152">
        <v>8.5</v>
      </c>
      <c r="J12" s="152">
        <v>76.5</v>
      </c>
      <c r="K12" s="152">
        <v>59.5</v>
      </c>
      <c r="L12" s="152">
        <v>25.5</v>
      </c>
      <c r="M12" s="157"/>
      <c r="N12" s="157"/>
      <c r="O12" s="157"/>
      <c r="P12" s="147">
        <v>170</v>
      </c>
      <c r="Q12" s="155" t="s">
        <v>579</v>
      </c>
      <c r="R12" s="172" t="s">
        <v>516</v>
      </c>
    </row>
    <row r="13" spans="2:18" ht="20" customHeight="1" x14ac:dyDescent="0.2">
      <c r="B13" s="161" t="s">
        <v>868</v>
      </c>
      <c r="C13" s="156" t="s">
        <v>536</v>
      </c>
      <c r="D13" s="173"/>
      <c r="E13" s="157"/>
      <c r="F13" s="157"/>
      <c r="G13" s="157"/>
      <c r="H13" s="157"/>
      <c r="I13" s="157"/>
      <c r="J13" s="152">
        <v>6.5</v>
      </c>
      <c r="K13" s="152">
        <v>58.5</v>
      </c>
      <c r="L13" s="152">
        <v>45.5</v>
      </c>
      <c r="M13" s="152">
        <v>19.5</v>
      </c>
      <c r="N13" s="157"/>
      <c r="O13" s="157"/>
      <c r="P13" s="147">
        <v>130</v>
      </c>
      <c r="Q13" s="155" t="s">
        <v>580</v>
      </c>
      <c r="R13" s="172" t="s">
        <v>539</v>
      </c>
    </row>
    <row r="14" spans="2:18" ht="20" customHeight="1" x14ac:dyDescent="0.2">
      <c r="B14" s="161" t="s">
        <v>869</v>
      </c>
      <c r="C14" s="156" t="s">
        <v>540</v>
      </c>
      <c r="D14" s="173"/>
      <c r="E14" s="157"/>
      <c r="F14" s="157"/>
      <c r="G14" s="157"/>
      <c r="H14" s="157"/>
      <c r="I14" s="157"/>
      <c r="J14" s="152">
        <v>4</v>
      </c>
      <c r="K14" s="152">
        <v>36</v>
      </c>
      <c r="L14" s="152">
        <v>28</v>
      </c>
      <c r="M14" s="152">
        <v>12</v>
      </c>
      <c r="N14" s="157"/>
      <c r="O14" s="157"/>
      <c r="P14" s="147">
        <v>80</v>
      </c>
      <c r="Q14" s="155" t="s">
        <v>580</v>
      </c>
      <c r="R14" s="172" t="s">
        <v>520</v>
      </c>
    </row>
    <row r="15" spans="2:18" ht="20" customHeight="1" x14ac:dyDescent="0.2">
      <c r="B15" s="161" t="s">
        <v>870</v>
      </c>
      <c r="C15" s="156" t="s">
        <v>542</v>
      </c>
      <c r="D15" s="173"/>
      <c r="E15" s="157"/>
      <c r="F15" s="157"/>
      <c r="G15" s="157"/>
      <c r="H15" s="157"/>
      <c r="I15" s="157"/>
      <c r="J15" s="157"/>
      <c r="K15" s="152">
        <v>9</v>
      </c>
      <c r="L15" s="152">
        <v>81</v>
      </c>
      <c r="M15" s="152">
        <v>63</v>
      </c>
      <c r="N15" s="152">
        <v>27</v>
      </c>
      <c r="O15" s="157"/>
      <c r="P15" s="147">
        <v>180</v>
      </c>
      <c r="Q15" s="155" t="s">
        <v>581</v>
      </c>
      <c r="R15" s="172" t="s">
        <v>516</v>
      </c>
    </row>
    <row r="16" spans="2:18" ht="20" customHeight="1" x14ac:dyDescent="0.2">
      <c r="B16" s="161" t="s">
        <v>871</v>
      </c>
      <c r="C16" s="156" t="s">
        <v>545</v>
      </c>
      <c r="D16" s="173"/>
      <c r="E16" s="157"/>
      <c r="F16" s="157"/>
      <c r="G16" s="157"/>
      <c r="H16" s="157"/>
      <c r="I16" s="157"/>
      <c r="J16" s="157"/>
      <c r="K16" s="152">
        <v>7</v>
      </c>
      <c r="L16" s="152">
        <v>63</v>
      </c>
      <c r="M16" s="152">
        <v>49</v>
      </c>
      <c r="N16" s="152">
        <v>21</v>
      </c>
      <c r="O16" s="157"/>
      <c r="P16" s="147">
        <v>140</v>
      </c>
      <c r="Q16" s="155" t="s">
        <v>581</v>
      </c>
      <c r="R16" s="172" t="s">
        <v>539</v>
      </c>
    </row>
    <row r="17" spans="2:18" ht="20" customHeight="1" x14ac:dyDescent="0.2">
      <c r="B17" s="161" t="s">
        <v>872</v>
      </c>
      <c r="C17" s="156" t="s">
        <v>547</v>
      </c>
      <c r="D17" s="173"/>
      <c r="E17" s="157"/>
      <c r="F17" s="157"/>
      <c r="G17" s="157"/>
      <c r="H17" s="157"/>
      <c r="I17" s="157"/>
      <c r="J17" s="157"/>
      <c r="K17" s="157"/>
      <c r="L17" s="152">
        <v>8</v>
      </c>
      <c r="M17" s="152">
        <v>72</v>
      </c>
      <c r="N17" s="152">
        <v>56</v>
      </c>
      <c r="O17" s="152">
        <v>24</v>
      </c>
      <c r="P17" s="147">
        <v>160</v>
      </c>
      <c r="Q17" s="155" t="s">
        <v>582</v>
      </c>
      <c r="R17" s="172" t="s">
        <v>516</v>
      </c>
    </row>
    <row r="18" spans="2:18" ht="24" customHeight="1" x14ac:dyDescent="0.2">
      <c r="B18" s="165" t="s">
        <v>792</v>
      </c>
      <c r="C18" s="166" t="s">
        <v>873</v>
      </c>
      <c r="D18" s="148">
        <v>7.5</v>
      </c>
      <c r="E18" s="148">
        <v>72.5</v>
      </c>
      <c r="F18" s="148">
        <v>113</v>
      </c>
      <c r="G18" s="148">
        <v>209.5</v>
      </c>
      <c r="H18" s="148">
        <v>245</v>
      </c>
      <c r="I18" s="148">
        <v>223.5</v>
      </c>
      <c r="J18" s="148">
        <v>187.5</v>
      </c>
      <c r="K18" s="148">
        <v>197</v>
      </c>
      <c r="L18" s="148">
        <v>251</v>
      </c>
      <c r="M18" s="148">
        <v>215.5</v>
      </c>
      <c r="N18" s="148">
        <v>104</v>
      </c>
      <c r="O18" s="148">
        <v>24</v>
      </c>
      <c r="P18" s="148">
        <v>1850</v>
      </c>
      <c r="Q18" s="165" t="s">
        <v>401</v>
      </c>
      <c r="R18" s="165" t="s">
        <v>874</v>
      </c>
    </row>
    <row r="20" spans="2:18" ht="24" customHeight="1" x14ac:dyDescent="0.2">
      <c r="B20" s="527" t="s">
        <v>875</v>
      </c>
      <c r="C20" s="510"/>
      <c r="D20" s="510"/>
      <c r="E20" s="510"/>
      <c r="F20" s="510"/>
      <c r="G20" s="510"/>
      <c r="H20" s="510"/>
      <c r="I20" s="510"/>
      <c r="J20" s="510"/>
      <c r="K20" s="510"/>
      <c r="L20" s="510"/>
      <c r="M20" s="510"/>
      <c r="N20" s="510"/>
      <c r="O20" s="510"/>
      <c r="P20" s="510"/>
      <c r="Q20" s="510"/>
      <c r="R20" s="464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F31"/>
  <sheetViews>
    <sheetView workbookViewId="0"/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5" width="28" customWidth="1"/>
    <col min="6" max="6" width="30" customWidth="1"/>
  </cols>
  <sheetData>
    <row r="2" spans="2:6" ht="28" customHeight="1" x14ac:dyDescent="0.2">
      <c r="B2" s="525" t="s">
        <v>876</v>
      </c>
      <c r="C2" s="468"/>
      <c r="D2" s="468"/>
      <c r="E2" s="468"/>
      <c r="F2" s="468"/>
    </row>
    <row r="3" spans="2:6" x14ac:dyDescent="0.2">
      <c r="B3" s="528" t="s">
        <v>877</v>
      </c>
      <c r="C3" s="468"/>
      <c r="D3" s="468"/>
      <c r="E3" s="468"/>
      <c r="F3" s="468"/>
    </row>
    <row r="5" spans="2:6" ht="22" customHeight="1" x14ac:dyDescent="0.2">
      <c r="B5" s="125" t="s">
        <v>61</v>
      </c>
      <c r="C5" s="140" t="s">
        <v>62</v>
      </c>
      <c r="D5" s="126" t="s">
        <v>878</v>
      </c>
      <c r="E5" s="126" t="s">
        <v>879</v>
      </c>
      <c r="F5" s="125" t="s">
        <v>448</v>
      </c>
    </row>
    <row r="6" spans="2:6" ht="20" customHeight="1" x14ac:dyDescent="0.2">
      <c r="B6" s="521" t="s">
        <v>880</v>
      </c>
      <c r="C6" s="473"/>
      <c r="D6" s="473"/>
      <c r="E6" s="473"/>
      <c r="F6" s="466"/>
    </row>
    <row r="7" spans="2:6" ht="22" customHeight="1" x14ac:dyDescent="0.2">
      <c r="B7" s="155" t="s">
        <v>585</v>
      </c>
      <c r="C7" s="162" t="s">
        <v>881</v>
      </c>
      <c r="D7" s="174" t="s">
        <v>8</v>
      </c>
      <c r="E7" s="175" t="s">
        <v>882</v>
      </c>
      <c r="F7" s="120" t="s">
        <v>883</v>
      </c>
    </row>
    <row r="8" spans="2:6" ht="22" customHeight="1" x14ac:dyDescent="0.2">
      <c r="B8" s="155" t="s">
        <v>587</v>
      </c>
      <c r="C8" s="162" t="s">
        <v>884</v>
      </c>
      <c r="D8" s="174" t="s">
        <v>885</v>
      </c>
      <c r="E8" s="175" t="s">
        <v>401</v>
      </c>
      <c r="F8" s="120" t="s">
        <v>886</v>
      </c>
    </row>
    <row r="9" spans="2:6" ht="22" customHeight="1" x14ac:dyDescent="0.2">
      <c r="B9" s="155" t="s">
        <v>589</v>
      </c>
      <c r="C9" s="162" t="s">
        <v>887</v>
      </c>
      <c r="D9" s="174" t="s">
        <v>401</v>
      </c>
      <c r="E9" s="175" t="s">
        <v>888</v>
      </c>
      <c r="F9" s="120" t="s">
        <v>889</v>
      </c>
    </row>
    <row r="10" spans="2:6" ht="22" customHeight="1" x14ac:dyDescent="0.2">
      <c r="B10" s="155" t="s">
        <v>591</v>
      </c>
      <c r="C10" s="162" t="s">
        <v>890</v>
      </c>
      <c r="D10" s="174" t="s">
        <v>891</v>
      </c>
      <c r="E10" s="175" t="s">
        <v>892</v>
      </c>
      <c r="F10" s="120" t="s">
        <v>893</v>
      </c>
    </row>
    <row r="11" spans="2:6" ht="22" customHeight="1" x14ac:dyDescent="0.2">
      <c r="B11" s="155" t="s">
        <v>593</v>
      </c>
      <c r="C11" s="162" t="s">
        <v>894</v>
      </c>
      <c r="D11" s="174" t="s">
        <v>895</v>
      </c>
      <c r="E11" s="175" t="s">
        <v>896</v>
      </c>
      <c r="F11" s="120" t="s">
        <v>897</v>
      </c>
    </row>
    <row r="12" spans="2:6" ht="22" customHeight="1" x14ac:dyDescent="0.2">
      <c r="B12" s="155" t="s">
        <v>595</v>
      </c>
      <c r="C12" s="162" t="s">
        <v>898</v>
      </c>
      <c r="D12" s="174" t="s">
        <v>899</v>
      </c>
      <c r="E12" s="175" t="s">
        <v>900</v>
      </c>
      <c r="F12" s="120" t="s">
        <v>901</v>
      </c>
    </row>
    <row r="13" spans="2:6" ht="20" customHeight="1" x14ac:dyDescent="0.2">
      <c r="B13" s="521" t="s">
        <v>902</v>
      </c>
      <c r="C13" s="473"/>
      <c r="D13" s="473"/>
      <c r="E13" s="473"/>
      <c r="F13" s="466"/>
    </row>
    <row r="14" spans="2:6" ht="22" customHeight="1" x14ac:dyDescent="0.2">
      <c r="B14" s="155" t="s">
        <v>604</v>
      </c>
      <c r="C14" s="162" t="s">
        <v>903</v>
      </c>
      <c r="D14" s="174" t="s">
        <v>904</v>
      </c>
      <c r="E14" s="175" t="s">
        <v>905</v>
      </c>
      <c r="F14" s="120" t="s">
        <v>906</v>
      </c>
    </row>
    <row r="15" spans="2:6" ht="22" customHeight="1" x14ac:dyDescent="0.2">
      <c r="B15" s="155" t="s">
        <v>606</v>
      </c>
      <c r="C15" s="162" t="s">
        <v>907</v>
      </c>
      <c r="D15" s="174" t="s">
        <v>401</v>
      </c>
      <c r="E15" s="175" t="s">
        <v>908</v>
      </c>
      <c r="F15" s="120" t="s">
        <v>909</v>
      </c>
    </row>
    <row r="16" spans="2:6" ht="22" customHeight="1" x14ac:dyDescent="0.2">
      <c r="B16" s="155" t="s">
        <v>607</v>
      </c>
      <c r="C16" s="162" t="s">
        <v>910</v>
      </c>
      <c r="D16" s="174" t="s">
        <v>911</v>
      </c>
      <c r="E16" s="175" t="s">
        <v>912</v>
      </c>
      <c r="F16" s="120" t="s">
        <v>913</v>
      </c>
    </row>
    <row r="17" spans="2:6" ht="22" customHeight="1" x14ac:dyDescent="0.2">
      <c r="B17" s="155" t="s">
        <v>609</v>
      </c>
      <c r="C17" s="162" t="s">
        <v>914</v>
      </c>
      <c r="D17" s="174" t="s">
        <v>915</v>
      </c>
      <c r="E17" s="175" t="s">
        <v>916</v>
      </c>
      <c r="F17" s="120" t="s">
        <v>917</v>
      </c>
    </row>
    <row r="18" spans="2:6" ht="22" customHeight="1" x14ac:dyDescent="0.2">
      <c r="B18" s="155" t="s">
        <v>918</v>
      </c>
      <c r="C18" s="162" t="s">
        <v>919</v>
      </c>
      <c r="D18" s="174" t="s">
        <v>920</v>
      </c>
      <c r="E18" s="175" t="s">
        <v>921</v>
      </c>
      <c r="F18" s="120" t="s">
        <v>922</v>
      </c>
    </row>
    <row r="19" spans="2:6" ht="20" customHeight="1" x14ac:dyDescent="0.2">
      <c r="B19" s="521" t="s">
        <v>923</v>
      </c>
      <c r="C19" s="473"/>
      <c r="D19" s="473"/>
      <c r="E19" s="473"/>
      <c r="F19" s="466"/>
    </row>
    <row r="20" spans="2:6" ht="22" customHeight="1" x14ac:dyDescent="0.2">
      <c r="B20" s="155" t="s">
        <v>612</v>
      </c>
      <c r="C20" s="162" t="s">
        <v>924</v>
      </c>
      <c r="D20" s="174" t="s">
        <v>925</v>
      </c>
      <c r="E20" s="175" t="s">
        <v>926</v>
      </c>
      <c r="F20" s="120" t="s">
        <v>927</v>
      </c>
    </row>
    <row r="21" spans="2:6" ht="22" customHeight="1" x14ac:dyDescent="0.2">
      <c r="B21" s="155" t="s">
        <v>614</v>
      </c>
      <c r="C21" s="162" t="s">
        <v>811</v>
      </c>
      <c r="D21" s="174" t="s">
        <v>928</v>
      </c>
      <c r="E21" s="175" t="s">
        <v>929</v>
      </c>
      <c r="F21" s="120" t="s">
        <v>930</v>
      </c>
    </row>
    <row r="22" spans="2:6" ht="22" customHeight="1" x14ac:dyDescent="0.2">
      <c r="B22" s="155" t="s">
        <v>616</v>
      </c>
      <c r="C22" s="162" t="s">
        <v>931</v>
      </c>
      <c r="D22" s="174" t="s">
        <v>932</v>
      </c>
      <c r="E22" s="175" t="s">
        <v>933</v>
      </c>
      <c r="F22" s="120" t="s">
        <v>934</v>
      </c>
    </row>
    <row r="23" spans="2:6" ht="22" customHeight="1" x14ac:dyDescent="0.2">
      <c r="B23" s="155" t="s">
        <v>618</v>
      </c>
      <c r="C23" s="162" t="s">
        <v>935</v>
      </c>
      <c r="D23" s="174" t="s">
        <v>936</v>
      </c>
      <c r="E23" s="175" t="s">
        <v>937</v>
      </c>
      <c r="F23" s="120" t="s">
        <v>938</v>
      </c>
    </row>
    <row r="24" spans="2:6" ht="22" customHeight="1" x14ac:dyDescent="0.2">
      <c r="B24" s="155" t="s">
        <v>620</v>
      </c>
      <c r="C24" s="162" t="s">
        <v>939</v>
      </c>
      <c r="D24" s="174" t="s">
        <v>940</v>
      </c>
      <c r="E24" s="175" t="s">
        <v>941</v>
      </c>
      <c r="F24" s="120" t="s">
        <v>942</v>
      </c>
    </row>
    <row r="26" spans="2:6" ht="20" customHeight="1" x14ac:dyDescent="0.2">
      <c r="B26" s="521" t="s">
        <v>943</v>
      </c>
      <c r="C26" s="473"/>
      <c r="D26" s="473"/>
      <c r="E26" s="473"/>
      <c r="F26" s="466"/>
    </row>
    <row r="27" spans="2:6" ht="22" customHeight="1" x14ac:dyDescent="0.2">
      <c r="B27" s="155" t="s">
        <v>625</v>
      </c>
      <c r="C27" s="156" t="s">
        <v>944</v>
      </c>
      <c r="D27" s="534" t="s">
        <v>945</v>
      </c>
      <c r="E27" s="466"/>
      <c r="F27" s="120" t="s">
        <v>946</v>
      </c>
    </row>
    <row r="28" spans="2:6" ht="22" customHeight="1" x14ac:dyDescent="0.2">
      <c r="B28" s="155" t="s">
        <v>627</v>
      </c>
      <c r="C28" s="156" t="s">
        <v>947</v>
      </c>
      <c r="D28" s="534" t="s">
        <v>948</v>
      </c>
      <c r="E28" s="466"/>
      <c r="F28" s="120" t="s">
        <v>949</v>
      </c>
    </row>
    <row r="29" spans="2:6" ht="22" customHeight="1" x14ac:dyDescent="0.2">
      <c r="B29" s="155" t="s">
        <v>629</v>
      </c>
      <c r="C29" s="156" t="s">
        <v>950</v>
      </c>
      <c r="D29" s="534" t="s">
        <v>951</v>
      </c>
      <c r="E29" s="466"/>
      <c r="F29" s="120" t="s">
        <v>952</v>
      </c>
    </row>
    <row r="30" spans="2:6" ht="22" customHeight="1" x14ac:dyDescent="0.2">
      <c r="B30" s="155" t="s">
        <v>631</v>
      </c>
      <c r="C30" s="156" t="s">
        <v>953</v>
      </c>
      <c r="D30" s="534" t="s">
        <v>954</v>
      </c>
      <c r="E30" s="466"/>
      <c r="F30" s="120" t="s">
        <v>955</v>
      </c>
    </row>
    <row r="31" spans="2:6" ht="22" customHeight="1" x14ac:dyDescent="0.2">
      <c r="B31" s="165" t="s">
        <v>272</v>
      </c>
      <c r="C31" s="166" t="s">
        <v>956</v>
      </c>
      <c r="D31" s="533" t="s">
        <v>957</v>
      </c>
      <c r="E31" s="466"/>
      <c r="F31" s="137" t="s">
        <v>958</v>
      </c>
    </row>
  </sheetData>
  <mergeCells count="11">
    <mergeCell ref="B2:F2"/>
    <mergeCell ref="D29:E29"/>
    <mergeCell ref="D27:E27"/>
    <mergeCell ref="B3:F3"/>
    <mergeCell ref="B19:F19"/>
    <mergeCell ref="D28:E28"/>
    <mergeCell ref="D31:E31"/>
    <mergeCell ref="B26:F26"/>
    <mergeCell ref="B13:F13"/>
    <mergeCell ref="B6:F6"/>
    <mergeCell ref="D30:E30"/>
  </mergeCells>
  <printOptions horizontalCentered="1"/>
  <pageMargins left="0.59" right="0.59" top="0.59" bottom="0.59" header="0.3" footer="0.3"/>
  <pageSetup paperSize="9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J29"/>
  <sheetViews>
    <sheetView workbookViewId="0"/>
  </sheetViews>
  <sheetFormatPr baseColWidth="10" defaultColWidth="8.83203125" defaultRowHeight="15" x14ac:dyDescent="0.2"/>
  <cols>
    <col min="1" max="1" width="2" customWidth="1"/>
    <col min="2" max="2" width="5" customWidth="1"/>
    <col min="3" max="3" width="36" customWidth="1"/>
    <col min="4" max="9" width="14" customWidth="1"/>
    <col min="10" max="10" width="28" customWidth="1"/>
  </cols>
  <sheetData>
    <row r="2" spans="2:10" ht="28" customHeight="1" x14ac:dyDescent="0.2">
      <c r="B2" s="525" t="s">
        <v>959</v>
      </c>
      <c r="C2" s="468"/>
      <c r="D2" s="468"/>
      <c r="E2" s="468"/>
      <c r="F2" s="468"/>
      <c r="G2" s="468"/>
      <c r="H2" s="468"/>
      <c r="I2" s="468"/>
      <c r="J2" s="468"/>
    </row>
    <row r="3" spans="2:10" x14ac:dyDescent="0.2">
      <c r="B3" s="528" t="s">
        <v>960</v>
      </c>
      <c r="C3" s="468"/>
      <c r="D3" s="468"/>
      <c r="E3" s="468"/>
      <c r="F3" s="468"/>
      <c r="G3" s="468"/>
      <c r="H3" s="468"/>
      <c r="I3" s="468"/>
      <c r="J3" s="468"/>
    </row>
    <row r="5" spans="2:10" ht="22" customHeight="1" x14ac:dyDescent="0.2">
      <c r="B5" s="521" t="s">
        <v>961</v>
      </c>
      <c r="C5" s="473"/>
      <c r="D5" s="473"/>
      <c r="E5" s="473"/>
      <c r="F5" s="473"/>
      <c r="G5" s="473"/>
      <c r="H5" s="473"/>
      <c r="I5" s="473"/>
      <c r="J5" s="466"/>
    </row>
    <row r="6" spans="2:10" ht="22" customHeight="1" x14ac:dyDescent="0.2">
      <c r="B6" s="125" t="s">
        <v>61</v>
      </c>
      <c r="C6" s="140" t="s">
        <v>962</v>
      </c>
      <c r="D6" s="125" t="s">
        <v>963</v>
      </c>
      <c r="E6" s="125" t="s">
        <v>964</v>
      </c>
      <c r="F6" s="536" t="s">
        <v>965</v>
      </c>
      <c r="G6" s="466"/>
      <c r="H6" s="536" t="s">
        <v>966</v>
      </c>
      <c r="I6" s="466"/>
      <c r="J6" s="126" t="s">
        <v>967</v>
      </c>
    </row>
    <row r="7" spans="2:10" ht="22" customHeight="1" x14ac:dyDescent="0.2">
      <c r="B7" s="155" t="s">
        <v>968</v>
      </c>
      <c r="C7" s="156" t="s">
        <v>969</v>
      </c>
      <c r="D7" s="157">
        <v>2917</v>
      </c>
      <c r="E7" s="176">
        <v>7000</v>
      </c>
      <c r="F7" s="535">
        <v>70</v>
      </c>
      <c r="G7" s="466"/>
      <c r="H7" s="530">
        <v>2917</v>
      </c>
      <c r="I7" s="466"/>
      <c r="J7" s="120" t="s">
        <v>970</v>
      </c>
    </row>
    <row r="8" spans="2:10" ht="22" customHeight="1" x14ac:dyDescent="0.2">
      <c r="B8" s="155" t="s">
        <v>971</v>
      </c>
      <c r="C8" s="156" t="s">
        <v>972</v>
      </c>
      <c r="D8" s="157">
        <v>1250</v>
      </c>
      <c r="E8" s="176">
        <v>3000</v>
      </c>
      <c r="F8" s="535">
        <v>30</v>
      </c>
      <c r="G8" s="466"/>
      <c r="H8" s="530">
        <v>1250</v>
      </c>
      <c r="I8" s="466"/>
      <c r="J8" s="120" t="s">
        <v>973</v>
      </c>
    </row>
    <row r="9" spans="2:10" ht="22" customHeight="1" x14ac:dyDescent="0.2">
      <c r="B9" s="165" t="s">
        <v>792</v>
      </c>
      <c r="C9" s="166" t="s">
        <v>974</v>
      </c>
      <c r="D9" s="148">
        <v>4167</v>
      </c>
      <c r="E9" s="178">
        <v>10000</v>
      </c>
      <c r="F9" s="537">
        <v>100</v>
      </c>
      <c r="G9" s="466"/>
      <c r="H9" s="531">
        <v>4167</v>
      </c>
      <c r="I9" s="466"/>
      <c r="J9" s="137" t="s">
        <v>975</v>
      </c>
    </row>
    <row r="12" spans="2:10" ht="22" customHeight="1" x14ac:dyDescent="0.2">
      <c r="B12" s="521" t="s">
        <v>976</v>
      </c>
      <c r="C12" s="473"/>
      <c r="D12" s="473"/>
      <c r="E12" s="473"/>
      <c r="F12" s="473"/>
      <c r="G12" s="473"/>
      <c r="H12" s="473"/>
      <c r="I12" s="473"/>
      <c r="J12" s="466"/>
    </row>
    <row r="13" spans="2:10" ht="22" customHeight="1" x14ac:dyDescent="0.2">
      <c r="B13" s="125" t="s">
        <v>61</v>
      </c>
      <c r="C13" s="140" t="s">
        <v>962</v>
      </c>
      <c r="D13" s="125" t="s">
        <v>963</v>
      </c>
      <c r="E13" s="125" t="s">
        <v>964</v>
      </c>
      <c r="F13" s="536" t="s">
        <v>965</v>
      </c>
      <c r="G13" s="466"/>
      <c r="H13" s="536" t="s">
        <v>966</v>
      </c>
      <c r="I13" s="466"/>
      <c r="J13" s="126" t="s">
        <v>967</v>
      </c>
    </row>
    <row r="14" spans="2:10" ht="22" customHeight="1" x14ac:dyDescent="0.2">
      <c r="B14" s="155" t="s">
        <v>844</v>
      </c>
      <c r="C14" s="156" t="s">
        <v>969</v>
      </c>
      <c r="D14" s="157">
        <v>1750</v>
      </c>
      <c r="E14" s="176">
        <v>5000</v>
      </c>
      <c r="F14" s="535">
        <v>50</v>
      </c>
      <c r="G14" s="466"/>
      <c r="H14" s="530">
        <v>1750</v>
      </c>
      <c r="I14" s="466"/>
      <c r="J14" s="120" t="s">
        <v>977</v>
      </c>
    </row>
    <row r="15" spans="2:10" ht="22" customHeight="1" x14ac:dyDescent="0.2">
      <c r="B15" s="155" t="s">
        <v>847</v>
      </c>
      <c r="C15" s="156" t="s">
        <v>972</v>
      </c>
      <c r="D15" s="157">
        <v>1250</v>
      </c>
      <c r="E15" s="176">
        <v>3000</v>
      </c>
      <c r="F15" s="535">
        <v>30</v>
      </c>
      <c r="G15" s="466"/>
      <c r="H15" s="530">
        <v>1050</v>
      </c>
      <c r="I15" s="466"/>
      <c r="J15" s="120" t="s">
        <v>978</v>
      </c>
    </row>
    <row r="16" spans="2:10" ht="22" customHeight="1" x14ac:dyDescent="0.2">
      <c r="B16" s="155" t="s">
        <v>852</v>
      </c>
      <c r="C16" s="156" t="s">
        <v>979</v>
      </c>
      <c r="D16" s="157">
        <v>500</v>
      </c>
      <c r="E16" s="176">
        <v>2000</v>
      </c>
      <c r="F16" s="535">
        <v>20</v>
      </c>
      <c r="G16" s="466"/>
      <c r="H16" s="530">
        <v>700</v>
      </c>
      <c r="I16" s="466"/>
      <c r="J16" s="120" t="s">
        <v>980</v>
      </c>
    </row>
    <row r="17" spans="2:10" ht="22" customHeight="1" x14ac:dyDescent="0.2">
      <c r="B17" s="165" t="s">
        <v>792</v>
      </c>
      <c r="C17" s="166" t="s">
        <v>974</v>
      </c>
      <c r="D17" s="148">
        <v>3500</v>
      </c>
      <c r="E17" s="178">
        <v>10000</v>
      </c>
      <c r="F17" s="537">
        <v>100</v>
      </c>
      <c r="G17" s="466"/>
      <c r="H17" s="531">
        <v>3500</v>
      </c>
      <c r="I17" s="466"/>
      <c r="J17" s="137" t="s">
        <v>981</v>
      </c>
    </row>
    <row r="20" spans="2:10" ht="22" customHeight="1" x14ac:dyDescent="0.2">
      <c r="B20" s="521" t="s">
        <v>982</v>
      </c>
      <c r="C20" s="473"/>
      <c r="D20" s="473"/>
      <c r="E20" s="473"/>
      <c r="F20" s="473"/>
      <c r="G20" s="473"/>
      <c r="H20" s="473"/>
      <c r="I20" s="473"/>
      <c r="J20" s="466"/>
    </row>
    <row r="21" spans="2:10" ht="20" customHeight="1" x14ac:dyDescent="0.2">
      <c r="B21" s="155" t="s">
        <v>612</v>
      </c>
      <c r="C21" s="156" t="s">
        <v>983</v>
      </c>
      <c r="D21" s="534" t="s">
        <v>984</v>
      </c>
      <c r="E21" s="473"/>
      <c r="F21" s="466"/>
      <c r="G21" s="514" t="s">
        <v>985</v>
      </c>
      <c r="H21" s="473"/>
      <c r="I21" s="473"/>
      <c r="J21" s="466"/>
    </row>
    <row r="22" spans="2:10" ht="20" customHeight="1" x14ac:dyDescent="0.2">
      <c r="B22" s="155" t="s">
        <v>614</v>
      </c>
      <c r="C22" s="156" t="s">
        <v>986</v>
      </c>
      <c r="D22" s="534" t="s">
        <v>987</v>
      </c>
      <c r="E22" s="473"/>
      <c r="F22" s="466"/>
      <c r="G22" s="514" t="s">
        <v>988</v>
      </c>
      <c r="H22" s="473"/>
      <c r="I22" s="473"/>
      <c r="J22" s="466"/>
    </row>
    <row r="23" spans="2:10" ht="20" customHeight="1" x14ac:dyDescent="0.2">
      <c r="B23" s="155" t="s">
        <v>616</v>
      </c>
      <c r="C23" s="156" t="s">
        <v>989</v>
      </c>
      <c r="D23" s="534" t="s">
        <v>990</v>
      </c>
      <c r="E23" s="473"/>
      <c r="F23" s="466"/>
      <c r="G23" s="514" t="s">
        <v>991</v>
      </c>
      <c r="H23" s="473"/>
      <c r="I23" s="473"/>
      <c r="J23" s="466"/>
    </row>
    <row r="24" spans="2:10" ht="20" customHeight="1" x14ac:dyDescent="0.2">
      <c r="B24" s="155" t="s">
        <v>618</v>
      </c>
      <c r="C24" s="156" t="s">
        <v>992</v>
      </c>
      <c r="D24" s="534" t="s">
        <v>993</v>
      </c>
      <c r="E24" s="473"/>
      <c r="F24" s="466"/>
      <c r="G24" s="514" t="s">
        <v>994</v>
      </c>
      <c r="H24" s="473"/>
      <c r="I24" s="473"/>
      <c r="J24" s="466"/>
    </row>
    <row r="25" spans="2:10" ht="20" customHeight="1" x14ac:dyDescent="0.2">
      <c r="B25" s="155" t="s">
        <v>620</v>
      </c>
      <c r="C25" s="156" t="s">
        <v>995</v>
      </c>
      <c r="D25" s="534" t="s">
        <v>990</v>
      </c>
      <c r="E25" s="473"/>
      <c r="F25" s="466"/>
      <c r="G25" s="514" t="s">
        <v>996</v>
      </c>
      <c r="H25" s="473"/>
      <c r="I25" s="473"/>
      <c r="J25" s="466"/>
    </row>
    <row r="26" spans="2:10" ht="20" customHeight="1" x14ac:dyDescent="0.2">
      <c r="B26" s="155" t="s">
        <v>622</v>
      </c>
      <c r="C26" s="156" t="s">
        <v>997</v>
      </c>
      <c r="D26" s="534" t="s">
        <v>998</v>
      </c>
      <c r="E26" s="473"/>
      <c r="F26" s="466"/>
      <c r="G26" s="514" t="s">
        <v>999</v>
      </c>
      <c r="H26" s="473"/>
      <c r="I26" s="473"/>
      <c r="J26" s="466"/>
    </row>
    <row r="27" spans="2:10" ht="20" customHeight="1" x14ac:dyDescent="0.2">
      <c r="B27" s="165" t="s">
        <v>813</v>
      </c>
      <c r="C27" s="166" t="s">
        <v>1000</v>
      </c>
      <c r="D27" s="533" t="s">
        <v>1001</v>
      </c>
      <c r="E27" s="473"/>
      <c r="F27" s="466"/>
      <c r="G27" s="516" t="s">
        <v>1002</v>
      </c>
      <c r="H27" s="473"/>
      <c r="I27" s="473"/>
      <c r="J27" s="466"/>
    </row>
    <row r="29" spans="2:10" ht="22" customHeight="1" x14ac:dyDescent="0.2">
      <c r="B29" s="527" t="s">
        <v>1003</v>
      </c>
      <c r="C29" s="510"/>
      <c r="D29" s="510"/>
      <c r="E29" s="510"/>
      <c r="F29" s="510"/>
      <c r="G29" s="510"/>
      <c r="H29" s="510"/>
      <c r="I29" s="510"/>
      <c r="J29" s="464"/>
    </row>
  </sheetData>
  <mergeCells count="38">
    <mergeCell ref="F7:G7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D26:F26"/>
    <mergeCell ref="D27:F27"/>
    <mergeCell ref="G26:J26"/>
    <mergeCell ref="F16:G16"/>
    <mergeCell ref="F6:G6"/>
    <mergeCell ref="G25:J25"/>
    <mergeCell ref="H9:I9"/>
    <mergeCell ref="H13:I13"/>
    <mergeCell ref="H14:I14"/>
    <mergeCell ref="F9:G9"/>
    <mergeCell ref="B29:J29"/>
    <mergeCell ref="G22:J22"/>
    <mergeCell ref="B2:J2"/>
    <mergeCell ref="B3:J3"/>
    <mergeCell ref="H15:I15"/>
    <mergeCell ref="D22:F22"/>
    <mergeCell ref="G24:J24"/>
    <mergeCell ref="F14:G14"/>
    <mergeCell ref="H8:I8"/>
    <mergeCell ref="D21:F21"/>
    <mergeCell ref="B12:J12"/>
    <mergeCell ref="B5:J5"/>
    <mergeCell ref="B20:J20"/>
    <mergeCell ref="G23:J23"/>
    <mergeCell ref="H16:I16"/>
    <mergeCell ref="D23:F23"/>
    <mergeCell ref="H7:I7"/>
    <mergeCell ref="F13:G13"/>
  </mergeCells>
  <printOptions horizontalCentered="1"/>
  <pageMargins left="0.59" right="0.59" top="0.59" bottom="0.59" header="0.3" footer="0.3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J38"/>
  <sheetViews>
    <sheetView topLeftCell="A8" workbookViewId="0"/>
  </sheetViews>
  <sheetFormatPr baseColWidth="10" defaultColWidth="8.83203125" defaultRowHeight="15" x14ac:dyDescent="0.2"/>
  <cols>
    <col min="1" max="1" width="3" customWidth="1"/>
    <col min="2" max="2" width="4" customWidth="1"/>
    <col min="3" max="3" width="38" customWidth="1"/>
    <col min="4" max="5" width="14" customWidth="1"/>
    <col min="6" max="6" width="17.5" customWidth="1"/>
    <col min="7" max="7" width="14" customWidth="1"/>
    <col min="8" max="8" width="10.5" customWidth="1"/>
    <col min="9" max="9" width="32" customWidth="1"/>
    <col min="10" max="10" width="16" customWidth="1"/>
  </cols>
  <sheetData>
    <row r="2" spans="2:10" ht="26" customHeight="1" x14ac:dyDescent="0.2">
      <c r="B2" s="538" t="s">
        <v>1004</v>
      </c>
      <c r="C2" s="468"/>
      <c r="D2" s="468"/>
      <c r="E2" s="468"/>
      <c r="F2" s="468"/>
      <c r="G2" s="468"/>
      <c r="H2" s="468"/>
      <c r="I2" s="468"/>
      <c r="J2" s="468"/>
    </row>
    <row r="3" spans="2:10" ht="28" customHeight="1" x14ac:dyDescent="0.2">
      <c r="B3" s="541" t="s">
        <v>1005</v>
      </c>
      <c r="C3" s="468"/>
      <c r="D3" s="468"/>
      <c r="E3" s="468"/>
      <c r="F3" s="468"/>
      <c r="G3" s="468"/>
      <c r="H3" s="468"/>
      <c r="I3" s="468"/>
      <c r="J3" s="468"/>
    </row>
    <row r="5" spans="2:10" ht="22" customHeight="1" x14ac:dyDescent="0.2">
      <c r="B5" s="539" t="s">
        <v>1006</v>
      </c>
      <c r="C5" s="468"/>
      <c r="D5" s="468"/>
      <c r="E5" s="468"/>
      <c r="F5" s="468"/>
      <c r="G5" s="468"/>
      <c r="H5" s="468"/>
      <c r="I5" s="468"/>
      <c r="J5" s="468"/>
    </row>
    <row r="6" spans="2:10" x14ac:dyDescent="0.2">
      <c r="B6" s="389" t="s">
        <v>61</v>
      </c>
      <c r="C6" s="389" t="s">
        <v>1007</v>
      </c>
      <c r="D6" s="389" t="s">
        <v>1008</v>
      </c>
      <c r="E6" s="389" t="s">
        <v>1009</v>
      </c>
      <c r="G6" s="389" t="s">
        <v>1010</v>
      </c>
      <c r="I6" s="389" t="s">
        <v>1011</v>
      </c>
    </row>
    <row r="7" spans="2:10" ht="30" x14ac:dyDescent="0.2">
      <c r="B7" s="155">
        <v>1</v>
      </c>
      <c r="C7" s="156" t="s">
        <v>1012</v>
      </c>
      <c r="D7" s="390">
        <v>2083.3000000000002</v>
      </c>
      <c r="E7" s="390">
        <v>1250</v>
      </c>
      <c r="G7" s="390">
        <v>833.3</v>
      </c>
      <c r="I7" s="156" t="s">
        <v>1013</v>
      </c>
    </row>
    <row r="8" spans="2:10" ht="30" x14ac:dyDescent="0.2">
      <c r="B8" s="155">
        <v>2</v>
      </c>
      <c r="C8" s="156" t="s">
        <v>1014</v>
      </c>
      <c r="D8" s="390">
        <v>916.7</v>
      </c>
      <c r="E8" s="390">
        <v>458.3</v>
      </c>
      <c r="G8" s="390">
        <v>458.3</v>
      </c>
      <c r="I8" s="156" t="s">
        <v>1015</v>
      </c>
    </row>
    <row r="9" spans="2:10" x14ac:dyDescent="0.2">
      <c r="B9" s="391" t="s">
        <v>792</v>
      </c>
      <c r="C9" s="392" t="s">
        <v>1016</v>
      </c>
      <c r="D9" s="393">
        <v>3000</v>
      </c>
      <c r="E9" s="393">
        <v>1708.3</v>
      </c>
      <c r="G9" s="393">
        <v>1291.7</v>
      </c>
      <c r="I9" s="392" t="s">
        <v>1017</v>
      </c>
    </row>
    <row r="11" spans="2:10" ht="22" customHeight="1" x14ac:dyDescent="0.2">
      <c r="B11" s="539" t="s">
        <v>1018</v>
      </c>
      <c r="C11" s="468"/>
      <c r="D11" s="468"/>
      <c r="E11" s="468"/>
      <c r="F11" s="468"/>
      <c r="G11" s="468"/>
      <c r="H11" s="468"/>
      <c r="I11" s="468"/>
      <c r="J11" s="468"/>
    </row>
    <row r="12" spans="2:10" x14ac:dyDescent="0.2">
      <c r="B12" s="389" t="s">
        <v>61</v>
      </c>
      <c r="C12" s="389" t="s">
        <v>1007</v>
      </c>
      <c r="D12" s="389" t="s">
        <v>1008</v>
      </c>
      <c r="E12" s="389" t="s">
        <v>1009</v>
      </c>
      <c r="G12" s="389" t="s">
        <v>1010</v>
      </c>
      <c r="I12" s="389" t="s">
        <v>1011</v>
      </c>
    </row>
    <row r="13" spans="2:10" x14ac:dyDescent="0.2">
      <c r="B13" s="155">
        <v>1</v>
      </c>
      <c r="C13" s="156" t="s">
        <v>1019</v>
      </c>
      <c r="D13" s="390">
        <v>2027</v>
      </c>
      <c r="E13" s="390">
        <v>2027</v>
      </c>
      <c r="G13" s="394"/>
      <c r="I13" s="156" t="s">
        <v>1020</v>
      </c>
    </row>
    <row r="14" spans="2:10" x14ac:dyDescent="0.2">
      <c r="B14" s="155">
        <v>2</v>
      </c>
      <c r="C14" s="156" t="s">
        <v>1021</v>
      </c>
      <c r="D14" s="390">
        <v>973</v>
      </c>
      <c r="E14" s="394"/>
      <c r="G14" s="390">
        <v>973</v>
      </c>
      <c r="I14" s="156" t="s">
        <v>1022</v>
      </c>
    </row>
    <row r="15" spans="2:10" ht="30" x14ac:dyDescent="0.2">
      <c r="B15" s="391" t="s">
        <v>792</v>
      </c>
      <c r="C15" s="392" t="s">
        <v>1023</v>
      </c>
      <c r="D15" s="393">
        <v>3000</v>
      </c>
      <c r="E15" s="393">
        <v>2027</v>
      </c>
      <c r="G15" s="393">
        <v>973</v>
      </c>
      <c r="I15" s="392" t="s">
        <v>1024</v>
      </c>
    </row>
    <row r="17" spans="2:10" ht="22" customHeight="1" x14ac:dyDescent="0.2">
      <c r="B17" s="542" t="s">
        <v>1025</v>
      </c>
      <c r="C17" s="468"/>
      <c r="D17" s="468"/>
      <c r="E17" s="468"/>
      <c r="F17" s="468"/>
      <c r="G17" s="468"/>
      <c r="H17" s="468"/>
      <c r="I17" s="468"/>
      <c r="J17" s="468"/>
    </row>
    <row r="18" spans="2:10" x14ac:dyDescent="0.2">
      <c r="B18" s="389" t="s">
        <v>61</v>
      </c>
      <c r="C18" s="389" t="s">
        <v>1007</v>
      </c>
      <c r="D18" s="389" t="s">
        <v>1008</v>
      </c>
      <c r="E18" s="389" t="s">
        <v>1009</v>
      </c>
      <c r="G18" s="389" t="s">
        <v>1010</v>
      </c>
      <c r="I18" s="389" t="s">
        <v>1011</v>
      </c>
    </row>
    <row r="19" spans="2:10" x14ac:dyDescent="0.2">
      <c r="B19" s="155">
        <v>1</v>
      </c>
      <c r="C19" s="156" t="s">
        <v>1026</v>
      </c>
      <c r="D19" s="390">
        <v>1250</v>
      </c>
      <c r="E19" s="390">
        <v>1250</v>
      </c>
      <c r="G19" s="390">
        <v>0</v>
      </c>
      <c r="I19" s="156" t="s">
        <v>1027</v>
      </c>
    </row>
    <row r="20" spans="2:10" x14ac:dyDescent="0.2">
      <c r="B20" s="155">
        <v>2</v>
      </c>
      <c r="C20" s="156" t="s">
        <v>1028</v>
      </c>
      <c r="D20" s="390">
        <v>500</v>
      </c>
      <c r="E20" s="390">
        <v>500</v>
      </c>
      <c r="G20" s="390">
        <v>0</v>
      </c>
      <c r="I20" s="156" t="s">
        <v>1029</v>
      </c>
    </row>
    <row r="21" spans="2:10" x14ac:dyDescent="0.2">
      <c r="B21" s="155">
        <v>3</v>
      </c>
      <c r="C21" s="156" t="s">
        <v>1030</v>
      </c>
      <c r="D21" s="390">
        <v>1250</v>
      </c>
      <c r="E21" s="390">
        <v>750</v>
      </c>
      <c r="G21" s="390">
        <v>500</v>
      </c>
      <c r="I21" s="156" t="s">
        <v>1031</v>
      </c>
    </row>
    <row r="22" spans="2:10" ht="30" x14ac:dyDescent="0.2">
      <c r="B22" s="395" t="s">
        <v>792</v>
      </c>
      <c r="C22" s="396" t="s">
        <v>1032</v>
      </c>
      <c r="D22" s="397">
        <v>3000</v>
      </c>
      <c r="E22" s="397">
        <v>2500</v>
      </c>
      <c r="F22" s="398"/>
      <c r="G22" s="397">
        <v>500</v>
      </c>
      <c r="H22" s="398"/>
      <c r="I22" s="396" t="s">
        <v>1033</v>
      </c>
    </row>
    <row r="24" spans="2:10" ht="22" customHeight="1" x14ac:dyDescent="0.2">
      <c r="B24" s="543" t="s">
        <v>1034</v>
      </c>
      <c r="C24" s="468"/>
      <c r="D24" s="468"/>
      <c r="E24" s="468"/>
      <c r="F24" s="468"/>
      <c r="G24" s="468"/>
      <c r="H24" s="468"/>
      <c r="I24" s="468"/>
      <c r="J24" s="468"/>
    </row>
    <row r="25" spans="2:10" x14ac:dyDescent="0.2">
      <c r="B25" s="389" t="s">
        <v>61</v>
      </c>
      <c r="C25" s="389" t="s">
        <v>1007</v>
      </c>
      <c r="D25" s="389" t="s">
        <v>1008</v>
      </c>
      <c r="E25" s="389" t="s">
        <v>1009</v>
      </c>
      <c r="G25" s="389" t="s">
        <v>1010</v>
      </c>
      <c r="I25" s="389" t="s">
        <v>1011</v>
      </c>
    </row>
    <row r="26" spans="2:10" x14ac:dyDescent="0.2">
      <c r="B26" s="155">
        <v>1</v>
      </c>
      <c r="C26" s="156" t="s">
        <v>1026</v>
      </c>
      <c r="D26" s="390">
        <v>1250</v>
      </c>
      <c r="E26" s="390">
        <v>1250</v>
      </c>
      <c r="G26" s="390">
        <v>0</v>
      </c>
      <c r="I26" s="156" t="s">
        <v>1027</v>
      </c>
    </row>
    <row r="27" spans="2:10" x14ac:dyDescent="0.2">
      <c r="B27" s="155">
        <v>2</v>
      </c>
      <c r="C27" s="156" t="s">
        <v>1035</v>
      </c>
      <c r="D27" s="390">
        <v>750</v>
      </c>
      <c r="E27" s="390">
        <v>750</v>
      </c>
      <c r="G27" s="390">
        <v>0</v>
      </c>
      <c r="I27" s="156" t="s">
        <v>1036</v>
      </c>
    </row>
    <row r="28" spans="2:10" x14ac:dyDescent="0.2">
      <c r="B28" s="155">
        <v>3</v>
      </c>
      <c r="C28" s="156" t="s">
        <v>1037</v>
      </c>
      <c r="D28" s="390">
        <v>1000</v>
      </c>
      <c r="E28" s="390">
        <v>650</v>
      </c>
      <c r="G28" s="390">
        <v>350</v>
      </c>
      <c r="I28" s="156" t="s">
        <v>1038</v>
      </c>
    </row>
    <row r="29" spans="2:10" ht="30" x14ac:dyDescent="0.2">
      <c r="B29" s="391" t="s">
        <v>792</v>
      </c>
      <c r="C29" s="392" t="s">
        <v>1039</v>
      </c>
      <c r="D29" s="393">
        <v>3000</v>
      </c>
      <c r="E29" s="393">
        <v>2650</v>
      </c>
      <c r="G29" s="393">
        <v>350</v>
      </c>
      <c r="I29" s="392" t="s">
        <v>1040</v>
      </c>
    </row>
    <row r="31" spans="2:10" ht="22" customHeight="1" x14ac:dyDescent="0.2">
      <c r="B31" s="539" t="s">
        <v>1041</v>
      </c>
      <c r="C31" s="468"/>
      <c r="D31" s="468"/>
      <c r="E31" s="468"/>
      <c r="F31" s="468"/>
      <c r="G31" s="468"/>
      <c r="H31" s="468"/>
      <c r="I31" s="468"/>
      <c r="J31" s="468"/>
    </row>
    <row r="32" spans="2:10" x14ac:dyDescent="0.2">
      <c r="B32" s="389" t="s">
        <v>61</v>
      </c>
      <c r="C32" s="389" t="s">
        <v>1042</v>
      </c>
      <c r="D32" s="389" t="s">
        <v>1043</v>
      </c>
      <c r="E32" s="389" t="s">
        <v>1044</v>
      </c>
      <c r="F32" s="389" t="s">
        <v>1045</v>
      </c>
      <c r="G32" s="389" t="s">
        <v>1046</v>
      </c>
      <c r="H32" s="389" t="s">
        <v>1047</v>
      </c>
      <c r="I32" s="389" t="s">
        <v>448</v>
      </c>
    </row>
    <row r="33" spans="2:10" x14ac:dyDescent="0.2">
      <c r="B33" s="155" t="s">
        <v>1048</v>
      </c>
      <c r="C33" s="156" t="s">
        <v>1049</v>
      </c>
      <c r="D33" s="390">
        <v>1708.3</v>
      </c>
      <c r="E33" s="177">
        <v>56.9</v>
      </c>
      <c r="F33" s="390">
        <v>1291.7</v>
      </c>
      <c r="G33" s="177">
        <v>43.1</v>
      </c>
      <c r="H33" s="399">
        <v>1.367</v>
      </c>
      <c r="I33" s="156" t="s">
        <v>1050</v>
      </c>
    </row>
    <row r="34" spans="2:10" x14ac:dyDescent="0.2">
      <c r="B34" s="155" t="s">
        <v>1051</v>
      </c>
      <c r="C34" s="156" t="s">
        <v>1052</v>
      </c>
      <c r="D34" s="390">
        <v>2027</v>
      </c>
      <c r="E34" s="177">
        <v>67.599999999999994</v>
      </c>
      <c r="F34" s="390">
        <v>973</v>
      </c>
      <c r="G34" s="177">
        <v>32.4</v>
      </c>
      <c r="H34" s="399">
        <v>1.6220000000000001</v>
      </c>
      <c r="I34" s="156" t="s">
        <v>1053</v>
      </c>
    </row>
    <row r="35" spans="2:10" x14ac:dyDescent="0.2">
      <c r="B35" s="400" t="s">
        <v>1054</v>
      </c>
      <c r="C35" s="401" t="s">
        <v>1055</v>
      </c>
      <c r="D35" s="402">
        <v>2500</v>
      </c>
      <c r="E35" s="403">
        <v>83.3</v>
      </c>
      <c r="F35" s="402">
        <v>500</v>
      </c>
      <c r="G35" s="403">
        <v>16.7</v>
      </c>
      <c r="H35" s="404">
        <v>2</v>
      </c>
      <c r="I35" s="401" t="s">
        <v>1056</v>
      </c>
    </row>
    <row r="36" spans="2:10" x14ac:dyDescent="0.2">
      <c r="B36" s="155" t="s">
        <v>1057</v>
      </c>
      <c r="C36" s="156" t="s">
        <v>1058</v>
      </c>
      <c r="D36" s="390">
        <v>2650</v>
      </c>
      <c r="E36" s="177">
        <v>88.333333333333329</v>
      </c>
      <c r="F36" s="390">
        <v>350</v>
      </c>
      <c r="G36" s="177">
        <v>11.66666666666667</v>
      </c>
      <c r="H36" s="399">
        <v>2.12</v>
      </c>
      <c r="I36" s="156" t="s">
        <v>1059</v>
      </c>
    </row>
    <row r="38" spans="2:10" x14ac:dyDescent="0.2">
      <c r="B38" s="540" t="s">
        <v>1060</v>
      </c>
      <c r="C38" s="468"/>
      <c r="D38" s="468"/>
      <c r="E38" s="468"/>
      <c r="F38" s="468"/>
      <c r="G38" s="468"/>
      <c r="H38" s="468"/>
      <c r="I38" s="468"/>
      <c r="J38" s="468"/>
    </row>
  </sheetData>
  <mergeCells count="8">
    <mergeCell ref="B2:J2"/>
    <mergeCell ref="B11:J11"/>
    <mergeCell ref="B38:J38"/>
    <mergeCell ref="B3:J3"/>
    <mergeCell ref="B5:J5"/>
    <mergeCell ref="B31:J31"/>
    <mergeCell ref="B17:J17"/>
    <mergeCell ref="B24:J24"/>
  </mergeCells>
  <pageMargins left="0.59" right="0.59" top="0.59" bottom="0.59" header="0.3" footer="0.3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O3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22" customWidth="1"/>
    <col min="4" max="4" width="14" customWidth="1"/>
    <col min="5" max="6" width="10" customWidth="1"/>
    <col min="7" max="9" width="11" customWidth="1"/>
    <col min="10" max="10" width="10" customWidth="1"/>
    <col min="11" max="11" width="9" customWidth="1"/>
    <col min="12" max="12" width="11" customWidth="1"/>
    <col min="13" max="14" width="12" customWidth="1"/>
    <col min="15" max="15" width="10" customWidth="1"/>
  </cols>
  <sheetData>
    <row r="2" spans="2:15" x14ac:dyDescent="0.2">
      <c r="B2" s="545" t="s">
        <v>1061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</row>
    <row r="3" spans="2:15" x14ac:dyDescent="0.2"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</row>
    <row r="4" spans="2:15" x14ac:dyDescent="0.2">
      <c r="B4" s="528" t="s">
        <v>1062</v>
      </c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</row>
    <row r="6" spans="2:15" ht="30" customHeight="1" x14ac:dyDescent="0.2">
      <c r="B6" s="126" t="s">
        <v>1063</v>
      </c>
      <c r="C6" s="126" t="s">
        <v>1064</v>
      </c>
      <c r="D6" s="126" t="s">
        <v>504</v>
      </c>
      <c r="E6" s="126" t="s">
        <v>505</v>
      </c>
      <c r="F6" s="126" t="s">
        <v>506</v>
      </c>
      <c r="G6" s="126" t="s">
        <v>1065</v>
      </c>
      <c r="H6" s="126" t="s">
        <v>1066</v>
      </c>
      <c r="I6" s="126" t="s">
        <v>1067</v>
      </c>
      <c r="J6" s="126" t="s">
        <v>1068</v>
      </c>
      <c r="K6" s="126" t="s">
        <v>510</v>
      </c>
      <c r="L6" s="126" t="s">
        <v>1069</v>
      </c>
      <c r="M6" s="126" t="s">
        <v>1070</v>
      </c>
      <c r="N6" s="126" t="s">
        <v>1071</v>
      </c>
      <c r="O6" s="126" t="s">
        <v>1072</v>
      </c>
    </row>
    <row r="7" spans="2:15" x14ac:dyDescent="0.2">
      <c r="B7" s="155" t="s">
        <v>861</v>
      </c>
      <c r="C7" s="156" t="s">
        <v>513</v>
      </c>
      <c r="D7" s="156" t="s">
        <v>1073</v>
      </c>
      <c r="E7" s="155" t="s">
        <v>574</v>
      </c>
      <c r="F7" s="157">
        <v>150</v>
      </c>
      <c r="G7" s="157">
        <v>22.5</v>
      </c>
      <c r="H7" s="157">
        <v>172.5</v>
      </c>
      <c r="I7" s="157">
        <v>405.9</v>
      </c>
      <c r="J7" s="157">
        <v>233.4</v>
      </c>
      <c r="K7" s="181">
        <v>57.50184774575019</v>
      </c>
      <c r="L7" s="182">
        <v>2.706</v>
      </c>
      <c r="M7" s="181">
        <v>135.304347826087</v>
      </c>
      <c r="N7" s="183">
        <v>3.4</v>
      </c>
      <c r="O7" s="141" t="s">
        <v>1074</v>
      </c>
    </row>
    <row r="8" spans="2:15" x14ac:dyDescent="0.2">
      <c r="B8" s="155" t="s">
        <v>862</v>
      </c>
      <c r="C8" s="156" t="s">
        <v>517</v>
      </c>
      <c r="D8" s="156" t="s">
        <v>518</v>
      </c>
      <c r="E8" s="155" t="s">
        <v>575</v>
      </c>
      <c r="F8" s="157">
        <v>100</v>
      </c>
      <c r="G8" s="157">
        <v>15</v>
      </c>
      <c r="H8" s="157">
        <v>115</v>
      </c>
      <c r="I8" s="157">
        <v>309.3</v>
      </c>
      <c r="J8" s="157">
        <v>194.3</v>
      </c>
      <c r="K8" s="181">
        <v>62.819269317814417</v>
      </c>
      <c r="L8" s="182">
        <v>3.093</v>
      </c>
      <c r="M8" s="181">
        <v>168.95652173913041</v>
      </c>
      <c r="N8" s="183">
        <v>3</v>
      </c>
      <c r="O8" s="141" t="s">
        <v>1074</v>
      </c>
    </row>
    <row r="9" spans="2:15" x14ac:dyDescent="0.2">
      <c r="B9" s="155" t="s">
        <v>863</v>
      </c>
      <c r="C9" s="156" t="s">
        <v>521</v>
      </c>
      <c r="D9" s="156" t="s">
        <v>1075</v>
      </c>
      <c r="E9" s="155" t="s">
        <v>576</v>
      </c>
      <c r="F9" s="157">
        <v>220</v>
      </c>
      <c r="G9" s="157">
        <v>33</v>
      </c>
      <c r="H9" s="157">
        <v>253</v>
      </c>
      <c r="I9" s="157">
        <v>659.1</v>
      </c>
      <c r="J9" s="157">
        <v>406.1</v>
      </c>
      <c r="K9" s="181">
        <v>61.614322561068121</v>
      </c>
      <c r="L9" s="182">
        <v>2.9959090909090911</v>
      </c>
      <c r="M9" s="181">
        <v>160.5138339920949</v>
      </c>
      <c r="N9" s="183">
        <v>3.5</v>
      </c>
      <c r="O9" s="175" t="s">
        <v>1076</v>
      </c>
    </row>
    <row r="10" spans="2:15" x14ac:dyDescent="0.2">
      <c r="B10" s="155" t="s">
        <v>864</v>
      </c>
      <c r="C10" s="156" t="s">
        <v>525</v>
      </c>
      <c r="D10" s="156" t="s">
        <v>541</v>
      </c>
      <c r="E10" s="155" t="s">
        <v>576</v>
      </c>
      <c r="F10" s="157">
        <v>90</v>
      </c>
      <c r="G10" s="157">
        <v>13.5</v>
      </c>
      <c r="H10" s="157">
        <v>103.5</v>
      </c>
      <c r="I10" s="157">
        <v>304.39999999999998</v>
      </c>
      <c r="J10" s="157">
        <v>200.9</v>
      </c>
      <c r="K10" s="181">
        <v>65.998685939553226</v>
      </c>
      <c r="L10" s="182">
        <v>3.382222222222222</v>
      </c>
      <c r="M10" s="181">
        <v>194.1062801932367</v>
      </c>
      <c r="N10" s="183">
        <v>2.7</v>
      </c>
      <c r="O10" s="141" t="s">
        <v>1074</v>
      </c>
    </row>
    <row r="11" spans="2:15" x14ac:dyDescent="0.2">
      <c r="B11" s="155" t="s">
        <v>865</v>
      </c>
      <c r="C11" s="156" t="s">
        <v>527</v>
      </c>
      <c r="D11" s="156" t="s">
        <v>1077</v>
      </c>
      <c r="E11" s="155" t="s">
        <v>577</v>
      </c>
      <c r="F11" s="157">
        <v>250</v>
      </c>
      <c r="G11" s="157">
        <v>37.5</v>
      </c>
      <c r="H11" s="157">
        <v>287.5</v>
      </c>
      <c r="I11" s="157">
        <v>797.4</v>
      </c>
      <c r="J11" s="157">
        <v>509.9</v>
      </c>
      <c r="K11" s="181">
        <v>63.945322297466767</v>
      </c>
      <c r="L11" s="182">
        <v>3.1896</v>
      </c>
      <c r="M11" s="181">
        <v>177.35652173913039</v>
      </c>
      <c r="N11" s="183">
        <v>3.6</v>
      </c>
      <c r="O11" s="150" t="s">
        <v>1078</v>
      </c>
    </row>
    <row r="12" spans="2:15" x14ac:dyDescent="0.2">
      <c r="B12" s="155" t="s">
        <v>866</v>
      </c>
      <c r="C12" s="156" t="s">
        <v>530</v>
      </c>
      <c r="D12" s="156" t="s">
        <v>1079</v>
      </c>
      <c r="E12" s="155" t="s">
        <v>578</v>
      </c>
      <c r="F12" s="157">
        <v>180</v>
      </c>
      <c r="G12" s="157">
        <v>27</v>
      </c>
      <c r="H12" s="157">
        <v>207</v>
      </c>
      <c r="I12" s="157">
        <v>504.5</v>
      </c>
      <c r="J12" s="157">
        <v>297.5</v>
      </c>
      <c r="K12" s="181">
        <v>58.969276511397418</v>
      </c>
      <c r="L12" s="182">
        <v>2.802777777777778</v>
      </c>
      <c r="M12" s="181">
        <v>143.71980676328499</v>
      </c>
      <c r="N12" s="183">
        <v>3.7</v>
      </c>
      <c r="O12" s="175" t="s">
        <v>1076</v>
      </c>
    </row>
    <row r="13" spans="2:15" x14ac:dyDescent="0.2">
      <c r="B13" s="155" t="s">
        <v>867</v>
      </c>
      <c r="C13" s="156" t="s">
        <v>533</v>
      </c>
      <c r="D13" s="156" t="s">
        <v>1080</v>
      </c>
      <c r="E13" s="155" t="s">
        <v>579</v>
      </c>
      <c r="F13" s="157">
        <v>170</v>
      </c>
      <c r="G13" s="157">
        <v>25.5</v>
      </c>
      <c r="H13" s="157">
        <v>195.5</v>
      </c>
      <c r="I13" s="157">
        <v>558.6</v>
      </c>
      <c r="J13" s="157">
        <v>363.1</v>
      </c>
      <c r="K13" s="181">
        <v>65.001790189760115</v>
      </c>
      <c r="L13" s="182">
        <v>3.2858823529411771</v>
      </c>
      <c r="M13" s="181">
        <v>185.7289002557545</v>
      </c>
      <c r="N13" s="183">
        <v>2.8</v>
      </c>
      <c r="O13" s="141" t="s">
        <v>1074</v>
      </c>
    </row>
    <row r="14" spans="2:15" x14ac:dyDescent="0.2">
      <c r="B14" s="155" t="s">
        <v>868</v>
      </c>
      <c r="C14" s="156" t="s">
        <v>536</v>
      </c>
      <c r="D14" s="156" t="s">
        <v>1081</v>
      </c>
      <c r="E14" s="155" t="s">
        <v>580</v>
      </c>
      <c r="F14" s="157">
        <v>130</v>
      </c>
      <c r="G14" s="157">
        <v>19.5</v>
      </c>
      <c r="H14" s="157">
        <v>149.5</v>
      </c>
      <c r="I14" s="157">
        <v>351.8</v>
      </c>
      <c r="J14" s="157">
        <v>202.3</v>
      </c>
      <c r="K14" s="181">
        <v>57.504263786242177</v>
      </c>
      <c r="L14" s="182">
        <v>2.7061538461538461</v>
      </c>
      <c r="M14" s="181">
        <v>135.31772575250841</v>
      </c>
      <c r="N14" s="183">
        <v>3.8</v>
      </c>
      <c r="O14" s="175" t="s">
        <v>1076</v>
      </c>
    </row>
    <row r="15" spans="2:15" x14ac:dyDescent="0.2">
      <c r="B15" s="155" t="s">
        <v>869</v>
      </c>
      <c r="C15" s="156" t="s">
        <v>540</v>
      </c>
      <c r="D15" s="156" t="s">
        <v>541</v>
      </c>
      <c r="E15" s="155" t="s">
        <v>580</v>
      </c>
      <c r="F15" s="157">
        <v>80</v>
      </c>
      <c r="G15" s="157">
        <v>12</v>
      </c>
      <c r="H15" s="157">
        <v>92</v>
      </c>
      <c r="I15" s="157">
        <v>278.3</v>
      </c>
      <c r="J15" s="157">
        <v>186.3</v>
      </c>
      <c r="K15" s="181">
        <v>66.942148760330582</v>
      </c>
      <c r="L15" s="182">
        <v>3.4787499999999998</v>
      </c>
      <c r="M15" s="181">
        <v>202.5</v>
      </c>
      <c r="N15" s="183">
        <v>2.6</v>
      </c>
      <c r="O15" s="141" t="s">
        <v>1074</v>
      </c>
    </row>
    <row r="16" spans="2:15" x14ac:dyDescent="0.2">
      <c r="B16" s="155" t="s">
        <v>870</v>
      </c>
      <c r="C16" s="156" t="s">
        <v>542</v>
      </c>
      <c r="D16" s="156" t="s">
        <v>1082</v>
      </c>
      <c r="E16" s="155" t="s">
        <v>581</v>
      </c>
      <c r="F16" s="157">
        <v>180</v>
      </c>
      <c r="G16" s="157">
        <v>27</v>
      </c>
      <c r="H16" s="157">
        <v>207</v>
      </c>
      <c r="I16" s="157">
        <v>539.29999999999995</v>
      </c>
      <c r="J16" s="157">
        <v>332.3</v>
      </c>
      <c r="K16" s="181">
        <v>61.616910810309669</v>
      </c>
      <c r="L16" s="182">
        <v>2.9961111111111109</v>
      </c>
      <c r="M16" s="181">
        <v>160.53140096618361</v>
      </c>
      <c r="N16" s="183">
        <v>3.5</v>
      </c>
      <c r="O16" s="175" t="s">
        <v>1076</v>
      </c>
    </row>
    <row r="17" spans="2:15" x14ac:dyDescent="0.2">
      <c r="B17" s="155" t="s">
        <v>871</v>
      </c>
      <c r="C17" s="156" t="s">
        <v>545</v>
      </c>
      <c r="D17" s="156" t="s">
        <v>1083</v>
      </c>
      <c r="E17" s="155" t="s">
        <v>581</v>
      </c>
      <c r="F17" s="157">
        <v>140</v>
      </c>
      <c r="G17" s="157">
        <v>21</v>
      </c>
      <c r="H17" s="157">
        <v>161</v>
      </c>
      <c r="I17" s="157">
        <v>399.2</v>
      </c>
      <c r="J17" s="157">
        <v>238.2</v>
      </c>
      <c r="K17" s="181">
        <v>59.669338677354709</v>
      </c>
      <c r="L17" s="182">
        <v>2.851428571428571</v>
      </c>
      <c r="M17" s="181">
        <v>147.9503105590062</v>
      </c>
      <c r="N17" s="183">
        <v>3.6</v>
      </c>
      <c r="O17" s="175" t="s">
        <v>1076</v>
      </c>
    </row>
    <row r="18" spans="2:15" x14ac:dyDescent="0.2">
      <c r="B18" s="155" t="s">
        <v>872</v>
      </c>
      <c r="C18" s="156" t="s">
        <v>547</v>
      </c>
      <c r="D18" s="156" t="s">
        <v>548</v>
      </c>
      <c r="E18" s="155" t="s">
        <v>582</v>
      </c>
      <c r="F18" s="157">
        <v>160</v>
      </c>
      <c r="G18" s="157">
        <v>24</v>
      </c>
      <c r="H18" s="157">
        <v>184</v>
      </c>
      <c r="I18" s="157">
        <v>487.1</v>
      </c>
      <c r="J18" s="157">
        <v>303.10000000000002</v>
      </c>
      <c r="K18" s="181">
        <v>62.225415725723678</v>
      </c>
      <c r="L18" s="182">
        <v>3.0443750000000001</v>
      </c>
      <c r="M18" s="181">
        <v>164.72826086956519</v>
      </c>
      <c r="N18" s="183">
        <v>3.8</v>
      </c>
      <c r="O18" s="150" t="s">
        <v>1078</v>
      </c>
    </row>
    <row r="19" spans="2:15" x14ac:dyDescent="0.2">
      <c r="B19" s="548" t="s">
        <v>1084</v>
      </c>
      <c r="C19" s="468"/>
      <c r="D19" s="468"/>
      <c r="E19" s="184"/>
      <c r="F19" s="147">
        <v>1850</v>
      </c>
      <c r="G19" s="147">
        <v>277.5</v>
      </c>
      <c r="H19" s="147">
        <v>2127.5</v>
      </c>
      <c r="I19" s="147">
        <v>5594.9000000000005</v>
      </c>
      <c r="J19" s="147">
        <v>3467.4</v>
      </c>
      <c r="K19" s="185">
        <v>61.974298021412352</v>
      </c>
      <c r="L19" s="186">
        <v>3.0242702702702711</v>
      </c>
      <c r="M19" s="185">
        <v>162.98002350176259</v>
      </c>
      <c r="N19" s="187">
        <v>3.3333333333333339</v>
      </c>
      <c r="O19" s="184"/>
    </row>
    <row r="22" spans="2:15" x14ac:dyDescent="0.2">
      <c r="B22" s="547" t="s">
        <v>1085</v>
      </c>
      <c r="C22" s="468"/>
      <c r="D22" s="468"/>
      <c r="E22" s="468"/>
      <c r="F22" s="468"/>
      <c r="G22" s="468"/>
      <c r="H22" s="468"/>
      <c r="I22" s="468"/>
      <c r="J22" s="468"/>
      <c r="K22" s="468"/>
      <c r="L22" s="468"/>
      <c r="M22" s="468"/>
      <c r="N22" s="468"/>
      <c r="O22" s="468"/>
    </row>
    <row r="23" spans="2:15" x14ac:dyDescent="0.2">
      <c r="B23" s="546" t="s">
        <v>1086</v>
      </c>
      <c r="C23" s="468"/>
      <c r="D23" s="468"/>
      <c r="E23" s="468"/>
      <c r="F23" s="544" t="s">
        <v>1087</v>
      </c>
      <c r="G23" s="468"/>
      <c r="H23" s="468"/>
      <c r="I23" s="468"/>
      <c r="J23" s="468"/>
      <c r="K23" s="468"/>
      <c r="L23" s="468"/>
      <c r="M23" s="468"/>
      <c r="N23" s="468"/>
      <c r="O23" s="468"/>
    </row>
    <row r="24" spans="2:15" x14ac:dyDescent="0.2">
      <c r="B24" s="546" t="s">
        <v>1088</v>
      </c>
      <c r="C24" s="468"/>
      <c r="D24" s="468"/>
      <c r="E24" s="468"/>
      <c r="F24" s="544" t="s">
        <v>1089</v>
      </c>
      <c r="G24" s="468"/>
      <c r="H24" s="468"/>
      <c r="I24" s="468"/>
      <c r="J24" s="468"/>
      <c r="K24" s="468"/>
      <c r="L24" s="468"/>
      <c r="M24" s="468"/>
      <c r="N24" s="468"/>
      <c r="O24" s="468"/>
    </row>
    <row r="25" spans="2:15" x14ac:dyDescent="0.2">
      <c r="B25" s="546" t="s">
        <v>1090</v>
      </c>
      <c r="C25" s="468"/>
      <c r="D25" s="468"/>
      <c r="E25" s="468"/>
      <c r="F25" s="544" t="s">
        <v>1091</v>
      </c>
      <c r="G25" s="468"/>
      <c r="H25" s="468"/>
      <c r="I25" s="468"/>
      <c r="J25" s="468"/>
      <c r="K25" s="468"/>
      <c r="L25" s="468"/>
      <c r="M25" s="468"/>
      <c r="N25" s="468"/>
      <c r="O25" s="468"/>
    </row>
    <row r="26" spans="2:15" x14ac:dyDescent="0.2">
      <c r="B26" s="546" t="s">
        <v>1092</v>
      </c>
      <c r="C26" s="468"/>
      <c r="D26" s="468"/>
      <c r="E26" s="468"/>
      <c r="F26" s="544" t="s">
        <v>1093</v>
      </c>
      <c r="G26" s="468"/>
      <c r="H26" s="468"/>
      <c r="I26" s="468"/>
      <c r="J26" s="468"/>
      <c r="K26" s="468"/>
      <c r="L26" s="468"/>
      <c r="M26" s="468"/>
      <c r="N26" s="468"/>
      <c r="O26" s="468"/>
    </row>
    <row r="27" spans="2:15" x14ac:dyDescent="0.2">
      <c r="B27" s="546" t="s">
        <v>1094</v>
      </c>
      <c r="C27" s="468"/>
      <c r="D27" s="468"/>
      <c r="E27" s="468"/>
      <c r="F27" s="544" t="s">
        <v>1095</v>
      </c>
      <c r="G27" s="468"/>
      <c r="H27" s="468"/>
      <c r="I27" s="468"/>
      <c r="J27" s="468"/>
      <c r="K27" s="468"/>
      <c r="L27" s="468"/>
      <c r="M27" s="468"/>
      <c r="N27" s="468"/>
      <c r="O27" s="468"/>
    </row>
    <row r="28" spans="2:15" x14ac:dyDescent="0.2">
      <c r="B28" s="546" t="s">
        <v>1096</v>
      </c>
      <c r="C28" s="468"/>
      <c r="D28" s="468"/>
      <c r="E28" s="468"/>
      <c r="F28" s="544" t="s">
        <v>1097</v>
      </c>
      <c r="G28" s="468"/>
      <c r="H28" s="468"/>
      <c r="I28" s="468"/>
      <c r="J28" s="468"/>
      <c r="K28" s="468"/>
      <c r="L28" s="468"/>
      <c r="M28" s="468"/>
      <c r="N28" s="468"/>
      <c r="O28" s="468"/>
    </row>
    <row r="29" spans="2:15" x14ac:dyDescent="0.2">
      <c r="B29" s="546" t="s">
        <v>1098</v>
      </c>
      <c r="C29" s="468"/>
      <c r="D29" s="468"/>
      <c r="E29" s="468"/>
      <c r="F29" s="544" t="s">
        <v>1099</v>
      </c>
      <c r="G29" s="468"/>
      <c r="H29" s="468"/>
      <c r="I29" s="468"/>
      <c r="J29" s="468"/>
      <c r="K29" s="468"/>
      <c r="L29" s="468"/>
      <c r="M29" s="468"/>
      <c r="N29" s="468"/>
      <c r="O29" s="468"/>
    </row>
    <row r="30" spans="2:15" x14ac:dyDescent="0.2">
      <c r="B30" s="546" t="s">
        <v>1100</v>
      </c>
      <c r="C30" s="468"/>
      <c r="D30" s="468"/>
      <c r="E30" s="468"/>
      <c r="F30" s="544" t="s">
        <v>1101</v>
      </c>
      <c r="G30" s="468"/>
      <c r="H30" s="468"/>
      <c r="I30" s="468"/>
      <c r="J30" s="468"/>
      <c r="K30" s="468"/>
      <c r="L30" s="468"/>
      <c r="M30" s="468"/>
      <c r="N30" s="468"/>
      <c r="O30" s="468"/>
    </row>
  </sheetData>
  <mergeCells count="20"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  <mergeCell ref="F28:O28"/>
    <mergeCell ref="B4:O4"/>
    <mergeCell ref="F27:O27"/>
  </mergeCells>
  <printOptions horizontalCentered="1"/>
  <pageMargins left="0.59" right="0.59" top="0.59" bottom="0.59" header="0.3" footer="0.3"/>
  <pageSetup paperSize="8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J50"/>
  <sheetViews>
    <sheetView workbookViewId="0">
      <pane xSplit="3" ySplit="6" topLeftCell="D7" activePane="bottomRight" state="frozen"/>
      <selection pane="topRight"/>
      <selection pane="bottomLeft"/>
      <selection pane="bottomRight" activeCell="H25" sqref="H25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6" customWidth="1"/>
    <col min="4" max="10" width="13" customWidth="1"/>
  </cols>
  <sheetData>
    <row r="2" spans="2:10" x14ac:dyDescent="0.2">
      <c r="B2" s="545" t="s">
        <v>1102</v>
      </c>
      <c r="C2" s="468"/>
      <c r="D2" s="468"/>
      <c r="E2" s="468"/>
      <c r="F2" s="468"/>
      <c r="G2" s="468"/>
      <c r="H2" s="468"/>
      <c r="I2" s="468"/>
      <c r="J2" s="468"/>
    </row>
    <row r="3" spans="2:10" x14ac:dyDescent="0.2">
      <c r="B3" s="468"/>
      <c r="C3" s="468"/>
      <c r="D3" s="468"/>
      <c r="E3" s="468"/>
      <c r="F3" s="468"/>
      <c r="G3" s="468"/>
      <c r="H3" s="468"/>
      <c r="I3" s="468"/>
      <c r="J3" s="468"/>
    </row>
    <row r="4" spans="2:10" x14ac:dyDescent="0.2">
      <c r="B4" s="528" t="s">
        <v>1103</v>
      </c>
      <c r="C4" s="468"/>
      <c r="D4" s="468"/>
      <c r="E4" s="468"/>
      <c r="F4" s="468"/>
      <c r="G4" s="468"/>
      <c r="H4" s="468"/>
      <c r="I4" s="468"/>
      <c r="J4" s="468"/>
    </row>
    <row r="6" spans="2:10" ht="24" customHeight="1" x14ac:dyDescent="0.2">
      <c r="B6" s="126" t="s">
        <v>61</v>
      </c>
      <c r="C6" s="126" t="s">
        <v>1104</v>
      </c>
      <c r="D6" s="126" t="s">
        <v>403</v>
      </c>
      <c r="E6" s="126" t="s">
        <v>404</v>
      </c>
      <c r="F6" s="126" t="s">
        <v>405</v>
      </c>
      <c r="G6" s="126" t="s">
        <v>1105</v>
      </c>
      <c r="H6" s="126" t="s">
        <v>1106</v>
      </c>
      <c r="I6" s="126" t="s">
        <v>1107</v>
      </c>
      <c r="J6" s="126" t="s">
        <v>1108</v>
      </c>
    </row>
    <row r="7" spans="2:10" x14ac:dyDescent="0.2">
      <c r="B7" s="547" t="s">
        <v>1109</v>
      </c>
      <c r="C7" s="468"/>
      <c r="D7" s="468"/>
      <c r="E7" s="468"/>
      <c r="F7" s="468"/>
      <c r="G7" s="468"/>
      <c r="H7" s="468"/>
      <c r="I7" s="468"/>
      <c r="J7" s="468"/>
    </row>
    <row r="8" spans="2:10" x14ac:dyDescent="0.2">
      <c r="B8" s="155" t="s">
        <v>585</v>
      </c>
      <c r="C8" s="162" t="s">
        <v>1110</v>
      </c>
      <c r="D8" s="157">
        <v>385</v>
      </c>
      <c r="E8" s="157">
        <v>1665</v>
      </c>
      <c r="F8" s="157">
        <v>2495</v>
      </c>
      <c r="G8" s="179">
        <v>4545</v>
      </c>
      <c r="H8" s="157">
        <v>1050</v>
      </c>
      <c r="I8" s="157">
        <v>5595</v>
      </c>
      <c r="J8" s="188" t="s">
        <v>1111</v>
      </c>
    </row>
    <row r="9" spans="2:10" x14ac:dyDescent="0.2">
      <c r="B9" s="155" t="s">
        <v>587</v>
      </c>
      <c r="C9" s="162" t="s">
        <v>1112</v>
      </c>
      <c r="D9" s="189" t="s">
        <v>401</v>
      </c>
      <c r="E9" s="189" t="s">
        <v>1113</v>
      </c>
      <c r="F9" s="189" t="s">
        <v>1114</v>
      </c>
      <c r="G9" s="190" t="s">
        <v>1115</v>
      </c>
      <c r="H9" s="189" t="s">
        <v>401</v>
      </c>
      <c r="I9" s="189" t="s">
        <v>401</v>
      </c>
      <c r="J9" s="188" t="s">
        <v>1111</v>
      </c>
    </row>
    <row r="10" spans="2:10" x14ac:dyDescent="0.2">
      <c r="B10" s="155" t="s">
        <v>589</v>
      </c>
      <c r="C10" s="162" t="s">
        <v>1116</v>
      </c>
      <c r="D10" s="176">
        <v>1</v>
      </c>
      <c r="E10" s="176">
        <v>5</v>
      </c>
      <c r="F10" s="176">
        <v>6</v>
      </c>
      <c r="G10" s="191">
        <v>12</v>
      </c>
      <c r="H10" s="176">
        <v>0</v>
      </c>
      <c r="I10" s="176">
        <v>12</v>
      </c>
      <c r="J10" s="188" t="s">
        <v>1111</v>
      </c>
    </row>
    <row r="11" spans="2:10" x14ac:dyDescent="0.2">
      <c r="B11" s="155" t="s">
        <v>591</v>
      </c>
      <c r="C11" s="162" t="s">
        <v>1117</v>
      </c>
      <c r="D11" s="157">
        <v>150</v>
      </c>
      <c r="E11" s="157">
        <v>168</v>
      </c>
      <c r="F11" s="157">
        <v>143.30000000000001</v>
      </c>
      <c r="G11" s="179">
        <v>154.19999999999999</v>
      </c>
      <c r="H11" s="189" t="s">
        <v>401</v>
      </c>
      <c r="I11" s="157">
        <v>154.19999999999999</v>
      </c>
      <c r="J11" s="188" t="s">
        <v>1111</v>
      </c>
    </row>
    <row r="13" spans="2:10" x14ac:dyDescent="0.2">
      <c r="B13" s="547" t="s">
        <v>1118</v>
      </c>
      <c r="C13" s="468"/>
      <c r="D13" s="468"/>
      <c r="E13" s="468"/>
      <c r="F13" s="468"/>
      <c r="G13" s="468"/>
      <c r="H13" s="468"/>
      <c r="I13" s="468"/>
      <c r="J13" s="468"/>
    </row>
    <row r="14" spans="2:10" x14ac:dyDescent="0.2">
      <c r="B14" s="155" t="s">
        <v>604</v>
      </c>
      <c r="C14" s="162" t="s">
        <v>1119</v>
      </c>
      <c r="D14" s="157">
        <v>58.3</v>
      </c>
      <c r="E14" s="157">
        <v>987.7</v>
      </c>
      <c r="F14" s="157">
        <v>1121.4000000000001</v>
      </c>
      <c r="G14" s="179">
        <v>2167.4</v>
      </c>
      <c r="H14" s="157">
        <v>850</v>
      </c>
      <c r="I14" s="157">
        <v>3017.4</v>
      </c>
      <c r="J14" s="188" t="s">
        <v>1111</v>
      </c>
    </row>
    <row r="15" spans="2:10" x14ac:dyDescent="0.2">
      <c r="B15" s="155" t="s">
        <v>606</v>
      </c>
      <c r="C15" s="162" t="s">
        <v>641</v>
      </c>
      <c r="D15" s="181">
        <v>15.14</v>
      </c>
      <c r="E15" s="181">
        <v>59.32</v>
      </c>
      <c r="F15" s="181">
        <v>44.95</v>
      </c>
      <c r="G15" s="192">
        <v>47.69</v>
      </c>
      <c r="H15" s="181">
        <v>80.95</v>
      </c>
      <c r="I15" s="181">
        <v>53.93</v>
      </c>
      <c r="J15" s="188" t="s">
        <v>1111</v>
      </c>
    </row>
    <row r="16" spans="2:10" x14ac:dyDescent="0.2">
      <c r="B16" s="155" t="s">
        <v>607</v>
      </c>
      <c r="C16" s="162" t="s">
        <v>1120</v>
      </c>
      <c r="D16" s="189" t="s">
        <v>401</v>
      </c>
      <c r="E16" s="189" t="s">
        <v>401</v>
      </c>
      <c r="F16" s="189" t="s">
        <v>401</v>
      </c>
      <c r="G16" s="179">
        <v>3000</v>
      </c>
      <c r="H16" s="189" t="s">
        <v>401</v>
      </c>
      <c r="I16" s="157">
        <v>3000</v>
      </c>
      <c r="J16" s="188" t="s">
        <v>1111</v>
      </c>
    </row>
    <row r="17" spans="2:10" x14ac:dyDescent="0.2">
      <c r="B17" s="155" t="s">
        <v>609</v>
      </c>
      <c r="C17" s="162" t="s">
        <v>34</v>
      </c>
      <c r="D17" s="157">
        <v>21.9</v>
      </c>
      <c r="E17" s="157">
        <v>783</v>
      </c>
      <c r="F17" s="157">
        <v>892.7</v>
      </c>
      <c r="G17" s="179">
        <v>1697.6</v>
      </c>
      <c r="H17" s="157">
        <v>-70.400000000000006</v>
      </c>
      <c r="I17" s="157">
        <v>1627.2</v>
      </c>
      <c r="J17" s="188" t="s">
        <v>1111</v>
      </c>
    </row>
    <row r="18" spans="2:10" x14ac:dyDescent="0.2">
      <c r="B18" s="155" t="s">
        <v>918</v>
      </c>
      <c r="C18" s="162" t="s">
        <v>1121</v>
      </c>
      <c r="D18" s="181">
        <v>5.68</v>
      </c>
      <c r="E18" s="181">
        <v>47.03</v>
      </c>
      <c r="F18" s="181">
        <v>35.78</v>
      </c>
      <c r="G18" s="192">
        <v>37.35</v>
      </c>
      <c r="H18" s="181">
        <v>-6.71</v>
      </c>
      <c r="I18" s="181">
        <v>29.08</v>
      </c>
      <c r="J18" s="188" t="s">
        <v>1111</v>
      </c>
    </row>
    <row r="20" spans="2:10" x14ac:dyDescent="0.2">
      <c r="B20" s="547" t="s">
        <v>1122</v>
      </c>
      <c r="C20" s="468"/>
      <c r="D20" s="468"/>
      <c r="E20" s="468"/>
      <c r="F20" s="468"/>
      <c r="G20" s="468"/>
      <c r="H20" s="468"/>
      <c r="I20" s="468"/>
      <c r="J20" s="468"/>
    </row>
    <row r="21" spans="2:10" x14ac:dyDescent="0.2">
      <c r="B21" s="155" t="s">
        <v>612</v>
      </c>
      <c r="C21" s="162" t="s">
        <v>1123</v>
      </c>
      <c r="D21" s="189" t="s">
        <v>401</v>
      </c>
      <c r="E21" s="189" t="s">
        <v>401</v>
      </c>
      <c r="F21" s="189" t="s">
        <v>401</v>
      </c>
      <c r="G21" s="190" t="s">
        <v>1124</v>
      </c>
      <c r="H21" s="189" t="s">
        <v>401</v>
      </c>
      <c r="I21" s="189" t="s">
        <v>401</v>
      </c>
      <c r="J21" s="188" t="s">
        <v>1111</v>
      </c>
    </row>
    <row r="22" spans="2:10" x14ac:dyDescent="0.2">
      <c r="B22" s="155" t="s">
        <v>614</v>
      </c>
      <c r="C22" s="162" t="s">
        <v>1125</v>
      </c>
      <c r="D22" s="189" t="s">
        <v>401</v>
      </c>
      <c r="E22" s="189" t="s">
        <v>401</v>
      </c>
      <c r="F22" s="189" t="s">
        <v>401</v>
      </c>
      <c r="G22" s="190" t="s">
        <v>1126</v>
      </c>
      <c r="H22" s="189" t="s">
        <v>1127</v>
      </c>
      <c r="I22" s="189" t="s">
        <v>1128</v>
      </c>
      <c r="J22" s="188" t="s">
        <v>1111</v>
      </c>
    </row>
    <row r="23" spans="2:10" ht="30" x14ac:dyDescent="0.2">
      <c r="B23" s="155" t="s">
        <v>616</v>
      </c>
      <c r="C23" s="162" t="s">
        <v>1129</v>
      </c>
      <c r="D23" s="189" t="s">
        <v>401</v>
      </c>
      <c r="E23" s="189" t="s">
        <v>401</v>
      </c>
      <c r="F23" s="189" t="s">
        <v>401</v>
      </c>
      <c r="G23" s="190" t="s">
        <v>1130</v>
      </c>
      <c r="H23" s="189" t="s">
        <v>401</v>
      </c>
      <c r="I23" s="189" t="s">
        <v>401</v>
      </c>
      <c r="J23" s="188" t="s">
        <v>1131</v>
      </c>
    </row>
    <row r="24" spans="2:10" x14ac:dyDescent="0.2">
      <c r="B24" s="155" t="s">
        <v>618</v>
      </c>
      <c r="C24" s="162" t="s">
        <v>1132</v>
      </c>
      <c r="D24" s="189" t="s">
        <v>401</v>
      </c>
      <c r="E24" s="189" t="s">
        <v>401</v>
      </c>
      <c r="F24" s="189" t="s">
        <v>401</v>
      </c>
      <c r="G24" s="190" t="s">
        <v>1133</v>
      </c>
      <c r="H24" s="189" t="s">
        <v>401</v>
      </c>
      <c r="I24" s="189" t="s">
        <v>1134</v>
      </c>
      <c r="J24" s="188" t="s">
        <v>1111</v>
      </c>
    </row>
    <row r="25" spans="2:10" ht="60" x14ac:dyDescent="0.2">
      <c r="B25" s="155" t="s">
        <v>620</v>
      </c>
      <c r="C25" s="162" t="s">
        <v>1135</v>
      </c>
      <c r="D25" s="189" t="s">
        <v>401</v>
      </c>
      <c r="E25" s="189" t="s">
        <v>401</v>
      </c>
      <c r="F25" s="189" t="s">
        <v>401</v>
      </c>
      <c r="G25" s="190" t="s">
        <v>1136</v>
      </c>
      <c r="H25" s="189" t="s">
        <v>401</v>
      </c>
      <c r="I25" s="189" t="s">
        <v>1136</v>
      </c>
      <c r="J25" s="188" t="s">
        <v>1137</v>
      </c>
    </row>
    <row r="26" spans="2:10" x14ac:dyDescent="0.2">
      <c r="B26" s="155" t="s">
        <v>622</v>
      </c>
      <c r="C26" s="162" t="s">
        <v>1138</v>
      </c>
      <c r="D26" s="189" t="s">
        <v>401</v>
      </c>
      <c r="E26" s="189" t="s">
        <v>401</v>
      </c>
      <c r="F26" s="189" t="s">
        <v>401</v>
      </c>
      <c r="G26" s="190" t="s">
        <v>401</v>
      </c>
      <c r="H26" s="189" t="s">
        <v>401</v>
      </c>
      <c r="I26" s="189" t="s">
        <v>1139</v>
      </c>
      <c r="J26" s="180" t="s">
        <v>1140</v>
      </c>
    </row>
    <row r="28" spans="2:10" x14ac:dyDescent="0.2">
      <c r="B28" s="547" t="s">
        <v>1141</v>
      </c>
      <c r="C28" s="468"/>
      <c r="D28" s="468"/>
      <c r="E28" s="468"/>
      <c r="F28" s="468"/>
      <c r="G28" s="468"/>
      <c r="H28" s="468"/>
      <c r="I28" s="468"/>
      <c r="J28" s="468"/>
    </row>
    <row r="29" spans="2:10" x14ac:dyDescent="0.2">
      <c r="B29" s="155" t="s">
        <v>625</v>
      </c>
      <c r="C29" s="162" t="s">
        <v>1142</v>
      </c>
      <c r="D29" s="157">
        <v>250</v>
      </c>
      <c r="E29" s="157">
        <v>950</v>
      </c>
      <c r="F29" s="157">
        <v>1250</v>
      </c>
      <c r="G29" s="179">
        <v>1250</v>
      </c>
      <c r="H29" s="189" t="s">
        <v>401</v>
      </c>
      <c r="I29" s="157">
        <v>1250</v>
      </c>
      <c r="J29" s="188" t="s">
        <v>1111</v>
      </c>
    </row>
    <row r="30" spans="2:10" x14ac:dyDescent="0.2">
      <c r="B30" s="155" t="s">
        <v>627</v>
      </c>
      <c r="C30" s="162" t="s">
        <v>1143</v>
      </c>
      <c r="D30" s="189" t="s">
        <v>401</v>
      </c>
      <c r="E30" s="189" t="s">
        <v>401</v>
      </c>
      <c r="F30" s="189" t="s">
        <v>3141</v>
      </c>
      <c r="G30" s="190" t="s">
        <v>3141</v>
      </c>
      <c r="H30" s="189" t="s">
        <v>3142</v>
      </c>
      <c r="I30" s="189" t="s">
        <v>3142</v>
      </c>
      <c r="J30" s="188" t="s">
        <v>1111</v>
      </c>
    </row>
    <row r="31" spans="2:10" x14ac:dyDescent="0.2">
      <c r="B31" s="155" t="s">
        <v>629</v>
      </c>
      <c r="C31" s="162" t="s">
        <v>1144</v>
      </c>
      <c r="D31" s="157">
        <v>1.5</v>
      </c>
      <c r="E31" s="157">
        <v>6</v>
      </c>
      <c r="F31" s="157">
        <v>5</v>
      </c>
      <c r="G31" s="179">
        <v>12.5</v>
      </c>
      <c r="H31" s="157">
        <v>2.5</v>
      </c>
      <c r="I31" s="157">
        <v>15</v>
      </c>
      <c r="J31" s="188" t="s">
        <v>1111</v>
      </c>
    </row>
    <row r="32" spans="2:10" x14ac:dyDescent="0.2">
      <c r="B32" s="155" t="s">
        <v>631</v>
      </c>
      <c r="C32" s="162" t="s">
        <v>1145</v>
      </c>
      <c r="D32" s="193">
        <v>33.299999999999997</v>
      </c>
      <c r="E32" s="193">
        <v>106.7</v>
      </c>
      <c r="F32" s="193">
        <v>292.39999999999998</v>
      </c>
      <c r="G32" s="194">
        <v>172.2</v>
      </c>
      <c r="H32" s="189" t="s">
        <v>401</v>
      </c>
      <c r="I32" s="189" t="s">
        <v>401</v>
      </c>
      <c r="J32" s="188" t="s">
        <v>1111</v>
      </c>
    </row>
    <row r="33" spans="2:10" x14ac:dyDescent="0.2">
      <c r="B33" s="155" t="s">
        <v>633</v>
      </c>
      <c r="C33" s="162" t="s">
        <v>1146</v>
      </c>
      <c r="D33" s="189" t="s">
        <v>401</v>
      </c>
      <c r="E33" s="189" t="s">
        <v>401</v>
      </c>
      <c r="F33" s="189" t="s">
        <v>1147</v>
      </c>
      <c r="G33" s="190" t="s">
        <v>1147</v>
      </c>
      <c r="H33" s="189" t="s">
        <v>401</v>
      </c>
      <c r="I33" s="189" t="s">
        <v>401</v>
      </c>
      <c r="J33" s="188" t="s">
        <v>1111</v>
      </c>
    </row>
    <row r="35" spans="2:10" x14ac:dyDescent="0.2">
      <c r="B35" s="547" t="s">
        <v>1148</v>
      </c>
      <c r="C35" s="468"/>
      <c r="D35" s="468"/>
      <c r="E35" s="468"/>
      <c r="F35" s="468"/>
      <c r="G35" s="468"/>
      <c r="H35" s="468"/>
      <c r="I35" s="468"/>
      <c r="J35" s="468"/>
    </row>
    <row r="36" spans="2:10" x14ac:dyDescent="0.2">
      <c r="B36" s="155" t="s">
        <v>638</v>
      </c>
      <c r="C36" s="162" t="s">
        <v>1149</v>
      </c>
      <c r="D36" s="157">
        <v>377.7</v>
      </c>
      <c r="E36" s="157">
        <v>755.4</v>
      </c>
      <c r="F36" s="157">
        <v>613.70000000000005</v>
      </c>
      <c r="G36" s="179">
        <v>1746.8</v>
      </c>
      <c r="H36" s="157">
        <v>0</v>
      </c>
      <c r="I36" s="157">
        <v>1746.8</v>
      </c>
      <c r="J36" s="188" t="s">
        <v>1111</v>
      </c>
    </row>
    <row r="37" spans="2:10" x14ac:dyDescent="0.2">
      <c r="B37" s="155" t="s">
        <v>640</v>
      </c>
      <c r="C37" s="162" t="s">
        <v>1150</v>
      </c>
      <c r="D37" s="157">
        <v>17.899999999999999</v>
      </c>
      <c r="E37" s="157">
        <v>114.7</v>
      </c>
      <c r="F37" s="157">
        <v>129.4</v>
      </c>
      <c r="G37" s="179">
        <v>262</v>
      </c>
      <c r="H37" s="189" t="s">
        <v>401</v>
      </c>
      <c r="I37" s="157">
        <v>262</v>
      </c>
      <c r="J37" s="188" t="s">
        <v>1111</v>
      </c>
    </row>
    <row r="38" spans="2:10" x14ac:dyDescent="0.2">
      <c r="B38" s="155" t="s">
        <v>642</v>
      </c>
      <c r="C38" s="162" t="s">
        <v>3143</v>
      </c>
      <c r="D38" s="157">
        <v>100.2</v>
      </c>
      <c r="E38" s="157">
        <v>108.2</v>
      </c>
      <c r="F38" s="157">
        <v>116.8</v>
      </c>
      <c r="G38" s="179">
        <v>325.10000000000002</v>
      </c>
      <c r="H38" s="189">
        <v>568.5</v>
      </c>
      <c r="I38" s="157">
        <v>893.6</v>
      </c>
      <c r="J38" s="188" t="s">
        <v>1111</v>
      </c>
    </row>
    <row r="39" spans="2:10" x14ac:dyDescent="0.2">
      <c r="B39" s="155" t="s">
        <v>1151</v>
      </c>
      <c r="C39" s="162" t="s">
        <v>1152</v>
      </c>
      <c r="D39" s="189" t="s">
        <v>401</v>
      </c>
      <c r="E39" s="189" t="s">
        <v>401</v>
      </c>
      <c r="F39" s="189" t="s">
        <v>401</v>
      </c>
      <c r="G39" s="190" t="s">
        <v>1153</v>
      </c>
      <c r="H39" s="189" t="s">
        <v>401</v>
      </c>
      <c r="I39" s="189" t="s">
        <v>1154</v>
      </c>
      <c r="J39" s="188" t="s">
        <v>1111</v>
      </c>
    </row>
    <row r="40" spans="2:10" x14ac:dyDescent="0.2">
      <c r="B40" s="155" t="s">
        <v>1155</v>
      </c>
      <c r="C40" s="162" t="s">
        <v>1156</v>
      </c>
      <c r="D40" s="189" t="s">
        <v>401</v>
      </c>
      <c r="E40" s="189" t="s">
        <v>401</v>
      </c>
      <c r="F40" s="189" t="s">
        <v>401</v>
      </c>
      <c r="G40" s="190" t="s">
        <v>1157</v>
      </c>
      <c r="H40" s="189" t="s">
        <v>401</v>
      </c>
      <c r="I40" s="189" t="s">
        <v>401</v>
      </c>
      <c r="J40" s="188" t="s">
        <v>1111</v>
      </c>
    </row>
    <row r="43" spans="2:10" x14ac:dyDescent="0.2">
      <c r="B43" s="547" t="s">
        <v>1158</v>
      </c>
      <c r="C43" s="468"/>
      <c r="D43" s="468"/>
      <c r="E43" s="468"/>
      <c r="F43" s="468"/>
      <c r="G43" s="468"/>
      <c r="H43" s="468"/>
      <c r="I43" s="468"/>
      <c r="J43" s="468"/>
    </row>
    <row r="44" spans="2:10" ht="26" x14ac:dyDescent="0.2">
      <c r="B44" s="126" t="s">
        <v>488</v>
      </c>
      <c r="C44" s="126" t="s">
        <v>1159</v>
      </c>
      <c r="D44" s="126" t="s">
        <v>1160</v>
      </c>
      <c r="E44" s="126" t="s">
        <v>1161</v>
      </c>
      <c r="F44" s="126" t="s">
        <v>1162</v>
      </c>
      <c r="G44" s="126" t="s">
        <v>1163</v>
      </c>
      <c r="H44" s="126" t="s">
        <v>1164</v>
      </c>
      <c r="I44" s="126" t="s">
        <v>1165</v>
      </c>
      <c r="J44" s="126" t="s">
        <v>1166</v>
      </c>
    </row>
    <row r="45" spans="2:10" x14ac:dyDescent="0.2">
      <c r="B45" s="195" t="s">
        <v>1167</v>
      </c>
      <c r="C45" s="152">
        <v>1872</v>
      </c>
      <c r="D45" s="152">
        <v>1625</v>
      </c>
      <c r="E45" s="152">
        <v>1800</v>
      </c>
      <c r="F45" s="152">
        <v>1274</v>
      </c>
      <c r="G45" s="196" t="s">
        <v>1168</v>
      </c>
      <c r="H45" s="196" t="s">
        <v>1169</v>
      </c>
      <c r="I45" s="196" t="s">
        <v>1170</v>
      </c>
      <c r="J45" s="152">
        <v>4840</v>
      </c>
    </row>
    <row r="46" spans="2:10" x14ac:dyDescent="0.2">
      <c r="B46" s="188" t="s">
        <v>1111</v>
      </c>
      <c r="C46" s="179">
        <v>2495</v>
      </c>
      <c r="D46" s="179">
        <v>2167</v>
      </c>
      <c r="E46" s="179">
        <v>3000</v>
      </c>
      <c r="F46" s="179">
        <v>1698</v>
      </c>
      <c r="G46" s="197" t="s">
        <v>1130</v>
      </c>
      <c r="H46" s="197" t="s">
        <v>1134</v>
      </c>
      <c r="I46" s="197" t="s">
        <v>1171</v>
      </c>
      <c r="J46" s="179">
        <v>10760</v>
      </c>
    </row>
    <row r="47" spans="2:10" x14ac:dyDescent="0.2">
      <c r="B47" s="180" t="s">
        <v>1140</v>
      </c>
      <c r="C47" s="143">
        <v>3119</v>
      </c>
      <c r="D47" s="143">
        <v>2709</v>
      </c>
      <c r="E47" s="143">
        <v>4200</v>
      </c>
      <c r="F47" s="143">
        <v>2122</v>
      </c>
      <c r="G47" s="198" t="s">
        <v>1172</v>
      </c>
      <c r="H47" s="198" t="s">
        <v>1173</v>
      </c>
      <c r="I47" s="198" t="s">
        <v>1174</v>
      </c>
      <c r="J47" s="143">
        <v>18830</v>
      </c>
    </row>
    <row r="50" spans="2:10" x14ac:dyDescent="0.2">
      <c r="B50" s="541" t="s">
        <v>1175</v>
      </c>
      <c r="C50" s="468"/>
      <c r="D50" s="468"/>
      <c r="E50" s="468"/>
      <c r="F50" s="468"/>
      <c r="G50" s="468"/>
      <c r="H50" s="468"/>
      <c r="I50" s="468"/>
      <c r="J50" s="468"/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paperSize="8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N72"/>
  <sheetViews>
    <sheetView workbookViewId="0">
      <pane xSplit="3" ySplit="6" topLeftCell="D14" activePane="bottomRight" state="frozen"/>
      <selection pane="topRight"/>
      <selection pane="bottomLeft"/>
      <selection pane="bottomRight" activeCell="L29" sqref="L29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8" width="13" customWidth="1"/>
    <col min="9" max="9" width="14" customWidth="1"/>
    <col min="10" max="14" width="12" customWidth="1"/>
  </cols>
  <sheetData>
    <row r="2" spans="2:14" x14ac:dyDescent="0.2">
      <c r="B2" s="545" t="s">
        <v>1176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</row>
    <row r="3" spans="2:14" x14ac:dyDescent="0.2"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</row>
    <row r="4" spans="2:14" x14ac:dyDescent="0.2">
      <c r="B4" s="528" t="s">
        <v>1177</v>
      </c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</row>
    <row r="6" spans="2:14" x14ac:dyDescent="0.2">
      <c r="B6" s="547" t="s">
        <v>1178</v>
      </c>
      <c r="C6" s="468"/>
      <c r="D6" s="468"/>
      <c r="E6" s="468"/>
      <c r="F6" s="468"/>
      <c r="G6" s="468"/>
      <c r="H6" s="468"/>
      <c r="I6" s="468"/>
      <c r="J6" s="468"/>
      <c r="K6" s="468"/>
      <c r="L6" s="468"/>
      <c r="M6" s="468"/>
      <c r="N6" s="468"/>
    </row>
    <row r="7" spans="2:14" x14ac:dyDescent="0.2">
      <c r="B7" s="532" t="s">
        <v>1179</v>
      </c>
      <c r="C7" s="466"/>
      <c r="D7" s="199">
        <v>0.14499999999999999</v>
      </c>
    </row>
    <row r="8" spans="2:14" x14ac:dyDescent="0.2">
      <c r="B8" s="532" t="s">
        <v>1180</v>
      </c>
      <c r="C8" s="466"/>
      <c r="D8" s="200">
        <v>0.8</v>
      </c>
    </row>
    <row r="9" spans="2:14" x14ac:dyDescent="0.2">
      <c r="B9" s="532" t="s">
        <v>1181</v>
      </c>
      <c r="C9" s="466"/>
      <c r="D9" s="199">
        <v>7.0000000000000007E-2</v>
      </c>
    </row>
    <row r="10" spans="2:14" x14ac:dyDescent="0.2">
      <c r="B10" s="532" t="s">
        <v>1182</v>
      </c>
      <c r="C10" s="466"/>
      <c r="D10" s="199">
        <v>0.02</v>
      </c>
    </row>
    <row r="11" spans="2:14" x14ac:dyDescent="0.2">
      <c r="B11" s="532" t="s">
        <v>1183</v>
      </c>
      <c r="C11" s="466"/>
      <c r="D11" s="199">
        <v>0.01</v>
      </c>
    </row>
    <row r="12" spans="2:14" x14ac:dyDescent="0.2">
      <c r="B12" s="556" t="s">
        <v>1184</v>
      </c>
      <c r="C12" s="466"/>
      <c r="D12" s="199">
        <v>0.23100000000000001</v>
      </c>
    </row>
    <row r="13" spans="2:14" x14ac:dyDescent="0.2">
      <c r="B13" s="556" t="s">
        <v>1185</v>
      </c>
      <c r="C13" s="466"/>
      <c r="D13" s="199">
        <v>0.12</v>
      </c>
    </row>
    <row r="14" spans="2:14" x14ac:dyDescent="0.2">
      <c r="B14" s="556" t="s">
        <v>1186</v>
      </c>
      <c r="C14" s="466"/>
      <c r="D14" s="199">
        <v>9.6000000000000002E-2</v>
      </c>
    </row>
    <row r="15" spans="2:14" x14ac:dyDescent="0.2">
      <c r="B15" s="532" t="s">
        <v>1187</v>
      </c>
      <c r="C15" s="466"/>
      <c r="D15" s="199">
        <v>0.3</v>
      </c>
    </row>
    <row r="16" spans="2:14" x14ac:dyDescent="0.2">
      <c r="B16" s="532" t="s">
        <v>1188</v>
      </c>
      <c r="C16" s="466"/>
      <c r="D16" s="199">
        <v>0.7</v>
      </c>
    </row>
    <row r="17" spans="2:14" x14ac:dyDescent="0.2">
      <c r="B17" s="553" t="s">
        <v>1189</v>
      </c>
      <c r="C17" s="466"/>
      <c r="D17" s="202">
        <v>0.1905</v>
      </c>
    </row>
    <row r="20" spans="2:14" x14ac:dyDescent="0.2">
      <c r="B20" s="547" t="s">
        <v>1190</v>
      </c>
      <c r="C20" s="468"/>
      <c r="D20" s="468"/>
      <c r="E20" s="468"/>
      <c r="F20" s="468"/>
      <c r="G20" s="468"/>
      <c r="H20" s="468"/>
      <c r="I20" s="468"/>
      <c r="J20" s="468"/>
      <c r="K20" s="468"/>
      <c r="L20" s="468"/>
      <c r="M20" s="468"/>
      <c r="N20" s="468"/>
    </row>
    <row r="21" spans="2:14" x14ac:dyDescent="0.2">
      <c r="B21" s="126" t="s">
        <v>61</v>
      </c>
      <c r="C21" s="203" t="s">
        <v>1191</v>
      </c>
      <c r="D21" s="126">
        <v>2026</v>
      </c>
      <c r="E21" s="126">
        <v>2027</v>
      </c>
      <c r="F21" s="126">
        <v>2028</v>
      </c>
      <c r="G21" s="126">
        <v>2029</v>
      </c>
      <c r="H21" s="126">
        <v>2030</v>
      </c>
      <c r="I21" s="126" t="s">
        <v>1192</v>
      </c>
    </row>
    <row r="22" spans="2:14" x14ac:dyDescent="0.2">
      <c r="B22" s="155" t="s">
        <v>263</v>
      </c>
      <c r="C22" s="156" t="s">
        <v>490</v>
      </c>
      <c r="D22" s="157">
        <v>385</v>
      </c>
      <c r="E22" s="157">
        <v>1665</v>
      </c>
      <c r="F22" s="157">
        <v>2495</v>
      </c>
      <c r="G22" s="157">
        <v>2600</v>
      </c>
      <c r="H22" s="157">
        <v>2800</v>
      </c>
      <c r="I22" s="204">
        <v>9945</v>
      </c>
    </row>
    <row r="23" spans="2:14" x14ac:dyDescent="0.2">
      <c r="B23" s="155" t="s">
        <v>266</v>
      </c>
      <c r="C23" s="162" t="s">
        <v>491</v>
      </c>
      <c r="D23" s="157">
        <v>50.05</v>
      </c>
      <c r="E23" s="157">
        <v>639.36</v>
      </c>
      <c r="F23" s="157">
        <v>1462.07</v>
      </c>
      <c r="G23" s="157">
        <v>1040</v>
      </c>
      <c r="H23" s="157">
        <v>1120</v>
      </c>
      <c r="I23" s="204">
        <v>4311.4799999999996</v>
      </c>
    </row>
    <row r="24" spans="2:14" x14ac:dyDescent="0.2">
      <c r="B24" s="155" t="s">
        <v>269</v>
      </c>
      <c r="C24" s="156" t="s">
        <v>1193</v>
      </c>
      <c r="D24" s="157">
        <v>3</v>
      </c>
      <c r="E24" s="157">
        <v>3</v>
      </c>
      <c r="F24" s="157">
        <v>3</v>
      </c>
      <c r="G24" s="157">
        <v>500</v>
      </c>
      <c r="H24" s="157">
        <v>520</v>
      </c>
      <c r="I24" s="204">
        <v>1029</v>
      </c>
    </row>
    <row r="25" spans="2:14" x14ac:dyDescent="0.2">
      <c r="B25" s="155" t="s">
        <v>275</v>
      </c>
      <c r="C25" s="156" t="s">
        <v>1194</v>
      </c>
      <c r="D25" s="157">
        <v>47.05</v>
      </c>
      <c r="E25" s="157">
        <v>636.36</v>
      </c>
      <c r="F25" s="157">
        <v>1459.07</v>
      </c>
      <c r="G25" s="157">
        <v>540</v>
      </c>
      <c r="H25" s="157">
        <v>600</v>
      </c>
      <c r="I25" s="204">
        <v>3282.48</v>
      </c>
    </row>
    <row r="26" spans="2:14" x14ac:dyDescent="0.2">
      <c r="B26" s="155" t="s">
        <v>1195</v>
      </c>
      <c r="C26" s="162" t="s">
        <v>1196</v>
      </c>
      <c r="D26" s="157">
        <v>37.640000000000008</v>
      </c>
      <c r="E26" s="157">
        <v>509.08800000000002</v>
      </c>
      <c r="F26" s="157">
        <v>1167.2560000000001</v>
      </c>
      <c r="G26" s="157">
        <v>432</v>
      </c>
      <c r="H26" s="157">
        <v>480</v>
      </c>
      <c r="I26" s="204">
        <v>2625.9839999999999</v>
      </c>
    </row>
    <row r="27" spans="2:14" x14ac:dyDescent="0.2">
      <c r="B27" s="155" t="s">
        <v>1197</v>
      </c>
      <c r="C27" s="156" t="s">
        <v>1198</v>
      </c>
      <c r="D27" s="157">
        <v>3</v>
      </c>
      <c r="E27" s="157">
        <v>3</v>
      </c>
      <c r="F27" s="157">
        <v>3</v>
      </c>
      <c r="G27" s="157">
        <v>500</v>
      </c>
      <c r="H27" s="157">
        <v>520</v>
      </c>
      <c r="I27" s="204">
        <v>1029</v>
      </c>
    </row>
    <row r="28" spans="2:14" x14ac:dyDescent="0.2">
      <c r="B28" s="155" t="s">
        <v>1199</v>
      </c>
      <c r="C28" s="156" t="s">
        <v>1200</v>
      </c>
      <c r="D28" s="157">
        <v>-402.5</v>
      </c>
      <c r="E28" s="157">
        <v>-853</v>
      </c>
      <c r="F28" s="157">
        <v>-594.5</v>
      </c>
      <c r="G28" s="157">
        <v>-500</v>
      </c>
      <c r="H28" s="157">
        <v>-520</v>
      </c>
      <c r="I28" s="204">
        <v>-2870</v>
      </c>
    </row>
    <row r="29" spans="2:14" x14ac:dyDescent="0.2">
      <c r="B29" s="155" t="s">
        <v>1201</v>
      </c>
      <c r="C29" s="156" t="s">
        <v>1202</v>
      </c>
      <c r="D29" s="157">
        <v>-38.5</v>
      </c>
      <c r="E29" s="157">
        <v>-128</v>
      </c>
      <c r="F29" s="157">
        <v>-83</v>
      </c>
      <c r="G29" s="157">
        <v>-10.5</v>
      </c>
      <c r="H29" s="157">
        <v>-20</v>
      </c>
      <c r="I29" s="204">
        <v>-280</v>
      </c>
    </row>
    <row r="30" spans="2:14" x14ac:dyDescent="0.2">
      <c r="B30" s="155" t="s">
        <v>1203</v>
      </c>
      <c r="C30" s="162" t="e">
        <f>FCFF</f>
        <v>#NAME?</v>
      </c>
      <c r="D30" s="143">
        <v>-400.36</v>
      </c>
      <c r="E30" s="143">
        <v>-468.91199999999998</v>
      </c>
      <c r="F30" s="143">
        <v>492.75600000000009</v>
      </c>
      <c r="G30" s="143">
        <v>421.5</v>
      </c>
      <c r="H30" s="143">
        <v>460</v>
      </c>
      <c r="I30" s="204">
        <v>504.98399999999998</v>
      </c>
    </row>
    <row r="31" spans="2:14" x14ac:dyDescent="0.2">
      <c r="B31" s="155" t="s">
        <v>1204</v>
      </c>
      <c r="C31" s="201" t="s">
        <v>1205</v>
      </c>
      <c r="D31" s="179">
        <v>-336.29567408651832</v>
      </c>
      <c r="E31" s="179">
        <v>-330.85107302473858</v>
      </c>
      <c r="F31" s="179">
        <v>292.04092941778339</v>
      </c>
      <c r="G31" s="179">
        <v>209.83599085711819</v>
      </c>
      <c r="H31" s="179">
        <v>192.3582569088606</v>
      </c>
      <c r="N31" s="131">
        <v>27.088430072505389</v>
      </c>
    </row>
    <row r="33" spans="2:14" x14ac:dyDescent="0.2">
      <c r="B33" s="547" t="s">
        <v>1206</v>
      </c>
      <c r="C33" s="468"/>
      <c r="D33" s="468"/>
      <c r="E33" s="468"/>
      <c r="F33" s="468"/>
      <c r="G33" s="468"/>
      <c r="H33" s="468"/>
      <c r="I33" s="468"/>
      <c r="J33" s="468"/>
      <c r="K33" s="468"/>
      <c r="L33" s="468"/>
      <c r="M33" s="468"/>
      <c r="N33" s="468"/>
    </row>
    <row r="34" spans="2:14" x14ac:dyDescent="0.2">
      <c r="B34" s="532" t="s">
        <v>1207</v>
      </c>
      <c r="C34" s="473"/>
      <c r="D34" s="473"/>
      <c r="E34" s="473"/>
      <c r="F34" s="473"/>
      <c r="G34" s="473"/>
      <c r="H34" s="473"/>
      <c r="I34" s="473"/>
      <c r="J34" s="473"/>
      <c r="K34" s="466"/>
      <c r="L34" s="530">
        <v>27.088430072505389</v>
      </c>
      <c r="M34" s="473"/>
      <c r="N34" s="466"/>
    </row>
    <row r="35" spans="2:14" x14ac:dyDescent="0.2">
      <c r="B35" s="532" t="s">
        <v>1208</v>
      </c>
      <c r="C35" s="473"/>
      <c r="D35" s="473"/>
      <c r="E35" s="473"/>
      <c r="F35" s="473"/>
      <c r="G35" s="473"/>
      <c r="H35" s="473"/>
      <c r="I35" s="473"/>
      <c r="J35" s="473"/>
      <c r="K35" s="466"/>
      <c r="L35" s="530">
        <v>2952.0249221183799</v>
      </c>
      <c r="M35" s="473"/>
      <c r="N35" s="466"/>
    </row>
    <row r="36" spans="2:14" x14ac:dyDescent="0.2">
      <c r="B36" s="532" t="s">
        <v>1209</v>
      </c>
      <c r="C36" s="473"/>
      <c r="D36" s="473"/>
      <c r="E36" s="473"/>
      <c r="F36" s="473"/>
      <c r="G36" s="473"/>
      <c r="H36" s="473"/>
      <c r="I36" s="473"/>
      <c r="J36" s="473"/>
      <c r="K36" s="466"/>
      <c r="L36" s="530">
        <v>1234.4486268917531</v>
      </c>
      <c r="M36" s="473"/>
      <c r="N36" s="466"/>
    </row>
    <row r="37" spans="2:14" x14ac:dyDescent="0.2">
      <c r="B37" s="513" t="s">
        <v>1210</v>
      </c>
      <c r="C37" s="473"/>
      <c r="D37" s="473"/>
      <c r="E37" s="473"/>
      <c r="F37" s="473"/>
      <c r="G37" s="473"/>
      <c r="H37" s="473"/>
      <c r="I37" s="473"/>
      <c r="J37" s="473"/>
      <c r="K37" s="466"/>
      <c r="L37" s="550">
        <v>1261.5370569642589</v>
      </c>
      <c r="M37" s="473"/>
      <c r="N37" s="466"/>
    </row>
    <row r="38" spans="2:14" x14ac:dyDescent="0.2">
      <c r="B38" s="544"/>
      <c r="C38" s="468"/>
      <c r="D38" s="468"/>
      <c r="E38" s="468"/>
      <c r="F38" s="468"/>
      <c r="G38" s="468"/>
      <c r="H38" s="468"/>
      <c r="I38" s="468"/>
      <c r="J38" s="468"/>
      <c r="K38" s="468"/>
      <c r="L38" s="559"/>
      <c r="M38" s="468"/>
      <c r="N38" s="468"/>
    </row>
    <row r="39" spans="2:14" x14ac:dyDescent="0.2">
      <c r="B39" s="532" t="s">
        <v>1211</v>
      </c>
      <c r="C39" s="473"/>
      <c r="D39" s="473"/>
      <c r="E39" s="473"/>
      <c r="F39" s="473"/>
      <c r="G39" s="473"/>
      <c r="H39" s="473"/>
      <c r="I39" s="473"/>
      <c r="J39" s="473"/>
      <c r="K39" s="466"/>
      <c r="L39" s="530">
        <v>5600</v>
      </c>
      <c r="M39" s="473"/>
      <c r="N39" s="466"/>
    </row>
    <row r="40" spans="2:14" x14ac:dyDescent="0.2">
      <c r="B40" s="532" t="s">
        <v>1212</v>
      </c>
      <c r="C40" s="473"/>
      <c r="D40" s="473"/>
      <c r="E40" s="473"/>
      <c r="F40" s="473"/>
      <c r="G40" s="473"/>
      <c r="H40" s="473"/>
      <c r="I40" s="473"/>
      <c r="J40" s="473"/>
      <c r="K40" s="466"/>
      <c r="L40" s="530">
        <v>2341.7526928035199</v>
      </c>
      <c r="M40" s="473"/>
      <c r="N40" s="466"/>
    </row>
    <row r="41" spans="2:14" x14ac:dyDescent="0.2">
      <c r="B41" s="513" t="s">
        <v>1213</v>
      </c>
      <c r="C41" s="473"/>
      <c r="D41" s="473"/>
      <c r="E41" s="473"/>
      <c r="F41" s="473"/>
      <c r="G41" s="473"/>
      <c r="H41" s="473"/>
      <c r="I41" s="473"/>
      <c r="J41" s="473"/>
      <c r="K41" s="466"/>
      <c r="L41" s="550">
        <v>2368.841122876026</v>
      </c>
      <c r="M41" s="473"/>
      <c r="N41" s="466"/>
    </row>
    <row r="42" spans="2:14" x14ac:dyDescent="0.2">
      <c r="B42" s="544"/>
      <c r="C42" s="468"/>
      <c r="D42" s="468"/>
      <c r="E42" s="468"/>
      <c r="F42" s="468"/>
      <c r="G42" s="468"/>
      <c r="H42" s="468"/>
      <c r="I42" s="468"/>
      <c r="J42" s="468"/>
      <c r="K42" s="468"/>
      <c r="L42" s="559"/>
      <c r="M42" s="468"/>
      <c r="N42" s="468"/>
    </row>
    <row r="43" spans="2:14" x14ac:dyDescent="0.2">
      <c r="B43" s="513" t="s">
        <v>1214</v>
      </c>
      <c r="C43" s="473"/>
      <c r="D43" s="473"/>
      <c r="E43" s="473"/>
      <c r="F43" s="473"/>
      <c r="G43" s="473"/>
      <c r="H43" s="473"/>
      <c r="I43" s="473"/>
      <c r="J43" s="473"/>
      <c r="K43" s="466"/>
      <c r="L43" s="550">
        <v>1815.1890899201419</v>
      </c>
      <c r="M43" s="473"/>
      <c r="N43" s="466"/>
    </row>
    <row r="44" spans="2:14" x14ac:dyDescent="0.2">
      <c r="B44" s="532" t="s">
        <v>1215</v>
      </c>
      <c r="C44" s="473"/>
      <c r="D44" s="473"/>
      <c r="E44" s="473"/>
      <c r="F44" s="473"/>
      <c r="G44" s="473"/>
      <c r="H44" s="473"/>
      <c r="I44" s="473"/>
      <c r="J44" s="473"/>
      <c r="K44" s="466"/>
      <c r="L44" s="530">
        <v>0</v>
      </c>
      <c r="M44" s="473"/>
      <c r="N44" s="466"/>
    </row>
    <row r="45" spans="2:14" x14ac:dyDescent="0.2">
      <c r="B45" s="513" t="s">
        <v>1216</v>
      </c>
      <c r="C45" s="473"/>
      <c r="D45" s="473"/>
      <c r="E45" s="473"/>
      <c r="F45" s="473"/>
      <c r="G45" s="473"/>
      <c r="H45" s="473"/>
      <c r="I45" s="473"/>
      <c r="J45" s="473"/>
      <c r="K45" s="466"/>
      <c r="L45" s="550">
        <v>1815.1890899201419</v>
      </c>
      <c r="M45" s="473"/>
      <c r="N45" s="466"/>
    </row>
    <row r="48" spans="2:14" x14ac:dyDescent="0.2">
      <c r="B48" s="547" t="s">
        <v>1217</v>
      </c>
      <c r="C48" s="468"/>
      <c r="D48" s="468"/>
      <c r="E48" s="468"/>
      <c r="F48" s="468"/>
      <c r="G48" s="468"/>
      <c r="H48" s="468"/>
      <c r="I48" s="468"/>
      <c r="J48" s="468"/>
      <c r="K48" s="468"/>
      <c r="L48" s="468"/>
      <c r="M48" s="468"/>
      <c r="N48" s="468"/>
    </row>
    <row r="49" spans="2:14" x14ac:dyDescent="0.2">
      <c r="C49" s="126" t="s">
        <v>1218</v>
      </c>
      <c r="D49" s="126" t="s">
        <v>1219</v>
      </c>
      <c r="E49" s="126" t="s">
        <v>1220</v>
      </c>
      <c r="F49" s="126" t="s">
        <v>1221</v>
      </c>
      <c r="G49" s="126" t="s">
        <v>1222</v>
      </c>
      <c r="H49" s="126" t="s">
        <v>1223</v>
      </c>
    </row>
    <row r="50" spans="2:14" x14ac:dyDescent="0.2">
      <c r="C50" s="126" t="s">
        <v>1224</v>
      </c>
      <c r="D50" s="157">
        <v>1730.5839427535841</v>
      </c>
      <c r="E50" s="157">
        <v>1873.7778381850919</v>
      </c>
      <c r="F50" s="157">
        <v>2040.738355264984</v>
      </c>
      <c r="G50" s="157">
        <v>2237.9179704588842</v>
      </c>
      <c r="H50" s="157">
        <v>2474.3373100694798</v>
      </c>
    </row>
    <row r="51" spans="2:14" x14ac:dyDescent="0.2">
      <c r="C51" s="126" t="s">
        <v>1225</v>
      </c>
      <c r="D51" s="157">
        <v>1374.3744291878061</v>
      </c>
      <c r="E51" s="157">
        <v>1475.8264314890021</v>
      </c>
      <c r="F51" s="157">
        <v>1591.719999954069</v>
      </c>
      <c r="G51" s="157">
        <v>1725.3750348505639</v>
      </c>
      <c r="H51" s="157">
        <v>1881.2134780286351</v>
      </c>
    </row>
    <row r="52" spans="2:14" x14ac:dyDescent="0.2">
      <c r="C52" s="126" t="s">
        <v>1226</v>
      </c>
      <c r="D52" s="157">
        <v>1103.442111390784</v>
      </c>
      <c r="E52" s="157">
        <v>1177.8533687648089</v>
      </c>
      <c r="F52" s="131">
        <v>1261.5370569642589</v>
      </c>
      <c r="G52" s="157">
        <v>1356.3415010706119</v>
      </c>
      <c r="H52" s="157">
        <v>1464.6412397116769</v>
      </c>
    </row>
    <row r="53" spans="2:14" x14ac:dyDescent="0.2">
      <c r="C53" s="126" t="s">
        <v>1227</v>
      </c>
      <c r="D53" s="157">
        <v>891.88752374949206</v>
      </c>
      <c r="E53" s="157">
        <v>947.97802222588109</v>
      </c>
      <c r="F53" s="157">
        <v>1010.283534383865</v>
      </c>
      <c r="G53" s="157">
        <v>1079.897611017858</v>
      </c>
      <c r="H53" s="157">
        <v>1158.1863389458069</v>
      </c>
    </row>
    <row r="54" spans="2:14" x14ac:dyDescent="0.2">
      <c r="C54" s="126" t="s">
        <v>1228</v>
      </c>
      <c r="D54" s="157">
        <v>723.23628594856314</v>
      </c>
      <c r="E54" s="157">
        <v>766.46483566581242</v>
      </c>
      <c r="F54" s="157">
        <v>814.00546016782516</v>
      </c>
      <c r="G54" s="157">
        <v>866.5372263498391</v>
      </c>
      <c r="H54" s="157">
        <v>924.88968684564952</v>
      </c>
    </row>
    <row r="57" spans="2:14" x14ac:dyDescent="0.2">
      <c r="B57" s="541" t="s">
        <v>1229</v>
      </c>
      <c r="C57" s="468"/>
      <c r="D57" s="468"/>
      <c r="E57" s="468"/>
      <c r="F57" s="468"/>
      <c r="G57" s="468"/>
      <c r="H57" s="468"/>
      <c r="I57" s="468"/>
      <c r="J57" s="468"/>
      <c r="K57" s="468"/>
      <c r="L57" s="468"/>
      <c r="M57" s="468"/>
      <c r="N57" s="468"/>
    </row>
    <row r="59" spans="2:14" ht="16" x14ac:dyDescent="0.2">
      <c r="B59" s="557" t="s">
        <v>1230</v>
      </c>
      <c r="C59" s="468"/>
      <c r="D59" s="468"/>
      <c r="E59" s="468"/>
      <c r="F59" s="468"/>
      <c r="G59" s="468"/>
      <c r="H59" s="468"/>
      <c r="I59" s="468"/>
      <c r="J59" s="468"/>
      <c r="K59" s="468"/>
      <c r="L59" s="468"/>
      <c r="M59" s="468"/>
      <c r="N59" s="468"/>
    </row>
    <row r="60" spans="2:14" x14ac:dyDescent="0.2">
      <c r="B60" s="551" t="s">
        <v>1231</v>
      </c>
      <c r="C60" s="468"/>
      <c r="D60" s="468"/>
      <c r="E60" s="468"/>
      <c r="F60" s="468"/>
      <c r="G60" s="468"/>
      <c r="H60" s="468"/>
      <c r="I60" s="468"/>
      <c r="J60" s="468"/>
      <c r="K60" s="468"/>
      <c r="L60" s="468"/>
      <c r="M60" s="468"/>
      <c r="N60" s="468"/>
    </row>
    <row r="62" spans="2:14" x14ac:dyDescent="0.2">
      <c r="B62" s="241" t="s">
        <v>61</v>
      </c>
      <c r="C62" s="241" t="s">
        <v>1232</v>
      </c>
      <c r="D62" s="241" t="s">
        <v>1233</v>
      </c>
      <c r="E62" s="555" t="s">
        <v>1234</v>
      </c>
      <c r="F62" s="473"/>
      <c r="G62" s="473"/>
      <c r="H62" s="473"/>
      <c r="I62" s="473"/>
      <c r="J62" s="473"/>
      <c r="K62" s="473"/>
      <c r="L62" s="473"/>
      <c r="M62" s="473"/>
      <c r="N62" s="466"/>
    </row>
    <row r="63" spans="2:14" ht="36" customHeight="1" x14ac:dyDescent="0.2">
      <c r="B63" s="328">
        <v>1</v>
      </c>
      <c r="C63" s="329" t="s">
        <v>1235</v>
      </c>
      <c r="D63" s="329" t="s">
        <v>1236</v>
      </c>
      <c r="E63" s="549" t="s">
        <v>1237</v>
      </c>
      <c r="F63" s="473"/>
      <c r="G63" s="473"/>
      <c r="H63" s="473"/>
      <c r="I63" s="473"/>
      <c r="J63" s="473"/>
      <c r="K63" s="473"/>
      <c r="L63" s="473"/>
      <c r="M63" s="473"/>
      <c r="N63" s="466"/>
    </row>
    <row r="64" spans="2:14" ht="36" customHeight="1" x14ac:dyDescent="0.2">
      <c r="B64" s="328">
        <v>2</v>
      </c>
      <c r="C64" s="329" t="s">
        <v>1238</v>
      </c>
      <c r="D64" s="329" t="s">
        <v>1239</v>
      </c>
      <c r="E64" s="549" t="s">
        <v>1240</v>
      </c>
      <c r="F64" s="473"/>
      <c r="G64" s="473"/>
      <c r="H64" s="473"/>
      <c r="I64" s="473"/>
      <c r="J64" s="473"/>
      <c r="K64" s="473"/>
      <c r="L64" s="473"/>
      <c r="M64" s="473"/>
      <c r="N64" s="466"/>
    </row>
    <row r="65" spans="2:14" ht="36" customHeight="1" x14ac:dyDescent="0.2">
      <c r="B65" s="328">
        <v>3</v>
      </c>
      <c r="C65" s="329" t="s">
        <v>1241</v>
      </c>
      <c r="D65" s="329" t="s">
        <v>1242</v>
      </c>
      <c r="E65" s="549" t="s">
        <v>1240</v>
      </c>
      <c r="F65" s="473"/>
      <c r="G65" s="473"/>
      <c r="H65" s="473"/>
      <c r="I65" s="473"/>
      <c r="J65" s="473"/>
      <c r="K65" s="473"/>
      <c r="L65" s="473"/>
      <c r="M65" s="473"/>
      <c r="N65" s="466"/>
    </row>
    <row r="66" spans="2:14" ht="36" customHeight="1" x14ac:dyDescent="0.2">
      <c r="B66" s="328">
        <v>4</v>
      </c>
      <c r="C66" s="329" t="s">
        <v>1243</v>
      </c>
      <c r="D66" s="329" t="s">
        <v>1244</v>
      </c>
      <c r="E66" s="549" t="s">
        <v>1245</v>
      </c>
      <c r="F66" s="473"/>
      <c r="G66" s="473"/>
      <c r="H66" s="473"/>
      <c r="I66" s="473"/>
      <c r="J66" s="473"/>
      <c r="K66" s="473"/>
      <c r="L66" s="473"/>
      <c r="M66" s="473"/>
      <c r="N66" s="466"/>
    </row>
    <row r="67" spans="2:14" ht="36" customHeight="1" x14ac:dyDescent="0.2">
      <c r="B67" s="328">
        <v>5</v>
      </c>
      <c r="C67" s="329" t="s">
        <v>1246</v>
      </c>
      <c r="D67" s="329" t="s">
        <v>1247</v>
      </c>
      <c r="E67" s="549" t="s">
        <v>1248</v>
      </c>
      <c r="F67" s="473"/>
      <c r="G67" s="473"/>
      <c r="H67" s="473"/>
      <c r="I67" s="473"/>
      <c r="J67" s="473"/>
      <c r="K67" s="473"/>
      <c r="L67" s="473"/>
      <c r="M67" s="473"/>
      <c r="N67" s="466"/>
    </row>
    <row r="68" spans="2:14" ht="78" x14ac:dyDescent="0.2">
      <c r="B68" s="276" t="s">
        <v>792</v>
      </c>
      <c r="C68" s="330" t="s">
        <v>1249</v>
      </c>
      <c r="D68" s="331" t="s">
        <v>1250</v>
      </c>
      <c r="E68" s="552" t="s">
        <v>1251</v>
      </c>
      <c r="F68" s="473"/>
      <c r="G68" s="473"/>
      <c r="H68" s="473"/>
      <c r="I68" s="473"/>
      <c r="J68" s="473"/>
      <c r="K68" s="473"/>
      <c r="L68" s="473"/>
      <c r="M68" s="473"/>
      <c r="N68" s="466"/>
    </row>
    <row r="70" spans="2:14" ht="48" customHeight="1" x14ac:dyDescent="0.2">
      <c r="B70" s="558" t="s">
        <v>1252</v>
      </c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</row>
    <row r="72" spans="2:14" x14ac:dyDescent="0.2">
      <c r="B72" s="554" t="s">
        <v>1253</v>
      </c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</row>
  </sheetData>
  <mergeCells count="53">
    <mergeCell ref="B6:N6"/>
    <mergeCell ref="B20:N20"/>
    <mergeCell ref="B42:K42"/>
    <mergeCell ref="B16:C16"/>
    <mergeCell ref="B7:C7"/>
    <mergeCell ref="L42:N42"/>
    <mergeCell ref="B40:K40"/>
    <mergeCell ref="L39:N39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B9:C9"/>
    <mergeCell ref="E63:N63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L45:N45"/>
    <mergeCell ref="B33:N33"/>
    <mergeCell ref="L35:N35"/>
    <mergeCell ref="B15:C15"/>
    <mergeCell ref="B57:N57"/>
    <mergeCell ref="L37:N37"/>
    <mergeCell ref="B44:K44"/>
    <mergeCell ref="E68:N68"/>
    <mergeCell ref="L34:N34"/>
    <mergeCell ref="B17:C17"/>
    <mergeCell ref="E65:N65"/>
    <mergeCell ref="B38:K38"/>
    <mergeCell ref="L43:N43"/>
    <mergeCell ref="B34:K34"/>
    <mergeCell ref="B37:K37"/>
    <mergeCell ref="B60:N60"/>
  </mergeCells>
  <printOptions horizontalCentered="1"/>
  <pageMargins left="0.59" right="0.59" top="0.59" bottom="0.59" header="0.3" footer="0.3"/>
  <pageSetup paperSize="8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K51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22" customWidth="1"/>
    <col min="4" max="4" width="14" customWidth="1"/>
    <col min="5" max="11" width="12" customWidth="1"/>
  </cols>
  <sheetData>
    <row r="2" spans="2:11" x14ac:dyDescent="0.2">
      <c r="B2" s="545" t="s">
        <v>1254</v>
      </c>
      <c r="C2" s="468"/>
      <c r="D2" s="468"/>
      <c r="E2" s="468"/>
      <c r="F2" s="468"/>
      <c r="G2" s="468"/>
      <c r="H2" s="468"/>
      <c r="I2" s="468"/>
      <c r="J2" s="468"/>
      <c r="K2" s="468"/>
    </row>
    <row r="3" spans="2:11" x14ac:dyDescent="0.2">
      <c r="B3" s="468"/>
      <c r="C3" s="468"/>
      <c r="D3" s="468"/>
      <c r="E3" s="468"/>
      <c r="F3" s="468"/>
      <c r="G3" s="468"/>
      <c r="H3" s="468"/>
      <c r="I3" s="468"/>
      <c r="J3" s="468"/>
      <c r="K3" s="468"/>
    </row>
    <row r="4" spans="2:11" x14ac:dyDescent="0.2">
      <c r="B4" s="528" t="s">
        <v>1255</v>
      </c>
      <c r="C4" s="468"/>
      <c r="D4" s="468"/>
      <c r="E4" s="468"/>
      <c r="F4" s="468"/>
      <c r="G4" s="468"/>
      <c r="H4" s="468"/>
      <c r="I4" s="468"/>
      <c r="J4" s="468"/>
      <c r="K4" s="468"/>
    </row>
    <row r="6" spans="2:11" x14ac:dyDescent="0.2">
      <c r="B6" s="547" t="s">
        <v>1256</v>
      </c>
      <c r="C6" s="468"/>
      <c r="D6" s="468"/>
      <c r="E6" s="468"/>
      <c r="F6" s="468"/>
      <c r="G6" s="468"/>
      <c r="H6" s="468"/>
      <c r="I6" s="468"/>
      <c r="J6" s="468"/>
      <c r="K6" s="468"/>
    </row>
    <row r="7" spans="2:11" x14ac:dyDescent="0.2">
      <c r="B7" s="126" t="s">
        <v>61</v>
      </c>
      <c r="C7" s="126" t="s">
        <v>1257</v>
      </c>
      <c r="D7" s="126" t="s">
        <v>1258</v>
      </c>
      <c r="E7" s="126" t="s">
        <v>490</v>
      </c>
      <c r="F7" s="126" t="s">
        <v>491</v>
      </c>
      <c r="G7" s="126" t="s">
        <v>1259</v>
      </c>
      <c r="H7" s="126" t="s">
        <v>1260</v>
      </c>
      <c r="I7" s="126" t="s">
        <v>1261</v>
      </c>
      <c r="J7" s="126" t="s">
        <v>1262</v>
      </c>
      <c r="K7" s="126" t="s">
        <v>1263</v>
      </c>
    </row>
    <row r="8" spans="2:11" x14ac:dyDescent="0.2">
      <c r="B8" s="155">
        <v>1</v>
      </c>
      <c r="C8" s="156" t="s">
        <v>1264</v>
      </c>
      <c r="D8" s="156" t="s">
        <v>1265</v>
      </c>
      <c r="E8" s="157">
        <v>18500</v>
      </c>
      <c r="F8" s="157">
        <v>2775</v>
      </c>
      <c r="G8" s="157">
        <v>14800</v>
      </c>
      <c r="H8" s="205">
        <v>0.8</v>
      </c>
      <c r="I8" s="205">
        <v>5.34</v>
      </c>
      <c r="J8" s="177">
        <v>15</v>
      </c>
      <c r="K8" s="156" t="s">
        <v>1266</v>
      </c>
    </row>
    <row r="9" spans="2:11" ht="30" x14ac:dyDescent="0.2">
      <c r="B9" s="155">
        <v>2</v>
      </c>
      <c r="C9" s="156" t="s">
        <v>1267</v>
      </c>
      <c r="D9" s="156" t="s">
        <v>1265</v>
      </c>
      <c r="E9" s="157">
        <v>12000</v>
      </c>
      <c r="F9" s="157">
        <v>1680</v>
      </c>
      <c r="G9" s="157">
        <v>9600</v>
      </c>
      <c r="H9" s="205">
        <v>0.8</v>
      </c>
      <c r="I9" s="205">
        <v>5.71</v>
      </c>
      <c r="J9" s="177">
        <v>14</v>
      </c>
      <c r="K9" s="156" t="s">
        <v>1268</v>
      </c>
    </row>
    <row r="10" spans="2:11" x14ac:dyDescent="0.2">
      <c r="B10" s="155">
        <v>3</v>
      </c>
      <c r="C10" s="156" t="s">
        <v>1269</v>
      </c>
      <c r="D10" s="156" t="s">
        <v>1270</v>
      </c>
      <c r="E10" s="157">
        <v>11000</v>
      </c>
      <c r="F10" s="157">
        <v>1320</v>
      </c>
      <c r="G10" s="157">
        <v>8800</v>
      </c>
      <c r="H10" s="205">
        <v>0.8</v>
      </c>
      <c r="I10" s="205">
        <v>6.67</v>
      </c>
      <c r="J10" s="177">
        <v>12</v>
      </c>
      <c r="K10" s="156" t="s">
        <v>1271</v>
      </c>
    </row>
    <row r="11" spans="2:11" x14ac:dyDescent="0.2">
      <c r="B11" s="155">
        <v>4</v>
      </c>
      <c r="C11" s="156" t="s">
        <v>1272</v>
      </c>
      <c r="D11" s="156" t="s">
        <v>1273</v>
      </c>
      <c r="E11" s="157">
        <v>6500</v>
      </c>
      <c r="F11" s="157">
        <v>910</v>
      </c>
      <c r="G11" s="157">
        <v>5200</v>
      </c>
      <c r="H11" s="205">
        <v>0.8</v>
      </c>
      <c r="I11" s="205">
        <v>5.71</v>
      </c>
      <c r="J11" s="177">
        <v>14</v>
      </c>
      <c r="K11" s="156" t="s">
        <v>1274</v>
      </c>
    </row>
    <row r="12" spans="2:11" x14ac:dyDescent="0.2">
      <c r="B12" s="155">
        <v>5</v>
      </c>
      <c r="C12" s="156" t="s">
        <v>1275</v>
      </c>
      <c r="D12" s="156" t="s">
        <v>1276</v>
      </c>
      <c r="E12" s="157">
        <v>4200</v>
      </c>
      <c r="F12" s="157">
        <v>546</v>
      </c>
      <c r="G12" s="157">
        <v>3400</v>
      </c>
      <c r="H12" s="205">
        <v>0.81</v>
      </c>
      <c r="I12" s="205">
        <v>6.23</v>
      </c>
      <c r="J12" s="177">
        <v>13</v>
      </c>
      <c r="K12" s="156" t="s">
        <v>1277</v>
      </c>
    </row>
    <row r="13" spans="2:11" x14ac:dyDescent="0.2">
      <c r="B13" s="155">
        <v>6</v>
      </c>
      <c r="C13" s="156" t="s">
        <v>1278</v>
      </c>
      <c r="D13" s="156" t="s">
        <v>1279</v>
      </c>
      <c r="E13" s="157">
        <v>8500</v>
      </c>
      <c r="F13" s="157">
        <v>1870</v>
      </c>
      <c r="G13" s="157">
        <v>8900</v>
      </c>
      <c r="H13" s="205">
        <v>1.05</v>
      </c>
      <c r="I13" s="205">
        <v>4.76</v>
      </c>
      <c r="J13" s="177">
        <v>22</v>
      </c>
      <c r="K13" s="156" t="s">
        <v>1280</v>
      </c>
    </row>
    <row r="14" spans="2:11" x14ac:dyDescent="0.2">
      <c r="C14" s="561" t="s">
        <v>1281</v>
      </c>
      <c r="D14" s="473"/>
      <c r="E14" s="473"/>
      <c r="F14" s="473"/>
      <c r="G14" s="466"/>
      <c r="H14" s="206">
        <v>0.84333333333333327</v>
      </c>
      <c r="I14" s="206">
        <v>5.7366666666666672</v>
      </c>
      <c r="J14" s="207"/>
      <c r="K14" s="207"/>
    </row>
    <row r="15" spans="2:11" x14ac:dyDescent="0.2">
      <c r="C15" s="561" t="s">
        <v>1282</v>
      </c>
      <c r="D15" s="473"/>
      <c r="E15" s="473"/>
      <c r="F15" s="473"/>
      <c r="G15" s="466"/>
      <c r="H15" s="206">
        <v>0.8</v>
      </c>
      <c r="I15" s="206">
        <v>5.71</v>
      </c>
      <c r="J15" s="207"/>
      <c r="K15" s="207"/>
    </row>
    <row r="16" spans="2:11" x14ac:dyDescent="0.2">
      <c r="C16" s="561" t="s">
        <v>1283</v>
      </c>
      <c r="D16" s="473"/>
      <c r="E16" s="473"/>
      <c r="F16" s="473"/>
      <c r="G16" s="466"/>
      <c r="H16" s="206">
        <v>0.8</v>
      </c>
      <c r="I16" s="206">
        <v>4.76</v>
      </c>
      <c r="J16" s="207"/>
      <c r="K16" s="207"/>
    </row>
    <row r="17" spans="2:11" x14ac:dyDescent="0.2">
      <c r="C17" s="561" t="s">
        <v>1284</v>
      </c>
      <c r="D17" s="473"/>
      <c r="E17" s="473"/>
      <c r="F17" s="473"/>
      <c r="G17" s="466"/>
      <c r="H17" s="206">
        <v>1.05</v>
      </c>
      <c r="I17" s="206">
        <v>6.67</v>
      </c>
      <c r="J17" s="207"/>
      <c r="K17" s="207"/>
    </row>
    <row r="20" spans="2:11" x14ac:dyDescent="0.2">
      <c r="B20" s="547" t="s">
        <v>1285</v>
      </c>
      <c r="C20" s="468"/>
      <c r="D20" s="468"/>
      <c r="E20" s="468"/>
      <c r="F20" s="468"/>
      <c r="G20" s="468"/>
      <c r="H20" s="468"/>
      <c r="I20" s="468"/>
      <c r="J20" s="468"/>
      <c r="K20" s="468"/>
    </row>
    <row r="21" spans="2:11" x14ac:dyDescent="0.2">
      <c r="B21" s="562" t="s">
        <v>1286</v>
      </c>
      <c r="C21" s="473"/>
      <c r="D21" s="473"/>
      <c r="E21" s="473"/>
      <c r="F21" s="466"/>
      <c r="G21" s="126" t="s">
        <v>1069</v>
      </c>
      <c r="H21" s="126" t="s">
        <v>1111</v>
      </c>
      <c r="I21" s="562" t="s">
        <v>1287</v>
      </c>
      <c r="J21" s="473"/>
      <c r="K21" s="466"/>
    </row>
    <row r="22" spans="2:11" x14ac:dyDescent="0.2">
      <c r="B22" s="532" t="s">
        <v>1288</v>
      </c>
      <c r="C22" s="473"/>
      <c r="D22" s="473"/>
      <c r="E22" s="473"/>
      <c r="F22" s="466"/>
      <c r="G22" s="182">
        <v>4.76</v>
      </c>
      <c r="H22" s="157">
        <v>1462</v>
      </c>
      <c r="I22" s="560">
        <v>6959.12</v>
      </c>
      <c r="J22" s="473"/>
      <c r="K22" s="466"/>
    </row>
    <row r="23" spans="2:11" x14ac:dyDescent="0.2">
      <c r="B23" s="532" t="s">
        <v>1289</v>
      </c>
      <c r="C23" s="473"/>
      <c r="D23" s="473"/>
      <c r="E23" s="473"/>
      <c r="F23" s="466"/>
      <c r="G23" s="182">
        <v>5.71</v>
      </c>
      <c r="H23" s="157">
        <v>1462</v>
      </c>
      <c r="I23" s="560">
        <v>8348.02</v>
      </c>
      <c r="J23" s="473"/>
      <c r="K23" s="466"/>
    </row>
    <row r="24" spans="2:11" x14ac:dyDescent="0.2">
      <c r="B24" s="532" t="s">
        <v>1290</v>
      </c>
      <c r="C24" s="473"/>
      <c r="D24" s="473"/>
      <c r="E24" s="473"/>
      <c r="F24" s="466"/>
      <c r="G24" s="182">
        <v>5.7366666666666672</v>
      </c>
      <c r="H24" s="157">
        <v>1462</v>
      </c>
      <c r="I24" s="560">
        <v>8387.006666666668</v>
      </c>
      <c r="J24" s="473"/>
      <c r="K24" s="466"/>
    </row>
    <row r="25" spans="2:11" x14ac:dyDescent="0.2">
      <c r="B25" s="532" t="s">
        <v>1291</v>
      </c>
      <c r="C25" s="473"/>
      <c r="D25" s="473"/>
      <c r="E25" s="473"/>
      <c r="F25" s="466"/>
      <c r="G25" s="182">
        <v>6.67</v>
      </c>
      <c r="H25" s="157">
        <v>1462</v>
      </c>
      <c r="I25" s="560">
        <v>9751.5399999999991</v>
      </c>
      <c r="J25" s="473"/>
      <c r="K25" s="466"/>
    </row>
    <row r="26" spans="2:11" x14ac:dyDescent="0.2">
      <c r="B26" s="532" t="s">
        <v>1292</v>
      </c>
      <c r="C26" s="473"/>
      <c r="D26" s="473"/>
      <c r="E26" s="473"/>
      <c r="F26" s="466"/>
      <c r="G26" s="182">
        <v>0.8</v>
      </c>
      <c r="H26" s="157">
        <v>2495</v>
      </c>
      <c r="I26" s="560">
        <v>1996</v>
      </c>
      <c r="J26" s="473"/>
      <c r="K26" s="466"/>
    </row>
    <row r="27" spans="2:11" x14ac:dyDescent="0.2">
      <c r="B27" s="532" t="s">
        <v>1293</v>
      </c>
      <c r="C27" s="473"/>
      <c r="D27" s="473"/>
      <c r="E27" s="473"/>
      <c r="F27" s="466"/>
      <c r="G27" s="182">
        <v>0.8</v>
      </c>
      <c r="H27" s="157">
        <v>2495</v>
      </c>
      <c r="I27" s="560">
        <v>1996</v>
      </c>
      <c r="J27" s="473"/>
      <c r="K27" s="466"/>
    </row>
    <row r="28" spans="2:11" x14ac:dyDescent="0.2">
      <c r="B28" s="532" t="s">
        <v>1294</v>
      </c>
      <c r="C28" s="473"/>
      <c r="D28" s="473"/>
      <c r="E28" s="473"/>
      <c r="F28" s="466"/>
      <c r="G28" s="182">
        <v>0.84333333333333327</v>
      </c>
      <c r="H28" s="157">
        <v>2495</v>
      </c>
      <c r="I28" s="560">
        <v>2104.1166666666659</v>
      </c>
      <c r="J28" s="473"/>
      <c r="K28" s="466"/>
    </row>
    <row r="29" spans="2:11" x14ac:dyDescent="0.2">
      <c r="B29" s="532" t="s">
        <v>1295</v>
      </c>
      <c r="C29" s="473"/>
      <c r="D29" s="473"/>
      <c r="E29" s="473"/>
      <c r="F29" s="466"/>
      <c r="G29" s="182">
        <v>1.05</v>
      </c>
      <c r="H29" s="157">
        <v>2495</v>
      </c>
      <c r="I29" s="560">
        <v>2619.75</v>
      </c>
      <c r="J29" s="473"/>
      <c r="K29" s="466"/>
    </row>
    <row r="32" spans="2:11" x14ac:dyDescent="0.2">
      <c r="B32" s="547" t="s">
        <v>1296</v>
      </c>
      <c r="C32" s="468"/>
      <c r="D32" s="468"/>
      <c r="E32" s="468"/>
      <c r="F32" s="468"/>
      <c r="G32" s="468"/>
      <c r="H32" s="468"/>
      <c r="I32" s="468"/>
      <c r="J32" s="468"/>
      <c r="K32" s="468"/>
    </row>
    <row r="33" spans="2:11" x14ac:dyDescent="0.2">
      <c r="B33" s="126" t="s">
        <v>61</v>
      </c>
      <c r="C33" s="562" t="s">
        <v>1297</v>
      </c>
      <c r="D33" s="466"/>
      <c r="E33" s="126" t="s">
        <v>392</v>
      </c>
      <c r="F33" s="126" t="s">
        <v>1298</v>
      </c>
      <c r="G33" s="126" t="s">
        <v>1299</v>
      </c>
      <c r="H33" s="126" t="s">
        <v>1260</v>
      </c>
      <c r="I33" s="126" t="s">
        <v>1261</v>
      </c>
      <c r="J33" s="562" t="s">
        <v>448</v>
      </c>
      <c r="K33" s="466"/>
    </row>
    <row r="34" spans="2:11" x14ac:dyDescent="0.2">
      <c r="B34" s="155">
        <v>1</v>
      </c>
      <c r="C34" s="532" t="s">
        <v>1300</v>
      </c>
      <c r="D34" s="466"/>
      <c r="E34" s="155">
        <v>2023</v>
      </c>
      <c r="F34" s="157">
        <v>11200</v>
      </c>
      <c r="G34" s="157">
        <v>9520</v>
      </c>
      <c r="H34" s="182">
        <v>0.85</v>
      </c>
      <c r="I34" s="182">
        <v>5.6</v>
      </c>
      <c r="J34" s="532" t="s">
        <v>1301</v>
      </c>
      <c r="K34" s="466"/>
    </row>
    <row r="35" spans="2:11" x14ac:dyDescent="0.2">
      <c r="B35" s="155">
        <v>2</v>
      </c>
      <c r="C35" s="532" t="s">
        <v>1302</v>
      </c>
      <c r="D35" s="466"/>
      <c r="E35" s="155">
        <v>2022</v>
      </c>
      <c r="F35" s="157">
        <v>3800</v>
      </c>
      <c r="G35" s="157">
        <v>3040</v>
      </c>
      <c r="H35" s="182">
        <v>0.8</v>
      </c>
      <c r="I35" s="182">
        <v>5.9</v>
      </c>
      <c r="J35" s="532" t="s">
        <v>1303</v>
      </c>
      <c r="K35" s="466"/>
    </row>
    <row r="36" spans="2:11" x14ac:dyDescent="0.2">
      <c r="B36" s="155">
        <v>3</v>
      </c>
      <c r="C36" s="532" t="s">
        <v>1304</v>
      </c>
      <c r="D36" s="466"/>
      <c r="E36" s="155">
        <v>2024</v>
      </c>
      <c r="F36" s="157">
        <v>8600</v>
      </c>
      <c r="G36" s="157">
        <v>6880</v>
      </c>
      <c r="H36" s="182">
        <v>0.8</v>
      </c>
      <c r="I36" s="182">
        <v>6.4</v>
      </c>
      <c r="J36" s="532" t="s">
        <v>1305</v>
      </c>
      <c r="K36" s="466"/>
    </row>
    <row r="39" spans="2:11" x14ac:dyDescent="0.2">
      <c r="B39" s="547" t="s">
        <v>1306</v>
      </c>
      <c r="C39" s="468"/>
      <c r="D39" s="468"/>
      <c r="E39" s="468"/>
      <c r="F39" s="468"/>
      <c r="G39" s="468"/>
      <c r="H39" s="468"/>
      <c r="I39" s="468"/>
      <c r="J39" s="468"/>
      <c r="K39" s="468"/>
    </row>
    <row r="40" spans="2:11" x14ac:dyDescent="0.2">
      <c r="B40" s="562" t="s">
        <v>1307</v>
      </c>
      <c r="C40" s="473"/>
      <c r="D40" s="466"/>
      <c r="E40" s="126" t="s">
        <v>1074</v>
      </c>
      <c r="F40" s="126" t="s">
        <v>1308</v>
      </c>
      <c r="G40" s="126" t="s">
        <v>1078</v>
      </c>
      <c r="H40" s="562" t="s">
        <v>1309</v>
      </c>
      <c r="I40" s="473"/>
      <c r="J40" s="473"/>
      <c r="K40" s="466"/>
    </row>
    <row r="41" spans="2:11" x14ac:dyDescent="0.2">
      <c r="B41" s="556" t="s">
        <v>1310</v>
      </c>
      <c r="C41" s="473"/>
      <c r="D41" s="466"/>
      <c r="E41" s="157">
        <v>1072.3064984196201</v>
      </c>
      <c r="F41" s="131">
        <v>1261.5370569642589</v>
      </c>
      <c r="G41" s="157">
        <v>1450.7676155088971</v>
      </c>
      <c r="H41" s="514" t="s">
        <v>1311</v>
      </c>
      <c r="I41" s="473"/>
      <c r="J41" s="473"/>
      <c r="K41" s="466"/>
    </row>
    <row r="42" spans="2:11" x14ac:dyDescent="0.2">
      <c r="B42" s="556" t="s">
        <v>1312</v>
      </c>
      <c r="C42" s="473"/>
      <c r="D42" s="466"/>
      <c r="E42" s="157">
        <v>2013.5149544446219</v>
      </c>
      <c r="F42" s="131">
        <v>2368.841122876026</v>
      </c>
      <c r="G42" s="157">
        <v>2724.1672913074299</v>
      </c>
      <c r="H42" s="514" t="s">
        <v>1313</v>
      </c>
      <c r="I42" s="473"/>
      <c r="J42" s="473"/>
      <c r="K42" s="466"/>
    </row>
    <row r="43" spans="2:11" x14ac:dyDescent="0.2">
      <c r="B43" s="556" t="s">
        <v>1314</v>
      </c>
      <c r="C43" s="473"/>
      <c r="D43" s="466"/>
      <c r="E43" s="157">
        <v>6959.12</v>
      </c>
      <c r="F43" s="131">
        <v>8348.02</v>
      </c>
      <c r="G43" s="157">
        <v>9751.5399999999991</v>
      </c>
      <c r="H43" s="514" t="s">
        <v>1315</v>
      </c>
      <c r="I43" s="473"/>
      <c r="J43" s="473"/>
      <c r="K43" s="466"/>
    </row>
    <row r="44" spans="2:11" x14ac:dyDescent="0.2">
      <c r="B44" s="556" t="s">
        <v>1316</v>
      </c>
      <c r="C44" s="473"/>
      <c r="D44" s="466"/>
      <c r="E44" s="157">
        <v>1996</v>
      </c>
      <c r="F44" s="131">
        <v>1996</v>
      </c>
      <c r="G44" s="157">
        <v>2619.75</v>
      </c>
      <c r="H44" s="514" t="s">
        <v>1317</v>
      </c>
      <c r="I44" s="473"/>
      <c r="J44" s="473"/>
      <c r="K44" s="466"/>
    </row>
    <row r="45" spans="2:11" x14ac:dyDescent="0.2">
      <c r="B45" s="556" t="s">
        <v>1318</v>
      </c>
      <c r="C45" s="473"/>
      <c r="D45" s="466"/>
      <c r="E45" s="157">
        <v>7331.93</v>
      </c>
      <c r="F45" s="131">
        <v>8625.8000000000011</v>
      </c>
      <c r="G45" s="157">
        <v>9919.67</v>
      </c>
      <c r="H45" s="514" t="s">
        <v>1319</v>
      </c>
      <c r="I45" s="473"/>
      <c r="J45" s="473"/>
      <c r="K45" s="466"/>
    </row>
    <row r="46" spans="2:11" x14ac:dyDescent="0.2">
      <c r="B46" s="556" t="s">
        <v>1320</v>
      </c>
      <c r="C46" s="473"/>
      <c r="D46" s="466"/>
      <c r="E46" s="157">
        <v>6456</v>
      </c>
      <c r="F46" s="131">
        <v>10760</v>
      </c>
      <c r="G46" s="157">
        <v>15064</v>
      </c>
      <c r="H46" s="514" t="s">
        <v>1321</v>
      </c>
      <c r="I46" s="473"/>
      <c r="J46" s="473"/>
      <c r="K46" s="466"/>
    </row>
    <row r="48" spans="2:11" x14ac:dyDescent="0.2">
      <c r="B48" s="520" t="s">
        <v>1322</v>
      </c>
      <c r="C48" s="473"/>
      <c r="D48" s="466"/>
      <c r="E48" s="209">
        <v>1072.3064984196201</v>
      </c>
      <c r="F48" s="209">
        <v>5560.0330299733814</v>
      </c>
      <c r="G48" s="209">
        <v>15064</v>
      </c>
      <c r="H48" s="520" t="s">
        <v>1323</v>
      </c>
      <c r="I48" s="473"/>
      <c r="J48" s="473"/>
      <c r="K48" s="466"/>
    </row>
    <row r="51" spans="2:11" x14ac:dyDescent="0.2">
      <c r="B51" s="541" t="s">
        <v>1324</v>
      </c>
      <c r="C51" s="468"/>
      <c r="D51" s="468"/>
      <c r="E51" s="468"/>
      <c r="F51" s="468"/>
      <c r="G51" s="468"/>
      <c r="H51" s="468"/>
      <c r="I51" s="468"/>
      <c r="J51" s="468"/>
      <c r="K51" s="468"/>
    </row>
  </sheetData>
  <mergeCells count="53">
    <mergeCell ref="C33:D33"/>
    <mergeCell ref="B25:F25"/>
    <mergeCell ref="B28:F28"/>
    <mergeCell ref="C36:D36"/>
    <mergeCell ref="B39:K39"/>
    <mergeCell ref="C15:G15"/>
    <mergeCell ref="H48:K48"/>
    <mergeCell ref="B6:K6"/>
    <mergeCell ref="C14:G14"/>
    <mergeCell ref="B51:K51"/>
    <mergeCell ref="B20:K20"/>
    <mergeCell ref="I21:K21"/>
    <mergeCell ref="B22:F22"/>
    <mergeCell ref="I29:K29"/>
    <mergeCell ref="H41:K41"/>
    <mergeCell ref="J35:K35"/>
    <mergeCell ref="B29:F29"/>
    <mergeCell ref="H44:K44"/>
    <mergeCell ref="H40:K40"/>
    <mergeCell ref="B45:D45"/>
    <mergeCell ref="B41:D41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B48:D48"/>
    <mergeCell ref="I25:K25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C34:D34"/>
    <mergeCell ref="B42:D42"/>
    <mergeCell ref="I22:K22"/>
    <mergeCell ref="I28:K28"/>
  </mergeCells>
  <printOptions horizontalCentered="1"/>
  <pageMargins left="0.59" right="0.59" top="0.59" bottom="0.59" header="0.3" footer="0.3"/>
  <pageSetup paperSize="9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M50"/>
  <sheetViews>
    <sheetView workbookViewId="0">
      <pane xSplit="1" ySplit="6" topLeftCell="B35" activePane="bottomRight" state="frozen"/>
      <selection pane="topRight"/>
      <selection pane="bottomLeft"/>
      <selection pane="bottomRight" activeCell="F47" sqref="F47"/>
    </sheetView>
  </sheetViews>
  <sheetFormatPr baseColWidth="10" defaultColWidth="8.83203125" defaultRowHeight="15" x14ac:dyDescent="0.2"/>
  <cols>
    <col min="1" max="1" width="2" customWidth="1"/>
    <col min="2" max="2" width="27.5" customWidth="1"/>
    <col min="3" max="3" width="30" customWidth="1"/>
    <col min="4" max="11" width="13" customWidth="1"/>
  </cols>
  <sheetData>
    <row r="2" spans="2:11" x14ac:dyDescent="0.2">
      <c r="B2" s="545" t="s">
        <v>1325</v>
      </c>
      <c r="C2" s="468"/>
      <c r="D2" s="468"/>
      <c r="E2" s="468"/>
      <c r="F2" s="468"/>
      <c r="G2" s="468"/>
      <c r="H2" s="468"/>
      <c r="I2" s="468"/>
      <c r="J2" s="468"/>
      <c r="K2" s="468"/>
    </row>
    <row r="3" spans="2:11" x14ac:dyDescent="0.2">
      <c r="B3" s="468"/>
      <c r="C3" s="468"/>
      <c r="D3" s="468"/>
      <c r="E3" s="468"/>
      <c r="F3" s="468"/>
      <c r="G3" s="468"/>
      <c r="H3" s="468"/>
      <c r="I3" s="468"/>
      <c r="J3" s="468"/>
      <c r="K3" s="468"/>
    </row>
    <row r="4" spans="2:11" ht="68" customHeight="1" x14ac:dyDescent="0.2">
      <c r="B4" s="528" t="s">
        <v>1326</v>
      </c>
      <c r="C4" s="468"/>
      <c r="D4" s="468"/>
      <c r="E4" s="468"/>
      <c r="F4" s="468"/>
      <c r="G4" s="468"/>
      <c r="H4" s="468"/>
      <c r="I4" s="468"/>
      <c r="J4" s="468"/>
      <c r="K4" s="468"/>
    </row>
    <row r="6" spans="2:11" x14ac:dyDescent="0.2">
      <c r="B6" s="547" t="s">
        <v>1327</v>
      </c>
      <c r="C6" s="468"/>
      <c r="D6" s="468"/>
      <c r="E6" s="468"/>
      <c r="F6" s="468"/>
      <c r="G6" s="468"/>
      <c r="H6" s="468"/>
      <c r="I6" s="468"/>
      <c r="J6" s="468"/>
      <c r="K6" s="468"/>
    </row>
    <row r="7" spans="2:11" x14ac:dyDescent="0.2">
      <c r="B7" s="126" t="s">
        <v>61</v>
      </c>
      <c r="C7" s="126" t="s">
        <v>424</v>
      </c>
      <c r="D7" s="126" t="s">
        <v>1328</v>
      </c>
      <c r="E7" s="126" t="s">
        <v>1329</v>
      </c>
      <c r="F7" s="126" t="s">
        <v>1330</v>
      </c>
      <c r="G7" s="126" t="s">
        <v>1331</v>
      </c>
      <c r="H7" s="126" t="s">
        <v>1332</v>
      </c>
      <c r="I7" s="126" t="s">
        <v>1333</v>
      </c>
      <c r="J7" s="126" t="s">
        <v>1334</v>
      </c>
      <c r="K7" s="126" t="s">
        <v>1335</v>
      </c>
    </row>
    <row r="8" spans="2:11" ht="30" x14ac:dyDescent="0.2">
      <c r="B8" s="150">
        <v>1</v>
      </c>
      <c r="C8" s="151" t="s">
        <v>1336</v>
      </c>
      <c r="D8" s="151" t="s">
        <v>1337</v>
      </c>
      <c r="E8" s="152">
        <v>-250</v>
      </c>
      <c r="F8" s="196"/>
      <c r="G8" s="196"/>
      <c r="H8" s="152">
        <v>-250</v>
      </c>
      <c r="I8" s="152">
        <v>-250</v>
      </c>
      <c r="J8" s="152">
        <v>-250</v>
      </c>
      <c r="K8" s="150" t="s">
        <v>1338</v>
      </c>
    </row>
    <row r="9" spans="2:11" ht="30" x14ac:dyDescent="0.2">
      <c r="B9" s="150">
        <v>2</v>
      </c>
      <c r="C9" s="151" t="s">
        <v>1339</v>
      </c>
      <c r="D9" s="151" t="s">
        <v>1337</v>
      </c>
      <c r="E9" s="152">
        <v>-350</v>
      </c>
      <c r="F9" s="196"/>
      <c r="G9" s="196"/>
      <c r="H9" s="152">
        <v>-350</v>
      </c>
      <c r="I9" s="152">
        <v>-600</v>
      </c>
      <c r="J9" s="152">
        <v>-600</v>
      </c>
      <c r="K9" s="150" t="s">
        <v>1338</v>
      </c>
    </row>
    <row r="10" spans="2:11" ht="30" x14ac:dyDescent="0.2">
      <c r="B10" s="150">
        <v>3</v>
      </c>
      <c r="C10" s="151" t="s">
        <v>1340</v>
      </c>
      <c r="D10" s="151" t="s">
        <v>1337</v>
      </c>
      <c r="E10" s="152">
        <v>-350</v>
      </c>
      <c r="F10" s="196"/>
      <c r="G10" s="196"/>
      <c r="H10" s="152">
        <v>-350</v>
      </c>
      <c r="I10" s="152">
        <v>-950</v>
      </c>
      <c r="J10" s="152">
        <v>-950</v>
      </c>
      <c r="K10" s="150" t="s">
        <v>1338</v>
      </c>
    </row>
    <row r="11" spans="2:11" ht="30" x14ac:dyDescent="0.2">
      <c r="B11" s="150">
        <v>4</v>
      </c>
      <c r="C11" s="151" t="s">
        <v>515</v>
      </c>
      <c r="D11" s="151" t="s">
        <v>1337</v>
      </c>
      <c r="E11" s="152">
        <v>-300</v>
      </c>
      <c r="F11" s="196"/>
      <c r="G11" s="196"/>
      <c r="H11" s="152">
        <v>-300</v>
      </c>
      <c r="I11" s="152">
        <v>-1250</v>
      </c>
      <c r="J11" s="152">
        <v>-1250</v>
      </c>
      <c r="K11" s="150" t="s">
        <v>1338</v>
      </c>
    </row>
    <row r="12" spans="2:11" ht="30" x14ac:dyDescent="0.2">
      <c r="B12" s="141">
        <v>5</v>
      </c>
      <c r="C12" s="142" t="s">
        <v>406</v>
      </c>
      <c r="D12" s="142" t="s">
        <v>1341</v>
      </c>
      <c r="E12" s="405">
        <v>990</v>
      </c>
      <c r="F12" s="405"/>
      <c r="G12" s="198"/>
      <c r="H12" s="405">
        <v>990</v>
      </c>
      <c r="I12" s="405">
        <v>-260</v>
      </c>
      <c r="J12" s="405">
        <v>-1250</v>
      </c>
      <c r="K12" s="141" t="s">
        <v>1342</v>
      </c>
    </row>
    <row r="13" spans="2:11" ht="45" x14ac:dyDescent="0.2">
      <c r="B13" s="141">
        <v>6</v>
      </c>
      <c r="C13" s="142" t="s">
        <v>407</v>
      </c>
      <c r="D13" s="142" t="s">
        <v>1343</v>
      </c>
      <c r="E13" s="405">
        <v>260</v>
      </c>
      <c r="F13" s="405">
        <v>500</v>
      </c>
      <c r="G13" s="405">
        <v>354</v>
      </c>
      <c r="H13" s="405">
        <v>1114</v>
      </c>
      <c r="I13" s="405">
        <v>854</v>
      </c>
      <c r="J13" s="405">
        <v>-1250</v>
      </c>
      <c r="K13" s="141" t="s">
        <v>1342</v>
      </c>
    </row>
    <row r="14" spans="2:11" ht="45" x14ac:dyDescent="0.2">
      <c r="B14" s="141">
        <v>7</v>
      </c>
      <c r="C14" s="142" t="s">
        <v>408</v>
      </c>
      <c r="D14" s="142" t="s">
        <v>1344</v>
      </c>
      <c r="E14" s="405"/>
      <c r="F14" s="198"/>
      <c r="G14" s="405">
        <v>162</v>
      </c>
      <c r="H14" s="405">
        <v>162</v>
      </c>
      <c r="I14" s="405">
        <v>1016</v>
      </c>
      <c r="J14" s="405">
        <v>-1250</v>
      </c>
      <c r="K14" s="141" t="s">
        <v>1342</v>
      </c>
    </row>
    <row r="15" spans="2:11" ht="45" x14ac:dyDescent="0.2">
      <c r="B15" s="141">
        <v>8</v>
      </c>
      <c r="C15" s="142" t="s">
        <v>409</v>
      </c>
      <c r="D15" s="142" t="s">
        <v>1345</v>
      </c>
      <c r="E15" s="405"/>
      <c r="F15" s="198"/>
      <c r="G15" s="405">
        <v>234</v>
      </c>
      <c r="H15" s="405">
        <v>234</v>
      </c>
      <c r="I15" s="405">
        <v>1250</v>
      </c>
      <c r="J15" s="405">
        <v>-1250</v>
      </c>
      <c r="K15" s="141" t="s">
        <v>1342</v>
      </c>
    </row>
    <row r="16" spans="2:11" x14ac:dyDescent="0.2">
      <c r="B16" s="561" t="s">
        <v>1346</v>
      </c>
      <c r="C16" s="473"/>
      <c r="D16" s="466"/>
      <c r="E16" s="406">
        <v>0</v>
      </c>
      <c r="F16" s="406">
        <v>500</v>
      </c>
      <c r="G16" s="406">
        <v>750</v>
      </c>
      <c r="H16" s="406">
        <v>2500</v>
      </c>
      <c r="I16" s="210"/>
      <c r="J16" s="210"/>
      <c r="K16" s="210"/>
    </row>
    <row r="18" spans="2:13" x14ac:dyDescent="0.2">
      <c r="B18" s="547" t="s">
        <v>1347</v>
      </c>
      <c r="C18" s="468"/>
      <c r="D18" s="468"/>
      <c r="E18" s="468"/>
      <c r="F18" s="468"/>
      <c r="G18" s="468"/>
      <c r="H18" s="468"/>
      <c r="I18" s="468"/>
      <c r="J18" s="468"/>
      <c r="K18" s="468"/>
    </row>
    <row r="19" spans="2:13" x14ac:dyDescent="0.2">
      <c r="B19" s="389" t="s">
        <v>61</v>
      </c>
      <c r="C19" s="389" t="s">
        <v>488</v>
      </c>
      <c r="D19" s="389" t="s">
        <v>1348</v>
      </c>
      <c r="E19" s="389" t="s">
        <v>1349</v>
      </c>
      <c r="F19" s="389" t="s">
        <v>1350</v>
      </c>
      <c r="G19" s="389" t="s">
        <v>1351</v>
      </c>
      <c r="H19" s="389" t="s">
        <v>1352</v>
      </c>
      <c r="I19" s="389" t="s">
        <v>1353</v>
      </c>
      <c r="J19" s="389" t="s">
        <v>1354</v>
      </c>
      <c r="K19" s="389" t="s">
        <v>1355</v>
      </c>
      <c r="L19" s="389" t="s">
        <v>1356</v>
      </c>
      <c r="M19" s="389" t="s">
        <v>1357</v>
      </c>
    </row>
    <row r="20" spans="2:13" ht="17" x14ac:dyDescent="0.2">
      <c r="B20" s="408">
        <v>1</v>
      </c>
      <c r="C20" s="408" t="s">
        <v>1358</v>
      </c>
      <c r="D20" s="409">
        <v>-3.56</v>
      </c>
      <c r="E20" s="410">
        <v>0.86</v>
      </c>
      <c r="F20" s="409">
        <v>-0.68</v>
      </c>
      <c r="G20" s="410">
        <v>0.97</v>
      </c>
      <c r="H20" s="411">
        <v>9.34</v>
      </c>
      <c r="I20" s="412">
        <v>1.42</v>
      </c>
      <c r="J20" s="413">
        <v>9.6</v>
      </c>
      <c r="K20" s="414">
        <v>1.44</v>
      </c>
      <c r="L20" s="415" t="s">
        <v>1057</v>
      </c>
      <c r="M20" s="416">
        <v>1800</v>
      </c>
    </row>
    <row r="21" spans="2:13" ht="17" x14ac:dyDescent="0.2">
      <c r="B21" s="417">
        <v>2</v>
      </c>
      <c r="C21" s="417" t="s">
        <v>1359</v>
      </c>
      <c r="D21" s="418">
        <v>3.06</v>
      </c>
      <c r="E21" s="419">
        <v>1.1299999999999999</v>
      </c>
      <c r="F21" s="418">
        <v>6.74</v>
      </c>
      <c r="G21" s="419">
        <v>1.3</v>
      </c>
      <c r="H21" s="411">
        <v>15.14</v>
      </c>
      <c r="I21" s="412">
        <v>1.71</v>
      </c>
      <c r="J21" s="413">
        <v>16.61</v>
      </c>
      <c r="K21" s="414">
        <v>1.81</v>
      </c>
      <c r="L21" s="415" t="s">
        <v>1057</v>
      </c>
      <c r="M21" s="416">
        <v>2400</v>
      </c>
    </row>
    <row r="22" spans="2:13" ht="17" x14ac:dyDescent="0.2">
      <c r="B22" s="420">
        <v>3</v>
      </c>
      <c r="C22" s="420" t="s">
        <v>1360</v>
      </c>
      <c r="D22" s="409">
        <v>8.2799999999999994</v>
      </c>
      <c r="E22" s="410">
        <v>1.37</v>
      </c>
      <c r="F22" s="409">
        <v>12.97</v>
      </c>
      <c r="G22" s="410">
        <v>1.62</v>
      </c>
      <c r="H22" s="421">
        <v>20.09</v>
      </c>
      <c r="I22" s="422">
        <v>2</v>
      </c>
      <c r="J22" s="413">
        <v>21.81</v>
      </c>
      <c r="K22" s="414">
        <v>2.12</v>
      </c>
      <c r="L22" s="415" t="s">
        <v>1057</v>
      </c>
      <c r="M22" s="416">
        <v>3000</v>
      </c>
    </row>
    <row r="23" spans="2:13" ht="16" x14ac:dyDescent="0.2">
      <c r="B23" s="423">
        <v>4</v>
      </c>
      <c r="C23" s="423" t="s">
        <v>1361</v>
      </c>
      <c r="D23" s="423">
        <v>12.91</v>
      </c>
      <c r="E23" s="423">
        <v>1.61</v>
      </c>
      <c r="F23" s="423">
        <v>18.39</v>
      </c>
      <c r="G23" s="423">
        <v>1.95</v>
      </c>
      <c r="H23" s="423">
        <v>24.61</v>
      </c>
      <c r="I23" s="423">
        <v>2.29</v>
      </c>
      <c r="J23" s="423">
        <v>26.45</v>
      </c>
      <c r="K23" s="423">
        <v>2.4300000000000002</v>
      </c>
      <c r="L23" s="423" t="s">
        <v>1057</v>
      </c>
      <c r="M23" s="423">
        <v>3600</v>
      </c>
    </row>
    <row r="24" spans="2:13" ht="16" x14ac:dyDescent="0.2">
      <c r="B24" s="423">
        <v>5</v>
      </c>
      <c r="C24" s="423" t="s">
        <v>1362</v>
      </c>
      <c r="D24" s="423">
        <v>17.079999999999998</v>
      </c>
      <c r="E24" s="423">
        <v>1.85</v>
      </c>
      <c r="F24" s="423">
        <v>23.22</v>
      </c>
      <c r="G24" s="423">
        <v>2.27</v>
      </c>
      <c r="H24" s="423">
        <v>28.78</v>
      </c>
      <c r="I24" s="423">
        <v>2.58</v>
      </c>
      <c r="J24" s="423">
        <v>30.73</v>
      </c>
      <c r="K24" s="423">
        <v>2.74</v>
      </c>
      <c r="L24" s="423" t="s">
        <v>1057</v>
      </c>
      <c r="M24" s="423">
        <v>4200</v>
      </c>
    </row>
    <row r="25" spans="2:13" x14ac:dyDescent="0.2">
      <c r="B25" s="547" t="s">
        <v>1363</v>
      </c>
      <c r="C25" s="468"/>
      <c r="D25" s="468"/>
      <c r="E25" s="468"/>
      <c r="F25" s="468"/>
      <c r="G25" s="468"/>
      <c r="H25" s="468"/>
      <c r="I25" s="468"/>
      <c r="J25" s="468"/>
      <c r="K25" s="468"/>
    </row>
    <row r="26" spans="2:13" x14ac:dyDescent="0.2">
      <c r="B26" s="556" t="s">
        <v>1364</v>
      </c>
      <c r="C26" s="473"/>
      <c r="D26" s="473"/>
      <c r="E26" s="473"/>
      <c r="F26" s="466"/>
      <c r="G26" s="571">
        <v>1250</v>
      </c>
      <c r="H26" s="466"/>
      <c r="I26" s="514" t="s">
        <v>1365</v>
      </c>
      <c r="J26" s="473"/>
      <c r="K26" s="466"/>
    </row>
    <row r="27" spans="2:13" x14ac:dyDescent="0.2">
      <c r="B27" s="574" t="s">
        <v>1366</v>
      </c>
      <c r="C27" s="473"/>
      <c r="D27" s="473"/>
      <c r="E27" s="473"/>
      <c r="F27" s="466"/>
      <c r="G27" s="571">
        <v>2500</v>
      </c>
      <c r="H27" s="466"/>
      <c r="I27" s="514" t="s">
        <v>1367</v>
      </c>
      <c r="J27" s="473"/>
      <c r="K27" s="466"/>
    </row>
    <row r="28" spans="2:13" ht="16" x14ac:dyDescent="0.2">
      <c r="B28" s="564" t="s">
        <v>1364</v>
      </c>
      <c r="C28" s="473"/>
      <c r="D28" s="473"/>
      <c r="E28" s="473"/>
      <c r="F28" s="466"/>
      <c r="G28" s="576">
        <v>1250</v>
      </c>
      <c r="H28" s="466"/>
      <c r="I28" s="564" t="s">
        <v>1365</v>
      </c>
      <c r="J28" s="473"/>
      <c r="K28" s="466"/>
    </row>
    <row r="29" spans="2:13" ht="16" x14ac:dyDescent="0.2">
      <c r="B29" s="564" t="s">
        <v>1368</v>
      </c>
      <c r="C29" s="473"/>
      <c r="D29" s="473"/>
      <c r="E29" s="473"/>
      <c r="F29" s="466"/>
      <c r="G29" s="568">
        <v>2500</v>
      </c>
      <c r="H29" s="466"/>
      <c r="I29" s="564" t="s">
        <v>1367</v>
      </c>
      <c r="J29" s="473"/>
      <c r="K29" s="466"/>
    </row>
    <row r="30" spans="2:13" ht="16" x14ac:dyDescent="0.2">
      <c r="B30" s="564" t="s">
        <v>1369</v>
      </c>
      <c r="C30" s="473"/>
      <c r="D30" s="473"/>
      <c r="E30" s="473"/>
      <c r="F30" s="466"/>
      <c r="G30" s="563">
        <v>1250</v>
      </c>
      <c r="H30" s="466"/>
      <c r="I30" s="564" t="s">
        <v>1370</v>
      </c>
      <c r="J30" s="473"/>
      <c r="K30" s="466"/>
    </row>
    <row r="31" spans="2:13" ht="16" x14ac:dyDescent="0.2">
      <c r="B31" s="564" t="s">
        <v>1371</v>
      </c>
      <c r="C31" s="473"/>
      <c r="D31" s="473"/>
      <c r="E31" s="473"/>
      <c r="F31" s="466"/>
      <c r="G31" s="563">
        <v>100</v>
      </c>
      <c r="H31" s="466"/>
      <c r="I31" s="564" t="s">
        <v>1372</v>
      </c>
      <c r="J31" s="473"/>
      <c r="K31" s="466"/>
    </row>
    <row r="32" spans="2:13" ht="16" x14ac:dyDescent="0.2">
      <c r="B32" s="564" t="s">
        <v>1373</v>
      </c>
      <c r="C32" s="473"/>
      <c r="D32" s="473"/>
      <c r="E32" s="473"/>
      <c r="F32" s="466"/>
      <c r="G32" s="563">
        <v>2</v>
      </c>
      <c r="H32" s="466"/>
      <c r="I32" s="564" t="s">
        <v>1374</v>
      </c>
      <c r="J32" s="473"/>
      <c r="K32" s="466"/>
    </row>
    <row r="33" spans="2:11" ht="16" x14ac:dyDescent="0.2">
      <c r="B33" s="564" t="s">
        <v>1375</v>
      </c>
      <c r="C33" s="473"/>
      <c r="D33" s="473"/>
      <c r="E33" s="473"/>
      <c r="F33" s="466"/>
      <c r="G33" s="568">
        <v>2</v>
      </c>
      <c r="H33" s="466"/>
      <c r="I33" s="564" t="s">
        <v>1376</v>
      </c>
      <c r="J33" s="473"/>
      <c r="K33" s="466"/>
    </row>
    <row r="34" spans="2:11" ht="16" x14ac:dyDescent="0.2">
      <c r="B34" s="564" t="s">
        <v>1377</v>
      </c>
      <c r="C34" s="473"/>
      <c r="D34" s="473"/>
      <c r="E34" s="473"/>
      <c r="F34" s="466"/>
      <c r="G34" s="576">
        <v>2</v>
      </c>
      <c r="H34" s="466"/>
      <c r="I34" s="564" t="s">
        <v>1378</v>
      </c>
      <c r="J34" s="473"/>
      <c r="K34" s="466"/>
    </row>
    <row r="35" spans="2:11" ht="16" x14ac:dyDescent="0.2">
      <c r="B35" s="564" t="s">
        <v>1379</v>
      </c>
      <c r="C35" s="473"/>
      <c r="D35" s="473"/>
      <c r="E35" s="473"/>
      <c r="F35" s="466"/>
      <c r="G35" s="572">
        <v>20.09</v>
      </c>
      <c r="H35" s="466"/>
      <c r="I35" s="564" t="s">
        <v>1380</v>
      </c>
      <c r="J35" s="473"/>
      <c r="K35" s="466"/>
    </row>
    <row r="36" spans="2:11" ht="16" x14ac:dyDescent="0.2">
      <c r="B36" s="425" t="s">
        <v>1381</v>
      </c>
      <c r="G36" s="426">
        <v>1250</v>
      </c>
      <c r="I36" s="425" t="s">
        <v>1382</v>
      </c>
    </row>
    <row r="37" spans="2:11" ht="16" x14ac:dyDescent="0.2">
      <c r="B37" s="425" t="s">
        <v>1383</v>
      </c>
      <c r="G37" s="426">
        <v>3.23</v>
      </c>
      <c r="I37" s="425" t="s">
        <v>1384</v>
      </c>
    </row>
    <row r="38" spans="2:11" x14ac:dyDescent="0.2">
      <c r="B38" s="547" t="s">
        <v>1385</v>
      </c>
      <c r="C38" s="468"/>
      <c r="D38" s="468"/>
      <c r="E38" s="468"/>
      <c r="F38" s="468"/>
      <c r="G38" s="468"/>
      <c r="H38" s="468"/>
      <c r="I38" s="468"/>
      <c r="J38" s="468"/>
      <c r="K38" s="468"/>
    </row>
    <row r="39" spans="2:11" ht="95" x14ac:dyDescent="0.2">
      <c r="B39" s="654" t="s">
        <v>1386</v>
      </c>
      <c r="C39" s="562" t="s">
        <v>645</v>
      </c>
      <c r="D39" s="652"/>
      <c r="E39" s="652"/>
      <c r="F39" s="652"/>
      <c r="G39" s="653"/>
      <c r="H39" s="126" t="s">
        <v>14</v>
      </c>
      <c r="I39" s="126" t="s">
        <v>1387</v>
      </c>
      <c r="J39" s="562" t="s">
        <v>448</v>
      </c>
      <c r="K39" s="466"/>
    </row>
    <row r="40" spans="2:11" ht="17" x14ac:dyDescent="0.2">
      <c r="B40" s="427" t="s">
        <v>61</v>
      </c>
      <c r="C40" s="575" t="s">
        <v>645</v>
      </c>
      <c r="D40" s="473"/>
      <c r="E40" s="473"/>
      <c r="F40" s="473"/>
      <c r="G40" s="466"/>
      <c r="H40" s="428" t="s">
        <v>14</v>
      </c>
      <c r="I40" s="429" t="s">
        <v>1387</v>
      </c>
      <c r="J40" s="575" t="s">
        <v>448</v>
      </c>
      <c r="K40" s="466"/>
    </row>
    <row r="41" spans="2:11" ht="16" x14ac:dyDescent="0.2">
      <c r="B41" s="415">
        <v>1</v>
      </c>
      <c r="C41" s="577" t="s">
        <v>1388</v>
      </c>
      <c r="D41" s="566"/>
      <c r="E41" s="566"/>
      <c r="F41" s="566"/>
      <c r="G41" s="567"/>
      <c r="H41" s="431">
        <v>1250</v>
      </c>
      <c r="I41" s="432">
        <v>50</v>
      </c>
      <c r="J41" s="569" t="s">
        <v>1389</v>
      </c>
      <c r="K41" s="570"/>
    </row>
    <row r="42" spans="2:11" ht="16" x14ac:dyDescent="0.2">
      <c r="B42" s="415">
        <v>2</v>
      </c>
      <c r="C42" s="577" t="s">
        <v>1390</v>
      </c>
      <c r="D42" s="566"/>
      <c r="E42" s="566"/>
      <c r="F42" s="566"/>
      <c r="G42" s="567"/>
      <c r="H42" s="431">
        <v>500</v>
      </c>
      <c r="I42" s="432">
        <v>20</v>
      </c>
      <c r="J42" s="569" t="s">
        <v>1391</v>
      </c>
      <c r="K42" s="570"/>
    </row>
    <row r="43" spans="2:11" ht="16" x14ac:dyDescent="0.2">
      <c r="B43" s="420">
        <v>3</v>
      </c>
      <c r="C43" s="565" t="s">
        <v>1392</v>
      </c>
      <c r="D43" s="566"/>
      <c r="E43" s="566"/>
      <c r="F43" s="566"/>
      <c r="G43" s="567"/>
      <c r="H43" s="433">
        <v>750</v>
      </c>
      <c r="I43" s="434">
        <v>30</v>
      </c>
      <c r="J43" s="573" t="s">
        <v>1393</v>
      </c>
      <c r="K43" s="570"/>
    </row>
    <row r="44" spans="2:11" ht="16" x14ac:dyDescent="0.2">
      <c r="C44" s="426" t="s">
        <v>1394</v>
      </c>
      <c r="H44" s="426">
        <v>2500</v>
      </c>
      <c r="I44">
        <v>100</v>
      </c>
      <c r="J44" t="s">
        <v>1395</v>
      </c>
    </row>
    <row r="46" spans="2:11" ht="18" x14ac:dyDescent="0.2">
      <c r="B46" s="435" t="s">
        <v>1396</v>
      </c>
    </row>
    <row r="47" spans="2:11" ht="409.6" x14ac:dyDescent="0.2">
      <c r="B47" s="436" t="s">
        <v>1397</v>
      </c>
    </row>
    <row r="48" spans="2:11" ht="409.6" x14ac:dyDescent="0.2">
      <c r="B48" s="436" t="s">
        <v>1398</v>
      </c>
    </row>
    <row r="49" spans="2:2" ht="409.6" x14ac:dyDescent="0.2">
      <c r="B49" s="436" t="s">
        <v>1399</v>
      </c>
    </row>
    <row r="50" spans="2:2" ht="409.6" x14ac:dyDescent="0.2">
      <c r="B50" s="436" t="s">
        <v>1400</v>
      </c>
    </row>
  </sheetData>
  <mergeCells count="47">
    <mergeCell ref="J39:K39"/>
    <mergeCell ref="I32:K32"/>
    <mergeCell ref="I28:K28"/>
    <mergeCell ref="C42:G42"/>
    <mergeCell ref="G27:H27"/>
    <mergeCell ref="B31:F31"/>
    <mergeCell ref="C41:G41"/>
    <mergeCell ref="B33:F33"/>
    <mergeCell ref="J42:K42"/>
    <mergeCell ref="B6:K6"/>
    <mergeCell ref="B2:K3"/>
    <mergeCell ref="B27:F27"/>
    <mergeCell ref="J40:K40"/>
    <mergeCell ref="I33:K33"/>
    <mergeCell ref="B4:K4"/>
    <mergeCell ref="B25:K25"/>
    <mergeCell ref="G28:H28"/>
    <mergeCell ref="I35:K35"/>
    <mergeCell ref="C40:G40"/>
    <mergeCell ref="I29:K29"/>
    <mergeCell ref="B29:F29"/>
    <mergeCell ref="G34:H34"/>
    <mergeCell ref="B16:D16"/>
    <mergeCell ref="I27:K27"/>
    <mergeCell ref="G32:H32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G29:H29"/>
    <mergeCell ref="B30:F30"/>
    <mergeCell ref="G35:H35"/>
    <mergeCell ref="J43:K43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paperSize="9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K55"/>
  <sheetViews>
    <sheetView workbookViewId="0">
      <pane xSplit="1" ySplit="6" topLeftCell="B2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26" customWidth="1"/>
    <col min="4" max="7" width="12" customWidth="1"/>
    <col min="8" max="10" width="13" customWidth="1"/>
    <col min="11" max="11" width="14" customWidth="1"/>
  </cols>
  <sheetData>
    <row r="2" spans="2:11" x14ac:dyDescent="0.2">
      <c r="B2" s="545" t="s">
        <v>1401</v>
      </c>
      <c r="C2" s="468"/>
      <c r="D2" s="468"/>
      <c r="E2" s="468"/>
      <c r="F2" s="468"/>
      <c r="G2" s="468"/>
      <c r="H2" s="468"/>
      <c r="I2" s="468"/>
      <c r="J2" s="468"/>
      <c r="K2" s="468"/>
    </row>
    <row r="3" spans="2:11" x14ac:dyDescent="0.2">
      <c r="B3" s="468"/>
      <c r="C3" s="468"/>
      <c r="D3" s="468"/>
      <c r="E3" s="468"/>
      <c r="F3" s="468"/>
      <c r="G3" s="468"/>
      <c r="H3" s="468"/>
      <c r="I3" s="468"/>
      <c r="J3" s="468"/>
      <c r="K3" s="468"/>
    </row>
    <row r="4" spans="2:11" x14ac:dyDescent="0.2">
      <c r="B4" s="528" t="s">
        <v>1402</v>
      </c>
      <c r="C4" s="468"/>
      <c r="D4" s="468"/>
      <c r="E4" s="468"/>
      <c r="F4" s="468"/>
      <c r="G4" s="468"/>
      <c r="H4" s="468"/>
      <c r="I4" s="468"/>
      <c r="J4" s="468"/>
      <c r="K4" s="468"/>
    </row>
    <row r="6" spans="2:11" x14ac:dyDescent="0.2">
      <c r="B6" s="547" t="s">
        <v>1403</v>
      </c>
      <c r="C6" s="468"/>
      <c r="D6" s="468"/>
      <c r="E6" s="468"/>
      <c r="F6" s="468"/>
      <c r="G6" s="468"/>
      <c r="H6" s="468"/>
      <c r="I6" s="468"/>
      <c r="J6" s="468"/>
      <c r="K6" s="468"/>
    </row>
    <row r="7" spans="2:11" x14ac:dyDescent="0.2">
      <c r="B7" s="126" t="s">
        <v>61</v>
      </c>
      <c r="C7" s="126" t="s">
        <v>1404</v>
      </c>
      <c r="D7" s="126" t="s">
        <v>1405</v>
      </c>
      <c r="E7" s="126" t="s">
        <v>1406</v>
      </c>
      <c r="F7" s="126" t="s">
        <v>1069</v>
      </c>
      <c r="G7" s="126" t="s">
        <v>1166</v>
      </c>
      <c r="H7" s="126" t="s">
        <v>1407</v>
      </c>
      <c r="I7" s="126" t="s">
        <v>1408</v>
      </c>
      <c r="J7" s="126" t="s">
        <v>1409</v>
      </c>
      <c r="K7" s="126" t="s">
        <v>1410</v>
      </c>
    </row>
    <row r="8" spans="2:11" x14ac:dyDescent="0.2">
      <c r="B8" s="155">
        <v>1</v>
      </c>
      <c r="C8" s="212" t="s">
        <v>1411</v>
      </c>
      <c r="D8" s="155" t="s">
        <v>405</v>
      </c>
      <c r="E8" s="157">
        <v>1462</v>
      </c>
      <c r="F8" s="205">
        <v>6</v>
      </c>
      <c r="G8" s="157">
        <v>8772</v>
      </c>
      <c r="H8" s="157">
        <v>1250</v>
      </c>
      <c r="I8" s="157">
        <v>7522</v>
      </c>
      <c r="J8" s="157">
        <v>4280.018</v>
      </c>
      <c r="K8" s="213">
        <v>15</v>
      </c>
    </row>
    <row r="9" spans="2:11" x14ac:dyDescent="0.2">
      <c r="B9" s="155">
        <v>2</v>
      </c>
      <c r="C9" s="212" t="s">
        <v>1411</v>
      </c>
      <c r="D9" s="155" t="s">
        <v>407</v>
      </c>
      <c r="E9" s="157">
        <v>1120</v>
      </c>
      <c r="F9" s="205">
        <v>5.5</v>
      </c>
      <c r="G9" s="157">
        <v>6160</v>
      </c>
      <c r="H9" s="157">
        <v>0</v>
      </c>
      <c r="I9" s="157">
        <v>6160</v>
      </c>
      <c r="J9" s="157">
        <v>3505.04</v>
      </c>
      <c r="K9" s="213">
        <v>20</v>
      </c>
    </row>
    <row r="10" spans="2:11" x14ac:dyDescent="0.2">
      <c r="B10" s="155">
        <v>3</v>
      </c>
      <c r="C10" s="142" t="s">
        <v>1412</v>
      </c>
      <c r="D10" s="155" t="s">
        <v>405</v>
      </c>
      <c r="E10" s="157">
        <v>1462</v>
      </c>
      <c r="F10" s="205">
        <v>7</v>
      </c>
      <c r="G10" s="157">
        <v>10234</v>
      </c>
      <c r="H10" s="157">
        <v>1250</v>
      </c>
      <c r="I10" s="157">
        <v>8984</v>
      </c>
      <c r="J10" s="157">
        <v>5111.8959999999997</v>
      </c>
      <c r="K10" s="213">
        <v>5</v>
      </c>
    </row>
    <row r="11" spans="2:11" x14ac:dyDescent="0.2">
      <c r="B11" s="155">
        <v>4</v>
      </c>
      <c r="C11" s="142" t="s">
        <v>1412</v>
      </c>
      <c r="D11" s="155" t="s">
        <v>407</v>
      </c>
      <c r="E11" s="157">
        <v>1120</v>
      </c>
      <c r="F11" s="205">
        <v>6.5</v>
      </c>
      <c r="G11" s="157">
        <v>7280</v>
      </c>
      <c r="H11" s="157">
        <v>0</v>
      </c>
      <c r="I11" s="157">
        <v>7280</v>
      </c>
      <c r="J11" s="157">
        <v>4142.32</v>
      </c>
      <c r="K11" s="213">
        <v>10</v>
      </c>
    </row>
    <row r="12" spans="2:11" x14ac:dyDescent="0.2">
      <c r="B12" s="155">
        <v>5</v>
      </c>
      <c r="C12" s="212" t="s">
        <v>1413</v>
      </c>
      <c r="D12" s="155" t="s">
        <v>407</v>
      </c>
      <c r="E12" s="157">
        <v>1120</v>
      </c>
      <c r="F12" s="205">
        <v>5</v>
      </c>
      <c r="G12" s="157">
        <v>5600</v>
      </c>
      <c r="H12" s="157">
        <v>0</v>
      </c>
      <c r="I12" s="157">
        <v>5600</v>
      </c>
      <c r="J12" s="157">
        <v>3186.4</v>
      </c>
      <c r="K12" s="213">
        <v>15</v>
      </c>
    </row>
    <row r="13" spans="2:11" x14ac:dyDescent="0.2">
      <c r="B13" s="155">
        <v>6</v>
      </c>
      <c r="C13" s="212" t="s">
        <v>1413</v>
      </c>
      <c r="D13" s="155" t="s">
        <v>409</v>
      </c>
      <c r="E13" s="157">
        <v>1200</v>
      </c>
      <c r="F13" s="205">
        <v>4.5</v>
      </c>
      <c r="G13" s="157">
        <v>5400</v>
      </c>
      <c r="H13" s="157">
        <v>0</v>
      </c>
      <c r="I13" s="157">
        <v>5400</v>
      </c>
      <c r="J13" s="157">
        <v>3072.6</v>
      </c>
      <c r="K13" s="213">
        <v>15</v>
      </c>
    </row>
    <row r="14" spans="2:11" x14ac:dyDescent="0.2">
      <c r="B14" s="155">
        <v>7</v>
      </c>
      <c r="C14" s="151" t="s">
        <v>1414</v>
      </c>
      <c r="D14" s="155" t="s">
        <v>409</v>
      </c>
      <c r="E14" s="157">
        <v>1200</v>
      </c>
      <c r="F14" s="205">
        <v>2.5</v>
      </c>
      <c r="G14" s="157">
        <v>3000</v>
      </c>
      <c r="H14" s="157">
        <v>0</v>
      </c>
      <c r="I14" s="157">
        <v>3000</v>
      </c>
      <c r="J14" s="157">
        <v>1800</v>
      </c>
      <c r="K14" s="213">
        <v>20</v>
      </c>
    </row>
    <row r="15" spans="2:11" x14ac:dyDescent="0.2">
      <c r="B15" s="578" t="s">
        <v>1415</v>
      </c>
      <c r="C15" s="473"/>
      <c r="D15" s="473"/>
      <c r="E15" s="473"/>
      <c r="F15" s="466"/>
      <c r="G15" s="130">
        <v>6037.5</v>
      </c>
      <c r="H15" s="214"/>
      <c r="I15" s="214"/>
      <c r="J15" s="130">
        <v>3311.6875</v>
      </c>
      <c r="K15" s="215">
        <v>100</v>
      </c>
    </row>
    <row r="18" spans="2:11" x14ac:dyDescent="0.2">
      <c r="B18" s="547" t="s">
        <v>1416</v>
      </c>
      <c r="C18" s="468"/>
      <c r="D18" s="468"/>
      <c r="E18" s="468"/>
      <c r="F18" s="468"/>
      <c r="G18" s="468"/>
      <c r="H18" s="468"/>
      <c r="I18" s="468"/>
      <c r="J18" s="468"/>
      <c r="K18" s="468"/>
    </row>
    <row r="19" spans="2:11" x14ac:dyDescent="0.2">
      <c r="B19" s="532" t="s">
        <v>1417</v>
      </c>
      <c r="C19" s="473"/>
      <c r="D19" s="473"/>
      <c r="E19" s="473"/>
      <c r="F19" s="466"/>
      <c r="G19" s="530">
        <v>1120</v>
      </c>
      <c r="H19" s="466"/>
      <c r="I19" s="514" t="s">
        <v>1418</v>
      </c>
      <c r="J19" s="473"/>
      <c r="K19" s="466"/>
    </row>
    <row r="20" spans="2:11" x14ac:dyDescent="0.2">
      <c r="B20" s="532" t="s">
        <v>1419</v>
      </c>
      <c r="C20" s="473"/>
      <c r="D20" s="473"/>
      <c r="E20" s="473"/>
      <c r="F20" s="466"/>
      <c r="G20" s="579">
        <v>5.5</v>
      </c>
      <c r="H20" s="466"/>
      <c r="I20" s="514" t="s">
        <v>1420</v>
      </c>
      <c r="J20" s="473"/>
      <c r="K20" s="466"/>
    </row>
    <row r="21" spans="2:11" x14ac:dyDescent="0.2">
      <c r="B21" s="513" t="s">
        <v>1421</v>
      </c>
      <c r="C21" s="473"/>
      <c r="D21" s="473"/>
      <c r="E21" s="473"/>
      <c r="F21" s="466"/>
      <c r="G21" s="550">
        <v>6160</v>
      </c>
      <c r="H21" s="466"/>
      <c r="I21" s="514" t="s">
        <v>1422</v>
      </c>
      <c r="J21" s="473"/>
      <c r="K21" s="466"/>
    </row>
    <row r="22" spans="2:11" x14ac:dyDescent="0.2">
      <c r="B22" s="532" t="s">
        <v>1423</v>
      </c>
      <c r="C22" s="473"/>
      <c r="D22" s="473"/>
      <c r="E22" s="473"/>
      <c r="F22" s="466"/>
      <c r="G22" s="530">
        <v>0</v>
      </c>
      <c r="H22" s="466"/>
      <c r="I22" s="514" t="s">
        <v>1424</v>
      </c>
      <c r="J22" s="473"/>
      <c r="K22" s="466"/>
    </row>
    <row r="23" spans="2:11" x14ac:dyDescent="0.2">
      <c r="B23" s="532" t="s">
        <v>1425</v>
      </c>
      <c r="C23" s="473"/>
      <c r="D23" s="473"/>
      <c r="E23" s="473"/>
      <c r="F23" s="466"/>
      <c r="G23" s="530">
        <v>0</v>
      </c>
      <c r="H23" s="466"/>
      <c r="I23" s="514" t="s">
        <v>1426</v>
      </c>
      <c r="J23" s="473"/>
      <c r="K23" s="466"/>
    </row>
    <row r="24" spans="2:11" x14ac:dyDescent="0.2">
      <c r="B24" s="513" t="s">
        <v>1216</v>
      </c>
      <c r="C24" s="473"/>
      <c r="D24" s="473"/>
      <c r="E24" s="473"/>
      <c r="F24" s="466"/>
      <c r="G24" s="550">
        <v>6160</v>
      </c>
      <c r="H24" s="466"/>
      <c r="I24" s="514" t="s">
        <v>1427</v>
      </c>
      <c r="J24" s="473"/>
      <c r="K24" s="466"/>
    </row>
    <row r="25" spans="2:11" x14ac:dyDescent="0.2">
      <c r="B25" s="532" t="s">
        <v>1428</v>
      </c>
      <c r="C25" s="473"/>
      <c r="D25" s="473"/>
      <c r="E25" s="473"/>
      <c r="F25" s="466"/>
      <c r="G25" s="530">
        <v>-123.2</v>
      </c>
      <c r="H25" s="466"/>
      <c r="I25" s="514" t="s">
        <v>1429</v>
      </c>
      <c r="J25" s="473"/>
      <c r="K25" s="466"/>
    </row>
    <row r="26" spans="2:11" x14ac:dyDescent="0.2">
      <c r="B26" s="513" t="s">
        <v>1430</v>
      </c>
      <c r="C26" s="473"/>
      <c r="D26" s="473"/>
      <c r="E26" s="473"/>
      <c r="F26" s="466"/>
      <c r="G26" s="550">
        <v>6036.8</v>
      </c>
      <c r="H26" s="466"/>
      <c r="I26" s="514" t="s">
        <v>1431</v>
      </c>
      <c r="J26" s="473"/>
      <c r="K26" s="466"/>
    </row>
    <row r="29" spans="2:11" x14ac:dyDescent="0.2">
      <c r="B29" s="547" t="s">
        <v>1432</v>
      </c>
      <c r="C29" s="468"/>
      <c r="D29" s="468"/>
      <c r="E29" s="468"/>
      <c r="F29" s="468"/>
      <c r="G29" s="468"/>
      <c r="H29" s="468"/>
      <c r="I29" s="468"/>
      <c r="J29" s="468"/>
      <c r="K29" s="468"/>
    </row>
    <row r="30" spans="2:11" x14ac:dyDescent="0.2">
      <c r="B30" s="126" t="s">
        <v>61</v>
      </c>
      <c r="C30" s="562" t="s">
        <v>1433</v>
      </c>
      <c r="D30" s="473"/>
      <c r="E30" s="473"/>
      <c r="F30" s="473"/>
      <c r="G30" s="466"/>
      <c r="H30" s="126" t="s">
        <v>14</v>
      </c>
      <c r="I30" s="126" t="s">
        <v>68</v>
      </c>
      <c r="J30" s="562" t="s">
        <v>448</v>
      </c>
      <c r="K30" s="466"/>
    </row>
    <row r="31" spans="2:11" x14ac:dyDescent="0.2">
      <c r="B31" s="155">
        <v>1</v>
      </c>
      <c r="C31" s="532" t="s">
        <v>1434</v>
      </c>
      <c r="D31" s="473"/>
      <c r="E31" s="473"/>
      <c r="F31" s="473"/>
      <c r="G31" s="466"/>
      <c r="H31" s="157">
        <v>6036.8</v>
      </c>
      <c r="I31" s="177">
        <v>100</v>
      </c>
      <c r="J31" s="532" t="s">
        <v>1435</v>
      </c>
      <c r="K31" s="466"/>
    </row>
    <row r="33" spans="2:11" x14ac:dyDescent="0.2">
      <c r="B33" s="155">
        <v>2</v>
      </c>
      <c r="C33" s="532" t="s">
        <v>1436</v>
      </c>
      <c r="D33" s="473"/>
      <c r="E33" s="473"/>
      <c r="F33" s="473"/>
      <c r="G33" s="466"/>
      <c r="H33" s="157">
        <v>1250</v>
      </c>
      <c r="I33" s="177">
        <v>20.706334481844689</v>
      </c>
      <c r="J33" s="532" t="s">
        <v>1437</v>
      </c>
      <c r="K33" s="466"/>
    </row>
    <row r="34" spans="2:11" x14ac:dyDescent="0.2">
      <c r="B34" s="155">
        <v>3</v>
      </c>
      <c r="C34" s="532" t="s">
        <v>1438</v>
      </c>
      <c r="D34" s="473"/>
      <c r="E34" s="473"/>
      <c r="F34" s="473"/>
      <c r="G34" s="466"/>
      <c r="H34" s="157">
        <v>500</v>
      </c>
      <c r="I34" s="177">
        <v>8.2825337927378744</v>
      </c>
      <c r="J34" s="532" t="s">
        <v>1439</v>
      </c>
      <c r="K34" s="466"/>
    </row>
    <row r="35" spans="2:11" x14ac:dyDescent="0.2">
      <c r="B35" s="155">
        <v>4</v>
      </c>
      <c r="C35" s="532" t="s">
        <v>1440</v>
      </c>
      <c r="D35" s="473"/>
      <c r="E35" s="473"/>
      <c r="F35" s="473"/>
      <c r="G35" s="466"/>
      <c r="H35" s="157">
        <v>4286.8</v>
      </c>
      <c r="I35" s="177">
        <v>71.011131725417442</v>
      </c>
      <c r="J35" s="532" t="s">
        <v>1441</v>
      </c>
      <c r="K35" s="466"/>
    </row>
    <row r="37" spans="2:11" x14ac:dyDescent="0.2">
      <c r="B37" s="155"/>
      <c r="C37" s="532" t="s">
        <v>1442</v>
      </c>
      <c r="D37" s="473"/>
      <c r="E37" s="473"/>
      <c r="F37" s="473"/>
      <c r="G37" s="466"/>
      <c r="H37" s="216"/>
      <c r="I37" s="155"/>
      <c r="J37" s="532"/>
      <c r="K37" s="466"/>
    </row>
    <row r="38" spans="2:11" x14ac:dyDescent="0.2">
      <c r="B38" s="155">
        <v>6</v>
      </c>
      <c r="C38" s="532" t="s">
        <v>1443</v>
      </c>
      <c r="D38" s="473"/>
      <c r="E38" s="473"/>
      <c r="F38" s="473"/>
      <c r="G38" s="466"/>
      <c r="H38" s="157">
        <v>2143.4</v>
      </c>
      <c r="I38" s="155"/>
      <c r="J38" s="532" t="s">
        <v>1444</v>
      </c>
      <c r="K38" s="466"/>
    </row>
    <row r="39" spans="2:11" x14ac:dyDescent="0.2">
      <c r="B39" s="155">
        <v>7</v>
      </c>
      <c r="C39" s="532" t="s">
        <v>1445</v>
      </c>
      <c r="D39" s="473"/>
      <c r="E39" s="473"/>
      <c r="F39" s="473"/>
      <c r="G39" s="466"/>
      <c r="H39" s="157">
        <v>2143.4</v>
      </c>
      <c r="I39" s="155"/>
      <c r="J39" s="532" t="s">
        <v>1446</v>
      </c>
      <c r="K39" s="466"/>
    </row>
    <row r="41" spans="2:11" x14ac:dyDescent="0.2">
      <c r="B41" s="188"/>
      <c r="C41" s="553" t="s">
        <v>1447</v>
      </c>
      <c r="D41" s="473"/>
      <c r="E41" s="473"/>
      <c r="F41" s="473"/>
      <c r="G41" s="466"/>
      <c r="H41" s="217"/>
      <c r="I41" s="188"/>
      <c r="J41" s="553"/>
      <c r="K41" s="466"/>
    </row>
    <row r="42" spans="2:11" x14ac:dyDescent="0.2">
      <c r="B42" s="188">
        <v>9</v>
      </c>
      <c r="C42" s="553" t="s">
        <v>1448</v>
      </c>
      <c r="D42" s="473"/>
      <c r="E42" s="473"/>
      <c r="F42" s="473"/>
      <c r="G42" s="466"/>
      <c r="H42" s="208">
        <v>2143.4</v>
      </c>
      <c r="I42" s="188"/>
      <c r="J42" s="553" t="s">
        <v>1449</v>
      </c>
      <c r="K42" s="466"/>
    </row>
    <row r="43" spans="2:11" x14ac:dyDescent="0.2">
      <c r="B43" s="188">
        <v>10</v>
      </c>
      <c r="C43" s="553" t="s">
        <v>1450</v>
      </c>
      <c r="D43" s="473"/>
      <c r="E43" s="473"/>
      <c r="F43" s="473"/>
      <c r="G43" s="466"/>
      <c r="H43" s="208">
        <v>2781</v>
      </c>
      <c r="I43" s="188"/>
      <c r="J43" s="553" t="s">
        <v>1451</v>
      </c>
      <c r="K43" s="466"/>
    </row>
    <row r="44" spans="2:11" x14ac:dyDescent="0.2">
      <c r="B44" s="188">
        <v>11</v>
      </c>
      <c r="C44" s="553" t="s">
        <v>1452</v>
      </c>
      <c r="D44" s="473"/>
      <c r="E44" s="473"/>
      <c r="F44" s="473"/>
      <c r="G44" s="466"/>
      <c r="H44" s="208">
        <v>1112.4000000000001</v>
      </c>
      <c r="I44" s="188"/>
      <c r="J44" s="553" t="s">
        <v>1453</v>
      </c>
      <c r="K44" s="466"/>
    </row>
    <row r="47" spans="2:11" x14ac:dyDescent="0.2">
      <c r="B47" s="547" t="s">
        <v>1454</v>
      </c>
      <c r="C47" s="468"/>
      <c r="D47" s="468"/>
      <c r="E47" s="468"/>
      <c r="F47" s="468"/>
      <c r="G47" s="468"/>
      <c r="H47" s="468"/>
      <c r="I47" s="468"/>
      <c r="J47" s="468"/>
      <c r="K47" s="468"/>
    </row>
    <row r="48" spans="2:11" x14ac:dyDescent="0.2">
      <c r="B48" s="556" t="s">
        <v>1455</v>
      </c>
      <c r="C48" s="473"/>
      <c r="D48" s="473"/>
      <c r="E48" s="473"/>
      <c r="F48" s="466"/>
      <c r="G48" s="550">
        <v>6037.5</v>
      </c>
      <c r="H48" s="466"/>
      <c r="I48" s="514" t="s">
        <v>1456</v>
      </c>
      <c r="J48" s="473"/>
      <c r="K48" s="466"/>
    </row>
    <row r="49" spans="2:11" ht="25" customHeight="1" x14ac:dyDescent="0.2">
      <c r="B49" s="556" t="s">
        <v>1457</v>
      </c>
      <c r="C49" s="473"/>
      <c r="D49" s="473"/>
      <c r="E49" s="473"/>
      <c r="F49" s="466"/>
      <c r="G49" s="550">
        <v>3311.6875</v>
      </c>
      <c r="H49" s="466"/>
      <c r="I49" s="514" t="s">
        <v>1458</v>
      </c>
      <c r="J49" s="473"/>
      <c r="K49" s="466"/>
    </row>
    <row r="50" spans="2:11" x14ac:dyDescent="0.2">
      <c r="B50" s="556" t="s">
        <v>1459</v>
      </c>
      <c r="C50" s="473"/>
      <c r="D50" s="473"/>
      <c r="E50" s="473"/>
      <c r="F50" s="466"/>
      <c r="G50" s="513" t="s">
        <v>1460</v>
      </c>
      <c r="H50" s="466"/>
      <c r="I50" s="514" t="s">
        <v>1461</v>
      </c>
      <c r="J50" s="473"/>
      <c r="K50" s="466"/>
    </row>
    <row r="51" spans="2:11" x14ac:dyDescent="0.2">
      <c r="B51" s="556" t="s">
        <v>1462</v>
      </c>
      <c r="C51" s="473"/>
      <c r="D51" s="473"/>
      <c r="E51" s="473"/>
      <c r="F51" s="466"/>
      <c r="G51" s="513" t="s">
        <v>1463</v>
      </c>
      <c r="H51" s="466"/>
      <c r="I51" s="514" t="s">
        <v>1464</v>
      </c>
      <c r="J51" s="473"/>
      <c r="K51" s="466"/>
    </row>
    <row r="52" spans="2:11" x14ac:dyDescent="0.2">
      <c r="B52" s="556" t="s">
        <v>1465</v>
      </c>
      <c r="C52" s="473"/>
      <c r="D52" s="473"/>
      <c r="E52" s="473"/>
      <c r="F52" s="466"/>
      <c r="G52" s="513" t="s">
        <v>1466</v>
      </c>
      <c r="H52" s="466"/>
      <c r="I52" s="514" t="s">
        <v>1467</v>
      </c>
      <c r="J52" s="473"/>
      <c r="K52" s="466"/>
    </row>
    <row r="53" spans="2:11" ht="24" customHeight="1" x14ac:dyDescent="0.2">
      <c r="B53" s="556" t="s">
        <v>1468</v>
      </c>
      <c r="C53" s="473"/>
      <c r="D53" s="473"/>
      <c r="E53" s="473"/>
      <c r="F53" s="466"/>
      <c r="G53" s="581">
        <v>2.6493500000000001</v>
      </c>
      <c r="H53" s="466"/>
      <c r="I53" s="514" t="s">
        <v>1469</v>
      </c>
      <c r="J53" s="473"/>
      <c r="K53" s="466"/>
    </row>
    <row r="55" spans="2:11" ht="42" customHeight="1" x14ac:dyDescent="0.2">
      <c r="B55" s="580" t="s">
        <v>1470</v>
      </c>
      <c r="C55" s="468"/>
      <c r="D55" s="468"/>
      <c r="E55" s="468"/>
      <c r="F55" s="468"/>
      <c r="G55" s="468"/>
      <c r="H55" s="468"/>
      <c r="I55" s="468"/>
      <c r="J55" s="468"/>
      <c r="K55" s="468"/>
    </row>
  </sheetData>
  <mergeCells count="74">
    <mergeCell ref="G52:H52"/>
    <mergeCell ref="I22:K22"/>
    <mergeCell ref="J38:K38"/>
    <mergeCell ref="C42:G42"/>
    <mergeCell ref="B25:F25"/>
    <mergeCell ref="C33:G33"/>
    <mergeCell ref="B51:F51"/>
    <mergeCell ref="G50:H50"/>
    <mergeCell ref="B50:F50"/>
    <mergeCell ref="J39:K39"/>
    <mergeCell ref="C30:G30"/>
    <mergeCell ref="J44:K44"/>
    <mergeCell ref="C34:G34"/>
    <mergeCell ref="I53:K53"/>
    <mergeCell ref="J37:K37"/>
    <mergeCell ref="B55:K55"/>
    <mergeCell ref="B6:K6"/>
    <mergeCell ref="B22:F22"/>
    <mergeCell ref="G23:H23"/>
    <mergeCell ref="I21:K21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29:K29"/>
    <mergeCell ref="J33:K33"/>
    <mergeCell ref="I26:K26"/>
    <mergeCell ref="C37:G37"/>
    <mergeCell ref="G22:H22"/>
    <mergeCell ref="B26:F26"/>
    <mergeCell ref="I25:K25"/>
    <mergeCell ref="G21:H21"/>
  </mergeCells>
  <printOptions horizontalCentered="1"/>
  <pageMargins left="0.59" right="0.59" top="0.59" bottom="0.59" header="0.3" footer="0.3"/>
  <pageSetup paperSize="9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K47"/>
  <sheetViews>
    <sheetView workbookViewId="0">
      <pane xSplit="1" ySplit="6" topLeftCell="B7" activePane="bottomRight" state="frozen"/>
      <selection pane="topRight"/>
      <selection pane="bottomLeft"/>
      <selection pane="bottomRight" activeCell="M16" sqref="M16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28" customWidth="1"/>
    <col min="4" max="11" width="13" customWidth="1"/>
  </cols>
  <sheetData>
    <row r="2" spans="2:11" x14ac:dyDescent="0.2">
      <c r="B2" s="545" t="s">
        <v>1471</v>
      </c>
      <c r="C2" s="468"/>
      <c r="D2" s="468"/>
      <c r="E2" s="468"/>
      <c r="F2" s="468"/>
      <c r="G2" s="468"/>
      <c r="H2" s="468"/>
      <c r="I2" s="468"/>
      <c r="J2" s="468"/>
      <c r="K2" s="468"/>
    </row>
    <row r="3" spans="2:11" x14ac:dyDescent="0.2">
      <c r="B3" s="468"/>
      <c r="C3" s="468"/>
      <c r="D3" s="468"/>
      <c r="E3" s="468"/>
      <c r="F3" s="468"/>
      <c r="G3" s="468"/>
      <c r="H3" s="468"/>
      <c r="I3" s="468"/>
      <c r="J3" s="468"/>
      <c r="K3" s="468"/>
    </row>
    <row r="4" spans="2:11" ht="59" customHeight="1" x14ac:dyDescent="0.2">
      <c r="B4" s="528" t="s">
        <v>1472</v>
      </c>
      <c r="C4" s="468"/>
      <c r="D4" s="468"/>
      <c r="E4" s="468"/>
      <c r="F4" s="468"/>
      <c r="G4" s="468"/>
      <c r="H4" s="468"/>
      <c r="I4" s="468"/>
      <c r="J4" s="468"/>
      <c r="K4" s="468"/>
    </row>
    <row r="6" spans="2:11" x14ac:dyDescent="0.2">
      <c r="B6" s="547" t="s">
        <v>1473</v>
      </c>
      <c r="C6" s="468"/>
      <c r="D6" s="468"/>
      <c r="E6" s="468"/>
      <c r="F6" s="468"/>
      <c r="G6" s="468"/>
      <c r="H6" s="468"/>
      <c r="I6" s="468"/>
      <c r="J6" s="468"/>
      <c r="K6" s="468"/>
    </row>
    <row r="7" spans="2:11" x14ac:dyDescent="0.2">
      <c r="B7" s="155">
        <v>1</v>
      </c>
      <c r="C7" s="556" t="s">
        <v>1474</v>
      </c>
      <c r="D7" s="473"/>
      <c r="E7" s="473"/>
      <c r="F7" s="473"/>
      <c r="G7" s="466"/>
      <c r="H7" s="550">
        <v>4545</v>
      </c>
      <c r="I7" s="466"/>
      <c r="J7" s="514" t="s">
        <v>14</v>
      </c>
      <c r="K7" s="466"/>
    </row>
    <row r="8" spans="2:11" x14ac:dyDescent="0.2">
      <c r="B8" s="155">
        <v>2</v>
      </c>
      <c r="C8" s="556" t="s">
        <v>1475</v>
      </c>
      <c r="D8" s="473"/>
      <c r="E8" s="473"/>
      <c r="F8" s="473"/>
      <c r="G8" s="466"/>
      <c r="H8" s="583">
        <v>47.348734873487338</v>
      </c>
      <c r="I8" s="466"/>
      <c r="J8" s="514" t="s">
        <v>68</v>
      </c>
      <c r="K8" s="466"/>
    </row>
    <row r="9" spans="2:11" x14ac:dyDescent="0.2">
      <c r="B9" s="155">
        <v>3</v>
      </c>
      <c r="C9" s="556" t="s">
        <v>1476</v>
      </c>
      <c r="D9" s="473"/>
      <c r="E9" s="473"/>
      <c r="F9" s="473"/>
      <c r="G9" s="466"/>
      <c r="H9" s="550">
        <v>1850</v>
      </c>
      <c r="I9" s="466"/>
      <c r="J9" s="514" t="s">
        <v>14</v>
      </c>
      <c r="K9" s="466"/>
    </row>
    <row r="10" spans="2:11" x14ac:dyDescent="0.2">
      <c r="B10" s="155">
        <v>4</v>
      </c>
      <c r="C10" s="556" t="s">
        <v>1477</v>
      </c>
      <c r="D10" s="473"/>
      <c r="E10" s="473"/>
      <c r="F10" s="473"/>
      <c r="G10" s="466"/>
      <c r="H10" s="583">
        <v>15</v>
      </c>
      <c r="I10" s="466"/>
      <c r="J10" s="514" t="s">
        <v>1478</v>
      </c>
      <c r="K10" s="466"/>
    </row>
    <row r="11" spans="2:11" x14ac:dyDescent="0.2">
      <c r="B11" s="155">
        <v>5</v>
      </c>
      <c r="C11" s="556" t="s">
        <v>1479</v>
      </c>
      <c r="D11" s="473"/>
      <c r="E11" s="473"/>
      <c r="F11" s="473"/>
      <c r="G11" s="466"/>
      <c r="H11" s="550">
        <v>265.5</v>
      </c>
      <c r="I11" s="466"/>
      <c r="J11" s="514" t="s">
        <v>14</v>
      </c>
      <c r="K11" s="466"/>
    </row>
    <row r="12" spans="2:11" x14ac:dyDescent="0.2">
      <c r="B12" s="155">
        <v>6</v>
      </c>
      <c r="C12" s="556" t="s">
        <v>1480</v>
      </c>
      <c r="D12" s="473"/>
      <c r="E12" s="473"/>
      <c r="F12" s="473"/>
      <c r="G12" s="466"/>
      <c r="H12" s="550">
        <v>15</v>
      </c>
      <c r="I12" s="466"/>
      <c r="J12" s="514" t="s">
        <v>14</v>
      </c>
      <c r="K12" s="466"/>
    </row>
    <row r="13" spans="2:11" x14ac:dyDescent="0.2">
      <c r="B13" s="155">
        <v>7</v>
      </c>
      <c r="C13" s="556" t="s">
        <v>1481</v>
      </c>
      <c r="D13" s="473"/>
      <c r="E13" s="473"/>
      <c r="F13" s="473"/>
      <c r="G13" s="466"/>
      <c r="H13" s="581">
        <v>5</v>
      </c>
      <c r="I13" s="466"/>
      <c r="J13" s="514" t="s">
        <v>1482</v>
      </c>
      <c r="K13" s="466"/>
    </row>
    <row r="14" spans="2:11" x14ac:dyDescent="0.2">
      <c r="B14" s="155">
        <v>8</v>
      </c>
      <c r="C14" s="556" t="s">
        <v>1483</v>
      </c>
      <c r="D14" s="473"/>
      <c r="E14" s="473"/>
      <c r="F14" s="473"/>
      <c r="G14" s="466"/>
      <c r="H14" s="583">
        <v>100</v>
      </c>
      <c r="I14" s="466"/>
      <c r="J14" s="514" t="s">
        <v>1484</v>
      </c>
      <c r="K14" s="466"/>
    </row>
    <row r="17" spans="2:11" x14ac:dyDescent="0.2">
      <c r="B17" s="547" t="s">
        <v>1485</v>
      </c>
      <c r="C17" s="468"/>
      <c r="D17" s="468"/>
      <c r="E17" s="468"/>
      <c r="F17" s="468"/>
      <c r="G17" s="468"/>
      <c r="H17" s="468"/>
      <c r="I17" s="468"/>
      <c r="J17" s="468"/>
      <c r="K17" s="468"/>
    </row>
    <row r="18" spans="2:11" x14ac:dyDescent="0.2">
      <c r="B18" s="126" t="s">
        <v>61</v>
      </c>
      <c r="C18" s="126" t="s">
        <v>1486</v>
      </c>
      <c r="D18" s="126" t="s">
        <v>1487</v>
      </c>
      <c r="E18" s="126" t="s">
        <v>1111</v>
      </c>
      <c r="F18" s="126" t="s">
        <v>1488</v>
      </c>
      <c r="G18" s="126" t="s">
        <v>1489</v>
      </c>
      <c r="H18" s="126" t="s">
        <v>1490</v>
      </c>
      <c r="I18" s="126" t="s">
        <v>1491</v>
      </c>
      <c r="J18" s="126" t="s">
        <v>1492</v>
      </c>
      <c r="K18" s="126" t="s">
        <v>1493</v>
      </c>
    </row>
    <row r="19" spans="2:11" x14ac:dyDescent="0.2">
      <c r="B19" s="155">
        <v>1</v>
      </c>
      <c r="C19" s="218" t="s">
        <v>490</v>
      </c>
      <c r="D19" s="157">
        <v>1721.6</v>
      </c>
      <c r="E19" s="157">
        <v>2152</v>
      </c>
      <c r="F19" s="157">
        <v>2582.4</v>
      </c>
      <c r="G19" s="219">
        <v>-430.40000000000009</v>
      </c>
      <c r="H19" s="220">
        <v>430.40000000000009</v>
      </c>
      <c r="I19" s="157">
        <v>860.80000000000018</v>
      </c>
      <c r="J19" s="181">
        <v>20</v>
      </c>
      <c r="K19" s="221">
        <v>1</v>
      </c>
    </row>
    <row r="20" spans="2:11" x14ac:dyDescent="0.2">
      <c r="B20" s="155">
        <v>2</v>
      </c>
      <c r="C20" s="212" t="s">
        <v>1475</v>
      </c>
      <c r="D20" s="157">
        <v>1721.6</v>
      </c>
      <c r="E20" s="157">
        <v>2152</v>
      </c>
      <c r="F20" s="157">
        <v>2582.4</v>
      </c>
      <c r="G20" s="219">
        <v>-430.40000000000009</v>
      </c>
      <c r="H20" s="220">
        <v>430.39999999999958</v>
      </c>
      <c r="I20" s="157">
        <v>860.79999999999973</v>
      </c>
      <c r="J20" s="181">
        <v>19.999999999999989</v>
      </c>
      <c r="K20" s="188">
        <v>3</v>
      </c>
    </row>
    <row r="21" spans="2:11" x14ac:dyDescent="0.2">
      <c r="B21" s="155">
        <v>3</v>
      </c>
      <c r="C21" s="212" t="s">
        <v>1476</v>
      </c>
      <c r="D21" s="157">
        <v>2392.5</v>
      </c>
      <c r="E21" s="157">
        <v>2152</v>
      </c>
      <c r="F21" s="157">
        <v>1911.5</v>
      </c>
      <c r="G21" s="220">
        <v>240.5</v>
      </c>
      <c r="H21" s="219">
        <v>-240.5</v>
      </c>
      <c r="I21" s="157">
        <v>481</v>
      </c>
      <c r="J21" s="181">
        <v>11.17565055762082</v>
      </c>
      <c r="K21" s="188">
        <v>4</v>
      </c>
    </row>
    <row r="22" spans="2:11" x14ac:dyDescent="0.2">
      <c r="B22" s="155">
        <v>4</v>
      </c>
      <c r="C22" s="156" t="s">
        <v>1494</v>
      </c>
      <c r="D22" s="157">
        <v>2207.5</v>
      </c>
      <c r="E22" s="157">
        <v>2152</v>
      </c>
      <c r="F22" s="157">
        <v>2096.5</v>
      </c>
      <c r="G22" s="220">
        <v>55.5</v>
      </c>
      <c r="H22" s="219">
        <v>-55.5</v>
      </c>
      <c r="I22" s="157">
        <v>111</v>
      </c>
      <c r="J22" s="181">
        <v>2.5789962825278812</v>
      </c>
      <c r="K22" s="161">
        <v>5</v>
      </c>
    </row>
    <row r="23" spans="2:11" x14ac:dyDescent="0.2">
      <c r="B23" s="155">
        <v>5</v>
      </c>
      <c r="C23" s="156" t="s">
        <v>1495</v>
      </c>
      <c r="D23" s="157">
        <v>2205.1</v>
      </c>
      <c r="E23" s="157">
        <v>2152</v>
      </c>
      <c r="F23" s="157">
        <v>2098.9</v>
      </c>
      <c r="G23" s="220">
        <v>53.099999999999909</v>
      </c>
      <c r="H23" s="219">
        <v>-53.099999999999909</v>
      </c>
      <c r="I23" s="157">
        <v>106.1999999999998</v>
      </c>
      <c r="J23" s="181">
        <v>2.4674721189591038</v>
      </c>
      <c r="K23" s="161">
        <v>6</v>
      </c>
    </row>
    <row r="24" spans="2:11" x14ac:dyDescent="0.2">
      <c r="B24" s="155">
        <v>6</v>
      </c>
      <c r="C24" s="156" t="s">
        <v>1330</v>
      </c>
      <c r="D24" s="157">
        <v>2152</v>
      </c>
      <c r="E24" s="157">
        <v>2152</v>
      </c>
      <c r="F24" s="157">
        <v>2152</v>
      </c>
      <c r="G24" s="220">
        <v>0</v>
      </c>
      <c r="H24" s="219">
        <v>0</v>
      </c>
      <c r="I24" s="157">
        <v>0</v>
      </c>
      <c r="J24" s="181">
        <v>0</v>
      </c>
      <c r="K24" s="161">
        <v>7</v>
      </c>
    </row>
    <row r="25" spans="2:11" x14ac:dyDescent="0.2">
      <c r="B25" s="155">
        <v>7</v>
      </c>
      <c r="C25" s="156" t="s">
        <v>1481</v>
      </c>
      <c r="D25" s="157">
        <v>2152</v>
      </c>
      <c r="E25" s="157">
        <v>2152</v>
      </c>
      <c r="F25" s="157">
        <v>2152</v>
      </c>
      <c r="G25" s="220">
        <v>0</v>
      </c>
      <c r="H25" s="219">
        <v>0</v>
      </c>
      <c r="I25" s="157">
        <v>0</v>
      </c>
      <c r="J25" s="181">
        <v>0</v>
      </c>
      <c r="K25" s="161">
        <v>8</v>
      </c>
    </row>
    <row r="26" spans="2:11" x14ac:dyDescent="0.2">
      <c r="B26" s="155">
        <v>8</v>
      </c>
      <c r="C26" s="218" t="s">
        <v>1496</v>
      </c>
      <c r="D26" s="157">
        <v>1721.6</v>
      </c>
      <c r="E26" s="157">
        <v>2152</v>
      </c>
      <c r="F26" s="157">
        <v>2582.4</v>
      </c>
      <c r="G26" s="219">
        <v>-430.40000000000009</v>
      </c>
      <c r="H26" s="220">
        <v>430.40000000000009</v>
      </c>
      <c r="I26" s="157">
        <v>860.80000000000018</v>
      </c>
      <c r="J26" s="181">
        <v>20</v>
      </c>
      <c r="K26" s="221">
        <v>2</v>
      </c>
    </row>
    <row r="29" spans="2:11" x14ac:dyDescent="0.2">
      <c r="B29" s="547" t="s">
        <v>1497</v>
      </c>
      <c r="C29" s="468"/>
      <c r="D29" s="468"/>
      <c r="E29" s="468"/>
      <c r="F29" s="468"/>
      <c r="G29" s="468"/>
      <c r="H29" s="468"/>
      <c r="I29" s="468"/>
      <c r="J29" s="468"/>
      <c r="K29" s="468"/>
    </row>
    <row r="30" spans="2:11" x14ac:dyDescent="0.2">
      <c r="B30" s="126" t="s">
        <v>61</v>
      </c>
      <c r="C30" s="126" t="s">
        <v>1486</v>
      </c>
      <c r="D30" s="126" t="s">
        <v>1487</v>
      </c>
      <c r="E30" s="126" t="s">
        <v>1111</v>
      </c>
      <c r="F30" s="126" t="s">
        <v>1488</v>
      </c>
      <c r="G30" s="126" t="s">
        <v>1498</v>
      </c>
      <c r="H30" s="126" t="s">
        <v>1499</v>
      </c>
      <c r="I30" s="126" t="s">
        <v>1500</v>
      </c>
      <c r="J30" s="126" t="s">
        <v>1492</v>
      </c>
      <c r="K30" s="126" t="s">
        <v>1493</v>
      </c>
    </row>
    <row r="31" spans="2:11" ht="17" x14ac:dyDescent="0.2">
      <c r="B31" s="415">
        <v>1</v>
      </c>
      <c r="C31" s="437" t="s">
        <v>490</v>
      </c>
      <c r="D31" s="432">
        <v>15.14</v>
      </c>
      <c r="E31" s="432">
        <v>20.09</v>
      </c>
      <c r="F31" s="432">
        <v>24.61</v>
      </c>
      <c r="G31" s="438">
        <v>-4.95</v>
      </c>
      <c r="H31" s="438">
        <v>4.5199999999999996</v>
      </c>
      <c r="I31" s="438">
        <v>9.4700000000000006</v>
      </c>
      <c r="J31" s="432">
        <v>47.14</v>
      </c>
      <c r="K31" s="439">
        <v>1</v>
      </c>
    </row>
    <row r="32" spans="2:11" ht="17" x14ac:dyDescent="0.2">
      <c r="B32" s="415">
        <v>2</v>
      </c>
      <c r="C32" s="430" t="s">
        <v>1475</v>
      </c>
      <c r="D32" s="432">
        <v>15.14</v>
      </c>
      <c r="E32" s="432">
        <v>20.09</v>
      </c>
      <c r="F32" s="432">
        <v>24.61</v>
      </c>
      <c r="G32" s="438">
        <v>-4.95</v>
      </c>
      <c r="H32" s="438">
        <v>4.5199999999999996</v>
      </c>
      <c r="I32" s="438">
        <v>9.4700000000000006</v>
      </c>
      <c r="J32" s="432">
        <v>47.14</v>
      </c>
      <c r="K32" s="415">
        <v>2</v>
      </c>
    </row>
    <row r="33" spans="2:11" ht="17" x14ac:dyDescent="0.2">
      <c r="B33" s="415">
        <v>3</v>
      </c>
      <c r="C33" s="430" t="s">
        <v>1496</v>
      </c>
      <c r="D33" s="432">
        <v>15.14</v>
      </c>
      <c r="E33" s="432">
        <v>20.09</v>
      </c>
      <c r="F33" s="432">
        <v>24.61</v>
      </c>
      <c r="G33" s="438">
        <v>-4.95</v>
      </c>
      <c r="H33" s="438">
        <v>4.5199999999999996</v>
      </c>
      <c r="I33" s="438">
        <v>9.4700000000000006</v>
      </c>
      <c r="J33" s="432">
        <v>47.14</v>
      </c>
      <c r="K33" s="415">
        <v>3</v>
      </c>
    </row>
    <row r="34" spans="2:11" ht="17" x14ac:dyDescent="0.2">
      <c r="B34" s="415">
        <v>4</v>
      </c>
      <c r="C34" s="430" t="s">
        <v>1476</v>
      </c>
      <c r="D34" s="432">
        <v>17.100000000000001</v>
      </c>
      <c r="E34" s="432">
        <v>20.09</v>
      </c>
      <c r="F34" s="432">
        <v>22.92</v>
      </c>
      <c r="G34" s="438">
        <v>-3</v>
      </c>
      <c r="H34" s="438">
        <v>2.83</v>
      </c>
      <c r="I34" s="438">
        <v>5.83</v>
      </c>
      <c r="J34" s="432">
        <v>29.01</v>
      </c>
      <c r="K34" s="415">
        <v>4</v>
      </c>
    </row>
    <row r="35" spans="2:11" ht="17" x14ac:dyDescent="0.2">
      <c r="B35" s="415">
        <v>5</v>
      </c>
      <c r="C35" s="430" t="s">
        <v>1494</v>
      </c>
      <c r="D35" s="432">
        <v>19.649999999999999</v>
      </c>
      <c r="E35" s="432">
        <v>20.09</v>
      </c>
      <c r="F35" s="432">
        <v>20.53</v>
      </c>
      <c r="G35" s="438">
        <v>-0.44</v>
      </c>
      <c r="H35" s="438">
        <v>0.43</v>
      </c>
      <c r="I35" s="438">
        <v>0.87</v>
      </c>
      <c r="J35" s="432">
        <v>4.3499999999999996</v>
      </c>
      <c r="K35" s="415">
        <v>5</v>
      </c>
    </row>
    <row r="36" spans="2:11" ht="17" x14ac:dyDescent="0.2">
      <c r="B36" s="415">
        <v>6</v>
      </c>
      <c r="C36" s="430" t="s">
        <v>1495</v>
      </c>
      <c r="D36" s="432">
        <v>19.670000000000002</v>
      </c>
      <c r="E36" s="432">
        <v>20.09</v>
      </c>
      <c r="F36" s="432">
        <v>20.51</v>
      </c>
      <c r="G36" s="438">
        <v>-0.42</v>
      </c>
      <c r="H36" s="438">
        <v>0.42</v>
      </c>
      <c r="I36" s="438">
        <v>0.84</v>
      </c>
      <c r="J36" s="432">
        <v>4.16</v>
      </c>
      <c r="K36" s="415">
        <v>6</v>
      </c>
    </row>
    <row r="37" spans="2:11" ht="17" x14ac:dyDescent="0.2">
      <c r="B37" s="415">
        <v>7</v>
      </c>
      <c r="C37" s="430" t="s">
        <v>1330</v>
      </c>
      <c r="D37" s="432">
        <v>20.07</v>
      </c>
      <c r="E37" s="432">
        <v>20.09</v>
      </c>
      <c r="F37" s="432">
        <v>20.12</v>
      </c>
      <c r="G37" s="438">
        <v>-0.02</v>
      </c>
      <c r="H37" s="438">
        <v>0.02</v>
      </c>
      <c r="I37" s="438">
        <v>0.05</v>
      </c>
      <c r="J37" s="432">
        <v>0.23</v>
      </c>
      <c r="K37" s="415">
        <v>7</v>
      </c>
    </row>
    <row r="38" spans="2:11" ht="17" x14ac:dyDescent="0.2">
      <c r="B38" s="415">
        <v>8</v>
      </c>
      <c r="C38" s="437" t="s">
        <v>1481</v>
      </c>
      <c r="D38" s="432">
        <v>20.09</v>
      </c>
      <c r="E38" s="432">
        <v>20.09</v>
      </c>
      <c r="F38" s="432">
        <v>20.09</v>
      </c>
      <c r="G38" s="438">
        <v>0</v>
      </c>
      <c r="H38" s="438">
        <v>0</v>
      </c>
      <c r="I38" s="438">
        <v>0</v>
      </c>
      <c r="J38" s="432">
        <v>0</v>
      </c>
      <c r="K38" s="439">
        <v>8</v>
      </c>
    </row>
    <row r="41" spans="2:11" x14ac:dyDescent="0.2">
      <c r="B41" s="584" t="s">
        <v>1501</v>
      </c>
      <c r="C41" s="468"/>
      <c r="D41" s="468"/>
      <c r="E41" s="468"/>
      <c r="F41" s="468"/>
      <c r="G41" s="468"/>
      <c r="H41" s="468"/>
      <c r="I41" s="468"/>
      <c r="J41" s="468"/>
      <c r="K41" s="468"/>
    </row>
    <row r="42" spans="2:11" x14ac:dyDescent="0.2">
      <c r="B42" s="582" t="s">
        <v>1502</v>
      </c>
      <c r="C42" s="468"/>
      <c r="D42" s="468"/>
      <c r="E42" s="468"/>
      <c r="F42" s="468"/>
      <c r="G42" s="468"/>
      <c r="H42" s="468"/>
      <c r="I42" s="468"/>
      <c r="J42" s="468"/>
      <c r="K42" s="468"/>
    </row>
    <row r="43" spans="2:11" x14ac:dyDescent="0.2">
      <c r="B43" s="582" t="s">
        <v>1503</v>
      </c>
      <c r="C43" s="468"/>
      <c r="D43" s="468"/>
      <c r="E43" s="468"/>
      <c r="F43" s="468"/>
      <c r="G43" s="468"/>
      <c r="H43" s="468"/>
      <c r="I43" s="468"/>
      <c r="J43" s="468"/>
      <c r="K43" s="468"/>
    </row>
    <row r="44" spans="2:11" x14ac:dyDescent="0.2">
      <c r="B44" s="582" t="s">
        <v>1504</v>
      </c>
      <c r="C44" s="468"/>
      <c r="D44" s="468"/>
      <c r="E44" s="468"/>
      <c r="F44" s="468"/>
      <c r="G44" s="468"/>
      <c r="H44" s="468"/>
      <c r="I44" s="468"/>
      <c r="J44" s="468"/>
      <c r="K44" s="468"/>
    </row>
    <row r="45" spans="2:11" x14ac:dyDescent="0.2">
      <c r="B45" s="582" t="s">
        <v>1505</v>
      </c>
      <c r="C45" s="468"/>
      <c r="D45" s="468"/>
      <c r="E45" s="468"/>
      <c r="F45" s="468"/>
      <c r="G45" s="468"/>
      <c r="H45" s="468"/>
      <c r="I45" s="468"/>
      <c r="J45" s="468"/>
      <c r="K45" s="468"/>
    </row>
    <row r="46" spans="2:11" x14ac:dyDescent="0.2">
      <c r="B46" s="582" t="s">
        <v>1506</v>
      </c>
      <c r="C46" s="468"/>
      <c r="D46" s="468"/>
      <c r="E46" s="468"/>
      <c r="F46" s="468"/>
      <c r="G46" s="468"/>
      <c r="H46" s="468"/>
      <c r="I46" s="468"/>
      <c r="J46" s="468"/>
      <c r="K46" s="468"/>
    </row>
    <row r="47" spans="2:11" ht="16" x14ac:dyDescent="0.2">
      <c r="B47" s="425" t="s">
        <v>1507</v>
      </c>
    </row>
  </sheetData>
  <mergeCells count="35"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29:K29"/>
    <mergeCell ref="H8:I8"/>
    <mergeCell ref="C13:G13"/>
    <mergeCell ref="J8:K8"/>
    <mergeCell ref="H10:I10"/>
    <mergeCell ref="J14:K14"/>
    <mergeCell ref="J10:K10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</mergeCells>
  <printOptions horizontalCentered="1"/>
  <pageMargins left="0.59" right="0.59" top="0.59" bottom="0.59" header="0.3" footer="0.3"/>
  <pageSetup paperSize="8"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2:I37"/>
  <sheetViews>
    <sheetView workbookViewId="0">
      <pane xSplit="1" ySplit="6" topLeftCell="B1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0" customWidth="1"/>
    <col min="4" max="9" width="13" customWidth="1"/>
  </cols>
  <sheetData>
    <row r="2" spans="2:9" x14ac:dyDescent="0.2">
      <c r="B2" s="545" t="s">
        <v>1508</v>
      </c>
      <c r="C2" s="468"/>
      <c r="D2" s="468"/>
      <c r="E2" s="468"/>
      <c r="F2" s="468"/>
      <c r="G2" s="468"/>
      <c r="H2" s="468"/>
      <c r="I2" s="468"/>
    </row>
    <row r="3" spans="2:9" x14ac:dyDescent="0.2">
      <c r="B3" s="468"/>
      <c r="C3" s="468"/>
      <c r="D3" s="468"/>
      <c r="E3" s="468"/>
      <c r="F3" s="468"/>
      <c r="G3" s="468"/>
      <c r="H3" s="468"/>
      <c r="I3" s="468"/>
    </row>
    <row r="4" spans="2:9" ht="70" customHeight="1" x14ac:dyDescent="0.2">
      <c r="B4" s="528" t="s">
        <v>1509</v>
      </c>
      <c r="C4" s="468"/>
      <c r="D4" s="468"/>
      <c r="E4" s="468"/>
      <c r="F4" s="468"/>
      <c r="G4" s="468"/>
      <c r="H4" s="468"/>
      <c r="I4" s="468"/>
    </row>
    <row r="6" spans="2:9" x14ac:dyDescent="0.2">
      <c r="B6" s="547" t="s">
        <v>1510</v>
      </c>
      <c r="C6" s="468"/>
      <c r="D6" s="468"/>
      <c r="E6" s="468"/>
      <c r="F6" s="468"/>
      <c r="G6" s="468"/>
      <c r="H6" s="468"/>
      <c r="I6" s="468"/>
    </row>
    <row r="7" spans="2:9" x14ac:dyDescent="0.2">
      <c r="B7" s="126" t="s">
        <v>61</v>
      </c>
      <c r="C7" s="126" t="s">
        <v>1104</v>
      </c>
      <c r="D7" s="126" t="s">
        <v>1358</v>
      </c>
      <c r="E7" s="126" t="s">
        <v>1359</v>
      </c>
      <c r="F7" s="126" t="s">
        <v>1360</v>
      </c>
      <c r="G7" s="126" t="s">
        <v>1361</v>
      </c>
      <c r="H7" s="126" t="s">
        <v>1362</v>
      </c>
      <c r="I7" s="126" t="s">
        <v>1491</v>
      </c>
    </row>
    <row r="8" spans="2:9" x14ac:dyDescent="0.2">
      <c r="B8" s="155">
        <v>1</v>
      </c>
      <c r="C8" s="162" t="s">
        <v>1511</v>
      </c>
      <c r="D8" s="222">
        <v>2727</v>
      </c>
      <c r="E8" s="152">
        <v>3636</v>
      </c>
      <c r="F8" s="208">
        <v>4545</v>
      </c>
      <c r="G8" s="223">
        <v>5454</v>
      </c>
      <c r="H8" s="143">
        <v>6363</v>
      </c>
      <c r="I8" s="157">
        <v>3636</v>
      </c>
    </row>
    <row r="9" spans="2:9" x14ac:dyDescent="0.2">
      <c r="B9" s="155">
        <v>2</v>
      </c>
      <c r="C9" s="162" t="s">
        <v>1512</v>
      </c>
      <c r="D9" s="222">
        <v>1291.2</v>
      </c>
      <c r="E9" s="152">
        <v>1721.6</v>
      </c>
      <c r="F9" s="208">
        <v>2152</v>
      </c>
      <c r="G9" s="223">
        <v>2582.4</v>
      </c>
      <c r="H9" s="143">
        <v>3012.8</v>
      </c>
      <c r="I9" s="157">
        <v>1721.6</v>
      </c>
    </row>
    <row r="10" spans="2:9" x14ac:dyDescent="0.2">
      <c r="B10" s="155">
        <v>3</v>
      </c>
      <c r="C10" s="162" t="s">
        <v>1475</v>
      </c>
      <c r="D10" s="224">
        <v>47.348734873487338</v>
      </c>
      <c r="E10" s="225">
        <v>47.348734873487338</v>
      </c>
      <c r="F10" s="211">
        <v>47.348734873487338</v>
      </c>
      <c r="G10" s="226">
        <v>47.348734873487338</v>
      </c>
      <c r="H10" s="227">
        <v>47.348734873487338</v>
      </c>
      <c r="I10" s="181">
        <v>0</v>
      </c>
    </row>
    <row r="11" spans="2:9" x14ac:dyDescent="0.2">
      <c r="B11" s="155">
        <v>4</v>
      </c>
      <c r="C11" s="162" t="s">
        <v>1162</v>
      </c>
      <c r="D11" s="222">
        <v>1013.4</v>
      </c>
      <c r="E11" s="152">
        <v>1351.2</v>
      </c>
      <c r="F11" s="208">
        <v>1689</v>
      </c>
      <c r="G11" s="223">
        <v>2026.8</v>
      </c>
      <c r="H11" s="143">
        <v>2364.6</v>
      </c>
      <c r="I11" s="157">
        <v>1351.2</v>
      </c>
    </row>
    <row r="12" spans="2:9" x14ac:dyDescent="0.2">
      <c r="B12" s="155">
        <v>5</v>
      </c>
      <c r="C12" s="162" t="s">
        <v>1513</v>
      </c>
      <c r="D12" s="222">
        <v>1800</v>
      </c>
      <c r="E12" s="152">
        <v>2400</v>
      </c>
      <c r="F12" s="208">
        <v>3000</v>
      </c>
      <c r="G12" s="223">
        <v>3600</v>
      </c>
      <c r="H12" s="143">
        <v>4200</v>
      </c>
      <c r="I12" s="157">
        <v>2400</v>
      </c>
    </row>
    <row r="13" spans="2:9" x14ac:dyDescent="0.2">
      <c r="B13" s="155">
        <v>6</v>
      </c>
      <c r="C13" s="162" t="s">
        <v>1514</v>
      </c>
      <c r="D13" s="222">
        <v>1665</v>
      </c>
      <c r="E13" s="152">
        <v>1757.5</v>
      </c>
      <c r="F13" s="208">
        <v>1850</v>
      </c>
      <c r="G13" s="223">
        <v>1942.5</v>
      </c>
      <c r="H13" s="143">
        <v>2035</v>
      </c>
      <c r="I13" s="157">
        <v>370.00000000000023</v>
      </c>
    </row>
    <row r="14" spans="2:9" x14ac:dyDescent="0.2">
      <c r="B14" s="155">
        <v>7</v>
      </c>
      <c r="C14" s="162" t="s">
        <v>1515</v>
      </c>
      <c r="D14" s="228">
        <v>10</v>
      </c>
      <c r="E14" s="229">
        <v>11</v>
      </c>
      <c r="F14" s="230">
        <v>12</v>
      </c>
      <c r="G14" s="231">
        <v>12</v>
      </c>
      <c r="H14" s="232">
        <v>13</v>
      </c>
      <c r="I14" s="233">
        <v>3</v>
      </c>
    </row>
    <row r="15" spans="2:9" ht="16" x14ac:dyDescent="0.2">
      <c r="B15" s="155">
        <v>8</v>
      </c>
      <c r="C15" s="162" t="s">
        <v>1516</v>
      </c>
      <c r="D15" s="440">
        <v>9.34</v>
      </c>
      <c r="E15" s="440">
        <v>15.14</v>
      </c>
      <c r="F15" s="441">
        <v>20.09</v>
      </c>
      <c r="G15" s="442">
        <v>24.61</v>
      </c>
      <c r="H15" s="443">
        <v>28.78</v>
      </c>
      <c r="I15" s="181">
        <v>19.440000000000001</v>
      </c>
    </row>
    <row r="16" spans="2:9" ht="16" x14ac:dyDescent="0.2">
      <c r="B16" s="155">
        <v>9</v>
      </c>
      <c r="C16" s="162" t="s">
        <v>1517</v>
      </c>
      <c r="D16" s="444">
        <v>1.42</v>
      </c>
      <c r="E16" s="445">
        <v>1.71</v>
      </c>
      <c r="F16" s="446">
        <v>2</v>
      </c>
      <c r="G16" s="447">
        <v>2.29</v>
      </c>
      <c r="H16" s="448">
        <v>2.58</v>
      </c>
      <c r="I16" s="182">
        <v>1.1599999999999999</v>
      </c>
    </row>
    <row r="17" spans="2:9" x14ac:dyDescent="0.2">
      <c r="B17" s="155">
        <v>10</v>
      </c>
      <c r="C17" s="162" t="s">
        <v>1518</v>
      </c>
      <c r="D17" s="222">
        <v>6456</v>
      </c>
      <c r="E17" s="152">
        <v>8608</v>
      </c>
      <c r="F17" s="208">
        <v>10760</v>
      </c>
      <c r="G17" s="223">
        <v>12912</v>
      </c>
      <c r="H17" s="143">
        <v>15064</v>
      </c>
      <c r="I17" s="157">
        <v>8607.9999999999982</v>
      </c>
    </row>
    <row r="18" spans="2:9" ht="16" x14ac:dyDescent="0.2">
      <c r="B18" s="155">
        <v>11</v>
      </c>
      <c r="C18" s="162" t="s">
        <v>1519</v>
      </c>
      <c r="D18" s="449">
        <v>1780</v>
      </c>
      <c r="E18" s="450">
        <v>2140</v>
      </c>
      <c r="F18" s="451">
        <v>2500</v>
      </c>
      <c r="G18" s="452">
        <v>2860</v>
      </c>
      <c r="H18" s="453">
        <v>3220</v>
      </c>
      <c r="I18" s="157">
        <v>1440</v>
      </c>
    </row>
    <row r="19" spans="2:9" ht="30" x14ac:dyDescent="0.2">
      <c r="B19" s="155">
        <v>12</v>
      </c>
      <c r="C19" s="162" t="s">
        <v>1520</v>
      </c>
      <c r="D19" s="224">
        <v>12</v>
      </c>
      <c r="E19" s="225">
        <v>18</v>
      </c>
      <c r="F19" s="211">
        <v>25</v>
      </c>
      <c r="G19" s="226">
        <v>31</v>
      </c>
      <c r="H19" s="227">
        <v>37</v>
      </c>
      <c r="I19" s="181">
        <v>25</v>
      </c>
    </row>
    <row r="20" spans="2:9" x14ac:dyDescent="0.2">
      <c r="B20" s="155">
        <v>13</v>
      </c>
      <c r="C20" s="162" t="s">
        <v>1521</v>
      </c>
      <c r="D20" s="234">
        <v>5</v>
      </c>
      <c r="E20" s="235">
        <v>15</v>
      </c>
      <c r="F20" s="236">
        <v>50</v>
      </c>
      <c r="G20" s="237">
        <v>20</v>
      </c>
      <c r="H20" s="238">
        <v>10</v>
      </c>
      <c r="I20" s="239">
        <v>45</v>
      </c>
    </row>
    <row r="23" spans="2:9" x14ac:dyDescent="0.2">
      <c r="B23" s="547" t="s">
        <v>1522</v>
      </c>
      <c r="C23" s="468"/>
      <c r="D23" s="468"/>
      <c r="E23" s="468"/>
      <c r="F23" s="468"/>
      <c r="G23" s="468"/>
      <c r="H23" s="468"/>
      <c r="I23" s="468"/>
    </row>
    <row r="24" spans="2:9" ht="48" customHeight="1" x14ac:dyDescent="0.2">
      <c r="B24" s="586" t="s">
        <v>1523</v>
      </c>
      <c r="C24" s="466"/>
      <c r="D24" s="532" t="s">
        <v>1524</v>
      </c>
      <c r="E24" s="473"/>
      <c r="F24" s="473"/>
      <c r="G24" s="473"/>
      <c r="H24" s="473"/>
      <c r="I24" s="466"/>
    </row>
    <row r="25" spans="2:9" ht="48" customHeight="1" x14ac:dyDescent="0.2">
      <c r="B25" s="587" t="s">
        <v>1525</v>
      </c>
      <c r="C25" s="466"/>
      <c r="D25" s="532" t="s">
        <v>1526</v>
      </c>
      <c r="E25" s="473"/>
      <c r="F25" s="473"/>
      <c r="G25" s="473"/>
      <c r="H25" s="473"/>
      <c r="I25" s="466"/>
    </row>
    <row r="26" spans="2:9" ht="48" customHeight="1" x14ac:dyDescent="0.2">
      <c r="B26" s="553" t="s">
        <v>1527</v>
      </c>
      <c r="C26" s="466"/>
      <c r="D26" s="532" t="s">
        <v>1528</v>
      </c>
      <c r="E26" s="473"/>
      <c r="F26" s="473"/>
      <c r="G26" s="473"/>
      <c r="H26" s="473"/>
      <c r="I26" s="466"/>
    </row>
    <row r="27" spans="2:9" ht="48" customHeight="1" x14ac:dyDescent="0.2">
      <c r="B27" s="588" t="s">
        <v>1529</v>
      </c>
      <c r="C27" s="466"/>
      <c r="D27" s="532" t="s">
        <v>1530</v>
      </c>
      <c r="E27" s="473"/>
      <c r="F27" s="473"/>
      <c r="G27" s="473"/>
      <c r="H27" s="473"/>
      <c r="I27" s="466"/>
    </row>
    <row r="28" spans="2:9" ht="48" customHeight="1" x14ac:dyDescent="0.2">
      <c r="B28" s="585" t="s">
        <v>1531</v>
      </c>
      <c r="C28" s="466"/>
      <c r="D28" s="532" t="s">
        <v>1532</v>
      </c>
      <c r="E28" s="473"/>
      <c r="F28" s="473"/>
      <c r="G28" s="473"/>
      <c r="H28" s="473"/>
      <c r="I28" s="466"/>
    </row>
    <row r="31" spans="2:9" x14ac:dyDescent="0.2">
      <c r="B31" s="547" t="s">
        <v>1533</v>
      </c>
      <c r="C31" s="468"/>
      <c r="D31" s="468"/>
      <c r="E31" s="468"/>
      <c r="F31" s="468"/>
      <c r="G31" s="468"/>
      <c r="H31" s="468"/>
      <c r="I31" s="468"/>
    </row>
    <row r="32" spans="2:9" x14ac:dyDescent="0.2">
      <c r="B32" s="556" t="s">
        <v>1534</v>
      </c>
      <c r="C32" s="473"/>
      <c r="D32" s="473"/>
      <c r="E32" s="473"/>
      <c r="F32" s="466"/>
      <c r="G32" s="550">
        <v>4681.3500000000004</v>
      </c>
      <c r="H32" s="466"/>
      <c r="I32" s="120" t="s">
        <v>14</v>
      </c>
    </row>
    <row r="33" spans="2:9" x14ac:dyDescent="0.2">
      <c r="B33" s="556" t="s">
        <v>1535</v>
      </c>
      <c r="C33" s="473"/>
      <c r="D33" s="473"/>
      <c r="E33" s="473"/>
      <c r="F33" s="466"/>
      <c r="G33" s="550">
        <v>2216.56</v>
      </c>
      <c r="H33" s="466"/>
      <c r="I33" s="120" t="s">
        <v>14</v>
      </c>
    </row>
    <row r="34" spans="2:9" x14ac:dyDescent="0.2">
      <c r="B34" s="556" t="s">
        <v>1536</v>
      </c>
      <c r="C34" s="473"/>
      <c r="D34" s="473"/>
      <c r="E34" s="473"/>
      <c r="F34" s="466"/>
      <c r="G34" s="550">
        <v>1739.67</v>
      </c>
      <c r="H34" s="466"/>
      <c r="I34" s="120" t="s">
        <v>14</v>
      </c>
    </row>
    <row r="35" spans="2:9" x14ac:dyDescent="0.2">
      <c r="B35" s="556" t="s">
        <v>1537</v>
      </c>
      <c r="C35" s="473"/>
      <c r="D35" s="473"/>
      <c r="E35" s="473"/>
      <c r="F35" s="466"/>
      <c r="G35" s="550">
        <v>3090</v>
      </c>
      <c r="H35" s="466"/>
      <c r="I35" s="120" t="s">
        <v>14</v>
      </c>
    </row>
    <row r="36" spans="2:9" x14ac:dyDescent="0.2">
      <c r="B36" s="556" t="s">
        <v>1538</v>
      </c>
      <c r="C36" s="473"/>
      <c r="D36" s="473"/>
      <c r="E36" s="473"/>
      <c r="F36" s="466"/>
      <c r="G36" s="550">
        <v>11082.8</v>
      </c>
      <c r="H36" s="466"/>
      <c r="I36" s="120" t="s">
        <v>14</v>
      </c>
    </row>
    <row r="37" spans="2:9" x14ac:dyDescent="0.2">
      <c r="B37" s="556" t="s">
        <v>1539</v>
      </c>
      <c r="C37" s="473"/>
      <c r="D37" s="473"/>
      <c r="E37" s="473"/>
      <c r="F37" s="466"/>
      <c r="G37" s="583">
        <v>20.58</v>
      </c>
      <c r="H37" s="466"/>
      <c r="I37" s="120" t="s">
        <v>68</v>
      </c>
    </row>
  </sheetData>
  <mergeCells count="27"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D27:I27"/>
    <mergeCell ref="B25:C25"/>
    <mergeCell ref="G36:H36"/>
    <mergeCell ref="B31:I31"/>
    <mergeCell ref="B6:I6"/>
    <mergeCell ref="G32:H32"/>
    <mergeCell ref="B33:F33"/>
    <mergeCell ref="B2:I3"/>
    <mergeCell ref="B36:F36"/>
    <mergeCell ref="B26:C26"/>
    <mergeCell ref="B32:F32"/>
    <mergeCell ref="B4:I4"/>
    <mergeCell ref="B35:F35"/>
    <mergeCell ref="B27:C27"/>
    <mergeCell ref="D28:I28"/>
  </mergeCells>
  <printOptions horizontalCentered="1"/>
  <pageMargins left="0.59" right="0.59" top="0.59" bottom="0.59" header="0.3" footer="0.3"/>
  <pageSetup paperSize="8"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2:L51"/>
  <sheetViews>
    <sheetView workbookViewId="0">
      <pane xSplit="1" ySplit="6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2" customWidth="1"/>
    <col min="4" max="9" width="14" customWidth="1"/>
  </cols>
  <sheetData>
    <row r="2" spans="2:12" x14ac:dyDescent="0.2">
      <c r="B2" s="545" t="s">
        <v>1540</v>
      </c>
      <c r="C2" s="468"/>
      <c r="D2" s="468"/>
      <c r="E2" s="468"/>
      <c r="F2" s="468"/>
      <c r="G2" s="468"/>
      <c r="H2" s="468"/>
      <c r="I2" s="468"/>
    </row>
    <row r="3" spans="2:12" x14ac:dyDescent="0.2">
      <c r="B3" s="468"/>
      <c r="C3" s="468"/>
      <c r="D3" s="468"/>
      <c r="E3" s="468"/>
      <c r="F3" s="468"/>
      <c r="G3" s="468"/>
      <c r="H3" s="468"/>
      <c r="I3" s="468"/>
    </row>
    <row r="4" spans="2:12" ht="52" customHeight="1" x14ac:dyDescent="0.2">
      <c r="B4" s="528" t="s">
        <v>1541</v>
      </c>
      <c r="C4" s="468"/>
      <c r="D4" s="468"/>
      <c r="E4" s="468"/>
      <c r="F4" s="468"/>
      <c r="G4" s="468"/>
      <c r="H4" s="468"/>
      <c r="I4" s="468"/>
    </row>
    <row r="6" spans="2:12" x14ac:dyDescent="0.2">
      <c r="B6" s="547" t="s">
        <v>1542</v>
      </c>
      <c r="C6" s="468"/>
      <c r="D6" s="468"/>
      <c r="E6" s="468"/>
      <c r="F6" s="468"/>
      <c r="G6" s="468"/>
      <c r="H6" s="468"/>
      <c r="I6" s="468"/>
    </row>
    <row r="7" spans="2:12" x14ac:dyDescent="0.2">
      <c r="B7" s="126" t="s">
        <v>61</v>
      </c>
      <c r="C7" s="126" t="s">
        <v>1543</v>
      </c>
      <c r="D7" s="126" t="s">
        <v>1544</v>
      </c>
      <c r="E7" s="126" t="s">
        <v>1545</v>
      </c>
      <c r="F7" s="126" t="s">
        <v>1546</v>
      </c>
      <c r="G7" s="126" t="s">
        <v>1547</v>
      </c>
      <c r="H7" s="562" t="s">
        <v>1548</v>
      </c>
      <c r="I7" s="466"/>
    </row>
    <row r="8" spans="2:12" x14ac:dyDescent="0.2">
      <c r="B8" s="155">
        <v>1</v>
      </c>
      <c r="C8" s="156" t="s">
        <v>1549</v>
      </c>
      <c r="D8" s="156" t="s">
        <v>1550</v>
      </c>
      <c r="E8" s="216">
        <v>0.6</v>
      </c>
      <c r="F8" s="216">
        <v>1</v>
      </c>
      <c r="G8" s="216">
        <v>1.4</v>
      </c>
      <c r="H8" s="532" t="s">
        <v>1551</v>
      </c>
      <c r="I8" s="466"/>
    </row>
    <row r="9" spans="2:12" x14ac:dyDescent="0.2">
      <c r="B9" s="155">
        <v>2</v>
      </c>
      <c r="C9" s="156" t="s">
        <v>1552</v>
      </c>
      <c r="D9" s="156" t="s">
        <v>1553</v>
      </c>
      <c r="E9" s="216">
        <v>0</v>
      </c>
      <c r="F9" s="216">
        <v>0.04</v>
      </c>
      <c r="G9" s="216">
        <v>0</v>
      </c>
      <c r="H9" s="532" t="s">
        <v>1554</v>
      </c>
      <c r="I9" s="466"/>
    </row>
    <row r="10" spans="2:12" x14ac:dyDescent="0.2">
      <c r="B10" s="155">
        <v>3</v>
      </c>
      <c r="C10" s="156" t="s">
        <v>1555</v>
      </c>
      <c r="D10" s="156" t="s">
        <v>1556</v>
      </c>
      <c r="E10" s="216">
        <v>0</v>
      </c>
      <c r="F10" s="216">
        <v>0.1</v>
      </c>
      <c r="G10" s="216">
        <v>1</v>
      </c>
      <c r="H10" s="532" t="s">
        <v>1557</v>
      </c>
      <c r="I10" s="466"/>
    </row>
    <row r="11" spans="2:12" x14ac:dyDescent="0.2">
      <c r="B11" s="155">
        <v>4</v>
      </c>
      <c r="C11" s="156" t="s">
        <v>1558</v>
      </c>
      <c r="D11" s="156" t="s">
        <v>1550</v>
      </c>
      <c r="E11" s="216">
        <v>3</v>
      </c>
      <c r="F11" s="216">
        <v>5</v>
      </c>
      <c r="G11" s="216">
        <v>7</v>
      </c>
      <c r="H11" s="532" t="s">
        <v>1551</v>
      </c>
      <c r="I11" s="466"/>
    </row>
    <row r="12" spans="2:12" x14ac:dyDescent="0.2">
      <c r="B12" s="155">
        <v>5</v>
      </c>
      <c r="C12" s="156" t="s">
        <v>1559</v>
      </c>
      <c r="D12" s="156" t="s">
        <v>1560</v>
      </c>
      <c r="E12" s="216">
        <v>0.7</v>
      </c>
      <c r="F12" s="216">
        <v>0.2</v>
      </c>
      <c r="G12" s="216">
        <v>0</v>
      </c>
      <c r="H12" s="532" t="s">
        <v>1561</v>
      </c>
      <c r="I12" s="466"/>
    </row>
    <row r="15" spans="2:12" x14ac:dyDescent="0.2">
      <c r="B15" s="547" t="s">
        <v>1562</v>
      </c>
      <c r="C15" s="468"/>
      <c r="D15" s="468"/>
      <c r="E15" s="468"/>
      <c r="F15" s="468"/>
      <c r="G15" s="468"/>
      <c r="H15" s="468"/>
      <c r="I15" s="468"/>
    </row>
    <row r="16" spans="2:12" x14ac:dyDescent="0.2">
      <c r="B16" s="562" t="s">
        <v>1563</v>
      </c>
      <c r="C16" s="466"/>
      <c r="D16" s="126" t="s">
        <v>1564</v>
      </c>
      <c r="E16" s="126" t="s">
        <v>1565</v>
      </c>
      <c r="F16" s="126" t="s">
        <v>1566</v>
      </c>
      <c r="G16" s="126" t="s">
        <v>1567</v>
      </c>
      <c r="H16" s="126" t="s">
        <v>1568</v>
      </c>
      <c r="I16" s="126" t="s">
        <v>1569</v>
      </c>
      <c r="J16" s="126" t="s">
        <v>1570</v>
      </c>
      <c r="K16" s="126" t="s">
        <v>1571</v>
      </c>
      <c r="L16" s="126" t="s">
        <v>1572</v>
      </c>
    </row>
    <row r="17" spans="2:12" ht="16" x14ac:dyDescent="0.2">
      <c r="B17" s="589" t="s">
        <v>1357</v>
      </c>
      <c r="C17" s="466"/>
      <c r="D17" s="454">
        <v>2104.06</v>
      </c>
      <c r="E17" s="454">
        <v>580.23</v>
      </c>
      <c r="F17" s="454">
        <v>1229.28</v>
      </c>
      <c r="G17" s="454">
        <v>1381.87</v>
      </c>
      <c r="H17" s="454">
        <v>1696.64</v>
      </c>
      <c r="I17" s="451">
        <v>2060.42</v>
      </c>
      <c r="J17" s="454">
        <v>2467.85</v>
      </c>
      <c r="K17" s="454">
        <v>2871.3</v>
      </c>
      <c r="L17" s="454">
        <v>3130.48</v>
      </c>
    </row>
    <row r="18" spans="2:12" ht="16" x14ac:dyDescent="0.2">
      <c r="B18" s="589" t="s">
        <v>491</v>
      </c>
      <c r="C18" s="466"/>
      <c r="D18" s="454">
        <v>2145.7600000000002</v>
      </c>
      <c r="E18" s="454">
        <v>360.76</v>
      </c>
      <c r="F18" s="454">
        <v>1556.11</v>
      </c>
      <c r="G18" s="454">
        <v>1654.95</v>
      </c>
      <c r="H18" s="454">
        <v>1885.34</v>
      </c>
      <c r="I18" s="451">
        <v>2142.0700000000002</v>
      </c>
      <c r="J18" s="454">
        <v>2401.75</v>
      </c>
      <c r="K18" s="454">
        <v>2635.31</v>
      </c>
      <c r="L18" s="454">
        <v>2744.84</v>
      </c>
    </row>
    <row r="19" spans="2:12" ht="16" x14ac:dyDescent="0.2">
      <c r="B19" s="589" t="s">
        <v>492</v>
      </c>
      <c r="C19" s="466"/>
      <c r="D19" s="455">
        <v>11.44</v>
      </c>
      <c r="E19" s="455">
        <v>6.47</v>
      </c>
      <c r="F19" s="455">
        <v>-0.41</v>
      </c>
      <c r="G19" s="455">
        <v>2.5299999999999998</v>
      </c>
      <c r="H19" s="455">
        <v>7.97</v>
      </c>
      <c r="I19" s="441">
        <v>12</v>
      </c>
      <c r="J19" s="455">
        <v>15.72</v>
      </c>
      <c r="K19" s="455">
        <v>19.07</v>
      </c>
      <c r="L19" s="455">
        <v>21.11</v>
      </c>
    </row>
    <row r="20" spans="2:12" ht="16" x14ac:dyDescent="0.2">
      <c r="B20" s="589" t="s">
        <v>1573</v>
      </c>
      <c r="C20" s="466"/>
      <c r="D20" s="456">
        <v>1.54</v>
      </c>
      <c r="E20" s="456">
        <v>0.32</v>
      </c>
      <c r="F20" s="456">
        <v>0.98</v>
      </c>
      <c r="G20" s="456">
        <v>1.1100000000000001</v>
      </c>
      <c r="H20" s="456">
        <v>1.36</v>
      </c>
      <c r="I20" s="446">
        <v>1.55</v>
      </c>
      <c r="J20" s="456">
        <v>1.74</v>
      </c>
      <c r="K20" s="456">
        <v>1.94</v>
      </c>
      <c r="L20" s="456">
        <v>2.06</v>
      </c>
    </row>
    <row r="21" spans="2:12" ht="16" x14ac:dyDescent="0.2">
      <c r="B21" s="589" t="s">
        <v>1259</v>
      </c>
      <c r="C21" s="466"/>
      <c r="D21" s="454">
        <v>10801.74</v>
      </c>
      <c r="E21" s="454">
        <v>2566.37</v>
      </c>
      <c r="F21" s="454">
        <v>6940.88</v>
      </c>
      <c r="G21" s="454">
        <v>7640.65</v>
      </c>
      <c r="H21" s="454">
        <v>8925.08</v>
      </c>
      <c r="I21" s="451">
        <v>10579.72</v>
      </c>
      <c r="J21" s="454">
        <v>12524.67</v>
      </c>
      <c r="K21" s="454">
        <v>14264.99</v>
      </c>
      <c r="L21" s="454">
        <v>15366.25</v>
      </c>
    </row>
    <row r="24" spans="2:12" x14ac:dyDescent="0.2">
      <c r="B24" s="547" t="s">
        <v>1574</v>
      </c>
      <c r="C24" s="468"/>
      <c r="D24" s="468"/>
      <c r="E24" s="468"/>
      <c r="F24" s="468"/>
      <c r="G24" s="468"/>
      <c r="H24" s="468"/>
      <c r="I24" s="468"/>
    </row>
    <row r="25" spans="2:12" ht="16" x14ac:dyDescent="0.2">
      <c r="B25" s="556" t="s">
        <v>1575</v>
      </c>
      <c r="C25" s="473"/>
      <c r="D25" s="473"/>
      <c r="E25" s="473"/>
      <c r="F25" s="466"/>
      <c r="G25" s="591">
        <v>13.6</v>
      </c>
      <c r="H25" s="473"/>
      <c r="I25" s="466"/>
    </row>
    <row r="26" spans="2:12" x14ac:dyDescent="0.2">
      <c r="B26" s="556" t="s">
        <v>1576</v>
      </c>
      <c r="C26" s="473"/>
      <c r="D26" s="473"/>
      <c r="E26" s="473"/>
      <c r="F26" s="466"/>
      <c r="G26" s="583">
        <v>50</v>
      </c>
      <c r="H26" s="473"/>
      <c r="I26" s="466"/>
    </row>
    <row r="27" spans="2:12" x14ac:dyDescent="0.2">
      <c r="B27" s="556" t="s">
        <v>1577</v>
      </c>
      <c r="C27" s="473"/>
      <c r="D27" s="473"/>
      <c r="E27" s="473"/>
      <c r="F27" s="466"/>
      <c r="G27" s="583">
        <v>74.900000000000006</v>
      </c>
      <c r="H27" s="473"/>
      <c r="I27" s="466"/>
    </row>
    <row r="28" spans="2:12" x14ac:dyDescent="0.2">
      <c r="B28" s="556" t="s">
        <v>1578</v>
      </c>
      <c r="C28" s="473"/>
      <c r="D28" s="473"/>
      <c r="E28" s="473"/>
      <c r="F28" s="466"/>
      <c r="G28" s="583">
        <v>5.5</v>
      </c>
      <c r="H28" s="473"/>
      <c r="I28" s="466"/>
    </row>
    <row r="29" spans="2:12" x14ac:dyDescent="0.2">
      <c r="B29" s="556" t="s">
        <v>1579</v>
      </c>
      <c r="C29" s="473"/>
      <c r="D29" s="473"/>
      <c r="E29" s="473"/>
      <c r="F29" s="466"/>
      <c r="G29" s="583">
        <v>7</v>
      </c>
      <c r="H29" s="473"/>
      <c r="I29" s="466"/>
    </row>
    <row r="30" spans="2:12" x14ac:dyDescent="0.2">
      <c r="B30" s="556" t="s">
        <v>1580</v>
      </c>
      <c r="C30" s="473"/>
      <c r="D30" s="473"/>
      <c r="E30" s="473"/>
      <c r="F30" s="466"/>
      <c r="G30" s="550">
        <v>1770.7</v>
      </c>
      <c r="H30" s="473"/>
      <c r="I30" s="466"/>
    </row>
    <row r="31" spans="2:12" x14ac:dyDescent="0.2">
      <c r="B31" s="556" t="s">
        <v>1581</v>
      </c>
      <c r="C31" s="473"/>
      <c r="D31" s="473"/>
      <c r="E31" s="473"/>
      <c r="F31" s="466"/>
      <c r="G31" s="550">
        <v>1930.1</v>
      </c>
      <c r="H31" s="473"/>
      <c r="I31" s="466"/>
    </row>
    <row r="32" spans="2:12" x14ac:dyDescent="0.2">
      <c r="B32" s="556" t="s">
        <v>1537</v>
      </c>
      <c r="C32" s="473"/>
      <c r="D32" s="473"/>
      <c r="E32" s="473"/>
      <c r="F32" s="466"/>
      <c r="G32" s="550">
        <v>2104.1</v>
      </c>
      <c r="H32" s="473"/>
      <c r="I32" s="466"/>
    </row>
    <row r="33" spans="2:9" x14ac:dyDescent="0.2">
      <c r="B33" s="556" t="s">
        <v>1582</v>
      </c>
      <c r="C33" s="473"/>
      <c r="D33" s="473"/>
      <c r="E33" s="473"/>
      <c r="F33" s="466"/>
      <c r="G33" s="581">
        <v>1.542</v>
      </c>
      <c r="H33" s="473"/>
      <c r="I33" s="466"/>
    </row>
    <row r="34" spans="2:9" x14ac:dyDescent="0.2">
      <c r="B34" s="556" t="s">
        <v>1583</v>
      </c>
      <c r="C34" s="473"/>
      <c r="D34" s="473"/>
      <c r="E34" s="473"/>
      <c r="F34" s="466"/>
      <c r="G34" s="550">
        <v>10579.7</v>
      </c>
      <c r="H34" s="473"/>
      <c r="I34" s="466"/>
    </row>
    <row r="37" spans="2:9" x14ac:dyDescent="0.2">
      <c r="B37" s="547" t="s">
        <v>1584</v>
      </c>
      <c r="C37" s="468"/>
      <c r="D37" s="468"/>
      <c r="E37" s="468"/>
      <c r="F37" s="468"/>
      <c r="G37" s="468"/>
      <c r="H37" s="468"/>
      <c r="I37" s="468"/>
    </row>
    <row r="38" spans="2:9" x14ac:dyDescent="0.2">
      <c r="B38" s="126" t="s">
        <v>61</v>
      </c>
      <c r="C38" s="562" t="s">
        <v>1491</v>
      </c>
      <c r="D38" s="466"/>
      <c r="E38" s="126" t="s">
        <v>1585</v>
      </c>
      <c r="F38" s="126" t="s">
        <v>68</v>
      </c>
      <c r="G38" s="562" t="s">
        <v>1586</v>
      </c>
      <c r="H38" s="473"/>
      <c r="I38" s="466"/>
    </row>
    <row r="39" spans="2:9" ht="16" x14ac:dyDescent="0.2">
      <c r="B39" s="155">
        <v>1</v>
      </c>
      <c r="C39" s="564" t="s">
        <v>1587</v>
      </c>
      <c r="D39" s="466"/>
      <c r="E39" s="457">
        <v>45</v>
      </c>
      <c r="F39" s="455">
        <v>0.9</v>
      </c>
      <c r="G39" s="564" t="s">
        <v>1588</v>
      </c>
      <c r="H39" s="473"/>
      <c r="I39" s="466"/>
    </row>
    <row r="40" spans="2:9" ht="16" x14ac:dyDescent="0.2">
      <c r="B40" s="155">
        <v>2</v>
      </c>
      <c r="C40" s="564" t="s">
        <v>1589</v>
      </c>
      <c r="D40" s="466"/>
      <c r="E40" s="457">
        <v>458</v>
      </c>
      <c r="F40" s="455">
        <v>9.1999999999999993</v>
      </c>
      <c r="G40" s="564" t="s">
        <v>1590</v>
      </c>
      <c r="H40" s="473"/>
      <c r="I40" s="466"/>
    </row>
    <row r="41" spans="2:9" ht="16" x14ac:dyDescent="0.2">
      <c r="B41" s="155">
        <v>3</v>
      </c>
      <c r="C41" s="564" t="s">
        <v>1591</v>
      </c>
      <c r="D41" s="466"/>
      <c r="E41" s="457">
        <v>1120</v>
      </c>
      <c r="F41" s="455">
        <v>22.4</v>
      </c>
      <c r="G41" s="564" t="s">
        <v>1592</v>
      </c>
      <c r="H41" s="473"/>
      <c r="I41" s="466"/>
    </row>
    <row r="42" spans="2:9" ht="16" x14ac:dyDescent="0.2">
      <c r="B42" s="155">
        <v>4</v>
      </c>
      <c r="C42" s="564" t="s">
        <v>1593</v>
      </c>
      <c r="D42" s="466"/>
      <c r="E42" s="457">
        <v>1474</v>
      </c>
      <c r="F42" s="455">
        <v>29.5</v>
      </c>
      <c r="G42" s="564" t="s">
        <v>1594</v>
      </c>
      <c r="H42" s="473"/>
      <c r="I42" s="466"/>
    </row>
    <row r="43" spans="2:9" ht="16" x14ac:dyDescent="0.2">
      <c r="B43" s="175">
        <v>5</v>
      </c>
      <c r="C43" s="590" t="s">
        <v>1595</v>
      </c>
      <c r="D43" s="466"/>
      <c r="E43" s="458">
        <v>1107</v>
      </c>
      <c r="F43" s="441">
        <v>22.1</v>
      </c>
      <c r="G43" s="590" t="s">
        <v>1592</v>
      </c>
      <c r="H43" s="473"/>
      <c r="I43" s="466"/>
    </row>
    <row r="44" spans="2:9" ht="16" x14ac:dyDescent="0.2">
      <c r="B44" s="155">
        <v>6</v>
      </c>
      <c r="C44" s="564" t="s">
        <v>1596</v>
      </c>
      <c r="D44" s="466"/>
      <c r="E44" s="457">
        <v>522</v>
      </c>
      <c r="F44" s="455">
        <v>10.4</v>
      </c>
      <c r="G44" s="564" t="s">
        <v>1597</v>
      </c>
      <c r="H44" s="473"/>
      <c r="I44" s="466"/>
    </row>
    <row r="45" spans="2:9" ht="16" x14ac:dyDescent="0.2">
      <c r="B45" s="155">
        <v>7</v>
      </c>
      <c r="C45" s="564" t="s">
        <v>1598</v>
      </c>
      <c r="D45" s="466"/>
      <c r="E45" s="457">
        <v>200</v>
      </c>
      <c r="F45" s="455">
        <v>4</v>
      </c>
      <c r="G45" s="564" t="s">
        <v>1599</v>
      </c>
      <c r="H45" s="473"/>
      <c r="I45" s="466"/>
    </row>
    <row r="46" spans="2:9" ht="16" x14ac:dyDescent="0.2">
      <c r="B46" s="155">
        <v>8</v>
      </c>
      <c r="C46" s="564" t="s">
        <v>1600</v>
      </c>
      <c r="D46" s="466"/>
      <c r="E46" s="457">
        <v>58</v>
      </c>
      <c r="F46" s="455">
        <v>1.2</v>
      </c>
      <c r="G46" s="564" t="s">
        <v>1588</v>
      </c>
      <c r="H46" s="473"/>
      <c r="I46" s="466"/>
    </row>
    <row r="47" spans="2:9" ht="16" x14ac:dyDescent="0.2">
      <c r="B47" s="155">
        <v>9</v>
      </c>
      <c r="C47" s="564" t="s">
        <v>1601</v>
      </c>
      <c r="D47" s="466"/>
      <c r="E47" s="457">
        <v>11</v>
      </c>
      <c r="F47" s="455">
        <v>0.2</v>
      </c>
      <c r="G47" s="564" t="s">
        <v>1588</v>
      </c>
      <c r="H47" s="473"/>
      <c r="I47" s="466"/>
    </row>
    <row r="48" spans="2:9" ht="16" x14ac:dyDescent="0.2">
      <c r="B48" s="155">
        <v>10</v>
      </c>
      <c r="C48" s="564" t="s">
        <v>1602</v>
      </c>
      <c r="D48" s="466"/>
      <c r="E48" s="457">
        <v>5</v>
      </c>
      <c r="F48" s="455">
        <v>0.1</v>
      </c>
      <c r="G48" s="564" t="s">
        <v>1588</v>
      </c>
      <c r="H48" s="473"/>
      <c r="I48" s="466"/>
    </row>
    <row r="51" spans="2:9" ht="43" customHeight="1" x14ac:dyDescent="0.2">
      <c r="B51" s="541" t="s">
        <v>1603</v>
      </c>
      <c r="C51" s="468"/>
      <c r="D51" s="468"/>
      <c r="E51" s="468"/>
      <c r="F51" s="468"/>
      <c r="G51" s="468"/>
      <c r="H51" s="468"/>
      <c r="I51" s="468"/>
    </row>
  </sheetData>
  <mergeCells count="61">
    <mergeCell ref="H10:I10"/>
    <mergeCell ref="B25:F25"/>
    <mergeCell ref="B18:C18"/>
    <mergeCell ref="G30:I30"/>
    <mergeCell ref="G32:I32"/>
    <mergeCell ref="G38:I38"/>
    <mergeCell ref="B16:C16"/>
    <mergeCell ref="G28:I28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B28:F28"/>
    <mergeCell ref="G31:I31"/>
    <mergeCell ref="G46:I46"/>
    <mergeCell ref="G40:I40"/>
    <mergeCell ref="B37:I37"/>
    <mergeCell ref="C46:D46"/>
    <mergeCell ref="G44:I44"/>
    <mergeCell ref="G41:I41"/>
    <mergeCell ref="B34:F34"/>
    <mergeCell ref="C42:D42"/>
    <mergeCell ref="C45:D45"/>
    <mergeCell ref="B31:F31"/>
    <mergeCell ref="G34:I34"/>
    <mergeCell ref="B51:I51"/>
    <mergeCell ref="C48:D48"/>
    <mergeCell ref="C39:D39"/>
    <mergeCell ref="G43:I43"/>
    <mergeCell ref="B30:F30"/>
    <mergeCell ref="C38:D38"/>
    <mergeCell ref="G42:I42"/>
    <mergeCell ref="G47:I47"/>
    <mergeCell ref="B2:I3"/>
    <mergeCell ref="G39:I39"/>
    <mergeCell ref="G48:I48"/>
    <mergeCell ref="H8:I8"/>
    <mergeCell ref="B32:F32"/>
    <mergeCell ref="B26:F26"/>
    <mergeCell ref="B4:I4"/>
    <mergeCell ref="B6:I6"/>
    <mergeCell ref="B24:I24"/>
    <mergeCell ref="B20:C20"/>
    <mergeCell ref="B33:F33"/>
    <mergeCell ref="H12:I12"/>
    <mergeCell ref="B15:I15"/>
    <mergeCell ref="G27:I27"/>
    <mergeCell ref="H7:I7"/>
    <mergeCell ref="B19:C19"/>
  </mergeCells>
  <printOptions horizontalCentered="1"/>
  <pageMargins left="0.59" right="0.59" top="0.59" bottom="0.59" header="0.3" footer="0.3"/>
  <pageSetup paperSize="8"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2:L94"/>
  <sheetViews>
    <sheetView workbookViewId="0">
      <pane ySplit="7" topLeftCell="A62" activePane="bottomLeft" state="frozen"/>
      <selection pane="bottomLeft"/>
    </sheetView>
  </sheetViews>
  <sheetFormatPr baseColWidth="10" defaultColWidth="8.83203125" defaultRowHeight="15" x14ac:dyDescent="0.2"/>
  <cols>
    <col min="2" max="2" width="6" customWidth="1"/>
    <col min="3" max="3" width="14" customWidth="1"/>
    <col min="4" max="4" width="50" customWidth="1"/>
    <col min="5" max="7" width="8" customWidth="1"/>
    <col min="8" max="8" width="11" customWidth="1"/>
    <col min="9" max="9" width="50" customWidth="1"/>
    <col min="10" max="10" width="16" customWidth="1"/>
    <col min="11" max="11" width="10" customWidth="1"/>
  </cols>
  <sheetData>
    <row r="2" spans="2:12" ht="21" x14ac:dyDescent="0.25">
      <c r="B2" s="594" t="s">
        <v>1604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</row>
    <row r="4" spans="2:12" x14ac:dyDescent="0.2">
      <c r="B4" s="551" t="s">
        <v>1605</v>
      </c>
      <c r="C4" s="468"/>
      <c r="D4" s="468"/>
      <c r="E4" s="468"/>
      <c r="F4" s="468"/>
      <c r="G4" s="468"/>
      <c r="H4" s="468"/>
      <c r="I4" s="468"/>
      <c r="J4" s="468"/>
      <c r="K4" s="468"/>
      <c r="L4" s="468"/>
    </row>
    <row r="6" spans="2:12" ht="16" x14ac:dyDescent="0.2">
      <c r="B6" s="240" t="s">
        <v>1606</v>
      </c>
    </row>
    <row r="7" spans="2:12" x14ac:dyDescent="0.2">
      <c r="B7" s="241" t="s">
        <v>1607</v>
      </c>
      <c r="C7" s="241" t="s">
        <v>376</v>
      </c>
      <c r="D7" s="241" t="s">
        <v>1608</v>
      </c>
      <c r="E7" s="241" t="s">
        <v>1609</v>
      </c>
      <c r="F7" s="241" t="s">
        <v>1610</v>
      </c>
      <c r="G7" s="241" t="s">
        <v>1611</v>
      </c>
      <c r="H7" s="241" t="s">
        <v>1433</v>
      </c>
      <c r="I7" s="241" t="s">
        <v>1612</v>
      </c>
      <c r="J7" s="241" t="s">
        <v>1613</v>
      </c>
      <c r="K7" s="241" t="s">
        <v>1614</v>
      </c>
    </row>
    <row r="8" spans="2:12" ht="38" customHeight="1" x14ac:dyDescent="0.2">
      <c r="B8" s="242" t="s">
        <v>1615</v>
      </c>
      <c r="C8" s="243" t="s">
        <v>1616</v>
      </c>
      <c r="D8" s="243" t="s">
        <v>1617</v>
      </c>
      <c r="E8" s="242">
        <v>5</v>
      </c>
      <c r="F8" s="242">
        <v>3</v>
      </c>
      <c r="G8" s="244">
        <v>15</v>
      </c>
      <c r="H8" s="245" t="s">
        <v>1078</v>
      </c>
      <c r="I8" s="243" t="s">
        <v>1618</v>
      </c>
      <c r="J8" s="243" t="s">
        <v>1619</v>
      </c>
      <c r="K8" s="242">
        <v>12</v>
      </c>
    </row>
    <row r="9" spans="2:12" ht="38" customHeight="1" x14ac:dyDescent="0.2">
      <c r="B9" s="242" t="s">
        <v>1620</v>
      </c>
      <c r="C9" s="243" t="s">
        <v>1616</v>
      </c>
      <c r="D9" s="243" t="s">
        <v>1621</v>
      </c>
      <c r="E9" s="242">
        <v>4</v>
      </c>
      <c r="F9" s="242">
        <v>3</v>
      </c>
      <c r="G9" s="246">
        <v>12</v>
      </c>
      <c r="H9" s="247" t="s">
        <v>1622</v>
      </c>
      <c r="I9" s="243" t="s">
        <v>1623</v>
      </c>
      <c r="J9" s="243" t="s">
        <v>1624</v>
      </c>
      <c r="K9" s="242">
        <v>8</v>
      </c>
    </row>
    <row r="10" spans="2:12" ht="38" customHeight="1" x14ac:dyDescent="0.2">
      <c r="B10" s="242" t="s">
        <v>1625</v>
      </c>
      <c r="C10" s="243" t="s">
        <v>1616</v>
      </c>
      <c r="D10" s="243" t="s">
        <v>1626</v>
      </c>
      <c r="E10" s="242">
        <v>3</v>
      </c>
      <c r="F10" s="242">
        <v>4</v>
      </c>
      <c r="G10" s="246">
        <v>12</v>
      </c>
      <c r="H10" s="247" t="s">
        <v>1622</v>
      </c>
      <c r="I10" s="243" t="s">
        <v>1627</v>
      </c>
      <c r="J10" s="243" t="s">
        <v>1628</v>
      </c>
      <c r="K10" s="242">
        <v>6</v>
      </c>
    </row>
    <row r="11" spans="2:12" ht="38" customHeight="1" x14ac:dyDescent="0.2">
      <c r="B11" s="242" t="s">
        <v>1629</v>
      </c>
      <c r="C11" s="243" t="s">
        <v>1616</v>
      </c>
      <c r="D11" s="243" t="s">
        <v>1630</v>
      </c>
      <c r="E11" s="242">
        <v>3</v>
      </c>
      <c r="F11" s="242">
        <v>5</v>
      </c>
      <c r="G11" s="244">
        <v>15</v>
      </c>
      <c r="H11" s="245" t="s">
        <v>1078</v>
      </c>
      <c r="I11" s="243" t="s">
        <v>1631</v>
      </c>
      <c r="J11" s="243" t="s">
        <v>1632</v>
      </c>
      <c r="K11" s="242">
        <v>9</v>
      </c>
    </row>
    <row r="12" spans="2:12" ht="38" customHeight="1" x14ac:dyDescent="0.2">
      <c r="B12" s="242" t="s">
        <v>1633</v>
      </c>
      <c r="C12" s="243" t="s">
        <v>1616</v>
      </c>
      <c r="D12" s="243" t="s">
        <v>1634</v>
      </c>
      <c r="E12" s="242">
        <v>4</v>
      </c>
      <c r="F12" s="242">
        <v>2</v>
      </c>
      <c r="G12" s="248">
        <v>8</v>
      </c>
      <c r="H12" s="249" t="s">
        <v>1635</v>
      </c>
      <c r="I12" s="243" t="s">
        <v>1636</v>
      </c>
      <c r="J12" s="243" t="s">
        <v>1637</v>
      </c>
      <c r="K12" s="242">
        <v>4</v>
      </c>
    </row>
    <row r="13" spans="2:12" ht="38" customHeight="1" x14ac:dyDescent="0.2">
      <c r="B13" s="242" t="s">
        <v>1638</v>
      </c>
      <c r="C13" s="243" t="s">
        <v>1616</v>
      </c>
      <c r="D13" s="243" t="s">
        <v>1639</v>
      </c>
      <c r="E13" s="242">
        <v>3</v>
      </c>
      <c r="F13" s="242">
        <v>4</v>
      </c>
      <c r="G13" s="246">
        <v>12</v>
      </c>
      <c r="H13" s="247" t="s">
        <v>1622</v>
      </c>
      <c r="I13" s="243" t="s">
        <v>1640</v>
      </c>
      <c r="J13" s="243" t="s">
        <v>1641</v>
      </c>
      <c r="K13" s="242">
        <v>6</v>
      </c>
    </row>
    <row r="14" spans="2:12" ht="38" customHeight="1" x14ac:dyDescent="0.2">
      <c r="B14" s="242" t="s">
        <v>1642</v>
      </c>
      <c r="C14" s="243" t="s">
        <v>1643</v>
      </c>
      <c r="D14" s="243" t="s">
        <v>1644</v>
      </c>
      <c r="E14" s="242">
        <v>4</v>
      </c>
      <c r="F14" s="242">
        <v>4</v>
      </c>
      <c r="G14" s="244">
        <v>16</v>
      </c>
      <c r="H14" s="245" t="s">
        <v>1078</v>
      </c>
      <c r="I14" s="243" t="s">
        <v>1645</v>
      </c>
      <c r="J14" s="243" t="s">
        <v>1646</v>
      </c>
      <c r="K14" s="242">
        <v>8</v>
      </c>
    </row>
    <row r="15" spans="2:12" ht="38" customHeight="1" x14ac:dyDescent="0.2">
      <c r="B15" s="242" t="s">
        <v>1647</v>
      </c>
      <c r="C15" s="243" t="s">
        <v>1643</v>
      </c>
      <c r="D15" s="243" t="s">
        <v>1648</v>
      </c>
      <c r="E15" s="242">
        <v>4</v>
      </c>
      <c r="F15" s="242">
        <v>3</v>
      </c>
      <c r="G15" s="246">
        <v>12</v>
      </c>
      <c r="H15" s="247" t="s">
        <v>1622</v>
      </c>
      <c r="I15" s="243" t="s">
        <v>1649</v>
      </c>
      <c r="J15" s="243" t="s">
        <v>1650</v>
      </c>
      <c r="K15" s="242">
        <v>6</v>
      </c>
    </row>
    <row r="16" spans="2:12" ht="38" customHeight="1" x14ac:dyDescent="0.2">
      <c r="B16" s="242" t="s">
        <v>1651</v>
      </c>
      <c r="C16" s="243" t="s">
        <v>1643</v>
      </c>
      <c r="D16" s="243" t="s">
        <v>1652</v>
      </c>
      <c r="E16" s="242">
        <v>4</v>
      </c>
      <c r="F16" s="242">
        <v>2</v>
      </c>
      <c r="G16" s="248">
        <v>8</v>
      </c>
      <c r="H16" s="249" t="s">
        <v>1635</v>
      </c>
      <c r="I16" s="243" t="s">
        <v>1653</v>
      </c>
      <c r="J16" s="243" t="s">
        <v>1654</v>
      </c>
      <c r="K16" s="242">
        <v>4</v>
      </c>
    </row>
    <row r="17" spans="2:11" ht="38" customHeight="1" x14ac:dyDescent="0.2">
      <c r="B17" s="242" t="s">
        <v>1655</v>
      </c>
      <c r="C17" s="243" t="s">
        <v>1643</v>
      </c>
      <c r="D17" s="243" t="s">
        <v>1656</v>
      </c>
      <c r="E17" s="242">
        <v>4</v>
      </c>
      <c r="F17" s="242">
        <v>3</v>
      </c>
      <c r="G17" s="246">
        <v>12</v>
      </c>
      <c r="H17" s="247" t="s">
        <v>1622</v>
      </c>
      <c r="I17" s="243" t="s">
        <v>1657</v>
      </c>
      <c r="J17" s="243" t="s">
        <v>1658</v>
      </c>
      <c r="K17" s="242">
        <v>6</v>
      </c>
    </row>
    <row r="18" spans="2:11" ht="38" customHeight="1" x14ac:dyDescent="0.2">
      <c r="B18" s="242" t="s">
        <v>1659</v>
      </c>
      <c r="C18" s="243" t="s">
        <v>1643</v>
      </c>
      <c r="D18" s="243" t="s">
        <v>1660</v>
      </c>
      <c r="E18" s="242">
        <v>2</v>
      </c>
      <c r="F18" s="242">
        <v>3</v>
      </c>
      <c r="G18" s="248">
        <v>6</v>
      </c>
      <c r="H18" s="249" t="s">
        <v>1635</v>
      </c>
      <c r="I18" s="243" t="s">
        <v>1661</v>
      </c>
      <c r="J18" s="243" t="s">
        <v>1544</v>
      </c>
      <c r="K18" s="242">
        <v>4</v>
      </c>
    </row>
    <row r="19" spans="2:11" ht="38" customHeight="1" x14ac:dyDescent="0.2">
      <c r="B19" s="242" t="s">
        <v>1662</v>
      </c>
      <c r="C19" s="243" t="s">
        <v>1643</v>
      </c>
      <c r="D19" s="243" t="s">
        <v>1663</v>
      </c>
      <c r="E19" s="242">
        <v>3</v>
      </c>
      <c r="F19" s="242">
        <v>4</v>
      </c>
      <c r="G19" s="246">
        <v>12</v>
      </c>
      <c r="H19" s="247" t="s">
        <v>1622</v>
      </c>
      <c r="I19" s="243" t="s">
        <v>1664</v>
      </c>
      <c r="J19" s="243" t="s">
        <v>1665</v>
      </c>
      <c r="K19" s="242">
        <v>6</v>
      </c>
    </row>
    <row r="20" spans="2:11" ht="38" customHeight="1" x14ac:dyDescent="0.2">
      <c r="B20" s="242" t="s">
        <v>1666</v>
      </c>
      <c r="C20" s="243" t="s">
        <v>1667</v>
      </c>
      <c r="D20" s="243" t="s">
        <v>1668</v>
      </c>
      <c r="E20" s="242">
        <v>5</v>
      </c>
      <c r="F20" s="242">
        <v>3</v>
      </c>
      <c r="G20" s="244">
        <v>15</v>
      </c>
      <c r="H20" s="245" t="s">
        <v>1078</v>
      </c>
      <c r="I20" s="243" t="s">
        <v>1669</v>
      </c>
      <c r="J20" s="243" t="s">
        <v>1670</v>
      </c>
      <c r="K20" s="242">
        <v>10</v>
      </c>
    </row>
    <row r="21" spans="2:11" ht="38" customHeight="1" x14ac:dyDescent="0.2">
      <c r="B21" s="242" t="s">
        <v>1671</v>
      </c>
      <c r="C21" s="243" t="s">
        <v>1667</v>
      </c>
      <c r="D21" s="243" t="s">
        <v>1672</v>
      </c>
      <c r="E21" s="242">
        <v>3</v>
      </c>
      <c r="F21" s="242">
        <v>4</v>
      </c>
      <c r="G21" s="246">
        <v>12</v>
      </c>
      <c r="H21" s="247" t="s">
        <v>1622</v>
      </c>
      <c r="I21" s="243" t="s">
        <v>1673</v>
      </c>
      <c r="J21" s="243" t="s">
        <v>1674</v>
      </c>
      <c r="K21" s="242">
        <v>6</v>
      </c>
    </row>
    <row r="22" spans="2:11" ht="38" customHeight="1" x14ac:dyDescent="0.2">
      <c r="B22" s="242" t="s">
        <v>1675</v>
      </c>
      <c r="C22" s="243" t="s">
        <v>1667</v>
      </c>
      <c r="D22" s="243" t="s">
        <v>1676</v>
      </c>
      <c r="E22" s="242">
        <v>3</v>
      </c>
      <c r="F22" s="242">
        <v>3</v>
      </c>
      <c r="G22" s="248">
        <v>9</v>
      </c>
      <c r="H22" s="249" t="s">
        <v>1635</v>
      </c>
      <c r="I22" s="243" t="s">
        <v>1677</v>
      </c>
      <c r="J22" s="243" t="s">
        <v>1678</v>
      </c>
      <c r="K22" s="242">
        <v>6</v>
      </c>
    </row>
    <row r="23" spans="2:11" ht="38" customHeight="1" x14ac:dyDescent="0.2">
      <c r="B23" s="242" t="s">
        <v>1679</v>
      </c>
      <c r="C23" s="243" t="s">
        <v>1667</v>
      </c>
      <c r="D23" s="243" t="s">
        <v>1680</v>
      </c>
      <c r="E23" s="242">
        <v>3</v>
      </c>
      <c r="F23" s="242">
        <v>3</v>
      </c>
      <c r="G23" s="248">
        <v>9</v>
      </c>
      <c r="H23" s="249" t="s">
        <v>1635</v>
      </c>
      <c r="I23" s="243" t="s">
        <v>1681</v>
      </c>
      <c r="J23" s="243" t="s">
        <v>1674</v>
      </c>
      <c r="K23" s="242">
        <v>6</v>
      </c>
    </row>
    <row r="24" spans="2:11" ht="38" customHeight="1" x14ac:dyDescent="0.2">
      <c r="B24" s="242" t="s">
        <v>1682</v>
      </c>
      <c r="C24" s="243" t="s">
        <v>1667</v>
      </c>
      <c r="D24" s="424" t="s">
        <v>1683</v>
      </c>
      <c r="E24" s="242">
        <v>3</v>
      </c>
      <c r="F24" s="242">
        <v>4</v>
      </c>
      <c r="G24" s="250">
        <v>12</v>
      </c>
      <c r="H24" s="251" t="s">
        <v>1078</v>
      </c>
      <c r="I24" s="243" t="s">
        <v>1684</v>
      </c>
      <c r="J24" s="243" t="s">
        <v>1685</v>
      </c>
      <c r="K24" s="242">
        <v>8</v>
      </c>
    </row>
    <row r="25" spans="2:11" ht="38" customHeight="1" x14ac:dyDescent="0.2">
      <c r="B25" s="242" t="s">
        <v>1686</v>
      </c>
      <c r="C25" s="243" t="s">
        <v>1667</v>
      </c>
      <c r="D25" s="243" t="s">
        <v>1687</v>
      </c>
      <c r="E25" s="242">
        <v>4</v>
      </c>
      <c r="F25" s="242">
        <v>2</v>
      </c>
      <c r="G25" s="248">
        <v>8</v>
      </c>
      <c r="H25" s="249" t="s">
        <v>1635</v>
      </c>
      <c r="I25" s="243" t="s">
        <v>1688</v>
      </c>
      <c r="J25" s="243" t="s">
        <v>1689</v>
      </c>
      <c r="K25" s="242">
        <v>4</v>
      </c>
    </row>
    <row r="26" spans="2:11" ht="38" customHeight="1" x14ac:dyDescent="0.2">
      <c r="B26" s="242" t="s">
        <v>1690</v>
      </c>
      <c r="C26" s="243" t="s">
        <v>1691</v>
      </c>
      <c r="D26" s="243" t="s">
        <v>1692</v>
      </c>
      <c r="E26" s="242">
        <v>4</v>
      </c>
      <c r="F26" s="242">
        <v>2</v>
      </c>
      <c r="G26" s="248">
        <v>8</v>
      </c>
      <c r="H26" s="249" t="s">
        <v>1635</v>
      </c>
      <c r="I26" s="243" t="s">
        <v>1693</v>
      </c>
      <c r="J26" s="243" t="s">
        <v>1694</v>
      </c>
      <c r="K26" s="242">
        <v>4</v>
      </c>
    </row>
    <row r="27" spans="2:11" ht="38" customHeight="1" x14ac:dyDescent="0.2">
      <c r="B27" s="242" t="s">
        <v>1695</v>
      </c>
      <c r="C27" s="243" t="s">
        <v>1691</v>
      </c>
      <c r="D27" s="243" t="s">
        <v>1696</v>
      </c>
      <c r="E27" s="242">
        <v>5</v>
      </c>
      <c r="F27" s="242">
        <v>2</v>
      </c>
      <c r="G27" s="246">
        <v>10</v>
      </c>
      <c r="H27" s="247" t="s">
        <v>1622</v>
      </c>
      <c r="I27" s="243" t="s">
        <v>1697</v>
      </c>
      <c r="J27" s="243" t="s">
        <v>1698</v>
      </c>
      <c r="K27" s="242">
        <v>6</v>
      </c>
    </row>
    <row r="28" spans="2:11" ht="38" customHeight="1" x14ac:dyDescent="0.2">
      <c r="B28" s="242" t="s">
        <v>1699</v>
      </c>
      <c r="C28" s="243" t="s">
        <v>1691</v>
      </c>
      <c r="D28" s="243" t="s">
        <v>1700</v>
      </c>
      <c r="E28" s="242">
        <v>2</v>
      </c>
      <c r="F28" s="242">
        <v>3</v>
      </c>
      <c r="G28" s="248">
        <v>6</v>
      </c>
      <c r="H28" s="249" t="s">
        <v>1635</v>
      </c>
      <c r="I28" s="243" t="s">
        <v>1701</v>
      </c>
      <c r="J28" s="243" t="s">
        <v>1702</v>
      </c>
      <c r="K28" s="242">
        <v>4</v>
      </c>
    </row>
    <row r="29" spans="2:11" ht="38" customHeight="1" x14ac:dyDescent="0.2">
      <c r="B29" s="242" t="s">
        <v>1703</v>
      </c>
      <c r="C29" s="243" t="s">
        <v>1691</v>
      </c>
      <c r="D29" s="243" t="s">
        <v>1704</v>
      </c>
      <c r="E29" s="242">
        <v>3</v>
      </c>
      <c r="F29" s="242">
        <v>3</v>
      </c>
      <c r="G29" s="248">
        <v>9</v>
      </c>
      <c r="H29" s="249" t="s">
        <v>1635</v>
      </c>
      <c r="I29" s="243" t="s">
        <v>1705</v>
      </c>
      <c r="J29" s="243" t="s">
        <v>1706</v>
      </c>
      <c r="K29" s="242">
        <v>6</v>
      </c>
    </row>
    <row r="30" spans="2:11" ht="38" customHeight="1" x14ac:dyDescent="0.2">
      <c r="B30" s="242" t="s">
        <v>1707</v>
      </c>
      <c r="C30" s="243" t="s">
        <v>1691</v>
      </c>
      <c r="D30" s="243" t="s">
        <v>1708</v>
      </c>
      <c r="E30" s="242">
        <v>4</v>
      </c>
      <c r="F30" s="242">
        <v>3</v>
      </c>
      <c r="G30" s="246">
        <v>12</v>
      </c>
      <c r="H30" s="247" t="s">
        <v>1622</v>
      </c>
      <c r="I30" s="243" t="s">
        <v>1709</v>
      </c>
      <c r="J30" s="243" t="s">
        <v>1710</v>
      </c>
      <c r="K30" s="242">
        <v>8</v>
      </c>
    </row>
    <row r="31" spans="2:11" ht="38" customHeight="1" x14ac:dyDescent="0.2">
      <c r="B31" s="242" t="s">
        <v>1711</v>
      </c>
      <c r="C31" s="243" t="s">
        <v>1691</v>
      </c>
      <c r="D31" s="243" t="s">
        <v>1712</v>
      </c>
      <c r="E31" s="242">
        <v>3</v>
      </c>
      <c r="F31" s="242">
        <v>4</v>
      </c>
      <c r="G31" s="246">
        <v>12</v>
      </c>
      <c r="H31" s="247" t="s">
        <v>1622</v>
      </c>
      <c r="I31" s="243" t="s">
        <v>1713</v>
      </c>
      <c r="J31" s="243" t="s">
        <v>1714</v>
      </c>
      <c r="K31" s="242">
        <v>6</v>
      </c>
    </row>
    <row r="32" spans="2:11" ht="38" customHeight="1" x14ac:dyDescent="0.2">
      <c r="B32" s="242" t="s">
        <v>1715</v>
      </c>
      <c r="C32" s="243" t="s">
        <v>1716</v>
      </c>
      <c r="D32" s="243" t="s">
        <v>1717</v>
      </c>
      <c r="E32" s="242">
        <v>5</v>
      </c>
      <c r="F32" s="242">
        <v>2</v>
      </c>
      <c r="G32" s="246">
        <v>10</v>
      </c>
      <c r="H32" s="247" t="s">
        <v>1622</v>
      </c>
      <c r="I32" s="243" t="s">
        <v>1718</v>
      </c>
      <c r="J32" s="243" t="s">
        <v>1719</v>
      </c>
      <c r="K32" s="242">
        <v>6</v>
      </c>
    </row>
    <row r="33" spans="2:11" ht="38" customHeight="1" x14ac:dyDescent="0.2">
      <c r="B33" s="242" t="s">
        <v>1720</v>
      </c>
      <c r="C33" s="243" t="s">
        <v>1716</v>
      </c>
      <c r="D33" s="243" t="s">
        <v>1721</v>
      </c>
      <c r="E33" s="242">
        <v>3</v>
      </c>
      <c r="F33" s="242">
        <v>4</v>
      </c>
      <c r="G33" s="246">
        <v>12</v>
      </c>
      <c r="H33" s="247" t="s">
        <v>1622</v>
      </c>
      <c r="I33" s="243" t="s">
        <v>1722</v>
      </c>
      <c r="J33" s="243" t="s">
        <v>1544</v>
      </c>
      <c r="K33" s="242">
        <v>6</v>
      </c>
    </row>
    <row r="34" spans="2:11" ht="38" customHeight="1" x14ac:dyDescent="0.2">
      <c r="B34" s="242" t="s">
        <v>1723</v>
      </c>
      <c r="C34" s="243" t="s">
        <v>1716</v>
      </c>
      <c r="D34" s="243" t="s">
        <v>1724</v>
      </c>
      <c r="E34" s="242">
        <v>4</v>
      </c>
      <c r="F34" s="242">
        <v>2</v>
      </c>
      <c r="G34" s="248">
        <v>8</v>
      </c>
      <c r="H34" s="249" t="s">
        <v>1635</v>
      </c>
      <c r="I34" s="243" t="s">
        <v>1725</v>
      </c>
      <c r="J34" s="243" t="s">
        <v>1726</v>
      </c>
      <c r="K34" s="242">
        <v>4</v>
      </c>
    </row>
    <row r="35" spans="2:11" ht="38" customHeight="1" x14ac:dyDescent="0.2">
      <c r="B35" s="242" t="s">
        <v>1727</v>
      </c>
      <c r="C35" s="243" t="s">
        <v>1716</v>
      </c>
      <c r="D35" s="243" t="s">
        <v>1728</v>
      </c>
      <c r="E35" s="242">
        <v>4</v>
      </c>
      <c r="F35" s="242">
        <v>3</v>
      </c>
      <c r="G35" s="246">
        <v>12</v>
      </c>
      <c r="H35" s="247" t="s">
        <v>1622</v>
      </c>
      <c r="I35" s="243" t="s">
        <v>1729</v>
      </c>
      <c r="J35" s="243" t="s">
        <v>1730</v>
      </c>
      <c r="K35" s="242">
        <v>6</v>
      </c>
    </row>
    <row r="36" spans="2:11" ht="38" customHeight="1" x14ac:dyDescent="0.2">
      <c r="B36" s="242" t="s">
        <v>1731</v>
      </c>
      <c r="C36" s="243" t="s">
        <v>1716</v>
      </c>
      <c r="D36" s="243" t="s">
        <v>1732</v>
      </c>
      <c r="E36" s="242">
        <v>3</v>
      </c>
      <c r="F36" s="242">
        <v>3</v>
      </c>
      <c r="G36" s="248">
        <v>9</v>
      </c>
      <c r="H36" s="249" t="s">
        <v>1635</v>
      </c>
      <c r="I36" s="243" t="s">
        <v>1733</v>
      </c>
      <c r="J36" s="243" t="s">
        <v>1734</v>
      </c>
      <c r="K36" s="242">
        <v>6</v>
      </c>
    </row>
    <row r="37" spans="2:11" ht="38" customHeight="1" x14ac:dyDescent="0.2">
      <c r="B37" s="242" t="s">
        <v>1735</v>
      </c>
      <c r="C37" s="243" t="s">
        <v>1716</v>
      </c>
      <c r="D37" s="243" t="s">
        <v>1736</v>
      </c>
      <c r="E37" s="242">
        <v>5</v>
      </c>
      <c r="F37" s="242">
        <v>3</v>
      </c>
      <c r="G37" s="244">
        <v>15</v>
      </c>
      <c r="H37" s="245" t="s">
        <v>1078</v>
      </c>
      <c r="I37" s="243" t="s">
        <v>1737</v>
      </c>
      <c r="J37" s="243" t="s">
        <v>1738</v>
      </c>
      <c r="K37" s="242">
        <v>12</v>
      </c>
    </row>
    <row r="40" spans="2:11" ht="16" x14ac:dyDescent="0.2">
      <c r="B40" s="240" t="s">
        <v>1739</v>
      </c>
    </row>
    <row r="42" spans="2:11" x14ac:dyDescent="0.2">
      <c r="B42" s="252" t="s">
        <v>1740</v>
      </c>
      <c r="C42" s="253" t="s">
        <v>1741</v>
      </c>
      <c r="D42" s="253" t="s">
        <v>1742</v>
      </c>
      <c r="E42" s="253" t="s">
        <v>1743</v>
      </c>
      <c r="F42" s="253" t="s">
        <v>1744</v>
      </c>
      <c r="G42" s="253" t="s">
        <v>1745</v>
      </c>
    </row>
    <row r="43" spans="2:11" ht="42" customHeight="1" x14ac:dyDescent="0.2">
      <c r="B43" s="253" t="s">
        <v>1746</v>
      </c>
      <c r="C43" s="254" t="s">
        <v>1195</v>
      </c>
      <c r="D43" s="255" t="s">
        <v>1747</v>
      </c>
      <c r="E43" s="256" t="s">
        <v>1748</v>
      </c>
      <c r="F43" s="257" t="s">
        <v>1749</v>
      </c>
      <c r="G43" s="257" t="s">
        <v>1750</v>
      </c>
    </row>
    <row r="44" spans="2:11" ht="42" customHeight="1" x14ac:dyDescent="0.2">
      <c r="B44" s="253" t="s">
        <v>1751</v>
      </c>
      <c r="C44" s="258" t="s">
        <v>275</v>
      </c>
      <c r="D44" s="259" t="s">
        <v>1752</v>
      </c>
      <c r="E44" s="255" t="s">
        <v>1753</v>
      </c>
      <c r="F44" s="256" t="s">
        <v>1754</v>
      </c>
      <c r="G44" s="260" t="s">
        <v>1755</v>
      </c>
    </row>
    <row r="45" spans="2:11" ht="42" customHeight="1" x14ac:dyDescent="0.2">
      <c r="B45" s="253" t="s">
        <v>1756</v>
      </c>
      <c r="C45" s="258" t="s">
        <v>269</v>
      </c>
      <c r="D45" s="254" t="s">
        <v>1197</v>
      </c>
      <c r="E45" s="259" t="s">
        <v>1757</v>
      </c>
      <c r="F45" s="255" t="s">
        <v>1758</v>
      </c>
      <c r="G45" s="256" t="s">
        <v>1759</v>
      </c>
    </row>
    <row r="46" spans="2:11" ht="42" customHeight="1" x14ac:dyDescent="0.2">
      <c r="B46" s="253" t="s">
        <v>1760</v>
      </c>
      <c r="C46" s="258" t="s">
        <v>266</v>
      </c>
      <c r="D46" s="258" t="s">
        <v>275</v>
      </c>
      <c r="E46" s="259" t="s">
        <v>1761</v>
      </c>
      <c r="F46" s="254" t="s">
        <v>1201</v>
      </c>
      <c r="G46" s="261" t="s">
        <v>1204</v>
      </c>
    </row>
    <row r="47" spans="2:11" ht="42" customHeight="1" x14ac:dyDescent="0.2">
      <c r="B47" s="253" t="s">
        <v>1762</v>
      </c>
      <c r="C47" s="258" t="s">
        <v>263</v>
      </c>
      <c r="D47" s="258" t="s">
        <v>266</v>
      </c>
      <c r="E47" s="258" t="s">
        <v>269</v>
      </c>
      <c r="F47" s="258" t="s">
        <v>275</v>
      </c>
      <c r="G47" s="254" t="s">
        <v>1195</v>
      </c>
    </row>
    <row r="49" spans="2:11" x14ac:dyDescent="0.2">
      <c r="B49" s="262" t="s">
        <v>1763</v>
      </c>
      <c r="C49" s="263" t="s">
        <v>1764</v>
      </c>
      <c r="D49" s="264" t="s">
        <v>1765</v>
      </c>
      <c r="E49" s="265" t="s">
        <v>1766</v>
      </c>
      <c r="F49" s="266" t="s">
        <v>1767</v>
      </c>
      <c r="G49" s="267" t="s">
        <v>1768</v>
      </c>
    </row>
    <row r="51" spans="2:11" ht="16" x14ac:dyDescent="0.2">
      <c r="B51" s="240" t="s">
        <v>1769</v>
      </c>
    </row>
    <row r="53" spans="2:11" ht="30" x14ac:dyDescent="0.2">
      <c r="B53" s="241" t="s">
        <v>61</v>
      </c>
      <c r="C53" s="241" t="s">
        <v>1607</v>
      </c>
      <c r="D53" s="241" t="s">
        <v>1770</v>
      </c>
      <c r="E53" s="241" t="s">
        <v>1611</v>
      </c>
      <c r="F53" s="241" t="s">
        <v>1548</v>
      </c>
      <c r="G53" s="241" t="s">
        <v>1771</v>
      </c>
      <c r="H53" s="241" t="s">
        <v>1612</v>
      </c>
      <c r="I53" s="241" t="s">
        <v>1772</v>
      </c>
      <c r="J53" s="241" t="s">
        <v>1613</v>
      </c>
      <c r="K53" s="241" t="s">
        <v>1614</v>
      </c>
    </row>
    <row r="54" spans="2:11" ht="90" customHeight="1" x14ac:dyDescent="0.2">
      <c r="B54" s="268">
        <v>1</v>
      </c>
      <c r="C54" s="268" t="s">
        <v>1682</v>
      </c>
      <c r="D54" s="269" t="s">
        <v>1773</v>
      </c>
      <c r="E54" s="270">
        <v>12</v>
      </c>
      <c r="F54" s="459" t="s">
        <v>1774</v>
      </c>
      <c r="G54" s="269" t="s">
        <v>1775</v>
      </c>
      <c r="H54" s="269" t="s">
        <v>1776</v>
      </c>
      <c r="I54" s="269" t="s">
        <v>1777</v>
      </c>
      <c r="J54" s="269" t="s">
        <v>1778</v>
      </c>
      <c r="K54" s="268">
        <v>8</v>
      </c>
    </row>
    <row r="55" spans="2:11" ht="90" customHeight="1" x14ac:dyDescent="0.2">
      <c r="B55" s="268">
        <v>2</v>
      </c>
      <c r="C55" s="268" t="s">
        <v>1642</v>
      </c>
      <c r="D55" s="269" t="s">
        <v>1779</v>
      </c>
      <c r="E55" s="271">
        <v>16</v>
      </c>
      <c r="F55" s="269" t="s">
        <v>1780</v>
      </c>
      <c r="G55" s="269" t="s">
        <v>1781</v>
      </c>
      <c r="H55" s="269" t="s">
        <v>1782</v>
      </c>
      <c r="I55" s="269" t="s">
        <v>1783</v>
      </c>
      <c r="J55" s="269" t="s">
        <v>1646</v>
      </c>
      <c r="K55" s="268">
        <v>8</v>
      </c>
    </row>
    <row r="56" spans="2:11" ht="90" customHeight="1" x14ac:dyDescent="0.2">
      <c r="B56" s="268">
        <v>3</v>
      </c>
      <c r="C56" s="268" t="s">
        <v>1615</v>
      </c>
      <c r="D56" s="269" t="s">
        <v>1784</v>
      </c>
      <c r="E56" s="271">
        <v>15</v>
      </c>
      <c r="F56" s="269" t="s">
        <v>1785</v>
      </c>
      <c r="G56" s="269" t="s">
        <v>1786</v>
      </c>
      <c r="H56" s="269" t="s">
        <v>1787</v>
      </c>
      <c r="I56" s="269" t="s">
        <v>1788</v>
      </c>
      <c r="J56" s="269" t="s">
        <v>1789</v>
      </c>
      <c r="K56" s="268">
        <v>12</v>
      </c>
    </row>
    <row r="57" spans="2:11" ht="90" customHeight="1" x14ac:dyDescent="0.2">
      <c r="B57" s="268">
        <v>4</v>
      </c>
      <c r="C57" s="268" t="s">
        <v>1666</v>
      </c>
      <c r="D57" s="269" t="s">
        <v>1790</v>
      </c>
      <c r="E57" s="271">
        <v>15</v>
      </c>
      <c r="F57" s="269" t="s">
        <v>1791</v>
      </c>
      <c r="G57" s="269" t="s">
        <v>1792</v>
      </c>
      <c r="H57" s="269" t="s">
        <v>1793</v>
      </c>
      <c r="I57" s="269" t="s">
        <v>1794</v>
      </c>
      <c r="J57" s="269" t="s">
        <v>1670</v>
      </c>
      <c r="K57" s="268">
        <v>10</v>
      </c>
    </row>
    <row r="58" spans="2:11" ht="90" customHeight="1" x14ac:dyDescent="0.2">
      <c r="B58" s="268">
        <v>5</v>
      </c>
      <c r="C58" s="268" t="s">
        <v>1735</v>
      </c>
      <c r="D58" s="269" t="s">
        <v>1795</v>
      </c>
      <c r="E58" s="271">
        <v>15</v>
      </c>
      <c r="F58" s="269" t="s">
        <v>1796</v>
      </c>
      <c r="G58" s="269" t="s">
        <v>1797</v>
      </c>
      <c r="H58" s="269" t="s">
        <v>1798</v>
      </c>
      <c r="I58" s="269" t="s">
        <v>1799</v>
      </c>
      <c r="J58" s="269" t="s">
        <v>1738</v>
      </c>
      <c r="K58" s="268">
        <v>12</v>
      </c>
    </row>
    <row r="59" spans="2:11" ht="90" customHeight="1" x14ac:dyDescent="0.2">
      <c r="B59" s="268">
        <v>6</v>
      </c>
      <c r="C59" s="268" t="s">
        <v>1629</v>
      </c>
      <c r="D59" s="269" t="s">
        <v>1800</v>
      </c>
      <c r="E59" s="271">
        <v>15</v>
      </c>
      <c r="F59" s="269" t="s">
        <v>1801</v>
      </c>
      <c r="G59" s="269" t="s">
        <v>1802</v>
      </c>
      <c r="H59" s="269" t="s">
        <v>1803</v>
      </c>
      <c r="I59" s="269" t="s">
        <v>1804</v>
      </c>
      <c r="J59" s="269" t="s">
        <v>1805</v>
      </c>
      <c r="K59" s="268">
        <v>9</v>
      </c>
    </row>
    <row r="60" spans="2:11" ht="90" customHeight="1" x14ac:dyDescent="0.2">
      <c r="B60" s="268">
        <v>7</v>
      </c>
      <c r="C60" s="268" t="s">
        <v>1620</v>
      </c>
      <c r="D60" s="269" t="s">
        <v>1806</v>
      </c>
      <c r="E60" s="272">
        <v>12</v>
      </c>
      <c r="F60" s="269" t="s">
        <v>1807</v>
      </c>
      <c r="G60" s="269" t="s">
        <v>1808</v>
      </c>
      <c r="H60" s="269" t="s">
        <v>1809</v>
      </c>
      <c r="I60" s="269" t="s">
        <v>1810</v>
      </c>
      <c r="J60" s="269" t="s">
        <v>1811</v>
      </c>
      <c r="K60" s="268">
        <v>8</v>
      </c>
    </row>
    <row r="61" spans="2:11" ht="90" customHeight="1" x14ac:dyDescent="0.2">
      <c r="B61" s="268">
        <v>8</v>
      </c>
      <c r="C61" s="268" t="s">
        <v>1707</v>
      </c>
      <c r="D61" s="269" t="s">
        <v>1812</v>
      </c>
      <c r="E61" s="272">
        <v>12</v>
      </c>
      <c r="F61" s="269" t="s">
        <v>1813</v>
      </c>
      <c r="G61" s="269" t="s">
        <v>1814</v>
      </c>
      <c r="H61" s="269" t="s">
        <v>1815</v>
      </c>
      <c r="I61" s="269" t="s">
        <v>1816</v>
      </c>
      <c r="J61" s="269" t="s">
        <v>1710</v>
      </c>
      <c r="K61" s="268">
        <v>8</v>
      </c>
    </row>
    <row r="62" spans="2:11" ht="90" customHeight="1" x14ac:dyDescent="0.2">
      <c r="B62" s="268">
        <v>9</v>
      </c>
      <c r="C62" s="268" t="s">
        <v>1727</v>
      </c>
      <c r="D62" s="269" t="s">
        <v>1817</v>
      </c>
      <c r="E62" s="272">
        <v>12</v>
      </c>
      <c r="F62" s="269" t="s">
        <v>1818</v>
      </c>
      <c r="G62" s="269" t="s">
        <v>1819</v>
      </c>
      <c r="H62" s="269" t="s">
        <v>1820</v>
      </c>
      <c r="I62" s="269" t="s">
        <v>1821</v>
      </c>
      <c r="J62" s="269" t="s">
        <v>1730</v>
      </c>
      <c r="K62" s="268">
        <v>6</v>
      </c>
    </row>
    <row r="63" spans="2:11" ht="90" customHeight="1" x14ac:dyDescent="0.2">
      <c r="B63" s="268">
        <v>10</v>
      </c>
      <c r="C63" s="268" t="s">
        <v>1647</v>
      </c>
      <c r="D63" s="269" t="s">
        <v>1822</v>
      </c>
      <c r="E63" s="272">
        <v>12</v>
      </c>
      <c r="F63" s="269" t="s">
        <v>1823</v>
      </c>
      <c r="G63" s="269" t="s">
        <v>1824</v>
      </c>
      <c r="H63" s="269" t="s">
        <v>1825</v>
      </c>
      <c r="I63" s="269" t="s">
        <v>1826</v>
      </c>
      <c r="J63" s="269" t="s">
        <v>1827</v>
      </c>
      <c r="K63" s="268">
        <v>6</v>
      </c>
    </row>
    <row r="66" spans="2:7" ht="16" x14ac:dyDescent="0.2">
      <c r="B66" s="240" t="s">
        <v>1828</v>
      </c>
    </row>
    <row r="68" spans="2:7" x14ac:dyDescent="0.2">
      <c r="B68" s="253" t="s">
        <v>1829</v>
      </c>
      <c r="C68" s="253" t="s">
        <v>1830</v>
      </c>
      <c r="D68" s="253" t="s">
        <v>1831</v>
      </c>
      <c r="E68" s="253" t="s">
        <v>1832</v>
      </c>
      <c r="F68" s="253" t="s">
        <v>1833</v>
      </c>
      <c r="G68" s="253" t="s">
        <v>1834</v>
      </c>
    </row>
    <row r="69" spans="2:7" x14ac:dyDescent="0.2">
      <c r="B69" s="273" t="s">
        <v>1616</v>
      </c>
      <c r="C69" s="274">
        <v>6</v>
      </c>
      <c r="D69" s="274">
        <v>74</v>
      </c>
      <c r="E69" s="274">
        <v>12.3</v>
      </c>
      <c r="F69" s="274">
        <v>15</v>
      </c>
      <c r="G69" s="274" t="s">
        <v>1835</v>
      </c>
    </row>
    <row r="70" spans="2:7" x14ac:dyDescent="0.2">
      <c r="B70" s="273" t="s">
        <v>1643</v>
      </c>
      <c r="C70" s="274">
        <v>6</v>
      </c>
      <c r="D70" s="274">
        <v>66</v>
      </c>
      <c r="E70" s="274">
        <v>11</v>
      </c>
      <c r="F70" s="274">
        <v>16</v>
      </c>
      <c r="G70" s="274" t="s">
        <v>1836</v>
      </c>
    </row>
    <row r="71" spans="2:7" x14ac:dyDescent="0.2">
      <c r="B71" s="273" t="s">
        <v>1667</v>
      </c>
      <c r="C71" s="274">
        <v>6</v>
      </c>
      <c r="D71" s="274">
        <v>73</v>
      </c>
      <c r="E71" s="274">
        <v>12.2</v>
      </c>
      <c r="F71" s="274">
        <v>20</v>
      </c>
      <c r="G71" s="274" t="s">
        <v>1837</v>
      </c>
    </row>
    <row r="72" spans="2:7" x14ac:dyDescent="0.2">
      <c r="B72" s="273" t="s">
        <v>1691</v>
      </c>
      <c r="C72" s="274">
        <v>6</v>
      </c>
      <c r="D72" s="274">
        <v>57</v>
      </c>
      <c r="E72" s="274">
        <v>9.5</v>
      </c>
      <c r="F72" s="274">
        <v>12</v>
      </c>
      <c r="G72" s="274" t="s">
        <v>1838</v>
      </c>
    </row>
    <row r="73" spans="2:7" x14ac:dyDescent="0.2">
      <c r="B73" s="273" t="s">
        <v>1716</v>
      </c>
      <c r="C73" s="274">
        <v>6</v>
      </c>
      <c r="D73" s="274">
        <v>66</v>
      </c>
      <c r="E73" s="274">
        <v>11</v>
      </c>
      <c r="F73" s="274">
        <v>15</v>
      </c>
      <c r="G73" s="274" t="s">
        <v>1836</v>
      </c>
    </row>
    <row r="74" spans="2:7" x14ac:dyDescent="0.2">
      <c r="B74" s="275" t="s">
        <v>1346</v>
      </c>
      <c r="C74" s="276">
        <v>30</v>
      </c>
      <c r="D74" s="276">
        <v>336</v>
      </c>
      <c r="E74" s="276">
        <v>11.2</v>
      </c>
      <c r="F74" s="276">
        <v>20</v>
      </c>
      <c r="G74" s="276" t="s">
        <v>1839</v>
      </c>
    </row>
    <row r="76" spans="2:7" x14ac:dyDescent="0.2">
      <c r="B76" s="277" t="s">
        <v>1840</v>
      </c>
    </row>
    <row r="77" spans="2:7" x14ac:dyDescent="0.2">
      <c r="B77" s="278" t="s">
        <v>1074</v>
      </c>
      <c r="C77" s="263">
        <v>0</v>
      </c>
      <c r="D77" s="263" t="s">
        <v>399</v>
      </c>
    </row>
    <row r="78" spans="2:7" x14ac:dyDescent="0.2">
      <c r="B78" s="279" t="s">
        <v>1635</v>
      </c>
      <c r="C78" s="264">
        <v>11</v>
      </c>
      <c r="D78" s="264" t="s">
        <v>1841</v>
      </c>
    </row>
    <row r="79" spans="2:7" x14ac:dyDescent="0.2">
      <c r="B79" s="280" t="s">
        <v>1622</v>
      </c>
      <c r="C79" s="265">
        <v>13</v>
      </c>
      <c r="D79" s="265" t="s">
        <v>1842</v>
      </c>
    </row>
    <row r="80" spans="2:7" x14ac:dyDescent="0.2">
      <c r="B80" s="281" t="s">
        <v>1078</v>
      </c>
      <c r="C80" s="266">
        <v>5</v>
      </c>
      <c r="D80" s="266" t="s">
        <v>1843</v>
      </c>
    </row>
    <row r="81" spans="2:11" x14ac:dyDescent="0.2">
      <c r="B81" s="282" t="s">
        <v>1844</v>
      </c>
      <c r="C81" s="267">
        <v>1</v>
      </c>
      <c r="D81" s="267" t="s">
        <v>1845</v>
      </c>
    </row>
    <row r="84" spans="2:11" ht="16" x14ac:dyDescent="0.2">
      <c r="B84" s="240" t="s">
        <v>1846</v>
      </c>
    </row>
    <row r="85" spans="2:11" ht="52" customHeight="1" x14ac:dyDescent="0.2">
      <c r="B85" s="593" t="s">
        <v>1847</v>
      </c>
      <c r="C85" s="468"/>
      <c r="D85" s="468"/>
      <c r="E85" s="468"/>
      <c r="F85" s="468"/>
      <c r="G85" s="468"/>
      <c r="H85" s="468"/>
      <c r="I85" s="468"/>
      <c r="J85" s="468"/>
      <c r="K85" s="468"/>
    </row>
    <row r="86" spans="2:11" ht="22" customHeight="1" x14ac:dyDescent="0.2">
      <c r="B86" s="593" t="s">
        <v>1848</v>
      </c>
      <c r="C86" s="468"/>
      <c r="D86" s="468"/>
      <c r="E86" s="468"/>
      <c r="F86" s="468"/>
      <c r="G86" s="468"/>
      <c r="H86" s="468"/>
      <c r="I86" s="468"/>
      <c r="J86" s="468"/>
      <c r="K86" s="468"/>
    </row>
    <row r="87" spans="2:11" ht="22" customHeight="1" x14ac:dyDescent="0.2">
      <c r="B87" s="593" t="s">
        <v>1849</v>
      </c>
      <c r="C87" s="468"/>
      <c r="D87" s="468"/>
      <c r="E87" s="468"/>
      <c r="F87" s="468"/>
      <c r="G87" s="468"/>
      <c r="H87" s="468"/>
      <c r="I87" s="468"/>
      <c r="J87" s="468"/>
      <c r="K87" s="468"/>
    </row>
    <row r="88" spans="2:11" ht="22" customHeight="1" x14ac:dyDescent="0.2">
      <c r="B88" s="593" t="s">
        <v>1850</v>
      </c>
      <c r="C88" s="468"/>
      <c r="D88" s="468"/>
      <c r="E88" s="468"/>
      <c r="F88" s="468"/>
      <c r="G88" s="468"/>
      <c r="H88" s="468"/>
      <c r="I88" s="468"/>
      <c r="J88" s="468"/>
      <c r="K88" s="468"/>
    </row>
    <row r="89" spans="2:11" ht="22" customHeight="1" x14ac:dyDescent="0.2">
      <c r="B89" s="593" t="s">
        <v>1851</v>
      </c>
      <c r="C89" s="468"/>
      <c r="D89" s="468"/>
      <c r="E89" s="468"/>
      <c r="F89" s="468"/>
      <c r="G89" s="468"/>
      <c r="H89" s="468"/>
      <c r="I89" s="468"/>
      <c r="J89" s="468"/>
      <c r="K89" s="468"/>
    </row>
    <row r="90" spans="2:11" ht="22" customHeight="1" x14ac:dyDescent="0.2">
      <c r="B90" s="593" t="s">
        <v>1852</v>
      </c>
      <c r="C90" s="468"/>
      <c r="D90" s="468"/>
      <c r="E90" s="468"/>
      <c r="F90" s="468"/>
      <c r="G90" s="468"/>
      <c r="H90" s="468"/>
      <c r="I90" s="468"/>
      <c r="J90" s="468"/>
      <c r="K90" s="468"/>
    </row>
    <row r="91" spans="2:11" ht="22" customHeight="1" x14ac:dyDescent="0.2">
      <c r="B91" s="593" t="s">
        <v>1853</v>
      </c>
      <c r="C91" s="468"/>
      <c r="D91" s="468"/>
      <c r="E91" s="468"/>
      <c r="F91" s="468"/>
      <c r="G91" s="468"/>
      <c r="H91" s="468"/>
      <c r="I91" s="468"/>
      <c r="J91" s="468"/>
      <c r="K91" s="468"/>
    </row>
    <row r="94" spans="2:11" x14ac:dyDescent="0.2">
      <c r="B94" s="592" t="s">
        <v>1854</v>
      </c>
      <c r="C94" s="468"/>
      <c r="D94" s="468"/>
      <c r="E94" s="468"/>
      <c r="F94" s="468"/>
      <c r="G94" s="468"/>
      <c r="H94" s="468"/>
      <c r="I94" s="468"/>
      <c r="J94" s="468"/>
      <c r="K94" s="468"/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paperSize="8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2:P65"/>
  <sheetViews>
    <sheetView workbookViewId="0">
      <pane ySplit="8" topLeftCell="A37" activePane="bottomLeft" state="frozen"/>
      <selection pane="bottomLeft"/>
    </sheetView>
  </sheetViews>
  <sheetFormatPr baseColWidth="10" defaultColWidth="8.83203125" defaultRowHeight="15" x14ac:dyDescent="0.2"/>
  <cols>
    <col min="2" max="2" width="37.1640625" customWidth="1"/>
    <col min="3" max="3" width="28" customWidth="1"/>
    <col min="4" max="4" width="70" customWidth="1"/>
    <col min="5" max="5" width="12" customWidth="1"/>
    <col min="6" max="7" width="30" customWidth="1"/>
    <col min="8" max="15" width="8" customWidth="1"/>
    <col min="16" max="16" width="11" customWidth="1"/>
  </cols>
  <sheetData>
    <row r="2" spans="2:16" ht="21" x14ac:dyDescent="0.25">
      <c r="B2" s="594" t="s">
        <v>1855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</row>
    <row r="4" spans="2:16" x14ac:dyDescent="0.2">
      <c r="B4" s="551" t="s">
        <v>1856</v>
      </c>
      <c r="C4" s="468"/>
      <c r="D4" s="468"/>
      <c r="E4" s="468"/>
      <c r="F4" s="468"/>
      <c r="G4" s="468"/>
      <c r="H4" s="468"/>
      <c r="I4" s="468"/>
      <c r="J4" s="468"/>
      <c r="K4" s="468"/>
      <c r="L4" s="468"/>
    </row>
    <row r="6" spans="2:16" ht="16" x14ac:dyDescent="0.2">
      <c r="B6" s="240" t="s">
        <v>1857</v>
      </c>
    </row>
    <row r="8" spans="2:16" ht="30" x14ac:dyDescent="0.2">
      <c r="B8" s="241" t="s">
        <v>1258</v>
      </c>
      <c r="C8" s="241">
        <v>2020</v>
      </c>
      <c r="D8" s="241">
        <v>2021</v>
      </c>
      <c r="E8" s="241">
        <v>2022</v>
      </c>
      <c r="F8" s="241">
        <v>2023</v>
      </c>
      <c r="G8" s="241">
        <v>2024</v>
      </c>
      <c r="H8" s="241">
        <v>2025</v>
      </c>
      <c r="I8" s="241">
        <v>2026</v>
      </c>
      <c r="J8" s="241">
        <v>2027</v>
      </c>
      <c r="K8" s="241">
        <v>2028</v>
      </c>
      <c r="L8" s="241">
        <v>2029</v>
      </c>
      <c r="M8" s="241">
        <v>2030</v>
      </c>
      <c r="N8" s="241">
        <v>2031</v>
      </c>
      <c r="O8" s="241">
        <v>2032</v>
      </c>
      <c r="P8" s="241" t="s">
        <v>1858</v>
      </c>
    </row>
    <row r="9" spans="2:16" ht="65" x14ac:dyDescent="0.2">
      <c r="B9" s="283" t="s">
        <v>1859</v>
      </c>
      <c r="C9" s="284">
        <v>13.1</v>
      </c>
      <c r="D9" s="284">
        <v>40.799999999999997</v>
      </c>
      <c r="E9" s="284">
        <v>24</v>
      </c>
      <c r="F9" s="284">
        <v>41.5</v>
      </c>
      <c r="G9" s="284">
        <v>42</v>
      </c>
      <c r="H9" s="284">
        <v>44</v>
      </c>
      <c r="I9" s="284">
        <v>48</v>
      </c>
      <c r="J9" s="284">
        <v>52</v>
      </c>
      <c r="K9" s="284">
        <v>56</v>
      </c>
      <c r="L9" s="284">
        <v>60</v>
      </c>
      <c r="M9" s="284">
        <v>64</v>
      </c>
      <c r="N9" s="284">
        <v>68</v>
      </c>
      <c r="O9" s="284">
        <v>72</v>
      </c>
      <c r="P9" s="285">
        <v>6.991319393366302E-2</v>
      </c>
    </row>
    <row r="10" spans="2:16" ht="104" x14ac:dyDescent="0.2">
      <c r="B10" s="286" t="s">
        <v>1860</v>
      </c>
      <c r="C10" s="284">
        <v>24.5</v>
      </c>
      <c r="D10" s="284">
        <v>38.299999999999997</v>
      </c>
      <c r="E10" s="284">
        <v>55</v>
      </c>
      <c r="F10" s="284">
        <v>77</v>
      </c>
      <c r="G10" s="284">
        <v>95</v>
      </c>
      <c r="H10" s="284">
        <v>110</v>
      </c>
      <c r="I10" s="284">
        <v>125</v>
      </c>
      <c r="J10" s="284">
        <v>140</v>
      </c>
      <c r="K10" s="284">
        <v>155</v>
      </c>
      <c r="L10" s="284">
        <v>168</v>
      </c>
      <c r="M10" s="284">
        <v>180</v>
      </c>
      <c r="N10" s="284">
        <v>192</v>
      </c>
      <c r="O10" s="284">
        <v>205</v>
      </c>
      <c r="P10" s="285">
        <v>8.5943694670250093E-2</v>
      </c>
    </row>
    <row r="11" spans="2:16" ht="91" x14ac:dyDescent="0.2">
      <c r="B11" s="287" t="s">
        <v>1861</v>
      </c>
      <c r="C11" s="284">
        <v>12</v>
      </c>
      <c r="D11" s="284">
        <v>17.5</v>
      </c>
      <c r="E11" s="284">
        <v>22</v>
      </c>
      <c r="F11" s="284">
        <v>29</v>
      </c>
      <c r="G11" s="284">
        <v>35</v>
      </c>
      <c r="H11" s="284">
        <v>41</v>
      </c>
      <c r="I11" s="284">
        <v>47</v>
      </c>
      <c r="J11" s="284">
        <v>53</v>
      </c>
      <c r="K11" s="284">
        <v>59</v>
      </c>
      <c r="L11" s="284">
        <v>64</v>
      </c>
      <c r="M11" s="284">
        <v>69</v>
      </c>
      <c r="N11" s="284">
        <v>74</v>
      </c>
      <c r="O11" s="284">
        <v>79</v>
      </c>
      <c r="P11" s="285">
        <v>9.0405932220272822E-2</v>
      </c>
    </row>
    <row r="12" spans="2:16" ht="104" x14ac:dyDescent="0.2">
      <c r="B12" s="288" t="s">
        <v>1862</v>
      </c>
      <c r="C12" s="284">
        <v>8.5</v>
      </c>
      <c r="D12" s="284">
        <v>9</v>
      </c>
      <c r="E12" s="284">
        <v>9.5</v>
      </c>
      <c r="F12" s="284">
        <v>10.5</v>
      </c>
      <c r="G12" s="284">
        <v>11</v>
      </c>
      <c r="H12" s="284">
        <v>11.5</v>
      </c>
      <c r="I12" s="284">
        <v>12</v>
      </c>
      <c r="J12" s="284">
        <v>12.5</v>
      </c>
      <c r="K12" s="284">
        <v>13</v>
      </c>
      <c r="L12" s="284">
        <v>13.5</v>
      </c>
      <c r="M12" s="284">
        <v>14</v>
      </c>
      <c r="N12" s="284">
        <v>14.5</v>
      </c>
      <c r="O12" s="284">
        <v>15</v>
      </c>
      <c r="P12" s="285">
        <v>3.7890815556213431E-2</v>
      </c>
    </row>
    <row r="13" spans="2:16" ht="104" x14ac:dyDescent="0.2">
      <c r="B13" s="289" t="s">
        <v>1863</v>
      </c>
      <c r="C13" s="284">
        <v>2</v>
      </c>
      <c r="D13" s="284">
        <v>2.2999999999999998</v>
      </c>
      <c r="E13" s="284">
        <v>2.8</v>
      </c>
      <c r="F13" s="284">
        <v>3.5</v>
      </c>
      <c r="G13" s="284">
        <v>4</v>
      </c>
      <c r="H13" s="284">
        <v>4.5999999999999996</v>
      </c>
      <c r="I13" s="284">
        <v>5.3</v>
      </c>
      <c r="J13" s="284">
        <v>6</v>
      </c>
      <c r="K13" s="284">
        <v>6.8</v>
      </c>
      <c r="L13" s="284">
        <v>7.5</v>
      </c>
      <c r="M13" s="284">
        <v>8.3000000000000007</v>
      </c>
      <c r="N13" s="284">
        <v>9.1</v>
      </c>
      <c r="O13" s="284">
        <v>10</v>
      </c>
      <c r="P13" s="285">
        <v>0.1116140357280022</v>
      </c>
    </row>
    <row r="14" spans="2:16" ht="90" x14ac:dyDescent="0.2">
      <c r="B14" s="290" t="s">
        <v>1864</v>
      </c>
      <c r="C14" s="291">
        <v>60.1</v>
      </c>
      <c r="D14" s="291">
        <v>107.9</v>
      </c>
      <c r="E14" s="291">
        <v>113.3</v>
      </c>
      <c r="F14" s="291">
        <v>161.5</v>
      </c>
      <c r="G14" s="291">
        <v>187</v>
      </c>
      <c r="H14" s="291">
        <v>211.1</v>
      </c>
      <c r="I14" s="291">
        <v>237.3</v>
      </c>
      <c r="J14" s="291">
        <v>263.5</v>
      </c>
      <c r="K14" s="291">
        <v>289.8</v>
      </c>
      <c r="L14" s="291">
        <v>313</v>
      </c>
      <c r="M14" s="291">
        <v>335.3</v>
      </c>
      <c r="N14" s="291">
        <v>357.6</v>
      </c>
      <c r="O14" s="291">
        <v>381</v>
      </c>
      <c r="P14" s="292">
        <v>8.210949116095656E-2</v>
      </c>
    </row>
    <row r="16" spans="2:16" ht="16" x14ac:dyDescent="0.2">
      <c r="B16" s="240" t="s">
        <v>1865</v>
      </c>
    </row>
    <row r="18" spans="2:6" ht="30" x14ac:dyDescent="0.2">
      <c r="B18" s="241" t="s">
        <v>1258</v>
      </c>
      <c r="C18" s="241" t="s">
        <v>1866</v>
      </c>
      <c r="D18" s="241" t="s">
        <v>1867</v>
      </c>
      <c r="E18" s="241" t="s">
        <v>1868</v>
      </c>
      <c r="F18" s="241" t="s">
        <v>1869</v>
      </c>
    </row>
    <row r="19" spans="2:6" ht="65" x14ac:dyDescent="0.2">
      <c r="B19" s="293" t="s">
        <v>1859</v>
      </c>
      <c r="C19" s="294">
        <v>56</v>
      </c>
      <c r="D19" s="295">
        <v>0.19323671497584541</v>
      </c>
      <c r="E19" s="295">
        <v>6.991319393366302E-2</v>
      </c>
      <c r="F19" s="293" t="s">
        <v>1870</v>
      </c>
    </row>
    <row r="20" spans="2:6" ht="104" x14ac:dyDescent="0.2">
      <c r="B20" s="296" t="s">
        <v>1860</v>
      </c>
      <c r="C20" s="297">
        <v>155</v>
      </c>
      <c r="D20" s="298">
        <v>0.5348516218081435</v>
      </c>
      <c r="E20" s="298">
        <v>8.5943694670250093E-2</v>
      </c>
      <c r="F20" s="296" t="s">
        <v>1871</v>
      </c>
    </row>
    <row r="21" spans="2:6" ht="91" x14ac:dyDescent="0.2">
      <c r="B21" s="299" t="s">
        <v>1861</v>
      </c>
      <c r="C21" s="300">
        <v>59</v>
      </c>
      <c r="D21" s="301">
        <v>0.2035886818495514</v>
      </c>
      <c r="E21" s="301">
        <v>9.0405932220272822E-2</v>
      </c>
      <c r="F21" s="299" t="s">
        <v>1872</v>
      </c>
    </row>
    <row r="22" spans="2:6" ht="104" x14ac:dyDescent="0.2">
      <c r="B22" s="302" t="s">
        <v>1862</v>
      </c>
      <c r="C22" s="303">
        <v>13</v>
      </c>
      <c r="D22" s="304">
        <v>4.4858523119392681E-2</v>
      </c>
      <c r="E22" s="304">
        <v>3.7890815556213431E-2</v>
      </c>
      <c r="F22" s="302" t="s">
        <v>1873</v>
      </c>
    </row>
    <row r="23" spans="2:6" ht="104" x14ac:dyDescent="0.2">
      <c r="B23" s="305" t="s">
        <v>1863</v>
      </c>
      <c r="C23" s="306">
        <v>6.8</v>
      </c>
      <c r="D23" s="307">
        <v>2.346445824706694E-2</v>
      </c>
      <c r="E23" s="307">
        <v>0.1116140357280022</v>
      </c>
      <c r="F23" s="305" t="s">
        <v>1874</v>
      </c>
    </row>
    <row r="24" spans="2:6" ht="26" x14ac:dyDescent="0.2">
      <c r="B24" s="283" t="s">
        <v>1346</v>
      </c>
      <c r="C24" s="291">
        <v>289.8</v>
      </c>
      <c r="D24" s="292">
        <v>1</v>
      </c>
      <c r="E24" s="292">
        <v>8.210949116095656E-2</v>
      </c>
      <c r="F24" s="293"/>
    </row>
    <row r="26" spans="2:6" ht="16" x14ac:dyDescent="0.2">
      <c r="B26" s="240" t="s">
        <v>1875</v>
      </c>
    </row>
    <row r="28" spans="2:6" ht="30" x14ac:dyDescent="0.2">
      <c r="B28" s="241" t="s">
        <v>1876</v>
      </c>
      <c r="C28" s="241" t="s">
        <v>1866</v>
      </c>
      <c r="D28" s="241" t="s">
        <v>1877</v>
      </c>
      <c r="E28" s="241" t="s">
        <v>825</v>
      </c>
    </row>
    <row r="29" spans="2:6" ht="78" x14ac:dyDescent="0.2">
      <c r="B29" s="293" t="s">
        <v>1878</v>
      </c>
      <c r="C29" s="308">
        <v>289.8</v>
      </c>
      <c r="D29" s="309">
        <v>1</v>
      </c>
      <c r="E29" s="293" t="s">
        <v>1879</v>
      </c>
    </row>
    <row r="30" spans="2:6" ht="91" x14ac:dyDescent="0.2">
      <c r="B30" s="296" t="s">
        <v>1880</v>
      </c>
      <c r="C30" s="310">
        <v>118</v>
      </c>
      <c r="D30" s="311">
        <v>0.40717736369910279</v>
      </c>
      <c r="E30" s="296" t="s">
        <v>1881</v>
      </c>
    </row>
    <row r="31" spans="2:6" ht="91" x14ac:dyDescent="0.2">
      <c r="B31" s="299" t="s">
        <v>1882</v>
      </c>
      <c r="C31" s="312">
        <v>4.5449999999999999</v>
      </c>
      <c r="D31" s="313">
        <v>1.568322981366459E-2</v>
      </c>
      <c r="E31" s="299" t="s">
        <v>1883</v>
      </c>
    </row>
    <row r="34" spans="2:7" ht="16" x14ac:dyDescent="0.2">
      <c r="B34" s="240" t="s">
        <v>1884</v>
      </c>
    </row>
    <row r="36" spans="2:7" ht="30" x14ac:dyDescent="0.2">
      <c r="B36" s="241" t="s">
        <v>1885</v>
      </c>
      <c r="C36" s="241" t="s">
        <v>647</v>
      </c>
      <c r="D36" s="241" t="s">
        <v>1886</v>
      </c>
      <c r="E36" s="241" t="s">
        <v>1887</v>
      </c>
      <c r="F36" s="241" t="s">
        <v>1888</v>
      </c>
      <c r="G36" s="241" t="s">
        <v>1889</v>
      </c>
    </row>
    <row r="37" spans="2:7" ht="38" customHeight="1" x14ac:dyDescent="0.2">
      <c r="B37" s="314" t="s">
        <v>1890</v>
      </c>
      <c r="C37" s="243" t="s">
        <v>1891</v>
      </c>
      <c r="D37" s="315">
        <v>35</v>
      </c>
      <c r="E37" s="242" t="s">
        <v>1892</v>
      </c>
      <c r="F37" s="243" t="s">
        <v>1893</v>
      </c>
      <c r="G37" s="243" t="s">
        <v>1894</v>
      </c>
    </row>
    <row r="38" spans="2:7" ht="38" customHeight="1" x14ac:dyDescent="0.2">
      <c r="B38" s="314" t="s">
        <v>1895</v>
      </c>
      <c r="C38" s="243" t="s">
        <v>1896</v>
      </c>
      <c r="D38" s="315">
        <v>22</v>
      </c>
      <c r="E38" s="242" t="s">
        <v>1897</v>
      </c>
      <c r="F38" s="243" t="s">
        <v>1898</v>
      </c>
      <c r="G38" s="243" t="s">
        <v>1899</v>
      </c>
    </row>
    <row r="39" spans="2:7" ht="38" customHeight="1" x14ac:dyDescent="0.2">
      <c r="B39" s="314" t="s">
        <v>1269</v>
      </c>
      <c r="C39" s="243" t="s">
        <v>1900</v>
      </c>
      <c r="D39" s="315">
        <v>18.5</v>
      </c>
      <c r="E39" s="242" t="s">
        <v>1901</v>
      </c>
      <c r="F39" s="243" t="s">
        <v>1902</v>
      </c>
      <c r="G39" s="243" t="s">
        <v>1903</v>
      </c>
    </row>
    <row r="40" spans="2:7" ht="38" customHeight="1" x14ac:dyDescent="0.2">
      <c r="B40" s="314" t="s">
        <v>1904</v>
      </c>
      <c r="C40" s="243" t="s">
        <v>1905</v>
      </c>
      <c r="D40" s="315">
        <v>8.5</v>
      </c>
      <c r="E40" s="242" t="s">
        <v>1906</v>
      </c>
      <c r="F40" s="243" t="s">
        <v>1907</v>
      </c>
      <c r="G40" s="243" t="s">
        <v>1908</v>
      </c>
    </row>
    <row r="41" spans="2:7" ht="38" customHeight="1" x14ac:dyDescent="0.2">
      <c r="B41" s="314" t="s">
        <v>1909</v>
      </c>
      <c r="C41" s="243" t="s">
        <v>1905</v>
      </c>
      <c r="D41" s="315">
        <v>7</v>
      </c>
      <c r="E41" s="242" t="s">
        <v>1910</v>
      </c>
      <c r="F41" s="243" t="s">
        <v>1911</v>
      </c>
      <c r="G41" s="243" t="s">
        <v>1912</v>
      </c>
    </row>
    <row r="42" spans="2:7" ht="38" customHeight="1" x14ac:dyDescent="0.2">
      <c r="B42" s="314" t="s">
        <v>1278</v>
      </c>
      <c r="C42" s="243" t="s">
        <v>1913</v>
      </c>
      <c r="D42" s="315">
        <v>5.5</v>
      </c>
      <c r="E42" s="242" t="s">
        <v>1914</v>
      </c>
      <c r="F42" s="243" t="s">
        <v>1915</v>
      </c>
      <c r="G42" s="243" t="s">
        <v>1916</v>
      </c>
    </row>
    <row r="43" spans="2:7" ht="38" customHeight="1" x14ac:dyDescent="0.2">
      <c r="B43" s="287" t="s">
        <v>1917</v>
      </c>
      <c r="C43" s="299" t="s">
        <v>1918</v>
      </c>
      <c r="D43" s="316">
        <v>1.5</v>
      </c>
      <c r="E43" s="317" t="s">
        <v>1919</v>
      </c>
      <c r="F43" s="299" t="s">
        <v>1920</v>
      </c>
      <c r="G43" s="299" t="s">
        <v>1921</v>
      </c>
    </row>
    <row r="46" spans="2:7" ht="16" x14ac:dyDescent="0.2">
      <c r="B46" s="240" t="s">
        <v>1922</v>
      </c>
    </row>
    <row r="48" spans="2:7" x14ac:dyDescent="0.2">
      <c r="B48" s="241" t="s">
        <v>61</v>
      </c>
      <c r="C48" s="241" t="s">
        <v>1923</v>
      </c>
      <c r="D48" s="241" t="s">
        <v>1924</v>
      </c>
    </row>
    <row r="49" spans="2:12" x14ac:dyDescent="0.2">
      <c r="B49" s="318">
        <v>1</v>
      </c>
      <c r="C49" s="314" t="s">
        <v>1925</v>
      </c>
      <c r="D49" s="243" t="s">
        <v>1926</v>
      </c>
    </row>
    <row r="50" spans="2:12" x14ac:dyDescent="0.2">
      <c r="B50" s="318">
        <v>2</v>
      </c>
      <c r="C50" s="314" t="s">
        <v>1927</v>
      </c>
      <c r="D50" s="243" t="s">
        <v>1928</v>
      </c>
    </row>
    <row r="51" spans="2:12" x14ac:dyDescent="0.2">
      <c r="B51" s="318">
        <v>3</v>
      </c>
      <c r="C51" s="314" t="s">
        <v>1929</v>
      </c>
      <c r="D51" s="243" t="s">
        <v>1930</v>
      </c>
    </row>
    <row r="52" spans="2:12" x14ac:dyDescent="0.2">
      <c r="B52" s="318">
        <v>4</v>
      </c>
      <c r="C52" s="314" t="s">
        <v>1931</v>
      </c>
      <c r="D52" s="243" t="s">
        <v>1932</v>
      </c>
    </row>
    <row r="53" spans="2:12" x14ac:dyDescent="0.2">
      <c r="B53" s="318">
        <v>5</v>
      </c>
      <c r="C53" s="314" t="s">
        <v>1933</v>
      </c>
      <c r="D53" s="243" t="s">
        <v>1934</v>
      </c>
    </row>
    <row r="54" spans="2:12" x14ac:dyDescent="0.2">
      <c r="B54" s="318">
        <v>6</v>
      </c>
      <c r="C54" s="314" t="s">
        <v>1935</v>
      </c>
      <c r="D54" s="243" t="s">
        <v>1936</v>
      </c>
    </row>
    <row r="55" spans="2:12" x14ac:dyDescent="0.2">
      <c r="B55" s="318">
        <v>7</v>
      </c>
      <c r="C55" s="314" t="s">
        <v>1937</v>
      </c>
      <c r="D55" s="243" t="s">
        <v>1938</v>
      </c>
    </row>
    <row r="58" spans="2:12" ht="16" x14ac:dyDescent="0.2">
      <c r="B58" s="319" t="s">
        <v>1939</v>
      </c>
    </row>
    <row r="60" spans="2:12" x14ac:dyDescent="0.2">
      <c r="B60" s="595" t="s">
        <v>1940</v>
      </c>
      <c r="C60" s="473"/>
      <c r="D60" s="473"/>
      <c r="E60" s="473"/>
      <c r="F60" s="473"/>
      <c r="G60" s="473"/>
      <c r="H60" s="473"/>
      <c r="I60" s="473"/>
      <c r="J60" s="473"/>
      <c r="K60" s="473"/>
      <c r="L60" s="466"/>
    </row>
    <row r="61" spans="2:12" x14ac:dyDescent="0.2">
      <c r="B61" s="595" t="s">
        <v>1941</v>
      </c>
      <c r="C61" s="473"/>
      <c r="D61" s="473"/>
      <c r="E61" s="473"/>
      <c r="F61" s="473"/>
      <c r="G61" s="473"/>
      <c r="H61" s="473"/>
      <c r="I61" s="473"/>
      <c r="J61" s="473"/>
      <c r="K61" s="473"/>
      <c r="L61" s="466"/>
    </row>
    <row r="62" spans="2:12" x14ac:dyDescent="0.2">
      <c r="B62" s="595" t="s">
        <v>1942</v>
      </c>
      <c r="C62" s="473"/>
      <c r="D62" s="473"/>
      <c r="E62" s="473"/>
      <c r="F62" s="473"/>
      <c r="G62" s="473"/>
      <c r="H62" s="473"/>
      <c r="I62" s="473"/>
      <c r="J62" s="473"/>
      <c r="K62" s="473"/>
      <c r="L62" s="466"/>
    </row>
    <row r="63" spans="2:12" x14ac:dyDescent="0.2">
      <c r="B63" s="595" t="s">
        <v>1943</v>
      </c>
      <c r="C63" s="473"/>
      <c r="D63" s="473"/>
      <c r="E63" s="473"/>
      <c r="F63" s="473"/>
      <c r="G63" s="473"/>
      <c r="H63" s="473"/>
      <c r="I63" s="473"/>
      <c r="J63" s="473"/>
      <c r="K63" s="473"/>
      <c r="L63" s="466"/>
    </row>
    <row r="64" spans="2:12" x14ac:dyDescent="0.2">
      <c r="B64" s="595" t="s">
        <v>1944</v>
      </c>
      <c r="C64" s="473"/>
      <c r="D64" s="473"/>
      <c r="E64" s="473"/>
      <c r="F64" s="473"/>
      <c r="G64" s="473"/>
      <c r="H64" s="473"/>
      <c r="I64" s="473"/>
      <c r="J64" s="473"/>
      <c r="K64" s="473"/>
      <c r="L64" s="466"/>
    </row>
    <row r="65" spans="2:12" x14ac:dyDescent="0.2">
      <c r="B65" s="595" t="s">
        <v>1945</v>
      </c>
      <c r="C65" s="473"/>
      <c r="D65" s="473"/>
      <c r="E65" s="473"/>
      <c r="F65" s="473"/>
      <c r="G65" s="473"/>
      <c r="H65" s="473"/>
      <c r="I65" s="473"/>
      <c r="J65" s="473"/>
      <c r="K65" s="473"/>
      <c r="L65" s="466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paperSize="8"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2:J58"/>
  <sheetViews>
    <sheetView workbookViewId="0">
      <pane ySplit="8" topLeftCell="A30" activePane="bottomLeft" state="frozen"/>
      <selection pane="bottomLeft"/>
    </sheetView>
  </sheetViews>
  <sheetFormatPr baseColWidth="10" defaultColWidth="8.83203125" defaultRowHeight="15" x14ac:dyDescent="0.2"/>
  <cols>
    <col min="2" max="2" width="5" customWidth="1"/>
    <col min="3" max="3" width="24" customWidth="1"/>
    <col min="4" max="5" width="16" customWidth="1"/>
    <col min="6" max="6" width="14" customWidth="1"/>
    <col min="7" max="7" width="45" customWidth="1"/>
    <col min="8" max="8" width="14" customWidth="1"/>
    <col min="9" max="9" width="12" customWidth="1"/>
    <col min="10" max="10" width="30" customWidth="1"/>
  </cols>
  <sheetData>
    <row r="2" spans="2:10" ht="21" x14ac:dyDescent="0.25">
      <c r="B2" s="594" t="s">
        <v>1946</v>
      </c>
      <c r="C2" s="468"/>
      <c r="D2" s="468"/>
      <c r="E2" s="468"/>
      <c r="F2" s="468"/>
      <c r="G2" s="468"/>
      <c r="H2" s="468"/>
      <c r="I2" s="468"/>
    </row>
    <row r="4" spans="2:10" x14ac:dyDescent="0.2">
      <c r="B4" s="551" t="s">
        <v>1947</v>
      </c>
      <c r="C4" s="468"/>
      <c r="D4" s="468"/>
      <c r="E4" s="468"/>
      <c r="F4" s="468"/>
      <c r="G4" s="468"/>
      <c r="H4" s="468"/>
      <c r="I4" s="468"/>
    </row>
    <row r="6" spans="2:10" ht="16" x14ac:dyDescent="0.2">
      <c r="B6" s="240" t="s">
        <v>1948</v>
      </c>
    </row>
    <row r="8" spans="2:10" x14ac:dyDescent="0.2">
      <c r="B8" s="241" t="s">
        <v>61</v>
      </c>
      <c r="C8" s="241" t="s">
        <v>1949</v>
      </c>
      <c r="D8" s="241" t="s">
        <v>1950</v>
      </c>
      <c r="E8" s="241" t="s">
        <v>1951</v>
      </c>
      <c r="F8" s="241" t="s">
        <v>1952</v>
      </c>
      <c r="G8" s="241" t="s">
        <v>1953</v>
      </c>
      <c r="H8" s="241" t="s">
        <v>1954</v>
      </c>
      <c r="I8" s="241" t="s">
        <v>1955</v>
      </c>
      <c r="J8" s="241" t="s">
        <v>448</v>
      </c>
    </row>
    <row r="9" spans="2:10" ht="28" customHeight="1" x14ac:dyDescent="0.2">
      <c r="B9" s="318">
        <v>1</v>
      </c>
      <c r="C9" s="314" t="s">
        <v>1956</v>
      </c>
      <c r="D9" s="242" t="s">
        <v>14</v>
      </c>
      <c r="E9" s="242" t="s">
        <v>1957</v>
      </c>
      <c r="F9" s="242" t="s">
        <v>1958</v>
      </c>
      <c r="G9" s="320" t="s">
        <v>1959</v>
      </c>
      <c r="H9" s="321" t="s">
        <v>1960</v>
      </c>
      <c r="I9" s="242" t="s">
        <v>401</v>
      </c>
      <c r="J9" s="322" t="s">
        <v>1961</v>
      </c>
    </row>
    <row r="10" spans="2:10" ht="28" customHeight="1" x14ac:dyDescent="0.2">
      <c r="B10" s="318">
        <v>2</v>
      </c>
      <c r="C10" s="314" t="s">
        <v>1962</v>
      </c>
      <c r="D10" s="242" t="s">
        <v>97</v>
      </c>
      <c r="E10" s="242" t="s">
        <v>1963</v>
      </c>
      <c r="F10" s="242" t="s">
        <v>1964</v>
      </c>
      <c r="G10" s="320" t="s">
        <v>1965</v>
      </c>
      <c r="H10" s="321" t="s">
        <v>1966</v>
      </c>
      <c r="I10" s="242" t="s">
        <v>1967</v>
      </c>
      <c r="J10" s="322" t="s">
        <v>1968</v>
      </c>
    </row>
    <row r="11" spans="2:10" ht="28" customHeight="1" x14ac:dyDescent="0.2">
      <c r="B11" s="318">
        <v>3</v>
      </c>
      <c r="C11" s="314" t="s">
        <v>1969</v>
      </c>
      <c r="D11" s="242" t="s">
        <v>68</v>
      </c>
      <c r="E11" s="242" t="s">
        <v>1970</v>
      </c>
      <c r="F11" s="242" t="s">
        <v>1971</v>
      </c>
      <c r="G11" s="320" t="s">
        <v>1972</v>
      </c>
      <c r="H11" s="321" t="s">
        <v>1973</v>
      </c>
      <c r="I11" s="242" t="s">
        <v>1974</v>
      </c>
      <c r="J11" s="322" t="s">
        <v>1975</v>
      </c>
    </row>
    <row r="12" spans="2:10" ht="28" customHeight="1" x14ac:dyDescent="0.2">
      <c r="B12" s="318">
        <v>4</v>
      </c>
      <c r="C12" s="314" t="s">
        <v>1976</v>
      </c>
      <c r="D12" s="242" t="s">
        <v>130</v>
      </c>
      <c r="E12" s="242" t="s">
        <v>1977</v>
      </c>
      <c r="F12" s="242" t="s">
        <v>1978</v>
      </c>
      <c r="G12" s="320" t="s">
        <v>1979</v>
      </c>
      <c r="H12" s="321" t="s">
        <v>1128</v>
      </c>
      <c r="I12" s="242" t="s">
        <v>1980</v>
      </c>
      <c r="J12" s="322" t="s">
        <v>1981</v>
      </c>
    </row>
    <row r="13" spans="2:10" ht="28" customHeight="1" x14ac:dyDescent="0.2">
      <c r="B13" s="318">
        <v>5</v>
      </c>
      <c r="C13" s="314" t="s">
        <v>1982</v>
      </c>
      <c r="D13" s="242" t="s">
        <v>68</v>
      </c>
      <c r="E13" s="242" t="s">
        <v>1983</v>
      </c>
      <c r="F13" s="242" t="s">
        <v>1984</v>
      </c>
      <c r="G13" s="320" t="s">
        <v>1985</v>
      </c>
      <c r="H13" s="321" t="s">
        <v>1986</v>
      </c>
      <c r="I13" s="242" t="s">
        <v>1987</v>
      </c>
      <c r="J13" s="322" t="s">
        <v>1988</v>
      </c>
    </row>
    <row r="14" spans="2:10" ht="28" customHeight="1" x14ac:dyDescent="0.2">
      <c r="B14" s="318">
        <v>6</v>
      </c>
      <c r="C14" s="314" t="s">
        <v>1989</v>
      </c>
      <c r="D14" s="242" t="s">
        <v>68</v>
      </c>
      <c r="E14" s="242" t="s">
        <v>1990</v>
      </c>
      <c r="F14" s="242" t="s">
        <v>1991</v>
      </c>
      <c r="G14" s="320" t="s">
        <v>1992</v>
      </c>
      <c r="H14" s="321" t="s">
        <v>1993</v>
      </c>
      <c r="I14" s="242" t="s">
        <v>1994</v>
      </c>
      <c r="J14" s="322" t="s">
        <v>1995</v>
      </c>
    </row>
    <row r="15" spans="2:10" ht="28" customHeight="1" x14ac:dyDescent="0.2">
      <c r="B15" s="318">
        <v>7</v>
      </c>
      <c r="C15" s="314" t="s">
        <v>1996</v>
      </c>
      <c r="D15" s="242" t="s">
        <v>68</v>
      </c>
      <c r="E15" s="242" t="s">
        <v>1971</v>
      </c>
      <c r="F15" s="242" t="s">
        <v>1972</v>
      </c>
      <c r="G15" s="320" t="s">
        <v>1997</v>
      </c>
      <c r="H15" s="321" t="s">
        <v>1998</v>
      </c>
      <c r="I15" s="242" t="s">
        <v>1987</v>
      </c>
      <c r="J15" s="322" t="s">
        <v>1999</v>
      </c>
    </row>
    <row r="16" spans="2:10" ht="28" customHeight="1" x14ac:dyDescent="0.2">
      <c r="B16" s="318">
        <v>8</v>
      </c>
      <c r="C16" s="314" t="s">
        <v>2000</v>
      </c>
      <c r="D16" s="242" t="s">
        <v>68</v>
      </c>
      <c r="E16" s="242" t="s">
        <v>2001</v>
      </c>
      <c r="F16" s="242" t="s">
        <v>2002</v>
      </c>
      <c r="G16" s="320" t="s">
        <v>2003</v>
      </c>
      <c r="H16" s="321" t="s">
        <v>2004</v>
      </c>
      <c r="I16" s="242" t="s">
        <v>2005</v>
      </c>
      <c r="J16" s="322" t="s">
        <v>2006</v>
      </c>
    </row>
    <row r="19" spans="2:10" ht="16" x14ac:dyDescent="0.2">
      <c r="B19" s="240" t="s">
        <v>2007</v>
      </c>
    </row>
    <row r="21" spans="2:10" x14ac:dyDescent="0.2">
      <c r="B21" s="241" t="s">
        <v>61</v>
      </c>
      <c r="C21" s="241" t="s">
        <v>1949</v>
      </c>
      <c r="D21" s="241" t="s">
        <v>1950</v>
      </c>
      <c r="E21" s="241" t="s">
        <v>1951</v>
      </c>
      <c r="F21" s="241" t="s">
        <v>1952</v>
      </c>
      <c r="G21" s="241" t="s">
        <v>1953</v>
      </c>
      <c r="H21" s="241" t="s">
        <v>1954</v>
      </c>
      <c r="I21" s="241" t="s">
        <v>1955</v>
      </c>
      <c r="J21" s="241" t="s">
        <v>448</v>
      </c>
    </row>
    <row r="22" spans="2:10" ht="28" customHeight="1" x14ac:dyDescent="0.2">
      <c r="B22" s="318">
        <v>1</v>
      </c>
      <c r="C22" s="314" t="s">
        <v>1475</v>
      </c>
      <c r="D22" s="242" t="s">
        <v>68</v>
      </c>
      <c r="E22" s="242" t="s">
        <v>1971</v>
      </c>
      <c r="F22" s="242" t="s">
        <v>2008</v>
      </c>
      <c r="G22" s="320" t="s">
        <v>2001</v>
      </c>
      <c r="H22" s="321" t="s">
        <v>2009</v>
      </c>
      <c r="I22" s="242" t="s">
        <v>2010</v>
      </c>
      <c r="J22" s="322" t="s">
        <v>2011</v>
      </c>
    </row>
    <row r="23" spans="2:10" ht="28" customHeight="1" x14ac:dyDescent="0.2">
      <c r="B23" s="318">
        <v>2</v>
      </c>
      <c r="C23" s="314" t="s">
        <v>2012</v>
      </c>
      <c r="D23" s="242" t="s">
        <v>68</v>
      </c>
      <c r="E23" s="242" t="s">
        <v>2013</v>
      </c>
      <c r="F23" s="242" t="s">
        <v>2014</v>
      </c>
      <c r="G23" s="320" t="s">
        <v>2015</v>
      </c>
      <c r="H23" s="321" t="s">
        <v>2016</v>
      </c>
      <c r="I23" s="242" t="s">
        <v>2017</v>
      </c>
      <c r="J23" s="322" t="s">
        <v>2018</v>
      </c>
    </row>
    <row r="24" spans="2:10" ht="28" customHeight="1" x14ac:dyDescent="0.2">
      <c r="B24" s="318">
        <v>3</v>
      </c>
      <c r="C24" s="314" t="s">
        <v>2019</v>
      </c>
      <c r="D24" s="242" t="s">
        <v>68</v>
      </c>
      <c r="E24" s="242" t="s">
        <v>1997</v>
      </c>
      <c r="F24" s="242" t="s">
        <v>2020</v>
      </c>
      <c r="G24" s="320" t="s">
        <v>1985</v>
      </c>
      <c r="H24" s="321" t="s">
        <v>2021</v>
      </c>
      <c r="I24" s="242" t="s">
        <v>2022</v>
      </c>
      <c r="J24" s="322" t="s">
        <v>2023</v>
      </c>
    </row>
    <row r="25" spans="2:10" ht="28" customHeight="1" x14ac:dyDescent="0.2">
      <c r="B25" s="318">
        <v>4</v>
      </c>
      <c r="C25" s="314" t="s">
        <v>2024</v>
      </c>
      <c r="D25" s="242" t="s">
        <v>68</v>
      </c>
      <c r="E25" s="242" t="s">
        <v>2025</v>
      </c>
      <c r="F25" s="242" t="s">
        <v>2026</v>
      </c>
      <c r="G25" s="320" t="s">
        <v>2027</v>
      </c>
      <c r="H25" s="321" t="s">
        <v>2028</v>
      </c>
      <c r="I25" s="242" t="s">
        <v>2029</v>
      </c>
      <c r="J25" s="322" t="s">
        <v>2030</v>
      </c>
    </row>
    <row r="26" spans="2:10" ht="28" customHeight="1" x14ac:dyDescent="0.2">
      <c r="B26" s="318">
        <v>5</v>
      </c>
      <c r="C26" s="314" t="s">
        <v>2031</v>
      </c>
      <c r="D26" s="242" t="s">
        <v>68</v>
      </c>
      <c r="E26" s="242" t="s">
        <v>2032</v>
      </c>
      <c r="F26" s="242" t="s">
        <v>2003</v>
      </c>
      <c r="G26" s="320" t="s">
        <v>1985</v>
      </c>
      <c r="H26" s="321" t="s">
        <v>2033</v>
      </c>
      <c r="I26" s="242" t="s">
        <v>2034</v>
      </c>
      <c r="J26" s="322" t="s">
        <v>2035</v>
      </c>
    </row>
    <row r="27" spans="2:10" ht="28" customHeight="1" x14ac:dyDescent="0.2">
      <c r="B27" s="318">
        <v>6</v>
      </c>
      <c r="C27" s="314" t="s">
        <v>2036</v>
      </c>
      <c r="D27" s="242" t="s">
        <v>68</v>
      </c>
      <c r="E27" s="242" t="s">
        <v>2037</v>
      </c>
      <c r="F27" s="242" t="s">
        <v>2037</v>
      </c>
      <c r="G27" s="320" t="s">
        <v>2038</v>
      </c>
      <c r="H27" s="321" t="s">
        <v>2039</v>
      </c>
      <c r="I27" s="242" t="s">
        <v>2040</v>
      </c>
      <c r="J27" s="322" t="s">
        <v>2041</v>
      </c>
    </row>
    <row r="28" spans="2:10" ht="28" customHeight="1" x14ac:dyDescent="0.2">
      <c r="B28" s="318">
        <v>7</v>
      </c>
      <c r="C28" s="314" t="s">
        <v>2042</v>
      </c>
      <c r="D28" s="242" t="s">
        <v>68</v>
      </c>
      <c r="E28" s="242" t="s">
        <v>2043</v>
      </c>
      <c r="F28" s="242" t="s">
        <v>2044</v>
      </c>
      <c r="G28" s="320" t="s">
        <v>2045</v>
      </c>
      <c r="H28" s="321" t="s">
        <v>2046</v>
      </c>
      <c r="I28" s="242" t="s">
        <v>2047</v>
      </c>
      <c r="J28" s="322" t="s">
        <v>2048</v>
      </c>
    </row>
    <row r="31" spans="2:10" ht="16" x14ac:dyDescent="0.2">
      <c r="B31" s="240" t="s">
        <v>2049</v>
      </c>
    </row>
    <row r="33" spans="2:10" x14ac:dyDescent="0.2">
      <c r="B33" s="241" t="s">
        <v>61</v>
      </c>
      <c r="C33" s="241" t="s">
        <v>2050</v>
      </c>
      <c r="D33" s="241" t="s">
        <v>1951</v>
      </c>
      <c r="E33" s="241" t="s">
        <v>1952</v>
      </c>
      <c r="F33" s="241" t="s">
        <v>1953</v>
      </c>
      <c r="G33" s="241" t="s">
        <v>2051</v>
      </c>
    </row>
    <row r="34" spans="2:10" ht="28" customHeight="1" x14ac:dyDescent="0.2">
      <c r="B34" s="318">
        <v>1</v>
      </c>
      <c r="C34" s="314" t="s">
        <v>2052</v>
      </c>
      <c r="D34" s="242" t="s">
        <v>2053</v>
      </c>
      <c r="E34" s="242" t="s">
        <v>2054</v>
      </c>
      <c r="F34" s="320" t="s">
        <v>2055</v>
      </c>
      <c r="G34" s="322" t="s">
        <v>2056</v>
      </c>
    </row>
    <row r="35" spans="2:10" ht="28" customHeight="1" x14ac:dyDescent="0.2">
      <c r="B35" s="318">
        <v>2</v>
      </c>
      <c r="C35" s="314" t="s">
        <v>2057</v>
      </c>
      <c r="D35" s="242" t="s">
        <v>2058</v>
      </c>
      <c r="E35" s="242" t="s">
        <v>2059</v>
      </c>
      <c r="F35" s="320" t="s">
        <v>2060</v>
      </c>
      <c r="G35" s="322" t="s">
        <v>2061</v>
      </c>
    </row>
    <row r="36" spans="2:10" ht="28" customHeight="1" x14ac:dyDescent="0.2">
      <c r="B36" s="318">
        <v>3</v>
      </c>
      <c r="C36" s="314" t="s">
        <v>2062</v>
      </c>
      <c r="D36" s="242" t="s">
        <v>2063</v>
      </c>
      <c r="E36" s="242" t="s">
        <v>2060</v>
      </c>
      <c r="F36" s="320" t="s">
        <v>2064</v>
      </c>
      <c r="G36" s="322" t="s">
        <v>2065</v>
      </c>
    </row>
    <row r="37" spans="2:10" ht="28" customHeight="1" x14ac:dyDescent="0.2">
      <c r="B37" s="318">
        <v>4</v>
      </c>
      <c r="C37" s="314" t="s">
        <v>2066</v>
      </c>
      <c r="D37" s="242" t="s">
        <v>2067</v>
      </c>
      <c r="E37" s="242" t="s">
        <v>2068</v>
      </c>
      <c r="F37" s="320" t="s">
        <v>2069</v>
      </c>
      <c r="G37" s="322" t="s">
        <v>2070</v>
      </c>
    </row>
    <row r="38" spans="2:10" ht="28" customHeight="1" x14ac:dyDescent="0.2">
      <c r="B38" s="318">
        <v>5</v>
      </c>
      <c r="C38" s="314" t="s">
        <v>2071</v>
      </c>
      <c r="D38" s="242" t="s">
        <v>2072</v>
      </c>
      <c r="E38" s="242" t="s">
        <v>2073</v>
      </c>
      <c r="F38" s="320" t="s">
        <v>2074</v>
      </c>
      <c r="G38" s="322" t="s">
        <v>2075</v>
      </c>
    </row>
    <row r="39" spans="2:10" ht="28" customHeight="1" x14ac:dyDescent="0.2">
      <c r="B39" s="318">
        <v>6</v>
      </c>
      <c r="C39" s="314" t="s">
        <v>2076</v>
      </c>
      <c r="D39" s="242" t="s">
        <v>2077</v>
      </c>
      <c r="E39" s="242" t="s">
        <v>2078</v>
      </c>
      <c r="F39" s="320" t="s">
        <v>2079</v>
      </c>
      <c r="G39" s="322" t="s">
        <v>2080</v>
      </c>
    </row>
    <row r="42" spans="2:10" ht="16" x14ac:dyDescent="0.2">
      <c r="B42" s="240" t="s">
        <v>2081</v>
      </c>
    </row>
    <row r="44" spans="2:10" x14ac:dyDescent="0.2">
      <c r="B44" s="596" t="s">
        <v>1888</v>
      </c>
      <c r="C44" s="473"/>
      <c r="D44" s="473"/>
      <c r="E44" s="473"/>
      <c r="F44" s="473"/>
      <c r="G44" s="473"/>
      <c r="H44" s="473"/>
      <c r="I44" s="473"/>
      <c r="J44" s="466"/>
    </row>
    <row r="45" spans="2:10" x14ac:dyDescent="0.2">
      <c r="B45" s="595" t="s">
        <v>2082</v>
      </c>
      <c r="C45" s="473"/>
      <c r="D45" s="473"/>
      <c r="E45" s="473"/>
      <c r="F45" s="473"/>
      <c r="G45" s="473"/>
      <c r="H45" s="473"/>
      <c r="I45" s="473"/>
      <c r="J45" s="466"/>
    </row>
    <row r="46" spans="2:10" x14ac:dyDescent="0.2">
      <c r="B46" s="595" t="s">
        <v>2083</v>
      </c>
      <c r="C46" s="473"/>
      <c r="D46" s="473"/>
      <c r="E46" s="473"/>
      <c r="F46" s="473"/>
      <c r="G46" s="473"/>
      <c r="H46" s="473"/>
      <c r="I46" s="473"/>
      <c r="J46" s="466"/>
    </row>
    <row r="47" spans="2:10" x14ac:dyDescent="0.2">
      <c r="B47" s="595" t="s">
        <v>2084</v>
      </c>
      <c r="C47" s="473"/>
      <c r="D47" s="473"/>
      <c r="E47" s="473"/>
      <c r="F47" s="473"/>
      <c r="G47" s="473"/>
      <c r="H47" s="473"/>
      <c r="I47" s="473"/>
      <c r="J47" s="466"/>
    </row>
    <row r="48" spans="2:10" x14ac:dyDescent="0.2">
      <c r="B48" s="595" t="s">
        <v>2085</v>
      </c>
      <c r="C48" s="473"/>
      <c r="D48" s="473"/>
      <c r="E48" s="473"/>
      <c r="F48" s="473"/>
      <c r="G48" s="473"/>
      <c r="H48" s="473"/>
      <c r="I48" s="473"/>
      <c r="J48" s="466"/>
    </row>
    <row r="50" spans="2:10" x14ac:dyDescent="0.2">
      <c r="B50" s="598" t="s">
        <v>2086</v>
      </c>
      <c r="C50" s="473"/>
      <c r="D50" s="473"/>
      <c r="E50" s="473"/>
      <c r="F50" s="473"/>
      <c r="G50" s="473"/>
      <c r="H50" s="473"/>
      <c r="I50" s="473"/>
      <c r="J50" s="466"/>
    </row>
    <row r="51" spans="2:10" x14ac:dyDescent="0.2">
      <c r="B51" s="595" t="s">
        <v>2087</v>
      </c>
      <c r="C51" s="473"/>
      <c r="D51" s="473"/>
      <c r="E51" s="473"/>
      <c r="F51" s="473"/>
      <c r="G51" s="473"/>
      <c r="H51" s="473"/>
      <c r="I51" s="473"/>
      <c r="J51" s="466"/>
    </row>
    <row r="52" spans="2:10" x14ac:dyDescent="0.2">
      <c r="B52" s="595" t="s">
        <v>2088</v>
      </c>
      <c r="C52" s="473"/>
      <c r="D52" s="473"/>
      <c r="E52" s="473"/>
      <c r="F52" s="473"/>
      <c r="G52" s="473"/>
      <c r="H52" s="473"/>
      <c r="I52" s="473"/>
      <c r="J52" s="466"/>
    </row>
    <row r="53" spans="2:10" x14ac:dyDescent="0.2">
      <c r="B53" s="595" t="s">
        <v>2089</v>
      </c>
      <c r="C53" s="473"/>
      <c r="D53" s="473"/>
      <c r="E53" s="473"/>
      <c r="F53" s="473"/>
      <c r="G53" s="473"/>
      <c r="H53" s="473"/>
      <c r="I53" s="473"/>
      <c r="J53" s="466"/>
    </row>
    <row r="55" spans="2:10" x14ac:dyDescent="0.2">
      <c r="B55" s="597" t="s">
        <v>2090</v>
      </c>
      <c r="C55" s="473"/>
      <c r="D55" s="473"/>
      <c r="E55" s="473"/>
      <c r="F55" s="473"/>
      <c r="G55" s="473"/>
      <c r="H55" s="473"/>
      <c r="I55" s="473"/>
      <c r="J55" s="466"/>
    </row>
    <row r="56" spans="2:10" x14ac:dyDescent="0.2">
      <c r="B56" s="595" t="s">
        <v>2091</v>
      </c>
      <c r="C56" s="473"/>
      <c r="D56" s="473"/>
      <c r="E56" s="473"/>
      <c r="F56" s="473"/>
      <c r="G56" s="473"/>
      <c r="H56" s="473"/>
      <c r="I56" s="473"/>
      <c r="J56" s="466"/>
    </row>
    <row r="57" spans="2:10" x14ac:dyDescent="0.2">
      <c r="B57" s="595" t="s">
        <v>2092</v>
      </c>
      <c r="C57" s="473"/>
      <c r="D57" s="473"/>
      <c r="E57" s="473"/>
      <c r="F57" s="473"/>
      <c r="G57" s="473"/>
      <c r="H57" s="473"/>
      <c r="I57" s="473"/>
      <c r="J57" s="466"/>
    </row>
    <row r="58" spans="2:10" x14ac:dyDescent="0.2">
      <c r="B58" s="595" t="s">
        <v>2093</v>
      </c>
      <c r="C58" s="473"/>
      <c r="D58" s="473"/>
      <c r="E58" s="473"/>
      <c r="F58" s="473"/>
      <c r="G58" s="473"/>
      <c r="H58" s="473"/>
      <c r="I58" s="473"/>
      <c r="J58" s="466"/>
    </row>
  </sheetData>
  <mergeCells count="15">
    <mergeCell ref="B2:I2"/>
    <mergeCell ref="B47:J47"/>
    <mergeCell ref="B50:J50"/>
    <mergeCell ref="B4:I4"/>
    <mergeCell ref="B56:J56"/>
    <mergeCell ref="B57:J57"/>
    <mergeCell ref="B53:J53"/>
    <mergeCell ref="B58:J58"/>
    <mergeCell ref="B44:J44"/>
    <mergeCell ref="B55:J55"/>
    <mergeCell ref="B52:J52"/>
    <mergeCell ref="B48:J48"/>
    <mergeCell ref="B51:J51"/>
    <mergeCell ref="B45:J45"/>
    <mergeCell ref="B46:J46"/>
  </mergeCells>
  <printOptions horizontalCentered="1"/>
  <pageMargins left="0.59" right="0.59" top="0.59" bottom="0.59" header="0.3" footer="0.3"/>
  <pageSetup paperSize="8"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2:K65"/>
  <sheetViews>
    <sheetView tabSelected="1" workbookViewId="0">
      <pane ySplit="8" topLeftCell="A42" activePane="bottomLeft" state="frozen"/>
      <selection pane="bottomLeft"/>
    </sheetView>
  </sheetViews>
  <sheetFormatPr baseColWidth="10" defaultColWidth="8.83203125" defaultRowHeight="15" x14ac:dyDescent="0.2"/>
  <cols>
    <col min="2" max="2" width="25" customWidth="1"/>
    <col min="3" max="3" width="18" customWidth="1"/>
    <col min="4" max="4" width="16" customWidth="1"/>
    <col min="5" max="7" width="18" customWidth="1"/>
    <col min="8" max="8" width="11" customWidth="1"/>
    <col min="9" max="9" width="10" customWidth="1"/>
    <col min="10" max="10" width="14" customWidth="1"/>
    <col min="11" max="11" width="35" customWidth="1"/>
  </cols>
  <sheetData>
    <row r="2" spans="2:11" ht="21" x14ac:dyDescent="0.25">
      <c r="B2" s="594" t="s">
        <v>2094</v>
      </c>
      <c r="C2" s="468"/>
      <c r="D2" s="468"/>
      <c r="E2" s="468"/>
      <c r="F2" s="468"/>
      <c r="G2" s="468"/>
      <c r="H2" s="468"/>
      <c r="I2" s="468"/>
      <c r="J2" s="468"/>
      <c r="K2" s="468"/>
    </row>
    <row r="4" spans="2:11" x14ac:dyDescent="0.2">
      <c r="B4" s="551" t="s">
        <v>2095</v>
      </c>
      <c r="C4" s="468"/>
      <c r="D4" s="468"/>
      <c r="E4" s="468"/>
      <c r="F4" s="468"/>
      <c r="G4" s="468"/>
      <c r="H4" s="468"/>
      <c r="I4" s="468"/>
      <c r="J4" s="468"/>
      <c r="K4" s="468"/>
    </row>
    <row r="6" spans="2:11" ht="16" x14ac:dyDescent="0.2">
      <c r="B6" s="240" t="s">
        <v>2096</v>
      </c>
    </row>
    <row r="8" spans="2:11" x14ac:dyDescent="0.2">
      <c r="B8" s="241" t="s">
        <v>61</v>
      </c>
      <c r="C8" s="241" t="s">
        <v>392</v>
      </c>
      <c r="D8" s="241" t="s">
        <v>2097</v>
      </c>
      <c r="E8" s="241" t="s">
        <v>2098</v>
      </c>
      <c r="F8" s="241" t="s">
        <v>2099</v>
      </c>
      <c r="G8" s="241" t="s">
        <v>2100</v>
      </c>
      <c r="H8" s="241" t="s">
        <v>1261</v>
      </c>
      <c r="I8" s="241" t="s">
        <v>2101</v>
      </c>
      <c r="J8" s="241" t="s">
        <v>1335</v>
      </c>
      <c r="K8" s="241" t="s">
        <v>448</v>
      </c>
    </row>
    <row r="9" spans="2:11" ht="32" customHeight="1" x14ac:dyDescent="0.2">
      <c r="B9" s="318">
        <v>1</v>
      </c>
      <c r="C9" s="242">
        <v>2018</v>
      </c>
      <c r="D9" s="243" t="s">
        <v>1269</v>
      </c>
      <c r="E9" s="243" t="s">
        <v>2102</v>
      </c>
      <c r="F9" s="323">
        <v>9.5</v>
      </c>
      <c r="G9" s="242">
        <v>2.8</v>
      </c>
      <c r="H9" s="242" t="s">
        <v>401</v>
      </c>
      <c r="I9" s="242" t="s">
        <v>1986</v>
      </c>
      <c r="J9" s="242" t="s">
        <v>2103</v>
      </c>
      <c r="K9" s="322" t="s">
        <v>2104</v>
      </c>
    </row>
    <row r="10" spans="2:11" ht="32" customHeight="1" x14ac:dyDescent="0.2">
      <c r="B10" s="318">
        <v>2</v>
      </c>
      <c r="C10" s="242">
        <v>2019</v>
      </c>
      <c r="D10" s="243" t="s">
        <v>1267</v>
      </c>
      <c r="E10" s="243" t="s">
        <v>2105</v>
      </c>
      <c r="F10" s="323">
        <v>8</v>
      </c>
      <c r="G10" s="242">
        <v>3.1</v>
      </c>
      <c r="H10" s="242" t="s">
        <v>401</v>
      </c>
      <c r="I10" s="242" t="s">
        <v>1154</v>
      </c>
      <c r="J10" s="242" t="s">
        <v>2106</v>
      </c>
      <c r="K10" s="322" t="s">
        <v>2107</v>
      </c>
    </row>
    <row r="11" spans="2:11" ht="32" customHeight="1" x14ac:dyDescent="0.2">
      <c r="B11" s="318">
        <v>3</v>
      </c>
      <c r="C11" s="242">
        <v>2020</v>
      </c>
      <c r="D11" s="243" t="s">
        <v>1272</v>
      </c>
      <c r="E11" s="243" t="s">
        <v>2108</v>
      </c>
      <c r="F11" s="323">
        <v>3.5</v>
      </c>
      <c r="G11" s="242">
        <v>2.4</v>
      </c>
      <c r="H11" s="242">
        <v>9.5</v>
      </c>
      <c r="I11" s="242" t="s">
        <v>2109</v>
      </c>
      <c r="J11" s="242" t="s">
        <v>1444</v>
      </c>
      <c r="K11" s="322" t="s">
        <v>2110</v>
      </c>
    </row>
    <row r="12" spans="2:11" ht="32" customHeight="1" x14ac:dyDescent="0.2">
      <c r="B12" s="318">
        <v>4</v>
      </c>
      <c r="C12" s="242">
        <v>2021</v>
      </c>
      <c r="D12" s="243" t="s">
        <v>1909</v>
      </c>
      <c r="E12" s="243" t="s">
        <v>2111</v>
      </c>
      <c r="F12" s="323">
        <v>5</v>
      </c>
      <c r="G12" s="242">
        <v>2</v>
      </c>
      <c r="H12" s="242">
        <v>8.1999999999999993</v>
      </c>
      <c r="I12" s="242" t="s">
        <v>1154</v>
      </c>
      <c r="J12" s="242" t="s">
        <v>2112</v>
      </c>
      <c r="K12" s="322" t="s">
        <v>2113</v>
      </c>
    </row>
    <row r="13" spans="2:11" ht="32" customHeight="1" x14ac:dyDescent="0.2">
      <c r="B13" s="318">
        <v>5</v>
      </c>
      <c r="C13" s="242">
        <v>2022</v>
      </c>
      <c r="D13" s="243" t="s">
        <v>2114</v>
      </c>
      <c r="E13" s="243" t="s">
        <v>2115</v>
      </c>
      <c r="F13" s="323">
        <v>12</v>
      </c>
      <c r="G13" s="242">
        <v>2.5</v>
      </c>
      <c r="H13" s="242">
        <v>9.8000000000000007</v>
      </c>
      <c r="I13" s="242" t="s">
        <v>1154</v>
      </c>
      <c r="J13" s="242" t="s">
        <v>2116</v>
      </c>
      <c r="K13" s="322" t="s">
        <v>2117</v>
      </c>
    </row>
    <row r="14" spans="2:11" ht="32" customHeight="1" x14ac:dyDescent="0.2">
      <c r="B14" s="318">
        <v>6</v>
      </c>
      <c r="C14" s="242">
        <v>2023</v>
      </c>
      <c r="D14" s="243" t="s">
        <v>2118</v>
      </c>
      <c r="E14" s="243" t="s">
        <v>2119</v>
      </c>
      <c r="F14" s="323">
        <v>2.2000000000000002</v>
      </c>
      <c r="G14" s="242">
        <v>1.8</v>
      </c>
      <c r="H14" s="242">
        <v>6.5</v>
      </c>
      <c r="I14" s="242" t="s">
        <v>1154</v>
      </c>
      <c r="J14" s="242" t="s">
        <v>2120</v>
      </c>
      <c r="K14" s="322" t="s">
        <v>2121</v>
      </c>
    </row>
    <row r="15" spans="2:11" ht="32" customHeight="1" x14ac:dyDescent="0.2">
      <c r="B15" s="318">
        <v>7</v>
      </c>
      <c r="C15" s="242">
        <v>2023</v>
      </c>
      <c r="D15" s="243" t="s">
        <v>2122</v>
      </c>
      <c r="E15" s="243" t="s">
        <v>2123</v>
      </c>
      <c r="F15" s="323">
        <v>4.5</v>
      </c>
      <c r="G15" s="242">
        <v>2.2000000000000002</v>
      </c>
      <c r="H15" s="242">
        <v>7.5</v>
      </c>
      <c r="I15" s="242" t="s">
        <v>2124</v>
      </c>
      <c r="J15" s="242" t="s">
        <v>2125</v>
      </c>
      <c r="K15" s="322" t="s">
        <v>2126</v>
      </c>
    </row>
    <row r="16" spans="2:11" ht="32" customHeight="1" x14ac:dyDescent="0.2">
      <c r="B16" s="318">
        <v>8</v>
      </c>
      <c r="C16" s="242">
        <v>2024</v>
      </c>
      <c r="D16" s="243" t="s">
        <v>2127</v>
      </c>
      <c r="E16" s="243" t="s">
        <v>2128</v>
      </c>
      <c r="F16" s="323">
        <v>1.8</v>
      </c>
      <c r="G16" s="242">
        <v>2.7</v>
      </c>
      <c r="H16" s="242">
        <v>8</v>
      </c>
      <c r="I16" s="242" t="s">
        <v>2129</v>
      </c>
      <c r="J16" s="242" t="s">
        <v>2130</v>
      </c>
      <c r="K16" s="322" t="s">
        <v>2131</v>
      </c>
    </row>
    <row r="17" spans="2:11" ht="32" customHeight="1" x14ac:dyDescent="0.2">
      <c r="B17" s="318">
        <v>9</v>
      </c>
      <c r="C17" s="242">
        <v>2024</v>
      </c>
      <c r="D17" s="243" t="s">
        <v>2132</v>
      </c>
      <c r="E17" s="243" t="s">
        <v>2133</v>
      </c>
      <c r="F17" s="323">
        <v>6</v>
      </c>
      <c r="G17" s="242">
        <v>1.9</v>
      </c>
      <c r="H17" s="242">
        <v>7</v>
      </c>
      <c r="I17" s="242" t="s">
        <v>1154</v>
      </c>
      <c r="J17" s="242" t="s">
        <v>2116</v>
      </c>
      <c r="K17" s="322" t="s">
        <v>2134</v>
      </c>
    </row>
    <row r="18" spans="2:11" ht="32" customHeight="1" x14ac:dyDescent="0.2">
      <c r="B18" s="318">
        <v>10</v>
      </c>
      <c r="C18" s="242">
        <v>2025</v>
      </c>
      <c r="D18" s="243" t="s">
        <v>2135</v>
      </c>
      <c r="E18" s="243" t="s">
        <v>2136</v>
      </c>
      <c r="F18" s="323">
        <v>3</v>
      </c>
      <c r="G18" s="242">
        <v>2.5</v>
      </c>
      <c r="H18" s="242">
        <v>7.8</v>
      </c>
      <c r="I18" s="242" t="s">
        <v>2137</v>
      </c>
      <c r="J18" s="242" t="s">
        <v>2106</v>
      </c>
      <c r="K18" s="322" t="s">
        <v>2138</v>
      </c>
    </row>
    <row r="19" spans="2:11" x14ac:dyDescent="0.2">
      <c r="B19" s="600" t="s">
        <v>2139</v>
      </c>
      <c r="C19" s="473"/>
      <c r="D19" s="473"/>
      <c r="E19" s="473"/>
      <c r="F19" s="466"/>
      <c r="G19" s="324">
        <v>2.5</v>
      </c>
      <c r="H19" s="324">
        <v>8</v>
      </c>
      <c r="I19" s="468"/>
      <c r="J19" s="468"/>
      <c r="K19" s="468"/>
    </row>
    <row r="21" spans="2:11" ht="16" x14ac:dyDescent="0.2">
      <c r="B21" s="240" t="s">
        <v>2140</v>
      </c>
    </row>
    <row r="23" spans="2:11" x14ac:dyDescent="0.2">
      <c r="B23" s="241" t="s">
        <v>61</v>
      </c>
      <c r="C23" s="241" t="s">
        <v>392</v>
      </c>
      <c r="D23" s="241" t="s">
        <v>2097</v>
      </c>
      <c r="E23" s="241" t="s">
        <v>2098</v>
      </c>
      <c r="F23" s="241" t="s">
        <v>2141</v>
      </c>
      <c r="G23" s="241" t="s">
        <v>2100</v>
      </c>
      <c r="H23" s="241" t="s">
        <v>1261</v>
      </c>
      <c r="I23" s="241" t="s">
        <v>2101</v>
      </c>
      <c r="J23" s="241" t="s">
        <v>1335</v>
      </c>
      <c r="K23" s="241" t="s">
        <v>448</v>
      </c>
    </row>
    <row r="24" spans="2:11" ht="32" customHeight="1" x14ac:dyDescent="0.2">
      <c r="B24" s="318">
        <v>1</v>
      </c>
      <c r="C24" s="242">
        <v>2018</v>
      </c>
      <c r="D24" s="243" t="s">
        <v>2142</v>
      </c>
      <c r="E24" s="243" t="s">
        <v>2143</v>
      </c>
      <c r="F24" s="323">
        <v>71.3</v>
      </c>
      <c r="G24" s="242">
        <v>3.1</v>
      </c>
      <c r="H24" s="242">
        <v>13.5</v>
      </c>
      <c r="I24" s="242" t="s">
        <v>1154</v>
      </c>
      <c r="J24" s="242" t="s">
        <v>2116</v>
      </c>
      <c r="K24" s="322" t="s">
        <v>2144</v>
      </c>
    </row>
    <row r="25" spans="2:11" ht="32" customHeight="1" x14ac:dyDescent="0.2">
      <c r="B25" s="318">
        <v>2</v>
      </c>
      <c r="C25" s="242">
        <v>2019</v>
      </c>
      <c r="D25" s="243" t="s">
        <v>2145</v>
      </c>
      <c r="E25" s="243" t="s">
        <v>2146</v>
      </c>
      <c r="F25" s="323">
        <v>11.7</v>
      </c>
      <c r="G25" s="242">
        <v>1.4</v>
      </c>
      <c r="H25" s="242">
        <v>7.2</v>
      </c>
      <c r="I25" s="242" t="s">
        <v>1154</v>
      </c>
      <c r="J25" s="242" t="s">
        <v>2147</v>
      </c>
      <c r="K25" s="322" t="s">
        <v>2148</v>
      </c>
    </row>
    <row r="26" spans="2:11" ht="32" customHeight="1" x14ac:dyDescent="0.2">
      <c r="B26" s="318">
        <v>3</v>
      </c>
      <c r="C26" s="242">
        <v>2019</v>
      </c>
      <c r="D26" s="243" t="s">
        <v>2149</v>
      </c>
      <c r="E26" s="243" t="s">
        <v>2150</v>
      </c>
      <c r="F26" s="323">
        <v>8.4499999999999993</v>
      </c>
      <c r="G26" s="242">
        <v>2.9</v>
      </c>
      <c r="H26" s="242">
        <v>13.8</v>
      </c>
      <c r="I26" s="242" t="s">
        <v>1154</v>
      </c>
      <c r="J26" s="242" t="s">
        <v>2116</v>
      </c>
      <c r="K26" s="322" t="s">
        <v>2151</v>
      </c>
    </row>
    <row r="27" spans="2:11" ht="32" customHeight="1" x14ac:dyDescent="0.2">
      <c r="B27" s="318">
        <v>4</v>
      </c>
      <c r="C27" s="242">
        <v>2020</v>
      </c>
      <c r="D27" s="243" t="s">
        <v>2152</v>
      </c>
      <c r="E27" s="243" t="s">
        <v>2153</v>
      </c>
      <c r="F27" s="323">
        <v>2.5</v>
      </c>
      <c r="G27" s="242">
        <v>2.2000000000000002</v>
      </c>
      <c r="H27" s="242">
        <v>10.5</v>
      </c>
      <c r="I27" s="242" t="s">
        <v>1154</v>
      </c>
      <c r="J27" s="242" t="s">
        <v>2154</v>
      </c>
      <c r="K27" s="322" t="s">
        <v>2155</v>
      </c>
    </row>
    <row r="28" spans="2:11" ht="32" customHeight="1" x14ac:dyDescent="0.2">
      <c r="B28" s="318">
        <v>5</v>
      </c>
      <c r="C28" s="242">
        <v>2021</v>
      </c>
      <c r="D28" s="243" t="s">
        <v>2156</v>
      </c>
      <c r="E28" s="243" t="s">
        <v>2157</v>
      </c>
      <c r="F28" s="323">
        <v>0.9</v>
      </c>
      <c r="G28" s="242">
        <v>4.5</v>
      </c>
      <c r="H28" s="242">
        <v>15</v>
      </c>
      <c r="I28" s="242" t="s">
        <v>2158</v>
      </c>
      <c r="J28" s="242" t="s">
        <v>2130</v>
      </c>
      <c r="K28" s="322" t="s">
        <v>2159</v>
      </c>
    </row>
    <row r="29" spans="2:11" ht="32" customHeight="1" x14ac:dyDescent="0.2">
      <c r="B29" s="318">
        <v>6</v>
      </c>
      <c r="C29" s="242">
        <v>2022</v>
      </c>
      <c r="D29" s="243" t="s">
        <v>2160</v>
      </c>
      <c r="E29" s="243" t="s">
        <v>2161</v>
      </c>
      <c r="F29" s="323">
        <v>43</v>
      </c>
      <c r="G29" s="242">
        <v>2.1</v>
      </c>
      <c r="H29" s="242">
        <v>9.8000000000000007</v>
      </c>
      <c r="I29" s="242" t="s">
        <v>1154</v>
      </c>
      <c r="J29" s="242" t="s">
        <v>2147</v>
      </c>
      <c r="K29" s="322" t="s">
        <v>2162</v>
      </c>
    </row>
    <row r="30" spans="2:11" ht="32" customHeight="1" x14ac:dyDescent="0.2">
      <c r="B30" s="318">
        <v>7</v>
      </c>
      <c r="C30" s="242">
        <v>2022</v>
      </c>
      <c r="D30" s="243" t="s">
        <v>2163</v>
      </c>
      <c r="E30" s="243" t="s">
        <v>2164</v>
      </c>
      <c r="F30" s="323">
        <v>2.2999999999999998</v>
      </c>
      <c r="G30" s="242">
        <v>1.6</v>
      </c>
      <c r="H30" s="242">
        <v>8.5</v>
      </c>
      <c r="I30" s="242" t="s">
        <v>1154</v>
      </c>
      <c r="J30" s="242" t="s">
        <v>1667</v>
      </c>
      <c r="K30" s="322" t="s">
        <v>2165</v>
      </c>
    </row>
    <row r="31" spans="2:11" ht="32" customHeight="1" x14ac:dyDescent="0.2">
      <c r="B31" s="318">
        <v>8</v>
      </c>
      <c r="C31" s="242">
        <v>2023</v>
      </c>
      <c r="D31" s="243" t="s">
        <v>2166</v>
      </c>
      <c r="E31" s="243" t="s">
        <v>2167</v>
      </c>
      <c r="F31" s="323">
        <v>1.57</v>
      </c>
      <c r="G31" s="242">
        <v>14.2</v>
      </c>
      <c r="H31" s="242" t="s">
        <v>401</v>
      </c>
      <c r="I31" s="242" t="s">
        <v>2158</v>
      </c>
      <c r="J31" s="242" t="s">
        <v>2168</v>
      </c>
      <c r="K31" s="322" t="s">
        <v>2169</v>
      </c>
    </row>
    <row r="32" spans="2:11" ht="32" customHeight="1" x14ac:dyDescent="0.2">
      <c r="B32" s="318">
        <v>9</v>
      </c>
      <c r="C32" s="242">
        <v>2023</v>
      </c>
      <c r="D32" s="243" t="s">
        <v>2170</v>
      </c>
      <c r="E32" s="243" t="s">
        <v>2171</v>
      </c>
      <c r="F32" s="323">
        <v>26</v>
      </c>
      <c r="G32" s="242">
        <v>0.8</v>
      </c>
      <c r="H32" s="242">
        <v>5.5</v>
      </c>
      <c r="I32" s="242" t="s">
        <v>2158</v>
      </c>
      <c r="J32" s="242" t="s">
        <v>2116</v>
      </c>
      <c r="K32" s="322" t="s">
        <v>2172</v>
      </c>
    </row>
    <row r="33" spans="2:11" ht="32" customHeight="1" x14ac:dyDescent="0.2">
      <c r="B33" s="318">
        <v>10</v>
      </c>
      <c r="C33" s="242">
        <v>2024</v>
      </c>
      <c r="D33" s="243" t="s">
        <v>2173</v>
      </c>
      <c r="E33" s="243" t="s">
        <v>2174</v>
      </c>
      <c r="F33" s="323">
        <v>28</v>
      </c>
      <c r="G33" s="242">
        <v>0.9</v>
      </c>
      <c r="H33" s="242">
        <v>5.8</v>
      </c>
      <c r="I33" s="242" t="s">
        <v>1154</v>
      </c>
      <c r="J33" s="242" t="s">
        <v>2147</v>
      </c>
      <c r="K33" s="322" t="s">
        <v>2175</v>
      </c>
    </row>
    <row r="34" spans="2:11" x14ac:dyDescent="0.2">
      <c r="B34" s="600" t="s">
        <v>2176</v>
      </c>
      <c r="C34" s="473"/>
      <c r="D34" s="473"/>
      <c r="E34" s="473"/>
      <c r="F34" s="466"/>
      <c r="G34" s="324">
        <v>2.2000000000000002</v>
      </c>
      <c r="H34" s="324">
        <v>9.8000000000000007</v>
      </c>
      <c r="I34" s="468"/>
      <c r="J34" s="468"/>
      <c r="K34" s="468"/>
    </row>
    <row r="36" spans="2:11" ht="16" x14ac:dyDescent="0.2">
      <c r="B36" s="240" t="s">
        <v>2177</v>
      </c>
    </row>
    <row r="38" spans="2:11" x14ac:dyDescent="0.2">
      <c r="B38" s="241" t="s">
        <v>1104</v>
      </c>
      <c r="C38" s="241" t="s">
        <v>2178</v>
      </c>
      <c r="D38" s="241" t="s">
        <v>2179</v>
      </c>
      <c r="E38" s="241" t="s">
        <v>2180</v>
      </c>
      <c r="F38" s="241" t="s">
        <v>2181</v>
      </c>
      <c r="G38" s="241" t="s">
        <v>2182</v>
      </c>
    </row>
    <row r="39" spans="2:11" x14ac:dyDescent="0.2">
      <c r="B39" s="314" t="s">
        <v>2183</v>
      </c>
      <c r="C39" s="284">
        <v>2495</v>
      </c>
      <c r="D39" s="318" t="s">
        <v>2184</v>
      </c>
      <c r="E39" s="325">
        <v>6238</v>
      </c>
      <c r="F39" s="242" t="s">
        <v>1487</v>
      </c>
      <c r="G39" s="326">
        <v>4990</v>
      </c>
    </row>
    <row r="40" spans="2:11" x14ac:dyDescent="0.2">
      <c r="B40" s="314" t="s">
        <v>2185</v>
      </c>
      <c r="C40" s="284">
        <v>1462.1</v>
      </c>
      <c r="D40" s="318" t="s">
        <v>2186</v>
      </c>
      <c r="E40" s="325">
        <v>11697</v>
      </c>
      <c r="F40" s="242" t="s">
        <v>1487</v>
      </c>
      <c r="G40" s="326">
        <v>9357</v>
      </c>
    </row>
    <row r="41" spans="2:11" x14ac:dyDescent="0.2">
      <c r="B41" s="314" t="s">
        <v>2187</v>
      </c>
      <c r="C41" s="284">
        <v>2495</v>
      </c>
      <c r="D41" s="318" t="s">
        <v>2188</v>
      </c>
      <c r="E41" s="325">
        <v>5489</v>
      </c>
      <c r="F41" s="242" t="s">
        <v>1487</v>
      </c>
      <c r="G41" s="326">
        <v>4391</v>
      </c>
    </row>
    <row r="42" spans="2:11" x14ac:dyDescent="0.2">
      <c r="B42" s="314" t="s">
        <v>2189</v>
      </c>
      <c r="C42" s="284">
        <v>1462.1</v>
      </c>
      <c r="D42" s="318" t="s">
        <v>2190</v>
      </c>
      <c r="E42" s="325">
        <v>14328</v>
      </c>
      <c r="F42" s="242" t="s">
        <v>1487</v>
      </c>
      <c r="G42" s="326">
        <v>11463</v>
      </c>
    </row>
    <row r="44" spans="2:11" x14ac:dyDescent="0.2">
      <c r="B44" s="599" t="s">
        <v>2191</v>
      </c>
      <c r="C44" s="473"/>
      <c r="D44" s="473"/>
      <c r="E44" s="473"/>
      <c r="F44" s="466"/>
      <c r="G44" s="327">
        <v>7550</v>
      </c>
    </row>
    <row r="46" spans="2:11" ht="16" x14ac:dyDescent="0.2">
      <c r="B46" s="240" t="s">
        <v>2192</v>
      </c>
    </row>
    <row r="48" spans="2:11" x14ac:dyDescent="0.2">
      <c r="B48" s="318">
        <v>1</v>
      </c>
      <c r="C48" s="595" t="s">
        <v>2193</v>
      </c>
      <c r="D48" s="473"/>
      <c r="E48" s="473"/>
      <c r="F48" s="473"/>
      <c r="G48" s="473"/>
      <c r="H48" s="473"/>
      <c r="I48" s="473"/>
      <c r="J48" s="473"/>
      <c r="K48" s="466"/>
    </row>
    <row r="49" spans="2:11" x14ac:dyDescent="0.2">
      <c r="B49" s="318">
        <v>2</v>
      </c>
      <c r="C49" s="595" t="s">
        <v>2194</v>
      </c>
      <c r="D49" s="473"/>
      <c r="E49" s="473"/>
      <c r="F49" s="473"/>
      <c r="G49" s="473"/>
      <c r="H49" s="473"/>
      <c r="I49" s="473"/>
      <c r="J49" s="473"/>
      <c r="K49" s="466"/>
    </row>
    <row r="50" spans="2:11" x14ac:dyDescent="0.2">
      <c r="B50" s="318">
        <v>3</v>
      </c>
      <c r="C50" s="595" t="s">
        <v>2195</v>
      </c>
      <c r="D50" s="473"/>
      <c r="E50" s="473"/>
      <c r="F50" s="473"/>
      <c r="G50" s="473"/>
      <c r="H50" s="473"/>
      <c r="I50" s="473"/>
      <c r="J50" s="473"/>
      <c r="K50" s="466"/>
    </row>
    <row r="51" spans="2:11" x14ac:dyDescent="0.2">
      <c r="B51" s="318">
        <v>4</v>
      </c>
      <c r="C51" s="595" t="s">
        <v>2196</v>
      </c>
      <c r="D51" s="473"/>
      <c r="E51" s="473"/>
      <c r="F51" s="473"/>
      <c r="G51" s="473"/>
      <c r="H51" s="473"/>
      <c r="I51" s="473"/>
      <c r="J51" s="473"/>
      <c r="K51" s="466"/>
    </row>
    <row r="52" spans="2:11" x14ac:dyDescent="0.2">
      <c r="B52" s="318">
        <v>5</v>
      </c>
      <c r="C52" s="595" t="s">
        <v>2197</v>
      </c>
      <c r="D52" s="473"/>
      <c r="E52" s="473"/>
      <c r="F52" s="473"/>
      <c r="G52" s="473"/>
      <c r="H52" s="473"/>
      <c r="I52" s="473"/>
      <c r="J52" s="473"/>
      <c r="K52" s="466"/>
    </row>
    <row r="53" spans="2:11" x14ac:dyDescent="0.2">
      <c r="B53" s="318">
        <v>6</v>
      </c>
      <c r="C53" s="595" t="s">
        <v>2198</v>
      </c>
      <c r="D53" s="473"/>
      <c r="E53" s="473"/>
      <c r="F53" s="473"/>
      <c r="G53" s="473"/>
      <c r="H53" s="473"/>
      <c r="I53" s="473"/>
      <c r="J53" s="473"/>
      <c r="K53" s="466"/>
    </row>
    <row r="54" spans="2:11" x14ac:dyDescent="0.2">
      <c r="B54" s="318">
        <v>7</v>
      </c>
      <c r="C54" s="595" t="s">
        <v>2199</v>
      </c>
      <c r="D54" s="473"/>
      <c r="E54" s="473"/>
      <c r="F54" s="473"/>
      <c r="G54" s="473"/>
      <c r="H54" s="473"/>
      <c r="I54" s="473"/>
      <c r="J54" s="473"/>
      <c r="K54" s="466"/>
    </row>
    <row r="55" spans="2:11" x14ac:dyDescent="0.2">
      <c r="B55" s="318">
        <v>8</v>
      </c>
      <c r="C55" s="595" t="s">
        <v>2200</v>
      </c>
      <c r="D55" s="473"/>
      <c r="E55" s="473"/>
      <c r="F55" s="473"/>
      <c r="G55" s="473"/>
      <c r="H55" s="473"/>
      <c r="I55" s="473"/>
      <c r="J55" s="473"/>
      <c r="K55" s="466"/>
    </row>
    <row r="58" spans="2:11" ht="16" x14ac:dyDescent="0.2">
      <c r="B58" s="319" t="s">
        <v>2201</v>
      </c>
    </row>
    <row r="60" spans="2:11" x14ac:dyDescent="0.2">
      <c r="B60" s="595" t="s">
        <v>2202</v>
      </c>
      <c r="C60" s="473"/>
      <c r="D60" s="473"/>
      <c r="E60" s="473"/>
      <c r="F60" s="473"/>
      <c r="G60" s="473"/>
      <c r="H60" s="473"/>
      <c r="I60" s="473"/>
      <c r="J60" s="473"/>
      <c r="K60" s="466"/>
    </row>
    <row r="61" spans="2:11" x14ac:dyDescent="0.2">
      <c r="B61" s="595" t="s">
        <v>2203</v>
      </c>
      <c r="C61" s="473"/>
      <c r="D61" s="473"/>
      <c r="E61" s="473"/>
      <c r="F61" s="473"/>
      <c r="G61" s="473"/>
      <c r="H61" s="473"/>
      <c r="I61" s="473"/>
      <c r="J61" s="473"/>
      <c r="K61" s="466"/>
    </row>
    <row r="62" spans="2:11" x14ac:dyDescent="0.2">
      <c r="B62" s="595" t="s">
        <v>2204</v>
      </c>
      <c r="C62" s="473"/>
      <c r="D62" s="473"/>
      <c r="E62" s="473"/>
      <c r="F62" s="473"/>
      <c r="G62" s="473"/>
      <c r="H62" s="473"/>
      <c r="I62" s="473"/>
      <c r="J62" s="473"/>
      <c r="K62" s="466"/>
    </row>
    <row r="63" spans="2:11" x14ac:dyDescent="0.2">
      <c r="B63" s="595" t="s">
        <v>2205</v>
      </c>
      <c r="C63" s="473"/>
      <c r="D63" s="473"/>
      <c r="E63" s="473"/>
      <c r="F63" s="473"/>
      <c r="G63" s="473"/>
      <c r="H63" s="473"/>
      <c r="I63" s="473"/>
      <c r="J63" s="473"/>
      <c r="K63" s="466"/>
    </row>
    <row r="64" spans="2:11" x14ac:dyDescent="0.2">
      <c r="B64" s="595" t="s">
        <v>2206</v>
      </c>
      <c r="C64" s="473"/>
      <c r="D64" s="473"/>
      <c r="E64" s="473"/>
      <c r="F64" s="473"/>
      <c r="G64" s="473"/>
      <c r="H64" s="473"/>
      <c r="I64" s="473"/>
      <c r="J64" s="473"/>
      <c r="K64" s="466"/>
    </row>
    <row r="65" spans="2:11" x14ac:dyDescent="0.2">
      <c r="B65" s="595" t="s">
        <v>2207</v>
      </c>
      <c r="C65" s="473"/>
      <c r="D65" s="473"/>
      <c r="E65" s="473"/>
      <c r="F65" s="473"/>
      <c r="G65" s="473"/>
      <c r="H65" s="473"/>
      <c r="I65" s="473"/>
      <c r="J65" s="473"/>
      <c r="K65" s="466"/>
    </row>
  </sheetData>
  <mergeCells count="21">
    <mergeCell ref="B65:K65"/>
    <mergeCell ref="B64:K64"/>
    <mergeCell ref="B63:K63"/>
    <mergeCell ref="C51:K51"/>
    <mergeCell ref="B62:K62"/>
    <mergeCell ref="B44:F44"/>
    <mergeCell ref="I19:K19"/>
    <mergeCell ref="B34:F34"/>
    <mergeCell ref="B19:F19"/>
    <mergeCell ref="C53:K53"/>
    <mergeCell ref="I34:K34"/>
    <mergeCell ref="C54:K54"/>
    <mergeCell ref="C55:K55"/>
    <mergeCell ref="C50:K50"/>
    <mergeCell ref="B2:K2"/>
    <mergeCell ref="C49:K49"/>
    <mergeCell ref="B60:K60"/>
    <mergeCell ref="B61:K61"/>
    <mergeCell ref="B4:K4"/>
    <mergeCell ref="C52:K52"/>
    <mergeCell ref="C48:K48"/>
  </mergeCells>
  <printOptions horizontalCentered="1"/>
  <pageMargins left="0.59" right="0.59" top="0.59" bottom="0.59" header="0.3" footer="0.3"/>
  <pageSetup paperSize="8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2:K80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2" max="2" width="5" customWidth="1"/>
    <col min="3" max="3" width="22" customWidth="1"/>
    <col min="4" max="4" width="36" customWidth="1"/>
    <col min="5" max="5" width="16" customWidth="1"/>
    <col min="6" max="6" width="14" customWidth="1"/>
    <col min="7" max="7" width="40" customWidth="1"/>
    <col min="8" max="8" width="10" customWidth="1"/>
    <col min="9" max="9" width="14" customWidth="1"/>
    <col min="10" max="10" width="30" customWidth="1"/>
  </cols>
  <sheetData>
    <row r="2" spans="2:11" ht="21" x14ac:dyDescent="0.25">
      <c r="B2" s="594" t="s">
        <v>2208</v>
      </c>
      <c r="C2" s="468"/>
      <c r="D2" s="468"/>
      <c r="E2" s="468"/>
      <c r="F2" s="468"/>
      <c r="G2" s="468"/>
      <c r="H2" s="468"/>
      <c r="I2" s="468"/>
      <c r="J2" s="468"/>
      <c r="K2" s="468"/>
    </row>
    <row r="4" spans="2:11" x14ac:dyDescent="0.2">
      <c r="B4" s="551" t="s">
        <v>2209</v>
      </c>
      <c r="C4" s="468"/>
      <c r="D4" s="468"/>
      <c r="E4" s="468"/>
      <c r="F4" s="468"/>
      <c r="G4" s="468"/>
      <c r="H4" s="468"/>
      <c r="I4" s="468"/>
      <c r="J4" s="468"/>
      <c r="K4" s="468"/>
    </row>
    <row r="6" spans="2:11" ht="16" x14ac:dyDescent="0.2">
      <c r="B6" s="240" t="s">
        <v>2210</v>
      </c>
    </row>
    <row r="8" spans="2:11" ht="30" x14ac:dyDescent="0.2">
      <c r="B8" s="241" t="s">
        <v>61</v>
      </c>
      <c r="C8" s="241" t="s">
        <v>2211</v>
      </c>
      <c r="D8" s="241" t="s">
        <v>2212</v>
      </c>
      <c r="E8" s="241" t="s">
        <v>2213</v>
      </c>
      <c r="F8" s="241" t="s">
        <v>2214</v>
      </c>
      <c r="G8" s="241" t="s">
        <v>2215</v>
      </c>
    </row>
    <row r="9" spans="2:11" ht="32" customHeight="1" x14ac:dyDescent="0.2">
      <c r="B9" s="318">
        <v>1</v>
      </c>
      <c r="C9" s="243" t="s">
        <v>2216</v>
      </c>
      <c r="D9" s="243" t="s">
        <v>2217</v>
      </c>
      <c r="E9" s="243" t="s">
        <v>2218</v>
      </c>
      <c r="F9" s="243" t="s">
        <v>2219</v>
      </c>
      <c r="G9" s="242" t="s">
        <v>2220</v>
      </c>
    </row>
    <row r="10" spans="2:11" ht="32" customHeight="1" x14ac:dyDescent="0.2">
      <c r="B10" s="318">
        <v>2</v>
      </c>
      <c r="C10" s="243" t="s">
        <v>2221</v>
      </c>
      <c r="D10" s="243" t="s">
        <v>2222</v>
      </c>
      <c r="E10" s="243" t="s">
        <v>2223</v>
      </c>
      <c r="F10" s="243" t="s">
        <v>2224</v>
      </c>
      <c r="G10" s="242" t="s">
        <v>2220</v>
      </c>
    </row>
    <row r="11" spans="2:11" ht="32" customHeight="1" x14ac:dyDescent="0.2">
      <c r="B11" s="318">
        <v>3</v>
      </c>
      <c r="C11" s="243" t="s">
        <v>2225</v>
      </c>
      <c r="D11" s="243" t="s">
        <v>2226</v>
      </c>
      <c r="E11" s="243" t="s">
        <v>2227</v>
      </c>
      <c r="F11" s="243" t="s">
        <v>2228</v>
      </c>
      <c r="G11" s="242" t="s">
        <v>2229</v>
      </c>
    </row>
    <row r="12" spans="2:11" ht="32" customHeight="1" x14ac:dyDescent="0.2">
      <c r="B12" s="318">
        <v>4</v>
      </c>
      <c r="C12" s="243" t="s">
        <v>2230</v>
      </c>
      <c r="D12" s="243" t="s">
        <v>2231</v>
      </c>
      <c r="E12" s="243" t="s">
        <v>2232</v>
      </c>
      <c r="F12" s="243" t="s">
        <v>2233</v>
      </c>
      <c r="G12" s="242" t="s">
        <v>2234</v>
      </c>
    </row>
    <row r="13" spans="2:11" ht="32" customHeight="1" x14ac:dyDescent="0.2">
      <c r="B13" s="318">
        <v>5</v>
      </c>
      <c r="C13" s="243" t="s">
        <v>2235</v>
      </c>
      <c r="D13" s="243" t="s">
        <v>2236</v>
      </c>
      <c r="E13" s="243" t="s">
        <v>2237</v>
      </c>
      <c r="F13" s="243" t="s">
        <v>2238</v>
      </c>
      <c r="G13" s="242" t="s">
        <v>2239</v>
      </c>
    </row>
    <row r="14" spans="2:11" ht="32" customHeight="1" x14ac:dyDescent="0.2">
      <c r="B14" s="318">
        <v>6</v>
      </c>
      <c r="C14" s="243" t="s">
        <v>2240</v>
      </c>
      <c r="D14" s="243" t="s">
        <v>2241</v>
      </c>
      <c r="E14" s="243" t="s">
        <v>2242</v>
      </c>
      <c r="F14" s="243" t="s">
        <v>2243</v>
      </c>
      <c r="G14" s="242" t="s">
        <v>2244</v>
      </c>
    </row>
    <row r="17" spans="2:10" ht="16" x14ac:dyDescent="0.2">
      <c r="B17" s="240" t="s">
        <v>2245</v>
      </c>
    </row>
    <row r="19" spans="2:10" x14ac:dyDescent="0.2">
      <c r="B19" s="241" t="s">
        <v>61</v>
      </c>
      <c r="C19" s="241" t="s">
        <v>21</v>
      </c>
      <c r="D19" s="241" t="s">
        <v>2246</v>
      </c>
      <c r="E19" s="241" t="s">
        <v>2247</v>
      </c>
      <c r="F19" s="241" t="s">
        <v>2248</v>
      </c>
      <c r="G19" s="241" t="s">
        <v>2249</v>
      </c>
      <c r="H19" s="241" t="s">
        <v>1950</v>
      </c>
      <c r="I19" s="241" t="s">
        <v>475</v>
      </c>
      <c r="J19" s="241" t="s">
        <v>2250</v>
      </c>
    </row>
    <row r="20" spans="2:10" ht="28" customHeight="1" x14ac:dyDescent="0.2">
      <c r="B20" s="318">
        <v>1</v>
      </c>
      <c r="C20" s="314" t="s">
        <v>2251</v>
      </c>
      <c r="D20" s="315">
        <v>3</v>
      </c>
      <c r="E20" s="315">
        <v>5</v>
      </c>
      <c r="F20" s="315">
        <v>4</v>
      </c>
      <c r="G20" s="332">
        <v>12</v>
      </c>
      <c r="H20" s="242" t="s">
        <v>97</v>
      </c>
      <c r="I20" s="333" t="s">
        <v>2252</v>
      </c>
      <c r="J20" s="322" t="s">
        <v>2253</v>
      </c>
    </row>
    <row r="21" spans="2:10" ht="28" customHeight="1" x14ac:dyDescent="0.2">
      <c r="B21" s="318">
        <v>2</v>
      </c>
      <c r="C21" s="314" t="s">
        <v>2254</v>
      </c>
      <c r="D21" s="315">
        <v>4.5</v>
      </c>
      <c r="E21" s="315">
        <v>12.5</v>
      </c>
      <c r="F21" s="315">
        <v>13</v>
      </c>
      <c r="G21" s="332">
        <v>30</v>
      </c>
      <c r="H21" s="242" t="s">
        <v>2255</v>
      </c>
      <c r="I21" s="333" t="s">
        <v>2256</v>
      </c>
      <c r="J21" s="322" t="s">
        <v>2257</v>
      </c>
    </row>
    <row r="22" spans="2:10" ht="28" customHeight="1" x14ac:dyDescent="0.2">
      <c r="B22" s="318">
        <v>3</v>
      </c>
      <c r="C22" s="314" t="s">
        <v>2258</v>
      </c>
      <c r="D22" s="315">
        <v>22</v>
      </c>
      <c r="E22" s="315">
        <v>28</v>
      </c>
      <c r="F22" s="315">
        <v>30</v>
      </c>
      <c r="G22" s="332">
        <v>27</v>
      </c>
      <c r="H22" s="242" t="s">
        <v>68</v>
      </c>
      <c r="I22" s="333" t="s">
        <v>2256</v>
      </c>
      <c r="J22" s="322" t="s">
        <v>2259</v>
      </c>
    </row>
    <row r="23" spans="2:10" ht="28" customHeight="1" x14ac:dyDescent="0.2">
      <c r="B23" s="318">
        <v>4</v>
      </c>
      <c r="C23" s="314" t="s">
        <v>2260</v>
      </c>
      <c r="D23" s="315">
        <v>400</v>
      </c>
      <c r="E23" s="315">
        <v>1320</v>
      </c>
      <c r="F23" s="315">
        <v>1100</v>
      </c>
      <c r="G23" s="332">
        <v>2820</v>
      </c>
      <c r="H23" s="242" t="s">
        <v>14</v>
      </c>
      <c r="I23" s="333" t="s">
        <v>2256</v>
      </c>
      <c r="J23" s="322" t="s">
        <v>2261</v>
      </c>
    </row>
    <row r="24" spans="2:10" ht="28" customHeight="1" x14ac:dyDescent="0.2">
      <c r="B24" s="318">
        <v>5</v>
      </c>
      <c r="C24" s="314" t="s">
        <v>2262</v>
      </c>
      <c r="D24" s="315">
        <v>180</v>
      </c>
      <c r="E24" s="315">
        <v>320</v>
      </c>
      <c r="F24" s="315">
        <v>280</v>
      </c>
      <c r="G24" s="332">
        <v>260</v>
      </c>
      <c r="H24" s="242" t="s">
        <v>2263</v>
      </c>
      <c r="I24" s="333" t="s">
        <v>2264</v>
      </c>
      <c r="J24" s="322" t="s">
        <v>2265</v>
      </c>
    </row>
    <row r="25" spans="2:10" ht="28" customHeight="1" x14ac:dyDescent="0.2">
      <c r="B25" s="318">
        <v>6</v>
      </c>
      <c r="C25" s="314" t="s">
        <v>2266</v>
      </c>
      <c r="D25" s="315">
        <v>55</v>
      </c>
      <c r="E25" s="315">
        <v>185</v>
      </c>
      <c r="F25" s="315">
        <v>178</v>
      </c>
      <c r="G25" s="332">
        <v>418</v>
      </c>
      <c r="H25" s="242" t="s">
        <v>14</v>
      </c>
      <c r="I25" s="333" t="s">
        <v>2267</v>
      </c>
      <c r="J25" s="322" t="s">
        <v>2268</v>
      </c>
    </row>
    <row r="26" spans="2:10" ht="28" customHeight="1" x14ac:dyDescent="0.2">
      <c r="B26" s="318">
        <v>7</v>
      </c>
      <c r="C26" s="314" t="s">
        <v>2269</v>
      </c>
      <c r="D26" s="315">
        <v>100</v>
      </c>
      <c r="E26" s="315">
        <v>100</v>
      </c>
      <c r="F26" s="315">
        <v>100</v>
      </c>
      <c r="G26" s="332">
        <v>100</v>
      </c>
      <c r="H26" s="242" t="s">
        <v>68</v>
      </c>
      <c r="I26" s="333" t="s">
        <v>2270</v>
      </c>
      <c r="J26" s="322" t="s">
        <v>2271</v>
      </c>
    </row>
    <row r="27" spans="2:10" ht="28" customHeight="1" x14ac:dyDescent="0.2">
      <c r="B27" s="318">
        <v>8</v>
      </c>
      <c r="C27" s="314" t="s">
        <v>2272</v>
      </c>
      <c r="D27" s="315">
        <v>1</v>
      </c>
      <c r="E27" s="315">
        <v>3</v>
      </c>
      <c r="F27" s="315">
        <v>4</v>
      </c>
      <c r="G27" s="332">
        <v>8</v>
      </c>
      <c r="H27" s="242" t="s">
        <v>2273</v>
      </c>
      <c r="I27" s="333" t="s">
        <v>2270</v>
      </c>
      <c r="J27" s="322" t="s">
        <v>2274</v>
      </c>
    </row>
    <row r="28" spans="2:10" ht="28" customHeight="1" x14ac:dyDescent="0.2">
      <c r="B28" s="318">
        <v>9</v>
      </c>
      <c r="C28" s="314" t="s">
        <v>2275</v>
      </c>
      <c r="D28" s="315">
        <v>280</v>
      </c>
      <c r="E28" s="315">
        <v>420</v>
      </c>
      <c r="F28" s="315">
        <v>340</v>
      </c>
      <c r="G28" s="332">
        <v>1040</v>
      </c>
      <c r="H28" s="242" t="s">
        <v>14</v>
      </c>
      <c r="I28" s="333" t="s">
        <v>2252</v>
      </c>
      <c r="J28" s="322" t="s">
        <v>2276</v>
      </c>
    </row>
    <row r="29" spans="2:10" ht="28" customHeight="1" x14ac:dyDescent="0.2">
      <c r="B29" s="318">
        <v>10</v>
      </c>
      <c r="C29" s="314" t="s">
        <v>2277</v>
      </c>
      <c r="D29" s="315">
        <v>15</v>
      </c>
      <c r="E29" s="315">
        <v>25</v>
      </c>
      <c r="F29" s="315">
        <v>35</v>
      </c>
      <c r="G29" s="332">
        <v>25</v>
      </c>
      <c r="H29" s="242" t="s">
        <v>68</v>
      </c>
      <c r="I29" s="333" t="s">
        <v>2252</v>
      </c>
      <c r="J29" s="322" t="s">
        <v>2278</v>
      </c>
    </row>
    <row r="32" spans="2:10" ht="16" x14ac:dyDescent="0.2">
      <c r="B32" s="240" t="s">
        <v>2279</v>
      </c>
    </row>
    <row r="34" spans="2:7" x14ac:dyDescent="0.2">
      <c r="B34" s="241" t="s">
        <v>61</v>
      </c>
      <c r="C34" s="241" t="s">
        <v>475</v>
      </c>
      <c r="D34" s="241" t="s">
        <v>2280</v>
      </c>
      <c r="E34" s="241" t="s">
        <v>2281</v>
      </c>
      <c r="F34" s="241" t="s">
        <v>2282</v>
      </c>
      <c r="G34" s="241" t="s">
        <v>2283</v>
      </c>
    </row>
    <row r="35" spans="2:7" x14ac:dyDescent="0.2">
      <c r="B35" s="318">
        <v>1</v>
      </c>
      <c r="C35" s="314" t="s">
        <v>2252</v>
      </c>
      <c r="D35" s="243" t="s">
        <v>2284</v>
      </c>
      <c r="E35" s="334">
        <v>520</v>
      </c>
      <c r="F35" s="335">
        <v>0.5</v>
      </c>
      <c r="G35" s="322" t="s">
        <v>2285</v>
      </c>
    </row>
    <row r="36" spans="2:7" ht="24" x14ac:dyDescent="0.2">
      <c r="B36" s="318">
        <v>2</v>
      </c>
      <c r="C36" s="314" t="s">
        <v>2218</v>
      </c>
      <c r="D36" s="243" t="s">
        <v>2286</v>
      </c>
      <c r="E36" s="334">
        <v>220</v>
      </c>
      <c r="F36" s="335">
        <v>0.21153846153846151</v>
      </c>
      <c r="G36" s="322" t="s">
        <v>2287</v>
      </c>
    </row>
    <row r="37" spans="2:7" ht="26" x14ac:dyDescent="0.2">
      <c r="B37" s="318">
        <v>3</v>
      </c>
      <c r="C37" s="314" t="s">
        <v>2288</v>
      </c>
      <c r="D37" s="243" t="s">
        <v>2289</v>
      </c>
      <c r="E37" s="334">
        <v>150</v>
      </c>
      <c r="F37" s="335">
        <v>0.14423076923076919</v>
      </c>
      <c r="G37" s="322" t="s">
        <v>2290</v>
      </c>
    </row>
    <row r="38" spans="2:7" x14ac:dyDescent="0.2">
      <c r="B38" s="318">
        <v>4</v>
      </c>
      <c r="C38" s="314" t="s">
        <v>2291</v>
      </c>
      <c r="D38" s="243" t="s">
        <v>2292</v>
      </c>
      <c r="E38" s="334">
        <v>90</v>
      </c>
      <c r="F38" s="335">
        <v>8.6538461538461536E-2</v>
      </c>
      <c r="G38" s="322" t="s">
        <v>2293</v>
      </c>
    </row>
    <row r="39" spans="2:7" x14ac:dyDescent="0.2">
      <c r="B39" s="318">
        <v>5</v>
      </c>
      <c r="C39" s="314" t="s">
        <v>2294</v>
      </c>
      <c r="D39" s="243" t="s">
        <v>2295</v>
      </c>
      <c r="E39" s="334">
        <v>60</v>
      </c>
      <c r="F39" s="335">
        <v>5.7692307692307702E-2</v>
      </c>
      <c r="G39" s="322" t="s">
        <v>2296</v>
      </c>
    </row>
    <row r="40" spans="2:7" x14ac:dyDescent="0.2">
      <c r="B40" s="336" t="s">
        <v>792</v>
      </c>
      <c r="C40" s="283" t="s">
        <v>2297</v>
      </c>
      <c r="D40" s="320" t="s">
        <v>401</v>
      </c>
      <c r="E40" s="337">
        <v>1040</v>
      </c>
      <c r="F40" s="338">
        <v>1</v>
      </c>
      <c r="G40" s="293" t="s">
        <v>2298</v>
      </c>
    </row>
    <row r="43" spans="2:7" ht="16" x14ac:dyDescent="0.2">
      <c r="B43" s="240" t="s">
        <v>2299</v>
      </c>
    </row>
    <row r="45" spans="2:7" x14ac:dyDescent="0.2">
      <c r="B45" s="241" t="s">
        <v>61</v>
      </c>
      <c r="C45" s="241" t="s">
        <v>2300</v>
      </c>
      <c r="D45" s="241" t="s">
        <v>825</v>
      </c>
    </row>
    <row r="46" spans="2:7" ht="28" customHeight="1" x14ac:dyDescent="0.2">
      <c r="B46" s="318">
        <v>1</v>
      </c>
      <c r="C46" s="314" t="s">
        <v>2301</v>
      </c>
      <c r="D46" s="243" t="s">
        <v>2302</v>
      </c>
    </row>
    <row r="47" spans="2:7" ht="28" customHeight="1" x14ac:dyDescent="0.2">
      <c r="B47" s="318">
        <v>2</v>
      </c>
      <c r="C47" s="314" t="s">
        <v>2303</v>
      </c>
      <c r="D47" s="243" t="s">
        <v>2304</v>
      </c>
    </row>
    <row r="48" spans="2:7" ht="28" customHeight="1" x14ac:dyDescent="0.2">
      <c r="B48" s="318">
        <v>3</v>
      </c>
      <c r="C48" s="314" t="s">
        <v>2305</v>
      </c>
      <c r="D48" s="243" t="s">
        <v>2306</v>
      </c>
    </row>
    <row r="49" spans="2:6" ht="28" customHeight="1" x14ac:dyDescent="0.2">
      <c r="B49" s="318">
        <v>4</v>
      </c>
      <c r="C49" s="314" t="s">
        <v>2307</v>
      </c>
      <c r="D49" s="243" t="s">
        <v>2308</v>
      </c>
    </row>
    <row r="50" spans="2:6" ht="28" customHeight="1" x14ac:dyDescent="0.2">
      <c r="B50" s="318">
        <v>5</v>
      </c>
      <c r="C50" s="314" t="s">
        <v>2309</v>
      </c>
      <c r="D50" s="243" t="s">
        <v>2310</v>
      </c>
    </row>
    <row r="51" spans="2:6" ht="28" customHeight="1" x14ac:dyDescent="0.2">
      <c r="B51" s="318">
        <v>6</v>
      </c>
      <c r="C51" s="314" t="s">
        <v>2311</v>
      </c>
      <c r="D51" s="243" t="s">
        <v>2312</v>
      </c>
    </row>
    <row r="52" spans="2:6" ht="28" customHeight="1" x14ac:dyDescent="0.2">
      <c r="B52" s="318">
        <v>7</v>
      </c>
      <c r="C52" s="314" t="s">
        <v>2313</v>
      </c>
      <c r="D52" s="243" t="s">
        <v>2314</v>
      </c>
    </row>
    <row r="55" spans="2:6" ht="16" x14ac:dyDescent="0.2">
      <c r="B55" s="240" t="s">
        <v>2315</v>
      </c>
    </row>
    <row r="57" spans="2:6" x14ac:dyDescent="0.2">
      <c r="B57" s="241" t="s">
        <v>61</v>
      </c>
      <c r="C57" s="241" t="s">
        <v>2316</v>
      </c>
      <c r="D57" s="241" t="s">
        <v>825</v>
      </c>
      <c r="E57" s="241" t="s">
        <v>2317</v>
      </c>
      <c r="F57" s="241" t="s">
        <v>312</v>
      </c>
    </row>
    <row r="58" spans="2:6" ht="26" customHeight="1" x14ac:dyDescent="0.2">
      <c r="B58" s="318">
        <v>1</v>
      </c>
      <c r="C58" s="314" t="s">
        <v>2318</v>
      </c>
      <c r="D58" s="322" t="s">
        <v>2319</v>
      </c>
      <c r="E58" s="333" t="s">
        <v>2218</v>
      </c>
      <c r="F58" s="339" t="s">
        <v>2320</v>
      </c>
    </row>
    <row r="59" spans="2:6" ht="26" customHeight="1" x14ac:dyDescent="0.2">
      <c r="B59" s="318">
        <v>2</v>
      </c>
      <c r="C59" s="314" t="s">
        <v>2321</v>
      </c>
      <c r="D59" s="322" t="s">
        <v>2322</v>
      </c>
      <c r="E59" s="333" t="s">
        <v>2218</v>
      </c>
      <c r="F59" s="339" t="s">
        <v>2320</v>
      </c>
    </row>
    <row r="60" spans="2:6" ht="26" customHeight="1" x14ac:dyDescent="0.2">
      <c r="B60" s="318">
        <v>3</v>
      </c>
      <c r="C60" s="314" t="s">
        <v>2294</v>
      </c>
      <c r="D60" s="322" t="s">
        <v>2323</v>
      </c>
      <c r="E60" s="333" t="s">
        <v>2267</v>
      </c>
      <c r="F60" s="339" t="s">
        <v>2324</v>
      </c>
    </row>
    <row r="61" spans="2:6" ht="26" customHeight="1" x14ac:dyDescent="0.2">
      <c r="B61" s="318">
        <v>4</v>
      </c>
      <c r="C61" s="314" t="s">
        <v>2325</v>
      </c>
      <c r="D61" s="322" t="s">
        <v>2326</v>
      </c>
      <c r="E61" s="333" t="s">
        <v>2327</v>
      </c>
      <c r="F61" s="339" t="s">
        <v>2328</v>
      </c>
    </row>
    <row r="62" spans="2:6" ht="26" customHeight="1" x14ac:dyDescent="0.2">
      <c r="B62" s="318">
        <v>5</v>
      </c>
      <c r="C62" s="314" t="s">
        <v>2329</v>
      </c>
      <c r="D62" s="322" t="s">
        <v>2330</v>
      </c>
      <c r="E62" s="333" t="s">
        <v>2331</v>
      </c>
      <c r="F62" s="339" t="s">
        <v>2328</v>
      </c>
    </row>
    <row r="63" spans="2:6" ht="26" customHeight="1" x14ac:dyDescent="0.2">
      <c r="B63" s="318">
        <v>6</v>
      </c>
      <c r="C63" s="314" t="s">
        <v>2332</v>
      </c>
      <c r="D63" s="322" t="s">
        <v>2333</v>
      </c>
      <c r="E63" s="333" t="s">
        <v>2334</v>
      </c>
      <c r="F63" s="339" t="s">
        <v>2328</v>
      </c>
    </row>
    <row r="64" spans="2:6" ht="26" customHeight="1" x14ac:dyDescent="0.2">
      <c r="B64" s="318">
        <v>7</v>
      </c>
      <c r="C64" s="314" t="s">
        <v>2335</v>
      </c>
      <c r="D64" s="322" t="s">
        <v>2336</v>
      </c>
      <c r="E64" s="333" t="s">
        <v>2337</v>
      </c>
      <c r="F64" s="339" t="s">
        <v>2328</v>
      </c>
    </row>
    <row r="65" spans="2:11" ht="26" customHeight="1" x14ac:dyDescent="0.2">
      <c r="B65" s="318">
        <v>8</v>
      </c>
      <c r="C65" s="314" t="s">
        <v>2338</v>
      </c>
      <c r="D65" s="322" t="s">
        <v>2339</v>
      </c>
      <c r="E65" s="333" t="s">
        <v>2252</v>
      </c>
      <c r="F65" s="339" t="s">
        <v>2324</v>
      </c>
    </row>
    <row r="66" spans="2:11" ht="26" customHeight="1" x14ac:dyDescent="0.2">
      <c r="B66" s="318">
        <v>9</v>
      </c>
      <c r="C66" s="314" t="s">
        <v>2340</v>
      </c>
      <c r="D66" s="322" t="s">
        <v>2341</v>
      </c>
      <c r="E66" s="333" t="s">
        <v>2342</v>
      </c>
      <c r="F66" s="339" t="s">
        <v>2343</v>
      </c>
    </row>
    <row r="67" spans="2:11" ht="26" customHeight="1" x14ac:dyDescent="0.2">
      <c r="B67" s="318">
        <v>10</v>
      </c>
      <c r="C67" s="314" t="s">
        <v>2344</v>
      </c>
      <c r="D67" s="322" t="s">
        <v>2345</v>
      </c>
      <c r="E67" s="333" t="s">
        <v>2346</v>
      </c>
      <c r="F67" s="339" t="s">
        <v>2347</v>
      </c>
    </row>
    <row r="70" spans="2:11" ht="16" x14ac:dyDescent="0.2">
      <c r="B70" s="319" t="s">
        <v>1939</v>
      </c>
    </row>
    <row r="72" spans="2:11" x14ac:dyDescent="0.2">
      <c r="B72" s="595" t="s">
        <v>2348</v>
      </c>
      <c r="C72" s="473"/>
      <c r="D72" s="473"/>
      <c r="E72" s="473"/>
      <c r="F72" s="473"/>
      <c r="G72" s="473"/>
      <c r="H72" s="473"/>
      <c r="I72" s="473"/>
      <c r="J72" s="473"/>
      <c r="K72" s="466"/>
    </row>
    <row r="73" spans="2:11" x14ac:dyDescent="0.2">
      <c r="B73" s="595" t="s">
        <v>2349</v>
      </c>
      <c r="C73" s="473"/>
      <c r="D73" s="473"/>
      <c r="E73" s="473"/>
      <c r="F73" s="473"/>
      <c r="G73" s="473"/>
      <c r="H73" s="473"/>
      <c r="I73" s="473"/>
      <c r="J73" s="473"/>
      <c r="K73" s="466"/>
    </row>
    <row r="74" spans="2:11" x14ac:dyDescent="0.2">
      <c r="B74" s="595" t="s">
        <v>2350</v>
      </c>
      <c r="C74" s="473"/>
      <c r="D74" s="473"/>
      <c r="E74" s="473"/>
      <c r="F74" s="473"/>
      <c r="G74" s="473"/>
      <c r="H74" s="473"/>
      <c r="I74" s="473"/>
      <c r="J74" s="473"/>
      <c r="K74" s="466"/>
    </row>
    <row r="75" spans="2:11" x14ac:dyDescent="0.2">
      <c r="B75" s="595" t="s">
        <v>2351</v>
      </c>
      <c r="C75" s="473"/>
      <c r="D75" s="473"/>
      <c r="E75" s="473"/>
      <c r="F75" s="473"/>
      <c r="G75" s="473"/>
      <c r="H75" s="473"/>
      <c r="I75" s="473"/>
      <c r="J75" s="473"/>
      <c r="K75" s="466"/>
    </row>
    <row r="76" spans="2:11" x14ac:dyDescent="0.2">
      <c r="B76" s="595" t="s">
        <v>2352</v>
      </c>
      <c r="C76" s="473"/>
      <c r="D76" s="473"/>
      <c r="E76" s="473"/>
      <c r="F76" s="473"/>
      <c r="G76" s="473"/>
      <c r="H76" s="473"/>
      <c r="I76" s="473"/>
      <c r="J76" s="473"/>
      <c r="K76" s="466"/>
    </row>
    <row r="77" spans="2:11" x14ac:dyDescent="0.2">
      <c r="B77" s="595" t="s">
        <v>2353</v>
      </c>
      <c r="C77" s="473"/>
      <c r="D77" s="473"/>
      <c r="E77" s="473"/>
      <c r="F77" s="473"/>
      <c r="G77" s="473"/>
      <c r="H77" s="473"/>
      <c r="I77" s="473"/>
      <c r="J77" s="473"/>
      <c r="K77" s="466"/>
    </row>
    <row r="78" spans="2:11" x14ac:dyDescent="0.2">
      <c r="B78" s="595" t="s">
        <v>2354</v>
      </c>
      <c r="C78" s="473"/>
      <c r="D78" s="473"/>
      <c r="E78" s="473"/>
      <c r="F78" s="473"/>
      <c r="G78" s="473"/>
      <c r="H78" s="473"/>
      <c r="I78" s="473"/>
      <c r="J78" s="473"/>
      <c r="K78" s="466"/>
    </row>
    <row r="79" spans="2:11" x14ac:dyDescent="0.2">
      <c r="B79" s="595" t="s">
        <v>2355</v>
      </c>
      <c r="C79" s="473"/>
      <c r="D79" s="473"/>
      <c r="E79" s="473"/>
      <c r="F79" s="473"/>
      <c r="G79" s="473"/>
      <c r="H79" s="473"/>
      <c r="I79" s="473"/>
      <c r="J79" s="473"/>
      <c r="K79" s="466"/>
    </row>
    <row r="80" spans="2:11" x14ac:dyDescent="0.2">
      <c r="B80" s="595" t="s">
        <v>2356</v>
      </c>
      <c r="C80" s="473"/>
      <c r="D80" s="473"/>
      <c r="E80" s="473"/>
      <c r="F80" s="473"/>
      <c r="G80" s="473"/>
      <c r="H80" s="473"/>
      <c r="I80" s="473"/>
      <c r="J80" s="473"/>
      <c r="K80" s="466"/>
    </row>
  </sheetData>
  <mergeCells count="11">
    <mergeCell ref="B2:K2"/>
    <mergeCell ref="B78:K78"/>
    <mergeCell ref="B72:K72"/>
    <mergeCell ref="B80:K80"/>
    <mergeCell ref="B76:K76"/>
    <mergeCell ref="B79:K79"/>
    <mergeCell ref="B4:K4"/>
    <mergeCell ref="B74:K74"/>
    <mergeCell ref="B75:K75"/>
    <mergeCell ref="B73:K73"/>
    <mergeCell ref="B77:K77"/>
  </mergeCells>
  <printOptions horizontalCentered="1"/>
  <pageMargins left="0.59" right="0.59" top="0.59" bottom="0.59" header="0.3" footer="0.3"/>
  <pageSetup paperSize="8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2:T56"/>
  <sheetViews>
    <sheetView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4" width="16" customWidth="1"/>
    <col min="5" max="8" width="14" customWidth="1"/>
    <col min="9" max="19" width="9" customWidth="1"/>
  </cols>
  <sheetData>
    <row r="2" spans="2:20" ht="21" x14ac:dyDescent="0.25">
      <c r="B2" s="594" t="s">
        <v>2357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</row>
    <row r="4" spans="2:20" x14ac:dyDescent="0.2">
      <c r="B4" s="551" t="s">
        <v>2358</v>
      </c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</row>
    <row r="6" spans="2:20" ht="16" x14ac:dyDescent="0.2">
      <c r="B6" s="240" t="s">
        <v>2359</v>
      </c>
    </row>
    <row r="8" spans="2:20" x14ac:dyDescent="0.2">
      <c r="B8" s="241" t="s">
        <v>61</v>
      </c>
      <c r="C8" s="241" t="s">
        <v>2360</v>
      </c>
      <c r="D8" s="241" t="s">
        <v>2361</v>
      </c>
      <c r="E8" s="241" t="s">
        <v>2362</v>
      </c>
      <c r="F8" s="241" t="s">
        <v>2363</v>
      </c>
      <c r="G8" s="241" t="s">
        <v>2364</v>
      </c>
      <c r="H8" s="241" t="s">
        <v>448</v>
      </c>
    </row>
    <row r="9" spans="2:20" ht="32" customHeight="1" x14ac:dyDescent="0.2">
      <c r="B9" s="318">
        <v>1</v>
      </c>
      <c r="C9" s="243" t="s">
        <v>2365</v>
      </c>
      <c r="D9" s="243" t="s">
        <v>2366</v>
      </c>
      <c r="E9" s="242" t="s">
        <v>2367</v>
      </c>
      <c r="F9" s="242" t="s">
        <v>2368</v>
      </c>
      <c r="G9" s="242" t="s">
        <v>2369</v>
      </c>
      <c r="H9" s="322" t="s">
        <v>2370</v>
      </c>
    </row>
    <row r="10" spans="2:20" ht="32" customHeight="1" x14ac:dyDescent="0.2">
      <c r="B10" s="318">
        <v>2</v>
      </c>
      <c r="C10" s="243" t="s">
        <v>2371</v>
      </c>
      <c r="D10" s="243" t="s">
        <v>2372</v>
      </c>
      <c r="E10" s="242" t="s">
        <v>2373</v>
      </c>
      <c r="F10" s="242" t="s">
        <v>2373</v>
      </c>
      <c r="G10" s="242" t="s">
        <v>2374</v>
      </c>
      <c r="H10" s="322" t="s">
        <v>2375</v>
      </c>
    </row>
    <row r="11" spans="2:20" ht="32" customHeight="1" x14ac:dyDescent="0.2">
      <c r="B11" s="318">
        <v>3</v>
      </c>
      <c r="C11" s="243" t="s">
        <v>2376</v>
      </c>
      <c r="D11" s="243" t="s">
        <v>2377</v>
      </c>
      <c r="E11" s="242" t="s">
        <v>2378</v>
      </c>
      <c r="F11" s="242" t="s">
        <v>2379</v>
      </c>
      <c r="G11" s="242" t="s">
        <v>2380</v>
      </c>
      <c r="H11" s="322" t="s">
        <v>2381</v>
      </c>
    </row>
    <row r="12" spans="2:20" ht="32" customHeight="1" x14ac:dyDescent="0.2">
      <c r="B12" s="318">
        <v>4</v>
      </c>
      <c r="C12" s="243" t="s">
        <v>2382</v>
      </c>
      <c r="D12" s="243" t="s">
        <v>2383</v>
      </c>
      <c r="E12" s="242" t="s">
        <v>2384</v>
      </c>
      <c r="F12" s="242" t="s">
        <v>2384</v>
      </c>
      <c r="G12" s="242" t="s">
        <v>2385</v>
      </c>
      <c r="H12" s="322" t="s">
        <v>2386</v>
      </c>
    </row>
    <row r="13" spans="2:20" ht="32" customHeight="1" x14ac:dyDescent="0.2">
      <c r="B13" s="318">
        <v>5</v>
      </c>
      <c r="C13" s="243" t="s">
        <v>2387</v>
      </c>
      <c r="D13" s="243" t="s">
        <v>2388</v>
      </c>
      <c r="E13" s="242" t="s">
        <v>2389</v>
      </c>
      <c r="F13" s="242" t="s">
        <v>2389</v>
      </c>
      <c r="G13" s="242" t="s">
        <v>2385</v>
      </c>
      <c r="H13" s="322" t="s">
        <v>2390</v>
      </c>
    </row>
    <row r="14" spans="2:20" ht="32" customHeight="1" x14ac:dyDescent="0.2">
      <c r="B14" s="318">
        <v>6</v>
      </c>
      <c r="C14" s="243" t="s">
        <v>2391</v>
      </c>
      <c r="D14" s="243" t="s">
        <v>2392</v>
      </c>
      <c r="E14" s="242" t="s">
        <v>2393</v>
      </c>
      <c r="F14" s="242" t="s">
        <v>2394</v>
      </c>
      <c r="G14" s="242" t="s">
        <v>2395</v>
      </c>
      <c r="H14" s="322" t="s">
        <v>2396</v>
      </c>
    </row>
    <row r="15" spans="2:20" ht="32" customHeight="1" x14ac:dyDescent="0.2">
      <c r="B15" s="318">
        <v>7</v>
      </c>
      <c r="C15" s="243" t="s">
        <v>2397</v>
      </c>
      <c r="D15" s="243" t="s">
        <v>2398</v>
      </c>
      <c r="E15" s="242" t="s">
        <v>2399</v>
      </c>
      <c r="F15" s="242" t="s">
        <v>2399</v>
      </c>
      <c r="G15" s="242" t="s">
        <v>2400</v>
      </c>
      <c r="H15" s="322" t="s">
        <v>2401</v>
      </c>
    </row>
    <row r="16" spans="2:20" ht="32" customHeight="1" x14ac:dyDescent="0.2">
      <c r="B16" s="318">
        <v>8</v>
      </c>
      <c r="C16" s="243" t="s">
        <v>2402</v>
      </c>
      <c r="D16" s="243" t="s">
        <v>2403</v>
      </c>
      <c r="E16" s="242" t="s">
        <v>2404</v>
      </c>
      <c r="F16" s="242" t="s">
        <v>2404</v>
      </c>
      <c r="G16" s="242" t="s">
        <v>2405</v>
      </c>
      <c r="H16" s="322" t="s">
        <v>2406</v>
      </c>
    </row>
    <row r="17" spans="2:19" ht="32" customHeight="1" x14ac:dyDescent="0.2">
      <c r="B17" s="318">
        <v>9</v>
      </c>
      <c r="C17" s="243" t="s">
        <v>2407</v>
      </c>
      <c r="D17" s="243" t="s">
        <v>2408</v>
      </c>
      <c r="E17" s="242" t="s">
        <v>2409</v>
      </c>
      <c r="F17" s="242" t="s">
        <v>2410</v>
      </c>
      <c r="G17" s="242" t="s">
        <v>2411</v>
      </c>
      <c r="H17" s="322" t="s">
        <v>2412</v>
      </c>
    </row>
    <row r="20" spans="2:19" ht="16" x14ac:dyDescent="0.2">
      <c r="B20" s="240" t="s">
        <v>2413</v>
      </c>
    </row>
    <row r="22" spans="2:19" x14ac:dyDescent="0.2">
      <c r="B22" s="241" t="s">
        <v>2360</v>
      </c>
      <c r="C22" s="241" t="s">
        <v>571</v>
      </c>
      <c r="D22" s="241" t="s">
        <v>572</v>
      </c>
      <c r="E22" s="241" t="s">
        <v>573</v>
      </c>
      <c r="F22" s="241" t="s">
        <v>574</v>
      </c>
      <c r="G22" s="241" t="s">
        <v>575</v>
      </c>
      <c r="H22" s="241" t="s">
        <v>576</v>
      </c>
      <c r="I22" s="241" t="s">
        <v>577</v>
      </c>
      <c r="J22" s="241" t="s">
        <v>578</v>
      </c>
      <c r="K22" s="241" t="s">
        <v>579</v>
      </c>
      <c r="L22" s="241" t="s">
        <v>580</v>
      </c>
      <c r="M22" s="241" t="s">
        <v>581</v>
      </c>
      <c r="N22" s="241" t="s">
        <v>582</v>
      </c>
      <c r="O22" s="241" t="s">
        <v>406</v>
      </c>
      <c r="P22" s="241" t="s">
        <v>407</v>
      </c>
      <c r="Q22" s="241" t="s">
        <v>408</v>
      </c>
      <c r="R22" s="241" t="s">
        <v>409</v>
      </c>
      <c r="S22" s="241" t="s">
        <v>792</v>
      </c>
    </row>
    <row r="23" spans="2:19" ht="26" x14ac:dyDescent="0.2">
      <c r="B23" s="283" t="s">
        <v>2414</v>
      </c>
      <c r="C23" s="294">
        <v>2.8</v>
      </c>
      <c r="D23" s="294">
        <v>3.8</v>
      </c>
      <c r="E23" s="294">
        <v>7.6</v>
      </c>
      <c r="F23" s="294">
        <v>22.2</v>
      </c>
      <c r="G23" s="294">
        <v>17</v>
      </c>
      <c r="H23" s="294">
        <v>30.3</v>
      </c>
      <c r="I23" s="294">
        <v>50.1</v>
      </c>
      <c r="J23" s="294">
        <v>60.1</v>
      </c>
      <c r="K23" s="294">
        <v>43.5</v>
      </c>
      <c r="L23" s="294">
        <v>60.5</v>
      </c>
      <c r="M23" s="294">
        <v>70.5</v>
      </c>
      <c r="N23" s="294">
        <v>61.5</v>
      </c>
      <c r="O23" s="294">
        <v>39.700000000000003</v>
      </c>
      <c r="P23" s="294">
        <v>32.200000000000003</v>
      </c>
      <c r="Q23" s="294">
        <v>18.899999999999999</v>
      </c>
      <c r="R23" s="294">
        <v>8.5</v>
      </c>
      <c r="S23" s="291">
        <v>529.20000000000005</v>
      </c>
    </row>
    <row r="24" spans="2:19" x14ac:dyDescent="0.2">
      <c r="B24" s="340" t="s">
        <v>2415</v>
      </c>
      <c r="C24" s="341">
        <v>0</v>
      </c>
      <c r="D24" s="341">
        <v>0</v>
      </c>
      <c r="E24" s="341">
        <v>0</v>
      </c>
      <c r="F24" s="341">
        <v>0</v>
      </c>
      <c r="G24" s="341">
        <v>0</v>
      </c>
      <c r="H24" s="341">
        <v>0</v>
      </c>
      <c r="I24" s="341">
        <v>0</v>
      </c>
      <c r="J24" s="341">
        <v>0</v>
      </c>
      <c r="K24" s="341">
        <v>0</v>
      </c>
      <c r="L24" s="341">
        <v>0</v>
      </c>
      <c r="M24" s="341">
        <v>0</v>
      </c>
      <c r="N24" s="341">
        <v>0</v>
      </c>
      <c r="O24" s="341">
        <v>0</v>
      </c>
      <c r="P24" s="341">
        <v>0</v>
      </c>
      <c r="Q24" s="341">
        <v>0</v>
      </c>
      <c r="R24" s="341">
        <v>0</v>
      </c>
      <c r="S24" s="291">
        <v>0</v>
      </c>
    </row>
    <row r="25" spans="2:19" ht="26" x14ac:dyDescent="0.2">
      <c r="B25" s="286" t="s">
        <v>2416</v>
      </c>
      <c r="C25" s="297">
        <v>6</v>
      </c>
      <c r="D25" s="297">
        <v>6.6</v>
      </c>
      <c r="E25" s="297">
        <v>7.5</v>
      </c>
      <c r="F25" s="297">
        <v>8.5</v>
      </c>
      <c r="G25" s="297">
        <v>7.9</v>
      </c>
      <c r="H25" s="297">
        <v>8.5</v>
      </c>
      <c r="I25" s="297">
        <v>9.1</v>
      </c>
      <c r="J25" s="297">
        <v>9.6999999999999993</v>
      </c>
      <c r="K25" s="297">
        <v>8.5</v>
      </c>
      <c r="L25" s="297">
        <v>9.1</v>
      </c>
      <c r="M25" s="297">
        <v>9.6999999999999993</v>
      </c>
      <c r="N25" s="297">
        <v>9.1</v>
      </c>
      <c r="O25" s="297">
        <v>3.6</v>
      </c>
      <c r="P25" s="297">
        <v>3</v>
      </c>
      <c r="Q25" s="297">
        <v>2.4</v>
      </c>
      <c r="R25" s="297">
        <v>1.8</v>
      </c>
      <c r="S25" s="291">
        <v>111</v>
      </c>
    </row>
    <row r="26" spans="2:19" x14ac:dyDescent="0.2">
      <c r="B26" s="287" t="s">
        <v>2417</v>
      </c>
      <c r="C26" s="300">
        <v>2.6</v>
      </c>
      <c r="D26" s="300">
        <v>2.9</v>
      </c>
      <c r="E26" s="300">
        <v>3.2</v>
      </c>
      <c r="F26" s="300">
        <v>3.6</v>
      </c>
      <c r="G26" s="300">
        <v>3.4</v>
      </c>
      <c r="H26" s="300">
        <v>3.6</v>
      </c>
      <c r="I26" s="300">
        <v>3.9</v>
      </c>
      <c r="J26" s="300">
        <v>4.2</v>
      </c>
      <c r="K26" s="300">
        <v>3.6</v>
      </c>
      <c r="L26" s="300">
        <v>3.9</v>
      </c>
      <c r="M26" s="300">
        <v>4.2</v>
      </c>
      <c r="N26" s="300">
        <v>3.9</v>
      </c>
      <c r="O26" s="300">
        <v>1.6</v>
      </c>
      <c r="P26" s="300">
        <v>1.3</v>
      </c>
      <c r="Q26" s="300">
        <v>1</v>
      </c>
      <c r="R26" s="300">
        <v>0.8</v>
      </c>
      <c r="S26" s="291">
        <v>47.7</v>
      </c>
    </row>
    <row r="27" spans="2:19" x14ac:dyDescent="0.2">
      <c r="B27" s="288" t="s">
        <v>2418</v>
      </c>
      <c r="C27" s="303">
        <v>2</v>
      </c>
      <c r="D27" s="303">
        <v>2</v>
      </c>
      <c r="E27" s="303">
        <v>2</v>
      </c>
      <c r="F27" s="303">
        <v>2</v>
      </c>
      <c r="G27" s="303">
        <v>2</v>
      </c>
      <c r="H27" s="303">
        <v>2</v>
      </c>
      <c r="I27" s="303">
        <v>2</v>
      </c>
      <c r="J27" s="303">
        <v>2</v>
      </c>
      <c r="K27" s="303">
        <v>2</v>
      </c>
      <c r="L27" s="303">
        <v>2</v>
      </c>
      <c r="M27" s="303">
        <v>2</v>
      </c>
      <c r="N27" s="303">
        <v>2</v>
      </c>
      <c r="O27" s="303">
        <v>2</v>
      </c>
      <c r="P27" s="303">
        <v>2</v>
      </c>
      <c r="Q27" s="303">
        <v>2</v>
      </c>
      <c r="R27" s="303">
        <v>2</v>
      </c>
      <c r="S27" s="291">
        <v>32</v>
      </c>
    </row>
    <row r="28" spans="2:19" x14ac:dyDescent="0.2">
      <c r="B28" s="342" t="s">
        <v>2419</v>
      </c>
      <c r="C28" s="291">
        <v>13.4</v>
      </c>
      <c r="D28" s="291">
        <v>15.3</v>
      </c>
      <c r="E28" s="291">
        <v>20.3</v>
      </c>
      <c r="F28" s="291">
        <v>36.299999999999997</v>
      </c>
      <c r="G28" s="291">
        <v>30.3</v>
      </c>
      <c r="H28" s="291">
        <v>44.4</v>
      </c>
      <c r="I28" s="291">
        <v>65.099999999999994</v>
      </c>
      <c r="J28" s="291">
        <v>76</v>
      </c>
      <c r="K28" s="291">
        <v>57.6</v>
      </c>
      <c r="L28" s="291">
        <v>75.5</v>
      </c>
      <c r="M28" s="291">
        <v>86.4</v>
      </c>
      <c r="N28" s="291">
        <v>76.5</v>
      </c>
      <c r="O28" s="291">
        <v>46.9</v>
      </c>
      <c r="P28" s="291">
        <v>38.5</v>
      </c>
      <c r="Q28" s="291">
        <v>24.3</v>
      </c>
      <c r="R28" s="291">
        <v>13.1</v>
      </c>
      <c r="S28" s="343">
        <v>719.9</v>
      </c>
    </row>
    <row r="30" spans="2:19" ht="16" x14ac:dyDescent="0.2">
      <c r="B30" s="240" t="s">
        <v>2420</v>
      </c>
    </row>
    <row r="32" spans="2:19" x14ac:dyDescent="0.2">
      <c r="B32" s="241" t="s">
        <v>424</v>
      </c>
      <c r="C32" s="241" t="s">
        <v>2365</v>
      </c>
      <c r="D32" s="241" t="s">
        <v>2421</v>
      </c>
      <c r="E32" s="241" t="s">
        <v>2422</v>
      </c>
      <c r="F32" s="241" t="s">
        <v>2423</v>
      </c>
      <c r="G32" s="241" t="s">
        <v>1346</v>
      </c>
      <c r="H32" s="241" t="s">
        <v>2424</v>
      </c>
    </row>
    <row r="33" spans="2:20" x14ac:dyDescent="0.2">
      <c r="B33" s="283" t="s">
        <v>2425</v>
      </c>
      <c r="C33" s="294">
        <v>429.9</v>
      </c>
      <c r="D33" s="294">
        <v>100.2</v>
      </c>
      <c r="E33" s="294">
        <v>43</v>
      </c>
      <c r="F33" s="294">
        <v>24</v>
      </c>
      <c r="G33" s="291">
        <v>597.1</v>
      </c>
      <c r="H33" s="295">
        <v>0.13137513751375141</v>
      </c>
    </row>
    <row r="34" spans="2:20" x14ac:dyDescent="0.2">
      <c r="B34" s="287" t="s">
        <v>2426</v>
      </c>
      <c r="C34" s="300">
        <v>99.3</v>
      </c>
      <c r="D34" s="300">
        <v>10.8</v>
      </c>
      <c r="E34" s="300">
        <v>4.7</v>
      </c>
      <c r="F34" s="300">
        <v>8</v>
      </c>
      <c r="G34" s="344">
        <v>122.8</v>
      </c>
      <c r="H34" s="301">
        <v>0.1169523809523809</v>
      </c>
    </row>
    <row r="35" spans="2:20" x14ac:dyDescent="0.2">
      <c r="B35" s="342" t="s">
        <v>2427</v>
      </c>
      <c r="C35" s="345">
        <v>529.20000000000005</v>
      </c>
      <c r="D35" s="345">
        <v>111</v>
      </c>
      <c r="E35" s="345">
        <v>47.7</v>
      </c>
      <c r="F35" s="345">
        <v>32</v>
      </c>
      <c r="G35" s="345">
        <v>719.9</v>
      </c>
      <c r="H35" s="346">
        <v>0.12866845397676499</v>
      </c>
    </row>
    <row r="38" spans="2:20" ht="16" x14ac:dyDescent="0.2">
      <c r="B38" s="240" t="s">
        <v>2428</v>
      </c>
    </row>
    <row r="40" spans="2:20" x14ac:dyDescent="0.2">
      <c r="B40" s="595" t="s">
        <v>2429</v>
      </c>
      <c r="C40" s="473"/>
      <c r="D40" s="473"/>
      <c r="E40" s="473"/>
      <c r="F40" s="473"/>
      <c r="G40" s="473"/>
      <c r="H40" s="473"/>
      <c r="I40" s="473"/>
      <c r="J40" s="473"/>
      <c r="K40" s="473"/>
      <c r="L40" s="473"/>
      <c r="M40" s="473"/>
      <c r="N40" s="473"/>
      <c r="O40" s="473"/>
      <c r="P40" s="473"/>
      <c r="Q40" s="473"/>
      <c r="R40" s="473"/>
      <c r="S40" s="473"/>
      <c r="T40" s="466"/>
    </row>
    <row r="41" spans="2:20" x14ac:dyDescent="0.2">
      <c r="B41" s="595" t="s">
        <v>2430</v>
      </c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66"/>
    </row>
    <row r="42" spans="2:20" x14ac:dyDescent="0.2">
      <c r="B42" s="595" t="s">
        <v>2431</v>
      </c>
      <c r="C42" s="473"/>
      <c r="D42" s="473"/>
      <c r="E42" s="473"/>
      <c r="F42" s="473"/>
      <c r="G42" s="473"/>
      <c r="H42" s="473"/>
      <c r="I42" s="473"/>
      <c r="J42" s="473"/>
      <c r="K42" s="473"/>
      <c r="L42" s="473"/>
      <c r="M42" s="473"/>
      <c r="N42" s="473"/>
      <c r="O42" s="473"/>
      <c r="P42" s="473"/>
      <c r="Q42" s="473"/>
      <c r="R42" s="473"/>
      <c r="S42" s="473"/>
      <c r="T42" s="466"/>
    </row>
    <row r="43" spans="2:20" x14ac:dyDescent="0.2">
      <c r="B43" s="595" t="s">
        <v>2432</v>
      </c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3"/>
      <c r="R43" s="473"/>
      <c r="S43" s="473"/>
      <c r="T43" s="466"/>
    </row>
    <row r="44" spans="2:20" x14ac:dyDescent="0.2">
      <c r="B44" s="595" t="s">
        <v>2433</v>
      </c>
      <c r="C44" s="473"/>
      <c r="D44" s="473"/>
      <c r="E44" s="473"/>
      <c r="F44" s="473"/>
      <c r="G44" s="473"/>
      <c r="H44" s="473"/>
      <c r="I44" s="473"/>
      <c r="J44" s="473"/>
      <c r="K44" s="473"/>
      <c r="L44" s="473"/>
      <c r="M44" s="473"/>
      <c r="N44" s="473"/>
      <c r="O44" s="473"/>
      <c r="P44" s="473"/>
      <c r="Q44" s="473"/>
      <c r="R44" s="473"/>
      <c r="S44" s="473"/>
      <c r="T44" s="466"/>
    </row>
    <row r="45" spans="2:20" x14ac:dyDescent="0.2">
      <c r="B45" s="595" t="s">
        <v>2434</v>
      </c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473"/>
      <c r="N45" s="473"/>
      <c r="O45" s="473"/>
      <c r="P45" s="473"/>
      <c r="Q45" s="473"/>
      <c r="R45" s="473"/>
      <c r="S45" s="473"/>
      <c r="T45" s="466"/>
    </row>
    <row r="46" spans="2:20" x14ac:dyDescent="0.2">
      <c r="B46" s="595" t="s">
        <v>2435</v>
      </c>
      <c r="C46" s="473"/>
      <c r="D46" s="473"/>
      <c r="E46" s="473"/>
      <c r="F46" s="473"/>
      <c r="G46" s="473"/>
      <c r="H46" s="473"/>
      <c r="I46" s="473"/>
      <c r="J46" s="473"/>
      <c r="K46" s="473"/>
      <c r="L46" s="473"/>
      <c r="M46" s="473"/>
      <c r="N46" s="473"/>
      <c r="O46" s="473"/>
      <c r="P46" s="473"/>
      <c r="Q46" s="473"/>
      <c r="R46" s="473"/>
      <c r="S46" s="473"/>
      <c r="T46" s="466"/>
    </row>
    <row r="49" spans="2:20" ht="16" x14ac:dyDescent="0.2">
      <c r="B49" s="319" t="s">
        <v>2436</v>
      </c>
    </row>
    <row r="51" spans="2:20" x14ac:dyDescent="0.2">
      <c r="B51" s="595" t="s">
        <v>2437</v>
      </c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66"/>
    </row>
    <row r="52" spans="2:20" x14ac:dyDescent="0.2">
      <c r="B52" s="595" t="s">
        <v>2438</v>
      </c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66"/>
    </row>
    <row r="53" spans="2:20" x14ac:dyDescent="0.2">
      <c r="B53" s="595" t="s">
        <v>2439</v>
      </c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66"/>
    </row>
    <row r="54" spans="2:20" x14ac:dyDescent="0.2">
      <c r="B54" s="595" t="s">
        <v>2440</v>
      </c>
      <c r="C54" s="473"/>
      <c r="D54" s="473"/>
      <c r="E54" s="473"/>
      <c r="F54" s="473"/>
      <c r="G54" s="473"/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66"/>
    </row>
    <row r="55" spans="2:20" x14ac:dyDescent="0.2">
      <c r="B55" s="595" t="s">
        <v>2441</v>
      </c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473"/>
      <c r="N55" s="473"/>
      <c r="O55" s="473"/>
      <c r="P55" s="473"/>
      <c r="Q55" s="473"/>
      <c r="R55" s="473"/>
      <c r="S55" s="473"/>
      <c r="T55" s="466"/>
    </row>
    <row r="56" spans="2:20" x14ac:dyDescent="0.2">
      <c r="B56" s="595" t="s">
        <v>2442</v>
      </c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  <c r="O56" s="473"/>
      <c r="P56" s="473"/>
      <c r="Q56" s="473"/>
      <c r="R56" s="473"/>
      <c r="S56" s="473"/>
      <c r="T56" s="466"/>
    </row>
  </sheetData>
  <mergeCells count="15">
    <mergeCell ref="B2:T2"/>
    <mergeCell ref="B54:T54"/>
    <mergeCell ref="B56:T56"/>
    <mergeCell ref="B52:T52"/>
    <mergeCell ref="B4:T4"/>
    <mergeCell ref="B44:T44"/>
    <mergeCell ref="B43:T43"/>
    <mergeCell ref="B53:T53"/>
    <mergeCell ref="B55:T55"/>
    <mergeCell ref="B42:T42"/>
    <mergeCell ref="B51:T51"/>
    <mergeCell ref="B45:T45"/>
    <mergeCell ref="B46:T46"/>
    <mergeCell ref="B40:T40"/>
    <mergeCell ref="B41:T41"/>
  </mergeCells>
  <printOptions horizontalCentered="1"/>
  <pageMargins left="0.59" right="0.59" top="0.59" bottom="0.59" header="0.3" footer="0.3"/>
  <pageSetup paperSize="8" fitToHeight="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2:R93"/>
  <sheetViews>
    <sheetView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5" customWidth="1"/>
    <col min="3" max="3" width="16" customWidth="1"/>
    <col min="4" max="4" width="50" customWidth="1"/>
    <col min="5" max="5" width="14" customWidth="1"/>
    <col min="6" max="6" width="20" customWidth="1"/>
    <col min="7" max="18" width="7" customWidth="1"/>
  </cols>
  <sheetData>
    <row r="2" spans="2:18" ht="21" x14ac:dyDescent="0.25">
      <c r="B2" s="594" t="s">
        <v>2443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</row>
    <row r="4" spans="2:18" x14ac:dyDescent="0.2">
      <c r="B4" s="551" t="s">
        <v>2444</v>
      </c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</row>
    <row r="6" spans="2:18" ht="16" x14ac:dyDescent="0.2">
      <c r="B6" s="240" t="s">
        <v>2445</v>
      </c>
    </row>
    <row r="8" spans="2:18" ht="45" x14ac:dyDescent="0.2">
      <c r="B8" s="241" t="s">
        <v>2446</v>
      </c>
      <c r="C8" s="241" t="s">
        <v>571</v>
      </c>
      <c r="D8" s="241" t="s">
        <v>572</v>
      </c>
      <c r="E8" s="241" t="s">
        <v>573</v>
      </c>
      <c r="F8" s="241" t="s">
        <v>574</v>
      </c>
      <c r="G8" s="241" t="s">
        <v>575</v>
      </c>
      <c r="H8" s="241" t="s">
        <v>576</v>
      </c>
      <c r="I8" s="241" t="s">
        <v>577</v>
      </c>
      <c r="J8" s="241" t="s">
        <v>578</v>
      </c>
      <c r="K8" s="241" t="s">
        <v>579</v>
      </c>
      <c r="L8" s="241" t="s">
        <v>580</v>
      </c>
      <c r="M8" s="241" t="s">
        <v>581</v>
      </c>
      <c r="N8" s="241" t="s">
        <v>582</v>
      </c>
      <c r="O8" s="241" t="s">
        <v>406</v>
      </c>
      <c r="P8" s="241" t="s">
        <v>407</v>
      </c>
      <c r="Q8" s="241" t="s">
        <v>408</v>
      </c>
      <c r="R8" s="241" t="s">
        <v>409</v>
      </c>
    </row>
    <row r="9" spans="2:18" ht="22" customHeight="1" x14ac:dyDescent="0.2">
      <c r="B9" s="314" t="s">
        <v>2447</v>
      </c>
      <c r="C9" s="347" t="s">
        <v>2448</v>
      </c>
      <c r="D9" s="347" t="s">
        <v>2448</v>
      </c>
      <c r="E9" s="348" t="s">
        <v>2449</v>
      </c>
      <c r="F9" s="349" t="s">
        <v>2450</v>
      </c>
      <c r="G9" s="350" t="s">
        <v>2451</v>
      </c>
      <c r="H9" s="350" t="s">
        <v>2451</v>
      </c>
      <c r="I9" s="350" t="s">
        <v>2451</v>
      </c>
      <c r="J9" s="350" t="s">
        <v>2451</v>
      </c>
      <c r="K9" s="350" t="s">
        <v>2451</v>
      </c>
      <c r="L9" s="350" t="s">
        <v>2451</v>
      </c>
      <c r="M9" s="350" t="s">
        <v>2451</v>
      </c>
      <c r="N9" s="350" t="s">
        <v>2451</v>
      </c>
      <c r="O9" s="350" t="s">
        <v>2451</v>
      </c>
      <c r="P9" s="350" t="s">
        <v>2451</v>
      </c>
      <c r="Q9" s="350" t="s">
        <v>2451</v>
      </c>
      <c r="R9" s="350" t="s">
        <v>2451</v>
      </c>
    </row>
    <row r="10" spans="2:18" ht="22" customHeight="1" x14ac:dyDescent="0.2">
      <c r="B10" s="314" t="s">
        <v>2452</v>
      </c>
      <c r="C10" s="347" t="s">
        <v>2448</v>
      </c>
      <c r="D10" s="347" t="s">
        <v>2448</v>
      </c>
      <c r="E10" s="347" t="s">
        <v>2448</v>
      </c>
      <c r="F10" s="348" t="s">
        <v>2449</v>
      </c>
      <c r="G10" s="349" t="s">
        <v>2450</v>
      </c>
      <c r="H10" s="350" t="s">
        <v>2451</v>
      </c>
      <c r="I10" s="350" t="s">
        <v>2451</v>
      </c>
      <c r="J10" s="350" t="s">
        <v>2451</v>
      </c>
      <c r="K10" s="350" t="s">
        <v>2451</v>
      </c>
      <c r="L10" s="350" t="s">
        <v>2451</v>
      </c>
      <c r="M10" s="350" t="s">
        <v>2451</v>
      </c>
      <c r="N10" s="350" t="s">
        <v>2451</v>
      </c>
      <c r="O10" s="350" t="s">
        <v>2451</v>
      </c>
      <c r="P10" s="350" t="s">
        <v>2451</v>
      </c>
      <c r="Q10" s="350" t="s">
        <v>2451</v>
      </c>
      <c r="R10" s="350" t="s">
        <v>2451</v>
      </c>
    </row>
    <row r="11" spans="2:18" ht="22" customHeight="1" x14ac:dyDescent="0.2">
      <c r="B11" s="314" t="s">
        <v>2453</v>
      </c>
      <c r="C11" s="351"/>
      <c r="D11" s="347" t="s">
        <v>2448</v>
      </c>
      <c r="E11" s="347" t="s">
        <v>2448</v>
      </c>
      <c r="F11" s="347" t="s">
        <v>2448</v>
      </c>
      <c r="G11" s="348" t="s">
        <v>2449</v>
      </c>
      <c r="H11" s="349" t="s">
        <v>2450</v>
      </c>
      <c r="I11" s="350" t="s">
        <v>2451</v>
      </c>
      <c r="J11" s="350" t="s">
        <v>2451</v>
      </c>
      <c r="K11" s="350" t="s">
        <v>2451</v>
      </c>
      <c r="L11" s="350" t="s">
        <v>2451</v>
      </c>
      <c r="M11" s="350" t="s">
        <v>2451</v>
      </c>
      <c r="N11" s="350" t="s">
        <v>2451</v>
      </c>
      <c r="O11" s="350" t="s">
        <v>2451</v>
      </c>
      <c r="P11" s="350" t="s">
        <v>2451</v>
      </c>
      <c r="Q11" s="350" t="s">
        <v>2451</v>
      </c>
      <c r="R11" s="350" t="s">
        <v>2451</v>
      </c>
    </row>
    <row r="12" spans="2:18" ht="22" customHeight="1" x14ac:dyDescent="0.2">
      <c r="B12" s="314" t="s">
        <v>2454</v>
      </c>
      <c r="C12" s="351"/>
      <c r="D12" s="347" t="s">
        <v>2448</v>
      </c>
      <c r="E12" s="347" t="s">
        <v>2448</v>
      </c>
      <c r="F12" s="347" t="s">
        <v>2448</v>
      </c>
      <c r="G12" s="348" t="s">
        <v>2449</v>
      </c>
      <c r="H12" s="349" t="s">
        <v>2450</v>
      </c>
      <c r="I12" s="350" t="s">
        <v>2451</v>
      </c>
      <c r="J12" s="350" t="s">
        <v>2451</v>
      </c>
      <c r="K12" s="350" t="s">
        <v>2451</v>
      </c>
      <c r="L12" s="350" t="s">
        <v>2451</v>
      </c>
      <c r="M12" s="350" t="s">
        <v>2451</v>
      </c>
      <c r="N12" s="350" t="s">
        <v>2451</v>
      </c>
      <c r="O12" s="350" t="s">
        <v>2451</v>
      </c>
      <c r="P12" s="350" t="s">
        <v>2451</v>
      </c>
      <c r="Q12" s="350" t="s">
        <v>2451</v>
      </c>
      <c r="R12" s="350" t="s">
        <v>2451</v>
      </c>
    </row>
    <row r="13" spans="2:18" ht="22" customHeight="1" x14ac:dyDescent="0.2">
      <c r="B13" s="314" t="s">
        <v>2455</v>
      </c>
      <c r="C13" s="351"/>
      <c r="D13" s="347" t="s">
        <v>2448</v>
      </c>
      <c r="E13" s="347" t="s">
        <v>2448</v>
      </c>
      <c r="F13" s="347" t="s">
        <v>2448</v>
      </c>
      <c r="G13" s="348" t="s">
        <v>2449</v>
      </c>
      <c r="H13" s="352" t="s">
        <v>2456</v>
      </c>
      <c r="I13" s="349" t="s">
        <v>2450</v>
      </c>
      <c r="J13" s="350" t="s">
        <v>2451</v>
      </c>
      <c r="K13" s="350" t="s">
        <v>2451</v>
      </c>
      <c r="L13" s="350" t="s">
        <v>2451</v>
      </c>
      <c r="M13" s="350" t="s">
        <v>2451</v>
      </c>
      <c r="N13" s="350" t="s">
        <v>2451</v>
      </c>
      <c r="O13" s="350" t="s">
        <v>2451</v>
      </c>
      <c r="P13" s="350" t="s">
        <v>2451</v>
      </c>
      <c r="Q13" s="350" t="s">
        <v>2451</v>
      </c>
      <c r="R13" s="350" t="s">
        <v>2451</v>
      </c>
    </row>
    <row r="14" spans="2:18" ht="22" customHeight="1" x14ac:dyDescent="0.2">
      <c r="B14" s="314" t="s">
        <v>2457</v>
      </c>
      <c r="C14" s="351"/>
      <c r="D14" s="351"/>
      <c r="E14" s="347" t="s">
        <v>2448</v>
      </c>
      <c r="F14" s="347" t="s">
        <v>2448</v>
      </c>
      <c r="G14" s="347" t="s">
        <v>2448</v>
      </c>
      <c r="H14" s="348" t="s">
        <v>2449</v>
      </c>
      <c r="I14" s="352" t="s">
        <v>2456</v>
      </c>
      <c r="J14" s="349" t="s">
        <v>2450</v>
      </c>
      <c r="K14" s="350" t="s">
        <v>2451</v>
      </c>
      <c r="L14" s="350" t="s">
        <v>2451</v>
      </c>
      <c r="M14" s="350" t="s">
        <v>2451</v>
      </c>
      <c r="N14" s="350" t="s">
        <v>2451</v>
      </c>
      <c r="O14" s="350" t="s">
        <v>2451</v>
      </c>
      <c r="P14" s="350" t="s">
        <v>2451</v>
      </c>
      <c r="Q14" s="350" t="s">
        <v>2451</v>
      </c>
      <c r="R14" s="350" t="s">
        <v>2451</v>
      </c>
    </row>
    <row r="15" spans="2:18" ht="22" customHeight="1" x14ac:dyDescent="0.2">
      <c r="B15" s="314" t="s">
        <v>2458</v>
      </c>
      <c r="C15" s="351"/>
      <c r="D15" s="351"/>
      <c r="E15" s="347" t="s">
        <v>2448</v>
      </c>
      <c r="F15" s="347" t="s">
        <v>2448</v>
      </c>
      <c r="G15" s="347" t="s">
        <v>2448</v>
      </c>
      <c r="H15" s="347" t="s">
        <v>2448</v>
      </c>
      <c r="I15" s="348" t="s">
        <v>2449</v>
      </c>
      <c r="J15" s="352" t="s">
        <v>2456</v>
      </c>
      <c r="K15" s="349" t="s">
        <v>2450</v>
      </c>
      <c r="L15" s="350" t="s">
        <v>2451</v>
      </c>
      <c r="M15" s="350" t="s">
        <v>2451</v>
      </c>
      <c r="N15" s="350" t="s">
        <v>2451</v>
      </c>
      <c r="O15" s="350" t="s">
        <v>2451</v>
      </c>
      <c r="P15" s="350" t="s">
        <v>2451</v>
      </c>
      <c r="Q15" s="350" t="s">
        <v>2451</v>
      </c>
      <c r="R15" s="350" t="s">
        <v>2451</v>
      </c>
    </row>
    <row r="16" spans="2:18" ht="22" customHeight="1" x14ac:dyDescent="0.2">
      <c r="B16" s="314" t="s">
        <v>2459</v>
      </c>
      <c r="C16" s="351"/>
      <c r="D16" s="351"/>
      <c r="E16" s="351"/>
      <c r="F16" s="347" t="s">
        <v>2448</v>
      </c>
      <c r="G16" s="347" t="s">
        <v>2448</v>
      </c>
      <c r="H16" s="347" t="s">
        <v>2448</v>
      </c>
      <c r="I16" s="348" t="s">
        <v>2449</v>
      </c>
      <c r="J16" s="352" t="s">
        <v>2456</v>
      </c>
      <c r="K16" s="352" t="s">
        <v>2456</v>
      </c>
      <c r="L16" s="349" t="s">
        <v>2450</v>
      </c>
      <c r="M16" s="350" t="s">
        <v>2451</v>
      </c>
      <c r="N16" s="350" t="s">
        <v>2451</v>
      </c>
      <c r="O16" s="350" t="s">
        <v>2451</v>
      </c>
      <c r="P16" s="350" t="s">
        <v>2451</v>
      </c>
      <c r="Q16" s="350" t="s">
        <v>2451</v>
      </c>
      <c r="R16" s="350" t="s">
        <v>2451</v>
      </c>
    </row>
    <row r="17" spans="2:18" ht="22" customHeight="1" x14ac:dyDescent="0.2">
      <c r="B17" s="314" t="s">
        <v>2460</v>
      </c>
      <c r="C17" s="351"/>
      <c r="D17" s="351"/>
      <c r="E17" s="351"/>
      <c r="F17" s="347" t="s">
        <v>2448</v>
      </c>
      <c r="G17" s="347" t="s">
        <v>2448</v>
      </c>
      <c r="H17" s="347" t="s">
        <v>2448</v>
      </c>
      <c r="I17" s="347" t="s">
        <v>2448</v>
      </c>
      <c r="J17" s="348" t="s">
        <v>2449</v>
      </c>
      <c r="K17" s="352" t="s">
        <v>2456</v>
      </c>
      <c r="L17" s="349" t="s">
        <v>2450</v>
      </c>
      <c r="M17" s="350" t="s">
        <v>2451</v>
      </c>
      <c r="N17" s="350" t="s">
        <v>2451</v>
      </c>
      <c r="O17" s="350" t="s">
        <v>2451</v>
      </c>
      <c r="P17" s="350" t="s">
        <v>2451</v>
      </c>
      <c r="Q17" s="350" t="s">
        <v>2451</v>
      </c>
      <c r="R17" s="350" t="s">
        <v>2451</v>
      </c>
    </row>
    <row r="18" spans="2:18" ht="22" customHeight="1" x14ac:dyDescent="0.2">
      <c r="B18" s="314" t="s">
        <v>2461</v>
      </c>
      <c r="C18" s="351"/>
      <c r="D18" s="351"/>
      <c r="E18" s="351"/>
      <c r="F18" s="347" t="s">
        <v>2448</v>
      </c>
      <c r="G18" s="347" t="s">
        <v>2448</v>
      </c>
      <c r="H18" s="347" t="s">
        <v>2448</v>
      </c>
      <c r="I18" s="347" t="s">
        <v>2448</v>
      </c>
      <c r="J18" s="348" t="s">
        <v>2449</v>
      </c>
      <c r="K18" s="352" t="s">
        <v>2456</v>
      </c>
      <c r="L18" s="352" t="s">
        <v>2456</v>
      </c>
      <c r="M18" s="349" t="s">
        <v>2450</v>
      </c>
      <c r="N18" s="350" t="s">
        <v>2451</v>
      </c>
      <c r="O18" s="350" t="s">
        <v>2451</v>
      </c>
      <c r="P18" s="350" t="s">
        <v>2451</v>
      </c>
      <c r="Q18" s="350" t="s">
        <v>2451</v>
      </c>
      <c r="R18" s="350" t="s">
        <v>2451</v>
      </c>
    </row>
    <row r="19" spans="2:18" ht="22" customHeight="1" x14ac:dyDescent="0.2">
      <c r="B19" s="314" t="s">
        <v>2462</v>
      </c>
      <c r="C19" s="351"/>
      <c r="D19" s="351"/>
      <c r="E19" s="351"/>
      <c r="F19" s="351"/>
      <c r="G19" s="347" t="s">
        <v>2448</v>
      </c>
      <c r="H19" s="347" t="s">
        <v>2448</v>
      </c>
      <c r="I19" s="347" t="s">
        <v>2448</v>
      </c>
      <c r="J19" s="347" t="s">
        <v>2448</v>
      </c>
      <c r="K19" s="348" t="s">
        <v>2449</v>
      </c>
      <c r="L19" s="352" t="s">
        <v>2456</v>
      </c>
      <c r="M19" s="349" t="s">
        <v>2450</v>
      </c>
      <c r="N19" s="350" t="s">
        <v>2451</v>
      </c>
      <c r="O19" s="350" t="s">
        <v>2451</v>
      </c>
      <c r="P19" s="350" t="s">
        <v>2451</v>
      </c>
      <c r="Q19" s="350" t="s">
        <v>2451</v>
      </c>
      <c r="R19" s="350" t="s">
        <v>2451</v>
      </c>
    </row>
    <row r="20" spans="2:18" ht="22" customHeight="1" x14ac:dyDescent="0.2">
      <c r="B20" s="314" t="s">
        <v>2463</v>
      </c>
      <c r="C20" s="351"/>
      <c r="D20" s="351"/>
      <c r="E20" s="351"/>
      <c r="F20" s="351"/>
      <c r="G20" s="347" t="s">
        <v>2448</v>
      </c>
      <c r="H20" s="347" t="s">
        <v>2448</v>
      </c>
      <c r="I20" s="347" t="s">
        <v>2448</v>
      </c>
      <c r="J20" s="347" t="s">
        <v>2448</v>
      </c>
      <c r="K20" s="348" t="s">
        <v>2449</v>
      </c>
      <c r="L20" s="352" t="s">
        <v>2456</v>
      </c>
      <c r="M20" s="352" t="s">
        <v>2456</v>
      </c>
      <c r="N20" s="349" t="s">
        <v>2450</v>
      </c>
      <c r="O20" s="350" t="s">
        <v>2451</v>
      </c>
      <c r="P20" s="350" t="s">
        <v>2451</v>
      </c>
      <c r="Q20" s="350" t="s">
        <v>2451</v>
      </c>
      <c r="R20" s="350" t="s">
        <v>2451</v>
      </c>
    </row>
    <row r="22" spans="2:18" ht="26" x14ac:dyDescent="0.2">
      <c r="B22" s="314" t="s">
        <v>1763</v>
      </c>
      <c r="C22" s="353" t="s">
        <v>2448</v>
      </c>
      <c r="D22" s="354" t="s">
        <v>2449</v>
      </c>
      <c r="E22" s="355" t="s">
        <v>2456</v>
      </c>
      <c r="F22" s="356" t="s">
        <v>2464</v>
      </c>
      <c r="G22" s="357" t="s">
        <v>2465</v>
      </c>
    </row>
    <row r="24" spans="2:18" ht="16" x14ac:dyDescent="0.2">
      <c r="B24" s="240" t="s">
        <v>2466</v>
      </c>
    </row>
    <row r="26" spans="2:18" x14ac:dyDescent="0.2">
      <c r="B26" s="241" t="s">
        <v>2467</v>
      </c>
      <c r="C26" s="241" t="s">
        <v>571</v>
      </c>
      <c r="D26" s="241" t="s">
        <v>572</v>
      </c>
      <c r="E26" s="241" t="s">
        <v>573</v>
      </c>
      <c r="F26" s="241" t="s">
        <v>574</v>
      </c>
      <c r="G26" s="241" t="s">
        <v>575</v>
      </c>
      <c r="H26" s="241" t="s">
        <v>576</v>
      </c>
      <c r="I26" s="241" t="s">
        <v>577</v>
      </c>
      <c r="J26" s="241" t="s">
        <v>578</v>
      </c>
      <c r="K26" s="241" t="s">
        <v>579</v>
      </c>
      <c r="L26" s="241" t="s">
        <v>580</v>
      </c>
      <c r="M26" s="241" t="s">
        <v>581</v>
      </c>
      <c r="N26" s="241" t="s">
        <v>582</v>
      </c>
      <c r="O26" s="241" t="s">
        <v>406</v>
      </c>
      <c r="P26" s="241" t="s">
        <v>407</v>
      </c>
      <c r="Q26" s="241" t="s">
        <v>408</v>
      </c>
      <c r="R26" s="241" t="s">
        <v>409</v>
      </c>
    </row>
    <row r="27" spans="2:18" ht="22" customHeight="1" x14ac:dyDescent="0.2">
      <c r="B27" s="358" t="s">
        <v>2468</v>
      </c>
      <c r="C27" s="349" t="s">
        <v>2469</v>
      </c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</row>
    <row r="28" spans="2:18" ht="22" customHeight="1" x14ac:dyDescent="0.2">
      <c r="B28" s="358" t="s">
        <v>2470</v>
      </c>
      <c r="C28" s="351"/>
      <c r="D28" s="349" t="s">
        <v>2471</v>
      </c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</row>
    <row r="29" spans="2:18" ht="22" customHeight="1" x14ac:dyDescent="0.2">
      <c r="B29" s="358" t="s">
        <v>2472</v>
      </c>
      <c r="C29" s="351"/>
      <c r="D29" s="351"/>
      <c r="E29" s="349" t="s">
        <v>2471</v>
      </c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</row>
    <row r="30" spans="2:18" ht="22" customHeight="1" x14ac:dyDescent="0.2">
      <c r="B30" s="358" t="s">
        <v>2473</v>
      </c>
      <c r="C30" s="351"/>
      <c r="D30" s="351"/>
      <c r="E30" s="351"/>
      <c r="F30" s="349" t="s">
        <v>2474</v>
      </c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</row>
    <row r="31" spans="2:18" ht="22" customHeight="1" x14ac:dyDescent="0.2">
      <c r="B31" s="358" t="s">
        <v>2475</v>
      </c>
      <c r="C31" s="359" t="s">
        <v>2476</v>
      </c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</row>
    <row r="32" spans="2:18" ht="22" customHeight="1" x14ac:dyDescent="0.2">
      <c r="B32" s="358" t="s">
        <v>2477</v>
      </c>
      <c r="C32" s="351"/>
      <c r="D32" s="351"/>
      <c r="E32" s="351"/>
      <c r="F32" s="351"/>
      <c r="G32" s="359" t="s">
        <v>2478</v>
      </c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</row>
    <row r="33" spans="2:18" ht="22" customHeight="1" x14ac:dyDescent="0.2">
      <c r="B33" s="358" t="s">
        <v>2479</v>
      </c>
      <c r="C33" s="351"/>
      <c r="D33" s="351"/>
      <c r="E33" s="351"/>
      <c r="F33" s="351"/>
      <c r="G33" s="351"/>
      <c r="H33" s="351"/>
      <c r="I33" s="351"/>
      <c r="J33" s="351"/>
      <c r="K33" s="359" t="s">
        <v>2480</v>
      </c>
      <c r="L33" s="351"/>
      <c r="M33" s="351"/>
      <c r="N33" s="351"/>
      <c r="O33" s="351"/>
      <c r="P33" s="351"/>
      <c r="Q33" s="351"/>
      <c r="R33" s="351"/>
    </row>
    <row r="34" spans="2:18" ht="22" customHeight="1" x14ac:dyDescent="0.2">
      <c r="B34" s="358" t="s">
        <v>2481</v>
      </c>
      <c r="C34" s="351"/>
      <c r="D34" s="351"/>
      <c r="E34" s="359" t="s">
        <v>2482</v>
      </c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</row>
    <row r="35" spans="2:18" ht="22" customHeight="1" x14ac:dyDescent="0.2">
      <c r="B35" s="358" t="s">
        <v>2483</v>
      </c>
      <c r="C35" s="359" t="s">
        <v>2484</v>
      </c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</row>
    <row r="36" spans="2:18" ht="22" customHeight="1" x14ac:dyDescent="0.2">
      <c r="B36" s="358" t="s">
        <v>2485</v>
      </c>
      <c r="C36" s="351"/>
      <c r="D36" s="351"/>
      <c r="E36" s="351"/>
      <c r="F36" s="359" t="s">
        <v>2486</v>
      </c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</row>
    <row r="37" spans="2:18" ht="22" customHeight="1" x14ac:dyDescent="0.2">
      <c r="B37" s="358" t="s">
        <v>2487</v>
      </c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60" t="s">
        <v>2488</v>
      </c>
      <c r="P37" s="351"/>
      <c r="Q37" s="351"/>
      <c r="R37" s="351"/>
    </row>
    <row r="38" spans="2:18" ht="22" customHeight="1" x14ac:dyDescent="0.2">
      <c r="B38" s="358" t="s">
        <v>2489</v>
      </c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60" t="s">
        <v>2490</v>
      </c>
      <c r="Q38" s="351"/>
      <c r="R38" s="351"/>
    </row>
    <row r="39" spans="2:18" ht="22" customHeight="1" x14ac:dyDescent="0.2">
      <c r="B39" s="358" t="s">
        <v>2491</v>
      </c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60" t="s">
        <v>2492</v>
      </c>
      <c r="R39" s="351"/>
    </row>
    <row r="40" spans="2:18" ht="22" customHeight="1" x14ac:dyDescent="0.2">
      <c r="B40" s="358" t="s">
        <v>2493</v>
      </c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60" t="s">
        <v>2494</v>
      </c>
    </row>
    <row r="43" spans="2:18" ht="16" x14ac:dyDescent="0.2">
      <c r="B43" s="240" t="s">
        <v>2495</v>
      </c>
    </row>
    <row r="45" spans="2:18" x14ac:dyDescent="0.2">
      <c r="B45" s="241" t="s">
        <v>2467</v>
      </c>
      <c r="C45" s="241" t="s">
        <v>571</v>
      </c>
      <c r="D45" s="241" t="s">
        <v>572</v>
      </c>
      <c r="E45" s="241" t="s">
        <v>573</v>
      </c>
      <c r="F45" s="241" t="s">
        <v>574</v>
      </c>
      <c r="G45" s="241" t="s">
        <v>575</v>
      </c>
      <c r="H45" s="241" t="s">
        <v>576</v>
      </c>
      <c r="I45" s="241" t="s">
        <v>577</v>
      </c>
      <c r="J45" s="241" t="s">
        <v>578</v>
      </c>
      <c r="K45" s="241" t="s">
        <v>579</v>
      </c>
      <c r="L45" s="241" t="s">
        <v>580</v>
      </c>
      <c r="M45" s="241" t="s">
        <v>581</v>
      </c>
      <c r="N45" s="241" t="s">
        <v>582</v>
      </c>
      <c r="O45" s="241" t="s">
        <v>406</v>
      </c>
      <c r="P45" s="241" t="s">
        <v>407</v>
      </c>
      <c r="Q45" s="241" t="s">
        <v>408</v>
      </c>
      <c r="R45" s="241" t="s">
        <v>409</v>
      </c>
    </row>
    <row r="46" spans="2:18" ht="22" customHeight="1" x14ac:dyDescent="0.2">
      <c r="B46" s="358" t="s">
        <v>2496</v>
      </c>
      <c r="C46" s="361" t="s">
        <v>2497</v>
      </c>
      <c r="D46" s="351"/>
      <c r="E46" s="361" t="s">
        <v>2497</v>
      </c>
      <c r="F46" s="351"/>
      <c r="G46" s="361" t="s">
        <v>2497</v>
      </c>
      <c r="H46" s="351"/>
      <c r="I46" s="361" t="s">
        <v>2497</v>
      </c>
      <c r="J46" s="351"/>
      <c r="K46" s="361" t="s">
        <v>2497</v>
      </c>
      <c r="L46" s="351"/>
      <c r="M46" s="361" t="s">
        <v>2497</v>
      </c>
      <c r="N46" s="351"/>
      <c r="O46" s="361" t="s">
        <v>2497</v>
      </c>
      <c r="P46" s="361" t="s">
        <v>2497</v>
      </c>
      <c r="Q46" s="361" t="s">
        <v>2497</v>
      </c>
      <c r="R46" s="361" t="s">
        <v>2497</v>
      </c>
    </row>
    <row r="47" spans="2:18" ht="22" customHeight="1" x14ac:dyDescent="0.2">
      <c r="B47" s="358" t="s">
        <v>2498</v>
      </c>
      <c r="C47" s="361" t="s">
        <v>2499</v>
      </c>
      <c r="D47" s="361" t="s">
        <v>2499</v>
      </c>
      <c r="E47" s="361" t="s">
        <v>2499</v>
      </c>
      <c r="F47" s="361" t="s">
        <v>2499</v>
      </c>
      <c r="G47" s="361" t="s">
        <v>2499</v>
      </c>
      <c r="H47" s="361" t="s">
        <v>2499</v>
      </c>
      <c r="I47" s="361" t="s">
        <v>2499</v>
      </c>
      <c r="J47" s="361" t="s">
        <v>2499</v>
      </c>
      <c r="K47" s="361" t="s">
        <v>2499</v>
      </c>
      <c r="L47" s="361" t="s">
        <v>2499</v>
      </c>
      <c r="M47" s="361" t="s">
        <v>2499</v>
      </c>
      <c r="N47" s="361" t="s">
        <v>2499</v>
      </c>
      <c r="O47" s="351"/>
      <c r="P47" s="351"/>
      <c r="Q47" s="351"/>
      <c r="R47" s="351"/>
    </row>
    <row r="48" spans="2:18" ht="22" customHeight="1" x14ac:dyDescent="0.2">
      <c r="B48" s="358" t="s">
        <v>2500</v>
      </c>
      <c r="C48" s="351"/>
      <c r="D48" s="351"/>
      <c r="E48" s="351"/>
      <c r="F48" s="361" t="s">
        <v>2501</v>
      </c>
      <c r="G48" s="351"/>
      <c r="H48" s="351"/>
      <c r="I48" s="351"/>
      <c r="J48" s="361" t="s">
        <v>2501</v>
      </c>
      <c r="K48" s="351"/>
      <c r="L48" s="351"/>
      <c r="M48" s="351"/>
      <c r="N48" s="361" t="s">
        <v>2501</v>
      </c>
      <c r="O48" s="361" t="s">
        <v>2501</v>
      </c>
      <c r="P48" s="361" t="s">
        <v>2501</v>
      </c>
      <c r="Q48" s="361" t="s">
        <v>2501</v>
      </c>
      <c r="R48" s="361" t="s">
        <v>2501</v>
      </c>
    </row>
    <row r="49" spans="2:18" ht="22" customHeight="1" x14ac:dyDescent="0.2">
      <c r="B49" s="358" t="s">
        <v>2502</v>
      </c>
      <c r="C49" s="351"/>
      <c r="D49" s="361" t="s">
        <v>2503</v>
      </c>
      <c r="E49" s="361" t="s">
        <v>2503</v>
      </c>
      <c r="F49" s="361" t="s">
        <v>2503</v>
      </c>
      <c r="G49" s="361" t="s">
        <v>2503</v>
      </c>
      <c r="H49" s="361" t="s">
        <v>2503</v>
      </c>
      <c r="I49" s="361" t="s">
        <v>2503</v>
      </c>
      <c r="J49" s="361" t="s">
        <v>2503</v>
      </c>
      <c r="K49" s="361" t="s">
        <v>2503</v>
      </c>
      <c r="L49" s="361" t="s">
        <v>2503</v>
      </c>
      <c r="M49" s="361" t="s">
        <v>2503</v>
      </c>
      <c r="N49" s="361" t="s">
        <v>2503</v>
      </c>
      <c r="O49" s="351"/>
      <c r="P49" s="351"/>
      <c r="Q49" s="351"/>
      <c r="R49" s="351"/>
    </row>
    <row r="50" spans="2:18" ht="22" customHeight="1" x14ac:dyDescent="0.2">
      <c r="B50" s="358" t="s">
        <v>2504</v>
      </c>
      <c r="C50" s="351"/>
      <c r="D50" s="351"/>
      <c r="E50" s="351"/>
      <c r="F50" s="351"/>
      <c r="G50" s="351"/>
      <c r="H50" s="361" t="s">
        <v>2505</v>
      </c>
      <c r="I50" s="351"/>
      <c r="J50" s="351"/>
      <c r="K50" s="351"/>
      <c r="L50" s="351"/>
      <c r="M50" s="351"/>
      <c r="N50" s="361" t="s">
        <v>2505</v>
      </c>
      <c r="O50" s="351"/>
      <c r="P50" s="361" t="s">
        <v>2505</v>
      </c>
      <c r="Q50" s="351"/>
      <c r="R50" s="361" t="s">
        <v>2505</v>
      </c>
    </row>
    <row r="53" spans="2:18" ht="16" x14ac:dyDescent="0.2">
      <c r="B53" s="240" t="s">
        <v>2506</v>
      </c>
    </row>
    <row r="55" spans="2:18" ht="30" x14ac:dyDescent="0.2">
      <c r="B55" s="241" t="s">
        <v>2507</v>
      </c>
      <c r="C55" s="241" t="s">
        <v>571</v>
      </c>
      <c r="D55" s="241" t="s">
        <v>572</v>
      </c>
      <c r="E55" s="241" t="s">
        <v>573</v>
      </c>
      <c r="F55" s="241" t="s">
        <v>574</v>
      </c>
      <c r="G55" s="241" t="s">
        <v>575</v>
      </c>
      <c r="H55" s="241" t="s">
        <v>576</v>
      </c>
      <c r="I55" s="241" t="s">
        <v>577</v>
      </c>
      <c r="J55" s="241" t="s">
        <v>578</v>
      </c>
      <c r="K55" s="241" t="s">
        <v>579</v>
      </c>
      <c r="L55" s="241" t="s">
        <v>580</v>
      </c>
      <c r="M55" s="241" t="s">
        <v>581</v>
      </c>
      <c r="N55" s="241" t="s">
        <v>582</v>
      </c>
      <c r="O55" s="241" t="s">
        <v>406</v>
      </c>
      <c r="P55" s="241" t="s">
        <v>407</v>
      </c>
      <c r="Q55" s="241" t="s">
        <v>408</v>
      </c>
      <c r="R55" s="241" t="s">
        <v>409</v>
      </c>
    </row>
    <row r="56" spans="2:18" ht="22" customHeight="1" x14ac:dyDescent="0.2">
      <c r="B56" s="358" t="s">
        <v>2508</v>
      </c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62" t="s">
        <v>2509</v>
      </c>
      <c r="Q56" s="362" t="s">
        <v>2509</v>
      </c>
      <c r="R56" s="351"/>
    </row>
    <row r="57" spans="2:18" ht="22" customHeight="1" x14ac:dyDescent="0.2">
      <c r="B57" s="358" t="s">
        <v>2510</v>
      </c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62" t="s">
        <v>2511</v>
      </c>
      <c r="R57" s="362" t="s">
        <v>2511</v>
      </c>
    </row>
    <row r="58" spans="2:18" ht="22" customHeight="1" x14ac:dyDescent="0.2">
      <c r="B58" s="358" t="s">
        <v>2512</v>
      </c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62" t="s">
        <v>1412</v>
      </c>
      <c r="R58" s="362" t="s">
        <v>1412</v>
      </c>
    </row>
    <row r="59" spans="2:18" ht="22" customHeight="1" x14ac:dyDescent="0.2">
      <c r="B59" s="358" t="s">
        <v>2513</v>
      </c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62" t="s">
        <v>2514</v>
      </c>
      <c r="P59" s="362" t="s">
        <v>2514</v>
      </c>
      <c r="Q59" s="351"/>
      <c r="R59" s="351"/>
    </row>
    <row r="60" spans="2:18" ht="22" customHeight="1" x14ac:dyDescent="0.2">
      <c r="B60" s="358" t="s">
        <v>2515</v>
      </c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62" t="s">
        <v>2516</v>
      </c>
    </row>
    <row r="61" spans="2:18" ht="22" customHeight="1" x14ac:dyDescent="0.2">
      <c r="B61" s="358" t="s">
        <v>2517</v>
      </c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62" t="s">
        <v>2518</v>
      </c>
      <c r="Q61" s="362" t="s">
        <v>2518</v>
      </c>
      <c r="R61" s="351"/>
    </row>
    <row r="62" spans="2:18" ht="22" customHeight="1" x14ac:dyDescent="0.2">
      <c r="B62" s="358" t="s">
        <v>2519</v>
      </c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63" t="s">
        <v>2520</v>
      </c>
    </row>
    <row r="65" spans="2:17" ht="16" x14ac:dyDescent="0.2">
      <c r="B65" s="364" t="s">
        <v>2521</v>
      </c>
    </row>
    <row r="67" spans="2:17" x14ac:dyDescent="0.2">
      <c r="B67" s="595" t="s">
        <v>2522</v>
      </c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3"/>
      <c r="Q67" s="466"/>
    </row>
    <row r="68" spans="2:17" x14ac:dyDescent="0.2">
      <c r="B68" s="595" t="s">
        <v>2523</v>
      </c>
      <c r="C68" s="473"/>
      <c r="D68" s="473"/>
      <c r="E68" s="473"/>
      <c r="F68" s="473"/>
      <c r="G68" s="473"/>
      <c r="H68" s="473"/>
      <c r="I68" s="473"/>
      <c r="J68" s="473"/>
      <c r="K68" s="473"/>
      <c r="L68" s="473"/>
      <c r="M68" s="473"/>
      <c r="N68" s="473"/>
      <c r="O68" s="473"/>
      <c r="P68" s="473"/>
      <c r="Q68" s="466"/>
    </row>
    <row r="69" spans="2:17" x14ac:dyDescent="0.2">
      <c r="B69" s="595" t="s">
        <v>2524</v>
      </c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3"/>
      <c r="Q69" s="466"/>
    </row>
    <row r="70" spans="2:17" x14ac:dyDescent="0.2">
      <c r="B70" s="595" t="s">
        <v>2525</v>
      </c>
      <c r="C70" s="473"/>
      <c r="D70" s="473"/>
      <c r="E70" s="473"/>
      <c r="F70" s="473"/>
      <c r="G70" s="473"/>
      <c r="H70" s="473"/>
      <c r="I70" s="473"/>
      <c r="J70" s="473"/>
      <c r="K70" s="473"/>
      <c r="L70" s="473"/>
      <c r="M70" s="473"/>
      <c r="N70" s="473"/>
      <c r="O70" s="473"/>
      <c r="P70" s="473"/>
      <c r="Q70" s="466"/>
    </row>
    <row r="71" spans="2:17" x14ac:dyDescent="0.2">
      <c r="B71" s="595" t="s">
        <v>2526</v>
      </c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473"/>
      <c r="N71" s="473"/>
      <c r="O71" s="473"/>
      <c r="P71" s="473"/>
      <c r="Q71" s="466"/>
    </row>
    <row r="72" spans="2:17" x14ac:dyDescent="0.2">
      <c r="B72" s="595" t="s">
        <v>2527</v>
      </c>
      <c r="C72" s="473"/>
      <c r="D72" s="473"/>
      <c r="E72" s="473"/>
      <c r="F72" s="473"/>
      <c r="G72" s="473"/>
      <c r="H72" s="473"/>
      <c r="I72" s="473"/>
      <c r="J72" s="473"/>
      <c r="K72" s="473"/>
      <c r="L72" s="473"/>
      <c r="M72" s="473"/>
      <c r="N72" s="473"/>
      <c r="O72" s="473"/>
      <c r="P72" s="473"/>
      <c r="Q72" s="466"/>
    </row>
    <row r="73" spans="2:17" x14ac:dyDescent="0.2">
      <c r="B73" s="595" t="s">
        <v>2528</v>
      </c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66"/>
    </row>
    <row r="74" spans="2:17" x14ac:dyDescent="0.2">
      <c r="B74" s="595" t="s">
        <v>2529</v>
      </c>
      <c r="C74" s="473"/>
      <c r="D74" s="473"/>
      <c r="E74" s="473"/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66"/>
    </row>
    <row r="75" spans="2:17" x14ac:dyDescent="0.2">
      <c r="B75" s="595" t="s">
        <v>2530</v>
      </c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473"/>
      <c r="N75" s="473"/>
      <c r="O75" s="473"/>
      <c r="P75" s="473"/>
      <c r="Q75" s="466"/>
    </row>
    <row r="76" spans="2:17" x14ac:dyDescent="0.2">
      <c r="B76" s="595" t="s">
        <v>2531</v>
      </c>
      <c r="C76" s="473"/>
      <c r="D76" s="473"/>
      <c r="E76" s="473"/>
      <c r="F76" s="473"/>
      <c r="G76" s="473"/>
      <c r="H76" s="473"/>
      <c r="I76" s="473"/>
      <c r="J76" s="473"/>
      <c r="K76" s="473"/>
      <c r="L76" s="473"/>
      <c r="M76" s="473"/>
      <c r="N76" s="473"/>
      <c r="O76" s="473"/>
      <c r="P76" s="473"/>
      <c r="Q76" s="466"/>
    </row>
    <row r="77" spans="2:17" x14ac:dyDescent="0.2">
      <c r="B77" s="595" t="s">
        <v>2532</v>
      </c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473"/>
      <c r="N77" s="473"/>
      <c r="O77" s="473"/>
      <c r="P77" s="473"/>
      <c r="Q77" s="466"/>
    </row>
    <row r="78" spans="2:17" x14ac:dyDescent="0.2">
      <c r="B78" s="595" t="s">
        <v>2533</v>
      </c>
      <c r="C78" s="473"/>
      <c r="D78" s="473"/>
      <c r="E78" s="473"/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66"/>
    </row>
    <row r="81" spans="2:6" ht="16" x14ac:dyDescent="0.2">
      <c r="B81" s="240" t="s">
        <v>2534</v>
      </c>
    </row>
    <row r="83" spans="2:6" x14ac:dyDescent="0.2">
      <c r="B83" s="241" t="s">
        <v>61</v>
      </c>
      <c r="C83" s="241" t="s">
        <v>309</v>
      </c>
      <c r="D83" s="241" t="s">
        <v>2535</v>
      </c>
      <c r="E83" s="241" t="s">
        <v>2536</v>
      </c>
      <c r="F83" s="241" t="s">
        <v>2537</v>
      </c>
    </row>
    <row r="84" spans="2:6" ht="26" customHeight="1" x14ac:dyDescent="0.2">
      <c r="B84" s="318">
        <v>1</v>
      </c>
      <c r="C84" s="242" t="s">
        <v>2538</v>
      </c>
      <c r="D84" s="243" t="s">
        <v>2539</v>
      </c>
      <c r="E84" s="365" t="s">
        <v>1844</v>
      </c>
      <c r="F84" s="243" t="s">
        <v>2540</v>
      </c>
    </row>
    <row r="85" spans="2:6" ht="26" customHeight="1" x14ac:dyDescent="0.2">
      <c r="B85" s="318">
        <v>2</v>
      </c>
      <c r="C85" s="242" t="s">
        <v>2541</v>
      </c>
      <c r="D85" s="243" t="s">
        <v>2542</v>
      </c>
      <c r="E85" s="365" t="s">
        <v>1844</v>
      </c>
      <c r="F85" s="243" t="s">
        <v>1738</v>
      </c>
    </row>
    <row r="86" spans="2:6" ht="26" customHeight="1" x14ac:dyDescent="0.2">
      <c r="B86" s="318">
        <v>3</v>
      </c>
      <c r="C86" s="242" t="s">
        <v>2543</v>
      </c>
      <c r="D86" s="243" t="s">
        <v>2544</v>
      </c>
      <c r="E86" s="317" t="s">
        <v>1078</v>
      </c>
      <c r="F86" s="243" t="s">
        <v>2545</v>
      </c>
    </row>
    <row r="87" spans="2:6" ht="26" customHeight="1" x14ac:dyDescent="0.2">
      <c r="B87" s="318">
        <v>4</v>
      </c>
      <c r="C87" s="242" t="s">
        <v>2546</v>
      </c>
      <c r="D87" s="243" t="s">
        <v>2547</v>
      </c>
      <c r="E87" s="365" t="s">
        <v>1844</v>
      </c>
      <c r="F87" s="243" t="s">
        <v>2548</v>
      </c>
    </row>
    <row r="88" spans="2:6" ht="26" customHeight="1" x14ac:dyDescent="0.2">
      <c r="B88" s="318">
        <v>5</v>
      </c>
      <c r="C88" s="242" t="s">
        <v>2549</v>
      </c>
      <c r="D88" s="243" t="s">
        <v>2550</v>
      </c>
      <c r="E88" s="317" t="s">
        <v>1078</v>
      </c>
      <c r="F88" s="243" t="s">
        <v>1544</v>
      </c>
    </row>
    <row r="89" spans="2:6" ht="26" customHeight="1" x14ac:dyDescent="0.2">
      <c r="B89" s="318">
        <v>6</v>
      </c>
      <c r="C89" s="242" t="s">
        <v>2551</v>
      </c>
      <c r="D89" s="243" t="s">
        <v>2552</v>
      </c>
      <c r="E89" s="365" t="s">
        <v>1844</v>
      </c>
      <c r="F89" s="243" t="s">
        <v>2553</v>
      </c>
    </row>
    <row r="90" spans="2:6" ht="26" customHeight="1" x14ac:dyDescent="0.2">
      <c r="B90" s="318">
        <v>7</v>
      </c>
      <c r="C90" s="242" t="s">
        <v>2554</v>
      </c>
      <c r="D90" s="243" t="s">
        <v>2555</v>
      </c>
      <c r="E90" s="365" t="s">
        <v>1844</v>
      </c>
      <c r="F90" s="243" t="s">
        <v>2556</v>
      </c>
    </row>
    <row r="91" spans="2:6" ht="26" customHeight="1" x14ac:dyDescent="0.2">
      <c r="B91" s="318">
        <v>8</v>
      </c>
      <c r="C91" s="242" t="s">
        <v>2557</v>
      </c>
      <c r="D91" s="243" t="s">
        <v>2558</v>
      </c>
      <c r="E91" s="365" t="s">
        <v>1844</v>
      </c>
      <c r="F91" s="243" t="s">
        <v>2559</v>
      </c>
    </row>
    <row r="92" spans="2:6" ht="26" customHeight="1" x14ac:dyDescent="0.2">
      <c r="B92" s="318">
        <v>9</v>
      </c>
      <c r="C92" s="242" t="s">
        <v>2560</v>
      </c>
      <c r="D92" s="243" t="s">
        <v>2561</v>
      </c>
      <c r="E92" s="365" t="s">
        <v>1844</v>
      </c>
      <c r="F92" s="243" t="s">
        <v>1738</v>
      </c>
    </row>
    <row r="93" spans="2:6" ht="26" customHeight="1" x14ac:dyDescent="0.2">
      <c r="B93" s="318">
        <v>10</v>
      </c>
      <c r="C93" s="242" t="s">
        <v>2562</v>
      </c>
      <c r="D93" s="243" t="s">
        <v>2563</v>
      </c>
      <c r="E93" s="365" t="s">
        <v>1844</v>
      </c>
      <c r="F93" s="243" t="s">
        <v>1778</v>
      </c>
    </row>
  </sheetData>
  <mergeCells count="14">
    <mergeCell ref="B2:Q2"/>
    <mergeCell ref="B77:Q77"/>
    <mergeCell ref="B72:Q72"/>
    <mergeCell ref="B78:Q78"/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</mergeCells>
  <printOptions horizontalCentered="1"/>
  <pageMargins left="0.59" right="0.59" top="0.59" bottom="0.59" header="0.3" footer="0.3"/>
  <pageSetup paperSize="8"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2:N84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8" customWidth="1"/>
    <col min="4" max="4" width="18" customWidth="1"/>
    <col min="5" max="6" width="16" customWidth="1"/>
    <col min="7" max="14" width="14" customWidth="1"/>
    <col min="15" max="15" width="2" customWidth="1"/>
  </cols>
  <sheetData>
    <row r="2" spans="2:14" ht="28" customHeight="1" x14ac:dyDescent="0.2">
      <c r="B2" s="611" t="s">
        <v>2564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</row>
    <row r="3" spans="2:14" ht="18" customHeight="1" x14ac:dyDescent="0.2">
      <c r="B3" s="618" t="s">
        <v>2565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</row>
    <row r="5" spans="2:14" ht="22" customHeight="1" x14ac:dyDescent="0.2">
      <c r="B5" s="612" t="s">
        <v>2566</v>
      </c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</row>
    <row r="7" spans="2:14" ht="28" customHeight="1" x14ac:dyDescent="0.2">
      <c r="B7" s="366" t="s">
        <v>2567</v>
      </c>
      <c r="C7" s="613" t="s">
        <v>2568</v>
      </c>
      <c r="D7" s="468"/>
      <c r="E7" s="468"/>
      <c r="F7" s="468"/>
      <c r="G7" s="468"/>
      <c r="H7" s="468"/>
      <c r="I7" s="468"/>
      <c r="J7" s="468"/>
      <c r="K7" s="468"/>
      <c r="L7" s="468"/>
      <c r="M7" s="468"/>
      <c r="N7" s="468"/>
    </row>
    <row r="8" spans="2:14" ht="28" customHeight="1" x14ac:dyDescent="0.2">
      <c r="B8" s="366" t="s">
        <v>2567</v>
      </c>
      <c r="C8" s="613" t="s">
        <v>2569</v>
      </c>
      <c r="D8" s="468"/>
      <c r="E8" s="468"/>
      <c r="F8" s="468"/>
      <c r="G8" s="468"/>
      <c r="H8" s="468"/>
      <c r="I8" s="468"/>
      <c r="J8" s="468"/>
      <c r="K8" s="468"/>
      <c r="L8" s="468"/>
      <c r="M8" s="468"/>
      <c r="N8" s="468"/>
    </row>
    <row r="9" spans="2:14" ht="28" customHeight="1" x14ac:dyDescent="0.2">
      <c r="B9" s="366" t="s">
        <v>2567</v>
      </c>
      <c r="C9" s="613" t="s">
        <v>3144</v>
      </c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</row>
    <row r="10" spans="2:14" ht="28" customHeight="1" x14ac:dyDescent="0.2">
      <c r="B10" s="366" t="s">
        <v>2567</v>
      </c>
      <c r="C10" s="613" t="s">
        <v>2570</v>
      </c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8"/>
    </row>
    <row r="11" spans="2:14" ht="28" customHeight="1" x14ac:dyDescent="0.2">
      <c r="B11" s="366" t="s">
        <v>2567</v>
      </c>
      <c r="C11" s="613" t="s">
        <v>2571</v>
      </c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</row>
    <row r="12" spans="2:14" ht="28" customHeight="1" x14ac:dyDescent="0.2">
      <c r="B12" s="366" t="s">
        <v>2567</v>
      </c>
      <c r="C12" s="613" t="s">
        <v>2572</v>
      </c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</row>
    <row r="14" spans="2:14" ht="22" customHeight="1" x14ac:dyDescent="0.2">
      <c r="B14" s="612" t="s">
        <v>2573</v>
      </c>
      <c r="C14" s="468"/>
      <c r="D14" s="468"/>
      <c r="E14" s="468"/>
      <c r="F14" s="468"/>
      <c r="G14" s="468"/>
      <c r="H14" s="468"/>
      <c r="I14" s="468"/>
      <c r="J14" s="468"/>
      <c r="K14" s="468"/>
      <c r="L14" s="468"/>
      <c r="M14" s="468"/>
      <c r="N14" s="468"/>
    </row>
    <row r="16" spans="2:14" ht="22" customHeight="1" x14ac:dyDescent="0.2">
      <c r="C16" s="555" t="s">
        <v>21</v>
      </c>
      <c r="D16" s="466"/>
      <c r="E16" s="555" t="s">
        <v>400</v>
      </c>
      <c r="F16" s="466"/>
      <c r="G16" s="555" t="s">
        <v>475</v>
      </c>
      <c r="H16" s="466"/>
      <c r="I16" s="555" t="s">
        <v>1263</v>
      </c>
      <c r="J16" s="473"/>
      <c r="K16" s="473"/>
      <c r="L16" s="473"/>
      <c r="M16" s="473"/>
      <c r="N16" s="466"/>
    </row>
    <row r="17" spans="2:14" ht="20" customHeight="1" x14ac:dyDescent="0.2">
      <c r="C17" s="606" t="s">
        <v>2574</v>
      </c>
      <c r="D17" s="466"/>
      <c r="E17" s="607" t="s">
        <v>2575</v>
      </c>
      <c r="F17" s="466"/>
      <c r="G17" s="608" t="s">
        <v>2576</v>
      </c>
      <c r="H17" s="466"/>
      <c r="I17" s="602" t="s">
        <v>2577</v>
      </c>
      <c r="J17" s="473"/>
      <c r="K17" s="473"/>
      <c r="L17" s="473"/>
      <c r="M17" s="473"/>
      <c r="N17" s="466"/>
    </row>
    <row r="18" spans="2:14" ht="20" customHeight="1" x14ac:dyDescent="0.2">
      <c r="C18" s="606" t="s">
        <v>2578</v>
      </c>
      <c r="D18" s="466"/>
      <c r="E18" s="607" t="s">
        <v>3145</v>
      </c>
      <c r="F18" s="466"/>
      <c r="G18" s="608" t="s">
        <v>2579</v>
      </c>
      <c r="H18" s="466"/>
      <c r="I18" s="602" t="s">
        <v>2580</v>
      </c>
      <c r="J18" s="473"/>
      <c r="K18" s="473"/>
      <c r="L18" s="473"/>
      <c r="M18" s="473"/>
      <c r="N18" s="466"/>
    </row>
    <row r="19" spans="2:14" ht="20" customHeight="1" x14ac:dyDescent="0.2">
      <c r="C19" s="606" t="s">
        <v>1495</v>
      </c>
      <c r="D19" s="466"/>
      <c r="E19" s="607" t="s">
        <v>2581</v>
      </c>
      <c r="F19" s="466"/>
      <c r="G19" s="608" t="s">
        <v>2579</v>
      </c>
      <c r="H19" s="466"/>
      <c r="I19" s="602" t="s">
        <v>2582</v>
      </c>
      <c r="J19" s="473"/>
      <c r="K19" s="473"/>
      <c r="L19" s="473"/>
      <c r="M19" s="473"/>
      <c r="N19" s="466"/>
    </row>
    <row r="20" spans="2:14" ht="20" customHeight="1" x14ac:dyDescent="0.2">
      <c r="C20" s="606" t="s">
        <v>2583</v>
      </c>
      <c r="D20" s="466"/>
      <c r="E20" s="607" t="s">
        <v>3146</v>
      </c>
      <c r="F20" s="466"/>
      <c r="G20" s="608" t="s">
        <v>2584</v>
      </c>
      <c r="H20" s="466"/>
      <c r="I20" s="602" t="s">
        <v>2585</v>
      </c>
      <c r="J20" s="473"/>
      <c r="K20" s="473"/>
      <c r="L20" s="473"/>
      <c r="M20" s="473"/>
      <c r="N20" s="466"/>
    </row>
    <row r="21" spans="2:14" ht="20" customHeight="1" x14ac:dyDescent="0.2">
      <c r="C21" s="606" t="s">
        <v>2586</v>
      </c>
      <c r="D21" s="466"/>
      <c r="E21" s="607" t="s">
        <v>1001</v>
      </c>
      <c r="F21" s="466"/>
      <c r="G21" s="608" t="s">
        <v>2587</v>
      </c>
      <c r="H21" s="466"/>
      <c r="I21" s="602" t="s">
        <v>2588</v>
      </c>
      <c r="J21" s="473"/>
      <c r="K21" s="473"/>
      <c r="L21" s="473"/>
      <c r="M21" s="473"/>
      <c r="N21" s="466"/>
    </row>
    <row r="22" spans="2:14" ht="20" customHeight="1" x14ac:dyDescent="0.2">
      <c r="C22" s="606" t="s">
        <v>12</v>
      </c>
      <c r="D22" s="466"/>
      <c r="E22" s="607" t="s">
        <v>3147</v>
      </c>
      <c r="F22" s="466"/>
      <c r="G22" s="608" t="s">
        <v>2584</v>
      </c>
      <c r="H22" s="466"/>
      <c r="I22" s="602" t="s">
        <v>2589</v>
      </c>
      <c r="J22" s="473"/>
      <c r="K22" s="473"/>
      <c r="L22" s="473"/>
      <c r="M22" s="473"/>
      <c r="N22" s="466"/>
    </row>
    <row r="23" spans="2:14" ht="20" customHeight="1" x14ac:dyDescent="0.2">
      <c r="C23" s="606" t="s">
        <v>2590</v>
      </c>
      <c r="D23" s="466"/>
      <c r="E23" s="607" t="s">
        <v>945</v>
      </c>
      <c r="F23" s="466"/>
      <c r="G23" s="608" t="s">
        <v>2591</v>
      </c>
      <c r="H23" s="466"/>
      <c r="I23" s="602" t="s">
        <v>2592</v>
      </c>
      <c r="J23" s="473"/>
      <c r="K23" s="473"/>
      <c r="L23" s="473"/>
      <c r="M23" s="473"/>
      <c r="N23" s="466"/>
    </row>
    <row r="24" spans="2:14" ht="20" customHeight="1" x14ac:dyDescent="0.2">
      <c r="C24" s="606" t="s">
        <v>2593</v>
      </c>
      <c r="D24" s="466"/>
      <c r="E24" s="607" t="s">
        <v>954</v>
      </c>
      <c r="F24" s="466"/>
      <c r="G24" s="608" t="s">
        <v>2594</v>
      </c>
      <c r="H24" s="466"/>
      <c r="I24" s="602" t="s">
        <v>2595</v>
      </c>
      <c r="J24" s="473"/>
      <c r="K24" s="473"/>
      <c r="L24" s="473"/>
      <c r="M24" s="473"/>
      <c r="N24" s="466"/>
    </row>
    <row r="25" spans="2:14" ht="20" customHeight="1" x14ac:dyDescent="0.2">
      <c r="C25" s="606" t="s">
        <v>2596</v>
      </c>
      <c r="D25" s="466"/>
      <c r="E25" s="607" t="s">
        <v>3148</v>
      </c>
      <c r="F25" s="466"/>
      <c r="G25" s="608" t="s">
        <v>2597</v>
      </c>
      <c r="H25" s="466"/>
      <c r="I25" s="602" t="s">
        <v>2598</v>
      </c>
      <c r="J25" s="473"/>
      <c r="K25" s="473"/>
      <c r="L25" s="473"/>
      <c r="M25" s="473"/>
      <c r="N25" s="466"/>
    </row>
    <row r="26" spans="2:14" ht="20" customHeight="1" x14ac:dyDescent="0.2">
      <c r="C26" s="606" t="s">
        <v>2599</v>
      </c>
      <c r="D26" s="466"/>
      <c r="E26" s="607" t="s">
        <v>2600</v>
      </c>
      <c r="F26" s="466"/>
      <c r="G26" s="608" t="s">
        <v>2601</v>
      </c>
      <c r="H26" s="466"/>
      <c r="I26" s="602" t="s">
        <v>2602</v>
      </c>
      <c r="J26" s="473"/>
      <c r="K26" s="473"/>
      <c r="L26" s="473"/>
      <c r="M26" s="473"/>
      <c r="N26" s="466"/>
    </row>
    <row r="27" spans="2:14" ht="16" x14ac:dyDescent="0.2">
      <c r="C27" s="407" t="s">
        <v>2603</v>
      </c>
      <c r="E27" s="425" t="s">
        <v>2604</v>
      </c>
      <c r="G27" t="s">
        <v>2605</v>
      </c>
      <c r="I27" t="s">
        <v>2606</v>
      </c>
    </row>
    <row r="29" spans="2:14" ht="22" customHeight="1" x14ac:dyDescent="0.2">
      <c r="B29" s="615" t="s">
        <v>2607</v>
      </c>
      <c r="C29" s="468"/>
      <c r="D29" s="468"/>
      <c r="E29" s="468"/>
      <c r="F29" s="468"/>
      <c r="G29" s="468"/>
      <c r="H29" s="468"/>
      <c r="I29" s="468"/>
      <c r="J29" s="468"/>
      <c r="K29" s="468"/>
      <c r="L29" s="468"/>
      <c r="M29" s="468"/>
      <c r="N29" s="468"/>
    </row>
    <row r="31" spans="2:14" ht="20" customHeight="1" x14ac:dyDescent="0.2">
      <c r="B31" s="624" t="s">
        <v>2608</v>
      </c>
      <c r="C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</row>
    <row r="33" spans="2:14" ht="26" customHeight="1" x14ac:dyDescent="0.2">
      <c r="B33" s="623" t="s">
        <v>1286</v>
      </c>
      <c r="C33" s="473"/>
      <c r="D33" s="473"/>
      <c r="E33" s="466"/>
      <c r="F33" s="555" t="s">
        <v>2609</v>
      </c>
      <c r="G33" s="473"/>
      <c r="H33" s="466"/>
      <c r="I33" s="619" t="s">
        <v>2610</v>
      </c>
      <c r="J33" s="473"/>
      <c r="K33" s="473"/>
      <c r="L33" s="466"/>
      <c r="M33" s="619" t="s">
        <v>475</v>
      </c>
      <c r="N33" s="466"/>
    </row>
    <row r="34" spans="2:14" ht="32" customHeight="1" x14ac:dyDescent="0.2">
      <c r="B34" s="606" t="s">
        <v>2611</v>
      </c>
      <c r="C34" s="473"/>
      <c r="D34" s="473"/>
      <c r="E34" s="466"/>
      <c r="F34" s="607" t="s">
        <v>2612</v>
      </c>
      <c r="G34" s="473"/>
      <c r="H34" s="466"/>
      <c r="I34" s="602" t="s">
        <v>2613</v>
      </c>
      <c r="J34" s="473"/>
      <c r="K34" s="473"/>
      <c r="L34" s="466"/>
      <c r="M34" s="602" t="s">
        <v>2614</v>
      </c>
      <c r="N34" s="466"/>
    </row>
    <row r="35" spans="2:14" ht="32" customHeight="1" x14ac:dyDescent="0.2">
      <c r="B35" s="606" t="s">
        <v>2615</v>
      </c>
      <c r="C35" s="473"/>
      <c r="D35" s="473"/>
      <c r="E35" s="466"/>
      <c r="F35" s="607" t="s">
        <v>2616</v>
      </c>
      <c r="G35" s="473"/>
      <c r="H35" s="466"/>
      <c r="I35" s="602" t="s">
        <v>2617</v>
      </c>
      <c r="J35" s="473"/>
      <c r="K35" s="473"/>
      <c r="L35" s="466"/>
      <c r="M35" s="602" t="s">
        <v>2618</v>
      </c>
      <c r="N35" s="466"/>
    </row>
    <row r="36" spans="2:14" ht="32" customHeight="1" x14ac:dyDescent="0.2">
      <c r="B36" s="606" t="s">
        <v>2619</v>
      </c>
      <c r="C36" s="473"/>
      <c r="D36" s="473"/>
      <c r="E36" s="466"/>
      <c r="F36" s="607" t="s">
        <v>2620</v>
      </c>
      <c r="G36" s="473"/>
      <c r="H36" s="466"/>
      <c r="I36" s="602" t="s">
        <v>2621</v>
      </c>
      <c r="J36" s="473"/>
      <c r="K36" s="473"/>
      <c r="L36" s="466"/>
      <c r="M36" s="602" t="s">
        <v>2622</v>
      </c>
      <c r="N36" s="466"/>
    </row>
    <row r="39" spans="2:14" ht="20" customHeight="1" x14ac:dyDescent="0.2">
      <c r="B39" s="622" t="s">
        <v>2623</v>
      </c>
      <c r="C39" s="468"/>
      <c r="D39" s="468"/>
      <c r="E39" s="468"/>
      <c r="F39" s="468"/>
      <c r="G39" s="468"/>
      <c r="H39" s="468"/>
      <c r="I39" s="468"/>
      <c r="J39" s="468"/>
      <c r="K39" s="468"/>
      <c r="L39" s="468"/>
      <c r="M39" s="468"/>
      <c r="N39" s="468"/>
    </row>
    <row r="41" spans="2:14" ht="22" customHeight="1" x14ac:dyDescent="0.2">
      <c r="B41" s="241" t="s">
        <v>61</v>
      </c>
      <c r="C41" s="555" t="s">
        <v>2624</v>
      </c>
      <c r="D41" s="473"/>
      <c r="E41" s="466"/>
      <c r="F41" s="555" t="s">
        <v>1233</v>
      </c>
      <c r="G41" s="473"/>
      <c r="H41" s="473"/>
      <c r="I41" s="473"/>
      <c r="J41" s="473"/>
      <c r="K41" s="473"/>
      <c r="L41" s="466"/>
      <c r="M41" s="555" t="s">
        <v>2625</v>
      </c>
      <c r="N41" s="466"/>
    </row>
    <row r="42" spans="2:14" ht="52" customHeight="1" x14ac:dyDescent="0.2">
      <c r="B42" s="328" t="s">
        <v>263</v>
      </c>
      <c r="C42" s="604" t="s">
        <v>1235</v>
      </c>
      <c r="D42" s="473"/>
      <c r="E42" s="466"/>
      <c r="F42" s="604" t="s">
        <v>2626</v>
      </c>
      <c r="G42" s="473"/>
      <c r="H42" s="473"/>
      <c r="I42" s="473"/>
      <c r="J42" s="473"/>
      <c r="K42" s="473"/>
      <c r="L42" s="466"/>
      <c r="M42" s="549" t="s">
        <v>2627</v>
      </c>
      <c r="N42" s="466"/>
    </row>
    <row r="43" spans="2:14" ht="52" customHeight="1" x14ac:dyDescent="0.2">
      <c r="B43" s="328" t="s">
        <v>266</v>
      </c>
      <c r="C43" s="604" t="s">
        <v>1238</v>
      </c>
      <c r="D43" s="473"/>
      <c r="E43" s="466"/>
      <c r="F43" s="604" t="s">
        <v>2628</v>
      </c>
      <c r="G43" s="473"/>
      <c r="H43" s="473"/>
      <c r="I43" s="473"/>
      <c r="J43" s="473"/>
      <c r="K43" s="473"/>
      <c r="L43" s="466"/>
      <c r="M43" s="549" t="s">
        <v>2629</v>
      </c>
      <c r="N43" s="466"/>
    </row>
    <row r="44" spans="2:14" ht="52" customHeight="1" x14ac:dyDescent="0.2">
      <c r="B44" s="328" t="s">
        <v>269</v>
      </c>
      <c r="C44" s="604" t="s">
        <v>1241</v>
      </c>
      <c r="D44" s="473"/>
      <c r="E44" s="466"/>
      <c r="F44" s="604" t="s">
        <v>2630</v>
      </c>
      <c r="G44" s="473"/>
      <c r="H44" s="473"/>
      <c r="I44" s="473"/>
      <c r="J44" s="473"/>
      <c r="K44" s="473"/>
      <c r="L44" s="466"/>
      <c r="M44" s="549" t="s">
        <v>2629</v>
      </c>
      <c r="N44" s="466"/>
    </row>
    <row r="45" spans="2:14" ht="52" customHeight="1" x14ac:dyDescent="0.2">
      <c r="B45" s="328" t="s">
        <v>275</v>
      </c>
      <c r="C45" s="604" t="s">
        <v>2631</v>
      </c>
      <c r="D45" s="473">
        <v>1625</v>
      </c>
      <c r="E45" s="466"/>
      <c r="F45" s="604">
        <v>1274</v>
      </c>
      <c r="G45" s="473"/>
      <c r="H45" s="473"/>
      <c r="I45" s="473"/>
      <c r="J45" s="473"/>
      <c r="K45" s="473"/>
      <c r="L45" s="466"/>
      <c r="M45" s="549" t="s">
        <v>1245</v>
      </c>
      <c r="N45" s="466"/>
    </row>
    <row r="46" spans="2:14" ht="52" customHeight="1" x14ac:dyDescent="0.2">
      <c r="B46" s="328" t="s">
        <v>1195</v>
      </c>
      <c r="C46" s="604" t="s">
        <v>1246</v>
      </c>
      <c r="D46" s="473">
        <v>2167</v>
      </c>
      <c r="E46" s="466"/>
      <c r="F46" s="604">
        <v>1698</v>
      </c>
      <c r="G46" s="473"/>
      <c r="H46" s="473"/>
      <c r="I46" s="473"/>
      <c r="J46" s="473"/>
      <c r="K46" s="473"/>
      <c r="L46" s="466"/>
      <c r="M46" s="549" t="s">
        <v>2632</v>
      </c>
      <c r="N46" s="466"/>
    </row>
    <row r="47" spans="2:14" ht="28" customHeight="1" x14ac:dyDescent="0.2">
      <c r="B47" s="367" t="s">
        <v>792</v>
      </c>
      <c r="C47" s="603" t="s">
        <v>2633</v>
      </c>
      <c r="D47" s="473">
        <v>2709</v>
      </c>
      <c r="E47" s="473"/>
      <c r="F47" s="473">
        <v>2122</v>
      </c>
      <c r="G47" s="473"/>
      <c r="H47" s="473"/>
      <c r="I47" s="473"/>
      <c r="J47" s="473"/>
      <c r="K47" s="473"/>
      <c r="L47" s="466"/>
      <c r="M47" s="621" t="s">
        <v>2634</v>
      </c>
      <c r="N47" s="466"/>
    </row>
    <row r="49" spans="2:14" ht="20" customHeight="1" x14ac:dyDescent="0.2">
      <c r="B49" s="622" t="s">
        <v>2635</v>
      </c>
      <c r="C49" s="468"/>
      <c r="D49" s="468"/>
      <c r="E49" s="468"/>
      <c r="F49" s="468"/>
      <c r="G49" s="468"/>
      <c r="H49" s="468"/>
      <c r="I49" s="468"/>
      <c r="J49" s="468"/>
      <c r="K49" s="468"/>
      <c r="L49" s="468"/>
      <c r="M49" s="468"/>
      <c r="N49" s="468"/>
    </row>
    <row r="50" spans="2:14" ht="96" customHeight="1" x14ac:dyDescent="0.2">
      <c r="B50" s="617" t="s">
        <v>2636</v>
      </c>
      <c r="C50" s="468"/>
      <c r="D50" s="468"/>
      <c r="E50" s="468"/>
      <c r="F50" s="468"/>
      <c r="G50" s="468"/>
      <c r="H50" s="468"/>
      <c r="I50" s="468"/>
      <c r="J50" s="468"/>
      <c r="K50" s="468"/>
      <c r="L50" s="468"/>
      <c r="M50" s="468"/>
      <c r="N50" s="468"/>
    </row>
    <row r="53" spans="2:14" ht="22" customHeight="1" x14ac:dyDescent="0.2">
      <c r="B53" s="612" t="s">
        <v>2637</v>
      </c>
      <c r="C53" s="468"/>
      <c r="D53" s="468"/>
      <c r="E53" s="468"/>
      <c r="F53" s="468"/>
      <c r="G53" s="468"/>
      <c r="H53" s="468"/>
      <c r="I53" s="468"/>
      <c r="J53" s="468"/>
      <c r="K53" s="468"/>
      <c r="L53" s="468"/>
      <c r="M53" s="468"/>
      <c r="N53" s="468"/>
    </row>
    <row r="55" spans="2:14" ht="22" customHeight="1" x14ac:dyDescent="0.2">
      <c r="B55" s="241" t="s">
        <v>1607</v>
      </c>
      <c r="C55" s="555" t="s">
        <v>825</v>
      </c>
      <c r="D55" s="473"/>
      <c r="E55" s="473"/>
      <c r="F55" s="466"/>
      <c r="G55" s="555" t="s">
        <v>376</v>
      </c>
      <c r="H55" s="466"/>
      <c r="I55" s="241" t="s">
        <v>2638</v>
      </c>
      <c r="J55" s="555" t="s">
        <v>1611</v>
      </c>
      <c r="K55" s="466"/>
      <c r="L55" s="555" t="s">
        <v>2639</v>
      </c>
      <c r="M55" s="473"/>
      <c r="N55" s="466"/>
    </row>
    <row r="56" spans="2:14" ht="36" customHeight="1" x14ac:dyDescent="0.2">
      <c r="B56" s="328" t="s">
        <v>1682</v>
      </c>
      <c r="C56" s="620" t="s">
        <v>2640</v>
      </c>
      <c r="D56" s="473"/>
      <c r="E56" s="473"/>
      <c r="F56" s="466"/>
      <c r="G56" s="604" t="s">
        <v>1667</v>
      </c>
      <c r="H56" s="466"/>
      <c r="I56" s="368" t="s">
        <v>2641</v>
      </c>
      <c r="J56" s="605" t="s">
        <v>2642</v>
      </c>
      <c r="K56" s="466"/>
      <c r="L56" s="604" t="s">
        <v>2643</v>
      </c>
      <c r="M56" s="473"/>
      <c r="N56" s="466"/>
    </row>
    <row r="57" spans="2:14" ht="36" customHeight="1" x14ac:dyDescent="0.2">
      <c r="B57" s="328" t="s">
        <v>1625</v>
      </c>
      <c r="C57" s="604" t="s">
        <v>2644</v>
      </c>
      <c r="D57" s="473"/>
      <c r="E57" s="473"/>
      <c r="F57" s="466"/>
      <c r="G57" s="604" t="s">
        <v>1279</v>
      </c>
      <c r="H57" s="466"/>
      <c r="I57" s="368" t="s">
        <v>2641</v>
      </c>
      <c r="J57" s="549" t="s">
        <v>2642</v>
      </c>
      <c r="K57" s="466"/>
      <c r="L57" s="604" t="s">
        <v>2645</v>
      </c>
      <c r="M57" s="473"/>
      <c r="N57" s="466"/>
    </row>
    <row r="58" spans="2:14" ht="36" customHeight="1" x14ac:dyDescent="0.2">
      <c r="B58" s="328" t="s">
        <v>1647</v>
      </c>
      <c r="C58" s="604" t="s">
        <v>2646</v>
      </c>
      <c r="D58" s="473"/>
      <c r="E58" s="473"/>
      <c r="F58" s="466"/>
      <c r="G58" s="604" t="s">
        <v>1691</v>
      </c>
      <c r="H58" s="466"/>
      <c r="I58" s="368" t="s">
        <v>2647</v>
      </c>
      <c r="J58" s="549" t="s">
        <v>2642</v>
      </c>
      <c r="K58" s="466"/>
      <c r="L58" s="604" t="s">
        <v>2648</v>
      </c>
      <c r="M58" s="473"/>
      <c r="N58" s="466"/>
    </row>
    <row r="59" spans="2:14" ht="36" customHeight="1" x14ac:dyDescent="0.2">
      <c r="B59" s="328" t="s">
        <v>1662</v>
      </c>
      <c r="C59" s="604" t="s">
        <v>2649</v>
      </c>
      <c r="D59" s="473"/>
      <c r="E59" s="473"/>
      <c r="F59" s="466"/>
      <c r="G59" s="604" t="s">
        <v>2650</v>
      </c>
      <c r="H59" s="466"/>
      <c r="I59" s="368" t="s">
        <v>2641</v>
      </c>
      <c r="J59" s="549" t="s">
        <v>2642</v>
      </c>
      <c r="K59" s="466"/>
      <c r="L59" s="604" t="s">
        <v>2651</v>
      </c>
      <c r="M59" s="473"/>
      <c r="N59" s="466"/>
    </row>
    <row r="60" spans="2:14" ht="36" customHeight="1" x14ac:dyDescent="0.2">
      <c r="B60" s="328" t="s">
        <v>1703</v>
      </c>
      <c r="C60" s="604" t="s">
        <v>2652</v>
      </c>
      <c r="D60" s="473"/>
      <c r="E60" s="473"/>
      <c r="F60" s="466"/>
      <c r="G60" s="604" t="s">
        <v>1643</v>
      </c>
      <c r="H60" s="466"/>
      <c r="I60" s="368" t="s">
        <v>2653</v>
      </c>
      <c r="J60" s="549" t="s">
        <v>2654</v>
      </c>
      <c r="K60" s="466"/>
      <c r="L60" s="604" t="s">
        <v>2655</v>
      </c>
      <c r="M60" s="473"/>
      <c r="N60" s="466"/>
    </row>
    <row r="62" spans="2:14" ht="18" customHeight="1" x14ac:dyDescent="0.2">
      <c r="B62" s="609" t="s">
        <v>2656</v>
      </c>
      <c r="C62" s="468"/>
      <c r="D62" s="468"/>
      <c r="E62" s="468"/>
      <c r="F62" s="468"/>
      <c r="G62" s="468"/>
      <c r="H62" s="468"/>
      <c r="I62" s="468"/>
      <c r="J62" s="468"/>
      <c r="K62" s="468"/>
      <c r="L62" s="468"/>
      <c r="M62" s="468"/>
      <c r="N62" s="468"/>
    </row>
    <row r="65" spans="2:14" ht="22" customHeight="1" x14ac:dyDescent="0.2">
      <c r="B65" s="612" t="s">
        <v>2657</v>
      </c>
      <c r="C65" s="468"/>
      <c r="D65" s="468"/>
      <c r="E65" s="468"/>
      <c r="F65" s="468"/>
      <c r="G65" s="468"/>
      <c r="H65" s="468"/>
      <c r="I65" s="468"/>
      <c r="J65" s="468"/>
      <c r="K65" s="468"/>
      <c r="L65" s="468"/>
      <c r="M65" s="468"/>
      <c r="N65" s="468"/>
    </row>
    <row r="67" spans="2:14" ht="22" customHeight="1" x14ac:dyDescent="0.2">
      <c r="B67" s="241" t="s">
        <v>61</v>
      </c>
      <c r="C67" s="555" t="s">
        <v>2658</v>
      </c>
      <c r="D67" s="473"/>
      <c r="E67" s="473"/>
      <c r="F67" s="466"/>
      <c r="G67" s="241" t="s">
        <v>2659</v>
      </c>
      <c r="H67" s="555" t="s">
        <v>2660</v>
      </c>
      <c r="I67" s="466"/>
      <c r="J67" s="555" t="s">
        <v>2661</v>
      </c>
      <c r="K67" s="473"/>
      <c r="L67" s="473"/>
      <c r="M67" s="473"/>
      <c r="N67" s="466"/>
    </row>
    <row r="68" spans="2:14" ht="22" customHeight="1" x14ac:dyDescent="0.2">
      <c r="B68" s="318" t="s">
        <v>2662</v>
      </c>
      <c r="C68" s="601" t="s">
        <v>2663</v>
      </c>
      <c r="D68" s="473"/>
      <c r="E68" s="473"/>
      <c r="F68" s="466"/>
      <c r="G68" s="242" t="s">
        <v>2664</v>
      </c>
      <c r="H68" s="610" t="s">
        <v>407</v>
      </c>
      <c r="I68" s="466"/>
      <c r="J68" s="601" t="s">
        <v>2665</v>
      </c>
      <c r="K68" s="473"/>
      <c r="L68" s="473"/>
      <c r="M68" s="473"/>
      <c r="N68" s="466"/>
    </row>
    <row r="69" spans="2:14" ht="22" customHeight="1" x14ac:dyDescent="0.2">
      <c r="B69" s="318" t="s">
        <v>2666</v>
      </c>
      <c r="C69" s="601" t="s">
        <v>2667</v>
      </c>
      <c r="D69" s="473"/>
      <c r="E69" s="473"/>
      <c r="F69" s="466"/>
      <c r="G69" s="242" t="s">
        <v>2124</v>
      </c>
      <c r="H69" s="610" t="s">
        <v>407</v>
      </c>
      <c r="I69" s="466"/>
      <c r="J69" s="601" t="s">
        <v>2668</v>
      </c>
      <c r="K69" s="473"/>
      <c r="L69" s="473"/>
      <c r="M69" s="473"/>
      <c r="N69" s="466"/>
    </row>
    <row r="70" spans="2:14" ht="22" customHeight="1" x14ac:dyDescent="0.2">
      <c r="B70" s="318" t="s">
        <v>2669</v>
      </c>
      <c r="C70" s="601" t="s">
        <v>2670</v>
      </c>
      <c r="D70" s="473"/>
      <c r="E70" s="473"/>
      <c r="F70" s="466"/>
      <c r="G70" s="242" t="s">
        <v>1986</v>
      </c>
      <c r="H70" s="610" t="s">
        <v>2671</v>
      </c>
      <c r="I70" s="466"/>
      <c r="J70" s="601" t="s">
        <v>2672</v>
      </c>
      <c r="K70" s="473"/>
      <c r="L70" s="473"/>
      <c r="M70" s="473"/>
      <c r="N70" s="466"/>
    </row>
    <row r="71" spans="2:14" ht="22" customHeight="1" x14ac:dyDescent="0.2">
      <c r="B71" s="318" t="s">
        <v>2673</v>
      </c>
      <c r="C71" s="601" t="s">
        <v>2674</v>
      </c>
      <c r="D71" s="473"/>
      <c r="E71" s="473"/>
      <c r="F71" s="466"/>
      <c r="G71" s="242" t="s">
        <v>1986</v>
      </c>
      <c r="H71" s="610" t="s">
        <v>2675</v>
      </c>
      <c r="I71" s="466"/>
      <c r="J71" s="601" t="s">
        <v>2676</v>
      </c>
      <c r="K71" s="473"/>
      <c r="L71" s="473"/>
      <c r="M71" s="473"/>
      <c r="N71" s="466"/>
    </row>
    <row r="72" spans="2:14" ht="22" customHeight="1" x14ac:dyDescent="0.2">
      <c r="B72" s="318" t="s">
        <v>2677</v>
      </c>
      <c r="C72" s="601" t="s">
        <v>2678</v>
      </c>
      <c r="D72" s="473"/>
      <c r="E72" s="473"/>
      <c r="F72" s="466"/>
      <c r="G72" s="242" t="s">
        <v>2679</v>
      </c>
      <c r="H72" s="610" t="s">
        <v>407</v>
      </c>
      <c r="I72" s="466"/>
      <c r="J72" s="601" t="s">
        <v>2680</v>
      </c>
      <c r="K72" s="473"/>
      <c r="L72" s="473"/>
      <c r="M72" s="473"/>
      <c r="N72" s="466"/>
    </row>
    <row r="73" spans="2:14" ht="22" customHeight="1" x14ac:dyDescent="0.2">
      <c r="B73" s="318" t="s">
        <v>2681</v>
      </c>
      <c r="C73" s="601" t="s">
        <v>2682</v>
      </c>
      <c r="D73" s="473"/>
      <c r="E73" s="473"/>
      <c r="F73" s="466"/>
      <c r="G73" s="242" t="s">
        <v>2683</v>
      </c>
      <c r="H73" s="610" t="s">
        <v>406</v>
      </c>
      <c r="I73" s="466"/>
      <c r="J73" s="601" t="s">
        <v>2684</v>
      </c>
      <c r="K73" s="473"/>
      <c r="L73" s="473"/>
      <c r="M73" s="473"/>
      <c r="N73" s="466"/>
    </row>
    <row r="74" spans="2:14" ht="22" customHeight="1" x14ac:dyDescent="0.2">
      <c r="B74" s="318" t="s">
        <v>2685</v>
      </c>
      <c r="C74" s="601" t="s">
        <v>2686</v>
      </c>
      <c r="D74" s="473"/>
      <c r="E74" s="473"/>
      <c r="F74" s="466"/>
      <c r="G74" s="242" t="s">
        <v>2683</v>
      </c>
      <c r="H74" s="610" t="s">
        <v>2687</v>
      </c>
      <c r="I74" s="466"/>
      <c r="J74" s="601" t="s">
        <v>2688</v>
      </c>
      <c r="K74" s="473"/>
      <c r="L74" s="473"/>
      <c r="M74" s="473"/>
      <c r="N74" s="466"/>
    </row>
    <row r="76" spans="2:14" ht="18" customHeight="1" x14ac:dyDescent="0.2">
      <c r="B76" s="609" t="s">
        <v>2689</v>
      </c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</row>
    <row r="79" spans="2:14" ht="22" customHeight="1" x14ac:dyDescent="0.2">
      <c r="B79" s="615" t="s">
        <v>2690</v>
      </c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</row>
    <row r="81" spans="2:14" ht="170" customHeight="1" x14ac:dyDescent="0.2">
      <c r="B81" s="616" t="s">
        <v>2691</v>
      </c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</row>
    <row r="84" spans="2:14" ht="36" customHeight="1" x14ac:dyDescent="0.2">
      <c r="B84" s="614" t="s">
        <v>2692</v>
      </c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</row>
  </sheetData>
  <mergeCells count="150"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G21:H21"/>
    <mergeCell ref="M43:N43"/>
    <mergeCell ref="C44:E44"/>
    <mergeCell ref="F36:H36"/>
    <mergeCell ref="F33:H33"/>
    <mergeCell ref="I22:N22"/>
    <mergeCell ref="B65:N65"/>
    <mergeCell ref="J57:K57"/>
    <mergeCell ref="C67:F67"/>
    <mergeCell ref="C72:F72"/>
    <mergeCell ref="G23:H23"/>
    <mergeCell ref="J59:K59"/>
    <mergeCell ref="L58:N58"/>
    <mergeCell ref="I21:N21"/>
    <mergeCell ref="J60:K60"/>
    <mergeCell ref="B36:E36"/>
    <mergeCell ref="F43:L43"/>
    <mergeCell ref="E23:F23"/>
    <mergeCell ref="B39:N39"/>
    <mergeCell ref="C46:E46"/>
    <mergeCell ref="C10:N10"/>
    <mergeCell ref="C17:D17"/>
    <mergeCell ref="C42:E42"/>
    <mergeCell ref="F45:L45"/>
    <mergeCell ref="B14:N14"/>
    <mergeCell ref="G20:H20"/>
    <mergeCell ref="C56:F56"/>
    <mergeCell ref="M47:N47"/>
    <mergeCell ref="C19:D19"/>
    <mergeCell ref="I26:N26"/>
    <mergeCell ref="E22:F22"/>
    <mergeCell ref="G22:H22"/>
    <mergeCell ref="I16:N16"/>
    <mergeCell ref="F46:L46"/>
    <mergeCell ref="I25:N25"/>
    <mergeCell ref="B49:N49"/>
    <mergeCell ref="F35:H35"/>
    <mergeCell ref="M44:N44"/>
    <mergeCell ref="I18:N18"/>
    <mergeCell ref="B33:E33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C8:N8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C25:D25"/>
    <mergeCell ref="E19:F19"/>
    <mergeCell ref="I34:L34"/>
    <mergeCell ref="G19:H19"/>
    <mergeCell ref="E21:F21"/>
    <mergeCell ref="G16:H16"/>
    <mergeCell ref="E25:F25"/>
    <mergeCell ref="G25:H25"/>
    <mergeCell ref="B29:N29"/>
    <mergeCell ref="C18:D18"/>
    <mergeCell ref="I33:L33"/>
    <mergeCell ref="E18:F18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J73:N73"/>
    <mergeCell ref="J68:N68"/>
    <mergeCell ref="F44:L44"/>
    <mergeCell ref="B62:N62"/>
    <mergeCell ref="J55:K55"/>
    <mergeCell ref="H70:I70"/>
    <mergeCell ref="H74:I74"/>
    <mergeCell ref="G60:H60"/>
    <mergeCell ref="C71:F71"/>
    <mergeCell ref="H71:I71"/>
    <mergeCell ref="J58:K58"/>
    <mergeCell ref="G59:H59"/>
  </mergeCells>
  <printOptions horizontalCentered="1"/>
  <pageMargins left="0.59" right="0.59" top="0.59" bottom="0.59" header="0.3" footer="0.3"/>
  <pageSetup paperSize="9" fitToHeight="0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2:N69"/>
  <sheetViews>
    <sheetView zoomScale="81" zoomScaleNormal="81" workbookViewId="0">
      <pane xSplit="3" ySplit="6" topLeftCell="D7" activePane="bottomRight" state="frozen"/>
      <selection pane="topRight"/>
      <selection pane="bottomLeft"/>
      <selection pane="bottomRight" activeCell="S6" sqref="S6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6" customWidth="1"/>
    <col min="4" max="4" width="60" customWidth="1"/>
    <col min="5" max="6" width="16" customWidth="1"/>
    <col min="7" max="14" width="14" customWidth="1"/>
    <col min="15" max="15" width="2" customWidth="1"/>
  </cols>
  <sheetData>
    <row r="2" spans="2:14" ht="28" customHeight="1" x14ac:dyDescent="0.2">
      <c r="B2" s="611" t="s">
        <v>2693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</row>
    <row r="3" spans="2:14" ht="18" customHeight="1" x14ac:dyDescent="0.2">
      <c r="B3" s="618" t="s">
        <v>2694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</row>
    <row r="5" spans="2:14" ht="22" customHeight="1" x14ac:dyDescent="0.2">
      <c r="B5" s="369" t="s">
        <v>61</v>
      </c>
      <c r="C5" s="369" t="s">
        <v>2695</v>
      </c>
      <c r="D5" s="630" t="s">
        <v>2696</v>
      </c>
      <c r="E5" s="473"/>
      <c r="F5" s="473"/>
      <c r="G5" s="473"/>
      <c r="H5" s="473"/>
      <c r="I5" s="473"/>
      <c r="J5" s="473"/>
      <c r="K5" s="473"/>
      <c r="L5" s="466"/>
      <c r="M5" s="630" t="s">
        <v>376</v>
      </c>
      <c r="N5" s="466"/>
    </row>
    <row r="6" spans="2:14" ht="72" customHeight="1" x14ac:dyDescent="0.2">
      <c r="B6" s="370">
        <v>1</v>
      </c>
      <c r="C6" s="371" t="s">
        <v>491</v>
      </c>
      <c r="D6" s="604" t="s">
        <v>2697</v>
      </c>
      <c r="E6" s="473"/>
      <c r="F6" s="473"/>
      <c r="G6" s="473"/>
      <c r="H6" s="473"/>
      <c r="I6" s="473"/>
      <c r="J6" s="473"/>
      <c r="K6" s="473"/>
      <c r="L6" s="466"/>
      <c r="M6" s="627" t="s">
        <v>2698</v>
      </c>
      <c r="N6" s="466"/>
    </row>
    <row r="7" spans="2:14" ht="72" customHeight="1" x14ac:dyDescent="0.2">
      <c r="B7" s="370">
        <v>2</v>
      </c>
      <c r="C7" s="371" t="s">
        <v>2699</v>
      </c>
      <c r="D7" s="604" t="s">
        <v>2700</v>
      </c>
      <c r="E7" s="473"/>
      <c r="F7" s="473"/>
      <c r="G7" s="473"/>
      <c r="H7" s="473"/>
      <c r="I7" s="473"/>
      <c r="J7" s="473"/>
      <c r="K7" s="473"/>
      <c r="L7" s="466"/>
      <c r="M7" s="627" t="s">
        <v>2698</v>
      </c>
      <c r="N7" s="466"/>
    </row>
    <row r="8" spans="2:14" ht="72" customHeight="1" x14ac:dyDescent="0.2">
      <c r="B8" s="370">
        <v>3</v>
      </c>
      <c r="C8" s="371" t="s">
        <v>1357</v>
      </c>
      <c r="D8" s="604" t="s">
        <v>2701</v>
      </c>
      <c r="E8" s="473"/>
      <c r="F8" s="473"/>
      <c r="G8" s="473"/>
      <c r="H8" s="473"/>
      <c r="I8" s="473"/>
      <c r="J8" s="473"/>
      <c r="K8" s="473"/>
      <c r="L8" s="466"/>
      <c r="M8" s="627" t="s">
        <v>2698</v>
      </c>
      <c r="N8" s="466"/>
    </row>
    <row r="9" spans="2:14" ht="72" customHeight="1" x14ac:dyDescent="0.2">
      <c r="B9" s="370">
        <v>4</v>
      </c>
      <c r="C9" s="371" t="s">
        <v>490</v>
      </c>
      <c r="D9" s="604" t="s">
        <v>2702</v>
      </c>
      <c r="E9" s="473"/>
      <c r="F9" s="473"/>
      <c r="G9" s="473"/>
      <c r="H9" s="473"/>
      <c r="I9" s="473"/>
      <c r="J9" s="473"/>
      <c r="K9" s="473"/>
      <c r="L9" s="466"/>
      <c r="M9" s="627" t="s">
        <v>2698</v>
      </c>
      <c r="N9" s="466"/>
    </row>
    <row r="10" spans="2:14" ht="72" customHeight="1" x14ac:dyDescent="0.2">
      <c r="B10" s="370">
        <v>5</v>
      </c>
      <c r="C10" s="371" t="s">
        <v>2703</v>
      </c>
      <c r="D10" s="604" t="s">
        <v>2704</v>
      </c>
      <c r="E10" s="473"/>
      <c r="F10" s="473"/>
      <c r="G10" s="473"/>
      <c r="H10" s="473"/>
      <c r="I10" s="473"/>
      <c r="J10" s="473"/>
      <c r="K10" s="473"/>
      <c r="L10" s="466"/>
      <c r="M10" s="627" t="s">
        <v>2698</v>
      </c>
      <c r="N10" s="466"/>
    </row>
    <row r="11" spans="2:14" ht="62" customHeight="1" x14ac:dyDescent="0.2">
      <c r="B11" s="370">
        <v>6</v>
      </c>
      <c r="C11" s="371" t="s">
        <v>1495</v>
      </c>
      <c r="D11" s="604" t="s">
        <v>2705</v>
      </c>
      <c r="E11" s="473"/>
      <c r="F11" s="473"/>
      <c r="G11" s="473"/>
      <c r="H11" s="473"/>
      <c r="I11" s="473"/>
      <c r="J11" s="473"/>
      <c r="K11" s="473"/>
      <c r="L11" s="466"/>
      <c r="M11" s="627" t="s">
        <v>2698</v>
      </c>
      <c r="N11" s="466"/>
    </row>
    <row r="12" spans="2:14" ht="72" customHeight="1" x14ac:dyDescent="0.2">
      <c r="B12" s="370">
        <v>7</v>
      </c>
      <c r="C12" s="371" t="s">
        <v>2706</v>
      </c>
      <c r="D12" s="604" t="s">
        <v>2707</v>
      </c>
      <c r="E12" s="473"/>
      <c r="F12" s="473"/>
      <c r="G12" s="473"/>
      <c r="H12" s="473"/>
      <c r="I12" s="473"/>
      <c r="J12" s="473"/>
      <c r="K12" s="473"/>
      <c r="L12" s="466"/>
      <c r="M12" s="627" t="s">
        <v>2698</v>
      </c>
      <c r="N12" s="466"/>
    </row>
    <row r="13" spans="2:14" ht="45" customHeight="1" x14ac:dyDescent="0.2">
      <c r="B13" s="370">
        <v>8</v>
      </c>
      <c r="C13" s="371" t="s">
        <v>12</v>
      </c>
      <c r="D13" s="604" t="s">
        <v>2708</v>
      </c>
      <c r="E13" s="473"/>
      <c r="F13" s="473"/>
      <c r="G13" s="473"/>
      <c r="H13" s="473"/>
      <c r="I13" s="473"/>
      <c r="J13" s="473"/>
      <c r="K13" s="473"/>
      <c r="L13" s="466"/>
      <c r="M13" s="627" t="s">
        <v>2698</v>
      </c>
      <c r="N13" s="466"/>
    </row>
    <row r="14" spans="2:14" ht="52" customHeight="1" x14ac:dyDescent="0.2">
      <c r="B14" s="370">
        <v>9</v>
      </c>
      <c r="C14" s="371" t="s">
        <v>2709</v>
      </c>
      <c r="D14" s="604" t="s">
        <v>2710</v>
      </c>
      <c r="E14" s="473"/>
      <c r="F14" s="473"/>
      <c r="G14" s="473"/>
      <c r="H14" s="473"/>
      <c r="I14" s="473"/>
      <c r="J14" s="473"/>
      <c r="K14" s="473"/>
      <c r="L14" s="466"/>
      <c r="M14" s="627" t="s">
        <v>2698</v>
      </c>
      <c r="N14" s="466"/>
    </row>
    <row r="15" spans="2:14" ht="55" customHeight="1" x14ac:dyDescent="0.2">
      <c r="B15" s="370">
        <v>10</v>
      </c>
      <c r="C15" s="371" t="s">
        <v>2711</v>
      </c>
      <c r="D15" s="604" t="s">
        <v>2712</v>
      </c>
      <c r="E15" s="473"/>
      <c r="F15" s="473"/>
      <c r="G15" s="473"/>
      <c r="H15" s="473"/>
      <c r="I15" s="473"/>
      <c r="J15" s="473"/>
      <c r="K15" s="473"/>
      <c r="L15" s="466"/>
      <c r="M15" s="627" t="s">
        <v>2698</v>
      </c>
      <c r="N15" s="466"/>
    </row>
    <row r="16" spans="2:14" ht="72" customHeight="1" x14ac:dyDescent="0.2">
      <c r="B16" s="370">
        <v>11</v>
      </c>
      <c r="C16" s="371" t="s">
        <v>2713</v>
      </c>
      <c r="D16" s="604" t="s">
        <v>2714</v>
      </c>
      <c r="E16" s="473"/>
      <c r="F16" s="473"/>
      <c r="G16" s="473"/>
      <c r="H16" s="473"/>
      <c r="I16" s="473"/>
      <c r="J16" s="473"/>
      <c r="K16" s="473"/>
      <c r="L16" s="466"/>
      <c r="M16" s="627" t="s">
        <v>2698</v>
      </c>
      <c r="N16" s="466"/>
    </row>
    <row r="17" spans="2:14" ht="68" customHeight="1" x14ac:dyDescent="0.2">
      <c r="B17" s="370">
        <v>12</v>
      </c>
      <c r="C17" s="371" t="s">
        <v>2715</v>
      </c>
      <c r="D17" s="604" t="s">
        <v>2716</v>
      </c>
      <c r="E17" s="473"/>
      <c r="F17" s="473"/>
      <c r="G17" s="473"/>
      <c r="H17" s="473"/>
      <c r="I17" s="473"/>
      <c r="J17" s="473"/>
      <c r="K17" s="473"/>
      <c r="L17" s="466"/>
      <c r="M17" s="627" t="s">
        <v>2698</v>
      </c>
      <c r="N17" s="466"/>
    </row>
    <row r="18" spans="2:14" ht="68" customHeight="1" x14ac:dyDescent="0.2">
      <c r="B18" s="370">
        <v>13</v>
      </c>
      <c r="C18" s="371" t="s">
        <v>2717</v>
      </c>
      <c r="D18" s="604" t="s">
        <v>2718</v>
      </c>
      <c r="E18" s="473"/>
      <c r="F18" s="473"/>
      <c r="G18" s="473"/>
      <c r="H18" s="473"/>
      <c r="I18" s="473"/>
      <c r="J18" s="473"/>
      <c r="K18" s="473"/>
      <c r="L18" s="466"/>
      <c r="M18" s="627" t="s">
        <v>2698</v>
      </c>
      <c r="N18" s="466"/>
    </row>
    <row r="19" spans="2:14" ht="70" customHeight="1" x14ac:dyDescent="0.2">
      <c r="B19" s="370">
        <v>14</v>
      </c>
      <c r="C19" s="371" t="s">
        <v>492</v>
      </c>
      <c r="D19" s="604" t="s">
        <v>2719</v>
      </c>
      <c r="E19" s="473"/>
      <c r="F19" s="473"/>
      <c r="G19" s="473"/>
      <c r="H19" s="473"/>
      <c r="I19" s="473"/>
      <c r="J19" s="473"/>
      <c r="K19" s="473"/>
      <c r="L19" s="466"/>
      <c r="M19" s="627" t="s">
        <v>2698</v>
      </c>
      <c r="N19" s="466"/>
    </row>
    <row r="20" spans="2:14" ht="72" customHeight="1" x14ac:dyDescent="0.2">
      <c r="B20" s="370">
        <v>15</v>
      </c>
      <c r="C20" s="371" t="s">
        <v>1047</v>
      </c>
      <c r="D20" s="604" t="s">
        <v>2720</v>
      </c>
      <c r="E20" s="473"/>
      <c r="F20" s="473"/>
      <c r="G20" s="473"/>
      <c r="H20" s="473"/>
      <c r="I20" s="473"/>
      <c r="J20" s="473"/>
      <c r="K20" s="473"/>
      <c r="L20" s="466"/>
      <c r="M20" s="627" t="s">
        <v>2698</v>
      </c>
      <c r="N20" s="466"/>
    </row>
    <row r="21" spans="2:14" ht="57" customHeight="1" x14ac:dyDescent="0.2">
      <c r="B21" s="370">
        <v>16</v>
      </c>
      <c r="C21" s="371" t="s">
        <v>2721</v>
      </c>
      <c r="D21" s="604" t="s">
        <v>2722</v>
      </c>
      <c r="E21" s="473"/>
      <c r="F21" s="473"/>
      <c r="G21" s="473"/>
      <c r="H21" s="473"/>
      <c r="I21" s="473"/>
      <c r="J21" s="473"/>
      <c r="K21" s="473"/>
      <c r="L21" s="466"/>
      <c r="M21" s="627" t="s">
        <v>2698</v>
      </c>
      <c r="N21" s="466"/>
    </row>
    <row r="22" spans="2:14" ht="68" customHeight="1" x14ac:dyDescent="0.2">
      <c r="B22" s="370">
        <v>17</v>
      </c>
      <c r="C22" s="371" t="s">
        <v>1259</v>
      </c>
      <c r="D22" s="604" t="s">
        <v>2723</v>
      </c>
      <c r="E22" s="473"/>
      <c r="F22" s="473"/>
      <c r="G22" s="473"/>
      <c r="H22" s="473"/>
      <c r="I22" s="473"/>
      <c r="J22" s="473"/>
      <c r="K22" s="473"/>
      <c r="L22" s="466"/>
      <c r="M22" s="627" t="s">
        <v>2698</v>
      </c>
      <c r="N22" s="466"/>
    </row>
    <row r="23" spans="2:14" ht="53" customHeight="1" x14ac:dyDescent="0.2">
      <c r="B23" s="370">
        <v>18</v>
      </c>
      <c r="C23" s="371" t="s">
        <v>1261</v>
      </c>
      <c r="D23" s="604" t="s">
        <v>2724</v>
      </c>
      <c r="E23" s="473"/>
      <c r="F23" s="473"/>
      <c r="G23" s="473"/>
      <c r="H23" s="473"/>
      <c r="I23" s="473"/>
      <c r="J23" s="473"/>
      <c r="K23" s="473"/>
      <c r="L23" s="466"/>
      <c r="M23" s="627" t="s">
        <v>2698</v>
      </c>
      <c r="N23" s="466"/>
    </row>
    <row r="24" spans="2:14" ht="66" customHeight="1" x14ac:dyDescent="0.2">
      <c r="B24" s="370">
        <v>19</v>
      </c>
      <c r="C24" s="371" t="s">
        <v>2725</v>
      </c>
      <c r="D24" s="604" t="s">
        <v>2726</v>
      </c>
      <c r="E24" s="473"/>
      <c r="F24" s="473"/>
      <c r="G24" s="473"/>
      <c r="H24" s="473"/>
      <c r="I24" s="473"/>
      <c r="J24" s="473"/>
      <c r="K24" s="473"/>
      <c r="L24" s="466"/>
      <c r="M24" s="627" t="s">
        <v>2698</v>
      </c>
      <c r="N24" s="466"/>
    </row>
    <row r="25" spans="2:14" ht="57" customHeight="1" x14ac:dyDescent="0.2">
      <c r="B25" s="370">
        <v>20</v>
      </c>
      <c r="C25" s="371" t="s">
        <v>2727</v>
      </c>
      <c r="D25" s="604" t="s">
        <v>2728</v>
      </c>
      <c r="E25" s="473"/>
      <c r="F25" s="473"/>
      <c r="G25" s="473"/>
      <c r="H25" s="473"/>
      <c r="I25" s="473"/>
      <c r="J25" s="473"/>
      <c r="K25" s="473"/>
      <c r="L25" s="466"/>
      <c r="M25" s="627" t="s">
        <v>2698</v>
      </c>
      <c r="N25" s="466"/>
    </row>
    <row r="26" spans="2:14" ht="72" customHeight="1" x14ac:dyDescent="0.2">
      <c r="B26" s="370">
        <v>21</v>
      </c>
      <c r="C26" s="371" t="s">
        <v>2729</v>
      </c>
      <c r="D26" s="604" t="s">
        <v>2730</v>
      </c>
      <c r="E26" s="473"/>
      <c r="F26" s="473"/>
      <c r="G26" s="473"/>
      <c r="H26" s="473"/>
      <c r="I26" s="473"/>
      <c r="J26" s="473"/>
      <c r="K26" s="473"/>
      <c r="L26" s="466"/>
      <c r="M26" s="626" t="s">
        <v>2731</v>
      </c>
      <c r="N26" s="466"/>
    </row>
    <row r="27" spans="2:14" ht="72" customHeight="1" x14ac:dyDescent="0.2">
      <c r="B27" s="370">
        <v>22</v>
      </c>
      <c r="C27" s="371" t="s">
        <v>2732</v>
      </c>
      <c r="D27" s="604" t="s">
        <v>2733</v>
      </c>
      <c r="E27" s="473"/>
      <c r="F27" s="473"/>
      <c r="G27" s="473"/>
      <c r="H27" s="473"/>
      <c r="I27" s="473"/>
      <c r="J27" s="473"/>
      <c r="K27" s="473"/>
      <c r="L27" s="466"/>
      <c r="M27" s="626" t="s">
        <v>2731</v>
      </c>
      <c r="N27" s="466"/>
    </row>
    <row r="28" spans="2:14" ht="58" customHeight="1" x14ac:dyDescent="0.2">
      <c r="B28" s="370">
        <v>23</v>
      </c>
      <c r="C28" s="371" t="s">
        <v>2734</v>
      </c>
      <c r="D28" s="604" t="s">
        <v>2735</v>
      </c>
      <c r="E28" s="473"/>
      <c r="F28" s="473"/>
      <c r="G28" s="473"/>
      <c r="H28" s="473"/>
      <c r="I28" s="473"/>
      <c r="J28" s="473"/>
      <c r="K28" s="473"/>
      <c r="L28" s="466"/>
      <c r="M28" s="626" t="s">
        <v>2731</v>
      </c>
      <c r="N28" s="466"/>
    </row>
    <row r="29" spans="2:14" ht="54" customHeight="1" x14ac:dyDescent="0.2">
      <c r="B29" s="370">
        <v>24</v>
      </c>
      <c r="C29" s="371" t="s">
        <v>2736</v>
      </c>
      <c r="D29" s="604" t="s">
        <v>2737</v>
      </c>
      <c r="E29" s="473"/>
      <c r="F29" s="473"/>
      <c r="G29" s="473"/>
      <c r="H29" s="473"/>
      <c r="I29" s="473"/>
      <c r="J29" s="473"/>
      <c r="K29" s="473"/>
      <c r="L29" s="466"/>
      <c r="M29" s="626" t="s">
        <v>2731</v>
      </c>
      <c r="N29" s="466"/>
    </row>
    <row r="30" spans="2:14" ht="63" customHeight="1" x14ac:dyDescent="0.2">
      <c r="B30" s="370">
        <v>25</v>
      </c>
      <c r="C30" s="371" t="s">
        <v>2738</v>
      </c>
      <c r="D30" s="604" t="s">
        <v>2739</v>
      </c>
      <c r="E30" s="473"/>
      <c r="F30" s="473"/>
      <c r="G30" s="473"/>
      <c r="H30" s="473"/>
      <c r="I30" s="473"/>
      <c r="J30" s="473"/>
      <c r="K30" s="473"/>
      <c r="L30" s="466"/>
      <c r="M30" s="626" t="s">
        <v>2731</v>
      </c>
      <c r="N30" s="466"/>
    </row>
    <row r="31" spans="2:14" ht="58" customHeight="1" x14ac:dyDescent="0.2">
      <c r="B31" s="370">
        <v>26</v>
      </c>
      <c r="C31" s="371" t="s">
        <v>2740</v>
      </c>
      <c r="D31" s="604" t="s">
        <v>2741</v>
      </c>
      <c r="E31" s="473"/>
      <c r="F31" s="473"/>
      <c r="G31" s="473"/>
      <c r="H31" s="473"/>
      <c r="I31" s="473"/>
      <c r="J31" s="473"/>
      <c r="K31" s="473"/>
      <c r="L31" s="466"/>
      <c r="M31" s="626" t="s">
        <v>2731</v>
      </c>
      <c r="N31" s="466"/>
    </row>
    <row r="32" spans="2:14" ht="59" customHeight="1" x14ac:dyDescent="0.2">
      <c r="B32" s="370">
        <v>27</v>
      </c>
      <c r="C32" s="371" t="s">
        <v>2742</v>
      </c>
      <c r="D32" s="604" t="s">
        <v>2743</v>
      </c>
      <c r="E32" s="473"/>
      <c r="F32" s="473"/>
      <c r="G32" s="473"/>
      <c r="H32" s="473"/>
      <c r="I32" s="473"/>
      <c r="J32" s="473"/>
      <c r="K32" s="473"/>
      <c r="L32" s="466"/>
      <c r="M32" s="626" t="s">
        <v>2731</v>
      </c>
      <c r="N32" s="466"/>
    </row>
    <row r="33" spans="2:14" ht="54" customHeight="1" x14ac:dyDescent="0.2">
      <c r="B33" s="370">
        <v>28</v>
      </c>
      <c r="C33" s="371" t="s">
        <v>2744</v>
      </c>
      <c r="D33" s="604" t="s">
        <v>2745</v>
      </c>
      <c r="E33" s="473"/>
      <c r="F33" s="473"/>
      <c r="G33" s="473"/>
      <c r="H33" s="473"/>
      <c r="I33" s="473"/>
      <c r="J33" s="473"/>
      <c r="K33" s="473"/>
      <c r="L33" s="466"/>
      <c r="M33" s="626" t="s">
        <v>2731</v>
      </c>
      <c r="N33" s="466"/>
    </row>
    <row r="34" spans="2:14" ht="56" customHeight="1" x14ac:dyDescent="0.2">
      <c r="B34" s="370">
        <v>29</v>
      </c>
      <c r="C34" s="371" t="s">
        <v>2746</v>
      </c>
      <c r="D34" s="604" t="s">
        <v>2747</v>
      </c>
      <c r="E34" s="473"/>
      <c r="F34" s="473"/>
      <c r="G34" s="473"/>
      <c r="H34" s="473"/>
      <c r="I34" s="473"/>
      <c r="J34" s="473"/>
      <c r="K34" s="473"/>
      <c r="L34" s="466"/>
      <c r="M34" s="628" t="s">
        <v>2748</v>
      </c>
      <c r="N34" s="466"/>
    </row>
    <row r="35" spans="2:14" ht="54" customHeight="1" x14ac:dyDescent="0.2">
      <c r="B35" s="370">
        <v>30</v>
      </c>
      <c r="C35" s="371" t="s">
        <v>2749</v>
      </c>
      <c r="D35" s="604" t="s">
        <v>2750</v>
      </c>
      <c r="E35" s="473"/>
      <c r="F35" s="473"/>
      <c r="G35" s="473"/>
      <c r="H35" s="473"/>
      <c r="I35" s="473"/>
      <c r="J35" s="473"/>
      <c r="K35" s="473"/>
      <c r="L35" s="466"/>
      <c r="M35" s="628" t="s">
        <v>2748</v>
      </c>
      <c r="N35" s="466"/>
    </row>
    <row r="36" spans="2:14" ht="48" customHeight="1" x14ac:dyDescent="0.2">
      <c r="B36" s="370">
        <v>31</v>
      </c>
      <c r="C36" s="371" t="s">
        <v>2751</v>
      </c>
      <c r="D36" s="604" t="s">
        <v>2752</v>
      </c>
      <c r="E36" s="473"/>
      <c r="F36" s="473"/>
      <c r="G36" s="473"/>
      <c r="H36" s="473"/>
      <c r="I36" s="473"/>
      <c r="J36" s="473"/>
      <c r="K36" s="473"/>
      <c r="L36" s="466"/>
      <c r="M36" s="628" t="s">
        <v>2748</v>
      </c>
      <c r="N36" s="466"/>
    </row>
    <row r="37" spans="2:14" ht="55" customHeight="1" x14ac:dyDescent="0.2">
      <c r="B37" s="370">
        <v>32</v>
      </c>
      <c r="C37" s="371" t="s">
        <v>2753</v>
      </c>
      <c r="D37" s="604" t="s">
        <v>2754</v>
      </c>
      <c r="E37" s="473"/>
      <c r="F37" s="473"/>
      <c r="G37" s="473"/>
      <c r="H37" s="473"/>
      <c r="I37" s="473"/>
      <c r="J37" s="473"/>
      <c r="K37" s="473"/>
      <c r="L37" s="466"/>
      <c r="M37" s="628" t="s">
        <v>2748</v>
      </c>
      <c r="N37" s="466"/>
    </row>
    <row r="38" spans="2:14" ht="55" customHeight="1" x14ac:dyDescent="0.2">
      <c r="B38" s="370">
        <v>33</v>
      </c>
      <c r="C38" s="371" t="s">
        <v>2755</v>
      </c>
      <c r="D38" s="604" t="s">
        <v>2756</v>
      </c>
      <c r="E38" s="473"/>
      <c r="F38" s="473"/>
      <c r="G38" s="473"/>
      <c r="H38" s="473"/>
      <c r="I38" s="473"/>
      <c r="J38" s="473"/>
      <c r="K38" s="473"/>
      <c r="L38" s="466"/>
      <c r="M38" s="628" t="s">
        <v>2748</v>
      </c>
      <c r="N38" s="466"/>
    </row>
    <row r="39" spans="2:14" ht="56" customHeight="1" x14ac:dyDescent="0.2">
      <c r="B39" s="370">
        <v>34</v>
      </c>
      <c r="C39" s="371" t="s">
        <v>2757</v>
      </c>
      <c r="D39" s="604" t="s">
        <v>2758</v>
      </c>
      <c r="E39" s="473"/>
      <c r="F39" s="473"/>
      <c r="G39" s="473"/>
      <c r="H39" s="473"/>
      <c r="I39" s="473"/>
      <c r="J39" s="473"/>
      <c r="K39" s="473"/>
      <c r="L39" s="466"/>
      <c r="M39" s="628" t="s">
        <v>2748</v>
      </c>
      <c r="N39" s="466"/>
    </row>
    <row r="40" spans="2:14" ht="55" customHeight="1" x14ac:dyDescent="0.2">
      <c r="B40" s="370">
        <v>35</v>
      </c>
      <c r="C40" s="371" t="s">
        <v>2759</v>
      </c>
      <c r="D40" s="604" t="s">
        <v>2760</v>
      </c>
      <c r="E40" s="473"/>
      <c r="F40" s="473"/>
      <c r="G40" s="473"/>
      <c r="H40" s="473"/>
      <c r="I40" s="473"/>
      <c r="J40" s="473"/>
      <c r="K40" s="473"/>
      <c r="L40" s="466"/>
      <c r="M40" s="628" t="s">
        <v>2748</v>
      </c>
      <c r="N40" s="466"/>
    </row>
    <row r="41" spans="2:14" ht="49" customHeight="1" x14ac:dyDescent="0.2">
      <c r="B41" s="370">
        <v>36</v>
      </c>
      <c r="C41" s="371" t="s">
        <v>2761</v>
      </c>
      <c r="D41" s="604" t="s">
        <v>2762</v>
      </c>
      <c r="E41" s="473"/>
      <c r="F41" s="473"/>
      <c r="G41" s="473"/>
      <c r="H41" s="473"/>
      <c r="I41" s="473"/>
      <c r="J41" s="473"/>
      <c r="K41" s="473"/>
      <c r="L41" s="466"/>
      <c r="M41" s="628" t="s">
        <v>2748</v>
      </c>
      <c r="N41" s="466"/>
    </row>
    <row r="42" spans="2:14" ht="58" customHeight="1" x14ac:dyDescent="0.2">
      <c r="B42" s="370">
        <v>37</v>
      </c>
      <c r="C42" s="371" t="s">
        <v>2763</v>
      </c>
      <c r="D42" s="604" t="s">
        <v>2764</v>
      </c>
      <c r="E42" s="473"/>
      <c r="F42" s="473"/>
      <c r="G42" s="473"/>
      <c r="H42" s="473"/>
      <c r="I42" s="473"/>
      <c r="J42" s="473"/>
      <c r="K42" s="473"/>
      <c r="L42" s="466"/>
      <c r="M42" s="628" t="s">
        <v>2748</v>
      </c>
      <c r="N42" s="466"/>
    </row>
    <row r="43" spans="2:14" ht="48" customHeight="1" x14ac:dyDescent="0.2">
      <c r="B43" s="370">
        <v>38</v>
      </c>
      <c r="C43" s="371" t="s">
        <v>2765</v>
      </c>
      <c r="D43" s="604" t="s">
        <v>2766</v>
      </c>
      <c r="E43" s="473"/>
      <c r="F43" s="473"/>
      <c r="G43" s="473"/>
      <c r="H43" s="473"/>
      <c r="I43" s="473"/>
      <c r="J43" s="473"/>
      <c r="K43" s="473"/>
      <c r="L43" s="466"/>
      <c r="M43" s="628" t="s">
        <v>2748</v>
      </c>
      <c r="N43" s="466"/>
    </row>
    <row r="44" spans="2:14" ht="43" customHeight="1" x14ac:dyDescent="0.2">
      <c r="B44" s="370">
        <v>39</v>
      </c>
      <c r="C44" s="371" t="s">
        <v>2767</v>
      </c>
      <c r="D44" s="604" t="s">
        <v>2768</v>
      </c>
      <c r="E44" s="473"/>
      <c r="F44" s="473"/>
      <c r="G44" s="473"/>
      <c r="H44" s="473"/>
      <c r="I44" s="473"/>
      <c r="J44" s="473"/>
      <c r="K44" s="473"/>
      <c r="L44" s="466"/>
      <c r="M44" s="628" t="s">
        <v>2748</v>
      </c>
      <c r="N44" s="466"/>
    </row>
    <row r="45" spans="2:14" ht="60" customHeight="1" x14ac:dyDescent="0.2">
      <c r="B45" s="370">
        <v>40</v>
      </c>
      <c r="C45" s="371" t="s">
        <v>2769</v>
      </c>
      <c r="D45" s="604" t="s">
        <v>2770</v>
      </c>
      <c r="E45" s="473"/>
      <c r="F45" s="473"/>
      <c r="G45" s="473"/>
      <c r="H45" s="473"/>
      <c r="I45" s="473"/>
      <c r="J45" s="473"/>
      <c r="K45" s="473"/>
      <c r="L45" s="466"/>
      <c r="M45" s="628" t="s">
        <v>2748</v>
      </c>
      <c r="N45" s="466"/>
    </row>
    <row r="46" spans="2:14" ht="40" customHeight="1" x14ac:dyDescent="0.2">
      <c r="B46" s="370">
        <v>41</v>
      </c>
      <c r="C46" s="371" t="s">
        <v>2771</v>
      </c>
      <c r="D46" s="604" t="s">
        <v>2772</v>
      </c>
      <c r="E46" s="473"/>
      <c r="F46" s="473"/>
      <c r="G46" s="473"/>
      <c r="H46" s="473"/>
      <c r="I46" s="473"/>
      <c r="J46" s="473"/>
      <c r="K46" s="473"/>
      <c r="L46" s="466"/>
      <c r="M46" s="625" t="s">
        <v>2773</v>
      </c>
      <c r="N46" s="466"/>
    </row>
    <row r="47" spans="2:14" ht="55" customHeight="1" x14ac:dyDescent="0.2">
      <c r="B47" s="370">
        <v>42</v>
      </c>
      <c r="C47" s="371" t="s">
        <v>1065</v>
      </c>
      <c r="D47" s="604" t="s">
        <v>2774</v>
      </c>
      <c r="E47" s="473"/>
      <c r="F47" s="473"/>
      <c r="G47" s="473"/>
      <c r="H47" s="473"/>
      <c r="I47" s="473"/>
      <c r="J47" s="473"/>
      <c r="K47" s="473"/>
      <c r="L47" s="466"/>
      <c r="M47" s="625" t="s">
        <v>2773</v>
      </c>
      <c r="N47" s="466"/>
    </row>
    <row r="48" spans="2:14" ht="51" customHeight="1" x14ac:dyDescent="0.2">
      <c r="B48" s="370">
        <v>43</v>
      </c>
      <c r="C48" s="371" t="s">
        <v>2775</v>
      </c>
      <c r="D48" s="604" t="s">
        <v>2776</v>
      </c>
      <c r="E48" s="473"/>
      <c r="F48" s="473"/>
      <c r="G48" s="473"/>
      <c r="H48" s="473"/>
      <c r="I48" s="473"/>
      <c r="J48" s="473"/>
      <c r="K48" s="473"/>
      <c r="L48" s="466"/>
      <c r="M48" s="625" t="s">
        <v>2773</v>
      </c>
      <c r="N48" s="466"/>
    </row>
    <row r="49" spans="2:14" ht="53" customHeight="1" x14ac:dyDescent="0.2">
      <c r="B49" s="370">
        <v>44</v>
      </c>
      <c r="C49" s="371" t="s">
        <v>2777</v>
      </c>
      <c r="D49" s="604" t="s">
        <v>2778</v>
      </c>
      <c r="E49" s="473"/>
      <c r="F49" s="473"/>
      <c r="G49" s="473"/>
      <c r="H49" s="473"/>
      <c r="I49" s="473"/>
      <c r="J49" s="473"/>
      <c r="K49" s="473"/>
      <c r="L49" s="466"/>
      <c r="M49" s="625" t="s">
        <v>2773</v>
      </c>
      <c r="N49" s="466"/>
    </row>
    <row r="50" spans="2:14" ht="63" customHeight="1" x14ac:dyDescent="0.2">
      <c r="B50" s="370">
        <v>45</v>
      </c>
      <c r="C50" s="371" t="s">
        <v>2779</v>
      </c>
      <c r="D50" s="604" t="s">
        <v>2780</v>
      </c>
      <c r="E50" s="473"/>
      <c r="F50" s="473"/>
      <c r="G50" s="473"/>
      <c r="H50" s="473"/>
      <c r="I50" s="473"/>
      <c r="J50" s="473"/>
      <c r="K50" s="473"/>
      <c r="L50" s="466"/>
      <c r="M50" s="625" t="s">
        <v>2773</v>
      </c>
      <c r="N50" s="466"/>
    </row>
    <row r="51" spans="2:14" ht="57" customHeight="1" x14ac:dyDescent="0.2">
      <c r="B51" s="370">
        <v>46</v>
      </c>
      <c r="C51" s="371" t="s">
        <v>2781</v>
      </c>
      <c r="D51" s="604" t="s">
        <v>2782</v>
      </c>
      <c r="E51" s="473"/>
      <c r="F51" s="473"/>
      <c r="G51" s="473"/>
      <c r="H51" s="473"/>
      <c r="I51" s="473"/>
      <c r="J51" s="473"/>
      <c r="K51" s="473"/>
      <c r="L51" s="466"/>
      <c r="M51" s="625" t="s">
        <v>2773</v>
      </c>
      <c r="N51" s="466"/>
    </row>
    <row r="52" spans="2:14" ht="51" customHeight="1" x14ac:dyDescent="0.2">
      <c r="B52" s="370">
        <v>47</v>
      </c>
      <c r="C52" s="371" t="s">
        <v>2783</v>
      </c>
      <c r="D52" s="604" t="s">
        <v>2784</v>
      </c>
      <c r="E52" s="473"/>
      <c r="F52" s="473"/>
      <c r="G52" s="473"/>
      <c r="H52" s="473"/>
      <c r="I52" s="473"/>
      <c r="J52" s="473"/>
      <c r="K52" s="473"/>
      <c r="L52" s="466"/>
      <c r="M52" s="625" t="s">
        <v>2773</v>
      </c>
      <c r="N52" s="466"/>
    </row>
    <row r="53" spans="2:14" ht="43" customHeight="1" x14ac:dyDescent="0.2">
      <c r="B53" s="370">
        <v>48</v>
      </c>
      <c r="C53" s="371" t="s">
        <v>2785</v>
      </c>
      <c r="D53" s="604" t="s">
        <v>2786</v>
      </c>
      <c r="E53" s="473"/>
      <c r="F53" s="473"/>
      <c r="G53" s="473"/>
      <c r="H53" s="473"/>
      <c r="I53" s="473"/>
      <c r="J53" s="473"/>
      <c r="K53" s="473"/>
      <c r="L53" s="466"/>
      <c r="M53" s="625" t="s">
        <v>2773</v>
      </c>
      <c r="N53" s="466"/>
    </row>
    <row r="54" spans="2:14" ht="55" customHeight="1" x14ac:dyDescent="0.2">
      <c r="B54" s="370">
        <v>49</v>
      </c>
      <c r="C54" s="371" t="s">
        <v>2593</v>
      </c>
      <c r="D54" s="604" t="s">
        <v>2787</v>
      </c>
      <c r="E54" s="473"/>
      <c r="F54" s="473"/>
      <c r="G54" s="473"/>
      <c r="H54" s="473"/>
      <c r="I54" s="473"/>
      <c r="J54" s="473"/>
      <c r="K54" s="473"/>
      <c r="L54" s="466"/>
      <c r="M54" s="625" t="s">
        <v>2773</v>
      </c>
      <c r="N54" s="466"/>
    </row>
    <row r="55" spans="2:14" ht="56" customHeight="1" x14ac:dyDescent="0.2">
      <c r="B55" s="370">
        <v>50</v>
      </c>
      <c r="C55" s="371" t="s">
        <v>2788</v>
      </c>
      <c r="D55" s="604" t="s">
        <v>2789</v>
      </c>
      <c r="E55" s="473"/>
      <c r="F55" s="473"/>
      <c r="G55" s="473"/>
      <c r="H55" s="473"/>
      <c r="I55" s="473"/>
      <c r="J55" s="473"/>
      <c r="K55" s="473"/>
      <c r="L55" s="466"/>
      <c r="M55" s="625" t="s">
        <v>2773</v>
      </c>
      <c r="N55" s="466"/>
    </row>
    <row r="56" spans="2:14" ht="54" customHeight="1" x14ac:dyDescent="0.2">
      <c r="B56" s="370">
        <v>51</v>
      </c>
      <c r="C56" s="371" t="s">
        <v>2790</v>
      </c>
      <c r="D56" s="604" t="s">
        <v>2791</v>
      </c>
      <c r="E56" s="473"/>
      <c r="F56" s="473"/>
      <c r="G56" s="473"/>
      <c r="H56" s="473"/>
      <c r="I56" s="473"/>
      <c r="J56" s="473"/>
      <c r="K56" s="473"/>
      <c r="L56" s="466"/>
      <c r="M56" s="625" t="s">
        <v>2773</v>
      </c>
      <c r="N56" s="466"/>
    </row>
    <row r="57" spans="2:14" ht="61" customHeight="1" x14ac:dyDescent="0.2">
      <c r="B57" s="370">
        <v>52</v>
      </c>
      <c r="C57" s="371" t="s">
        <v>2792</v>
      </c>
      <c r="D57" s="604" t="s">
        <v>2793</v>
      </c>
      <c r="E57" s="473"/>
      <c r="F57" s="473"/>
      <c r="G57" s="473"/>
      <c r="H57" s="473"/>
      <c r="I57" s="473"/>
      <c r="J57" s="473"/>
      <c r="K57" s="473"/>
      <c r="L57" s="466"/>
      <c r="M57" s="625" t="s">
        <v>2773</v>
      </c>
      <c r="N57" s="466"/>
    </row>
    <row r="58" spans="2:14" ht="59" customHeight="1" x14ac:dyDescent="0.2">
      <c r="B58" s="370">
        <v>53</v>
      </c>
      <c r="C58" s="371" t="s">
        <v>2294</v>
      </c>
      <c r="D58" s="604" t="s">
        <v>2794</v>
      </c>
      <c r="E58" s="473"/>
      <c r="F58" s="473"/>
      <c r="G58" s="473"/>
      <c r="H58" s="473"/>
      <c r="I58" s="473"/>
      <c r="J58" s="473"/>
      <c r="K58" s="473"/>
      <c r="L58" s="466"/>
      <c r="M58" s="629" t="s">
        <v>2795</v>
      </c>
      <c r="N58" s="466"/>
    </row>
    <row r="59" spans="2:14" ht="43" customHeight="1" x14ac:dyDescent="0.2">
      <c r="B59" s="370">
        <v>54</v>
      </c>
      <c r="C59" s="371" t="s">
        <v>2365</v>
      </c>
      <c r="D59" s="604" t="s">
        <v>2796</v>
      </c>
      <c r="E59" s="473"/>
      <c r="F59" s="473"/>
      <c r="G59" s="473"/>
      <c r="H59" s="473"/>
      <c r="I59" s="473"/>
      <c r="J59" s="473"/>
      <c r="K59" s="473"/>
      <c r="L59" s="466"/>
      <c r="M59" s="629" t="s">
        <v>2795</v>
      </c>
      <c r="N59" s="466"/>
    </row>
    <row r="60" spans="2:14" ht="54" customHeight="1" x14ac:dyDescent="0.2">
      <c r="B60" s="370">
        <v>55</v>
      </c>
      <c r="C60" s="371" t="s">
        <v>2376</v>
      </c>
      <c r="D60" s="604" t="s">
        <v>2797</v>
      </c>
      <c r="E60" s="473"/>
      <c r="F60" s="473"/>
      <c r="G60" s="473"/>
      <c r="H60" s="473"/>
      <c r="I60" s="473"/>
      <c r="J60" s="473"/>
      <c r="K60" s="473"/>
      <c r="L60" s="466"/>
      <c r="M60" s="629" t="s">
        <v>2795</v>
      </c>
      <c r="N60" s="466"/>
    </row>
    <row r="61" spans="2:14" ht="64" customHeight="1" x14ac:dyDescent="0.2">
      <c r="B61" s="370">
        <v>56</v>
      </c>
      <c r="C61" s="371" t="s">
        <v>2798</v>
      </c>
      <c r="D61" s="604" t="s">
        <v>2799</v>
      </c>
      <c r="E61" s="473"/>
      <c r="F61" s="473"/>
      <c r="G61" s="473"/>
      <c r="H61" s="473"/>
      <c r="I61" s="473"/>
      <c r="J61" s="473"/>
      <c r="K61" s="473"/>
      <c r="L61" s="466"/>
      <c r="M61" s="629" t="s">
        <v>2795</v>
      </c>
      <c r="N61" s="466"/>
    </row>
    <row r="62" spans="2:14" ht="62" customHeight="1" x14ac:dyDescent="0.2">
      <c r="B62" s="370">
        <v>57</v>
      </c>
      <c r="C62" s="371" t="s">
        <v>2800</v>
      </c>
      <c r="D62" s="604" t="s">
        <v>2801</v>
      </c>
      <c r="E62" s="473"/>
      <c r="F62" s="473"/>
      <c r="G62" s="473"/>
      <c r="H62" s="473"/>
      <c r="I62" s="473"/>
      <c r="J62" s="473"/>
      <c r="K62" s="473"/>
      <c r="L62" s="466"/>
      <c r="M62" s="629" t="s">
        <v>2795</v>
      </c>
      <c r="N62" s="466"/>
    </row>
    <row r="63" spans="2:14" ht="58" customHeight="1" x14ac:dyDescent="0.2">
      <c r="B63" s="370">
        <v>58</v>
      </c>
      <c r="C63" s="371" t="s">
        <v>2802</v>
      </c>
      <c r="D63" s="604" t="s">
        <v>2803</v>
      </c>
      <c r="E63" s="473"/>
      <c r="F63" s="473"/>
      <c r="G63" s="473"/>
      <c r="H63" s="473"/>
      <c r="I63" s="473"/>
      <c r="J63" s="473"/>
      <c r="K63" s="473"/>
      <c r="L63" s="466"/>
      <c r="M63" s="629" t="s">
        <v>2795</v>
      </c>
      <c r="N63" s="466"/>
    </row>
    <row r="64" spans="2:14" ht="59" customHeight="1" x14ac:dyDescent="0.2">
      <c r="B64" s="370">
        <v>59</v>
      </c>
      <c r="C64" s="371" t="s">
        <v>2804</v>
      </c>
      <c r="D64" s="604" t="s">
        <v>2805</v>
      </c>
      <c r="E64" s="473"/>
      <c r="F64" s="473"/>
      <c r="G64" s="473"/>
      <c r="H64" s="473"/>
      <c r="I64" s="473"/>
      <c r="J64" s="473"/>
      <c r="K64" s="473"/>
      <c r="L64" s="466"/>
      <c r="M64" s="629" t="s">
        <v>2795</v>
      </c>
      <c r="N64" s="466"/>
    </row>
    <row r="65" spans="2:14" ht="60" customHeight="1" x14ac:dyDescent="0.2">
      <c r="B65" s="370">
        <v>60</v>
      </c>
      <c r="C65" s="371" t="s">
        <v>2806</v>
      </c>
      <c r="D65" s="604" t="s">
        <v>2807</v>
      </c>
      <c r="E65" s="473"/>
      <c r="F65" s="473"/>
      <c r="G65" s="473"/>
      <c r="H65" s="473"/>
      <c r="I65" s="473"/>
      <c r="J65" s="473"/>
      <c r="K65" s="473"/>
      <c r="L65" s="466"/>
      <c r="M65" s="629" t="s">
        <v>2795</v>
      </c>
      <c r="N65" s="466"/>
    </row>
    <row r="66" spans="2:14" ht="54" customHeight="1" x14ac:dyDescent="0.2">
      <c r="B66" s="370">
        <v>61</v>
      </c>
      <c r="C66" s="371" t="s">
        <v>2808</v>
      </c>
      <c r="D66" s="604" t="s">
        <v>2809</v>
      </c>
      <c r="E66" s="473"/>
      <c r="F66" s="473"/>
      <c r="G66" s="473"/>
      <c r="H66" s="473"/>
      <c r="I66" s="473"/>
      <c r="J66" s="473"/>
      <c r="K66" s="473"/>
      <c r="L66" s="466"/>
      <c r="M66" s="629" t="s">
        <v>2795</v>
      </c>
      <c r="N66" s="466"/>
    </row>
    <row r="67" spans="2:14" ht="65" customHeight="1" x14ac:dyDescent="0.2">
      <c r="B67" s="370">
        <v>62</v>
      </c>
      <c r="C67" s="371" t="s">
        <v>2810</v>
      </c>
      <c r="D67" s="604" t="s">
        <v>2811</v>
      </c>
      <c r="E67" s="473"/>
      <c r="F67" s="473"/>
      <c r="G67" s="473"/>
      <c r="H67" s="473"/>
      <c r="I67" s="473"/>
      <c r="J67" s="473"/>
      <c r="K67" s="473"/>
      <c r="L67" s="466"/>
      <c r="M67" s="629" t="s">
        <v>2795</v>
      </c>
      <c r="N67" s="466"/>
    </row>
    <row r="69" spans="2:14" ht="18" customHeight="1" x14ac:dyDescent="0.2">
      <c r="B69" s="614" t="s">
        <v>2812</v>
      </c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</row>
  </sheetData>
  <mergeCells count="129">
    <mergeCell ref="M59:N59"/>
    <mergeCell ref="D61:L61"/>
    <mergeCell ref="D48:L48"/>
    <mergeCell ref="D7:L7"/>
    <mergeCell ref="M60:N60"/>
    <mergeCell ref="M35:N35"/>
    <mergeCell ref="M10:N10"/>
    <mergeCell ref="M54:N54"/>
    <mergeCell ref="M8:N8"/>
    <mergeCell ref="D10:L10"/>
    <mergeCell ref="D11:L11"/>
    <mergeCell ref="M53:N53"/>
    <mergeCell ref="D63:L63"/>
    <mergeCell ref="M66:N66"/>
    <mergeCell ref="M63:N63"/>
    <mergeCell ref="D65:L65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17:N17"/>
    <mergeCell ref="D19:L19"/>
    <mergeCell ref="D34:L34"/>
    <mergeCell ref="M47:N47"/>
    <mergeCell ref="M62:N62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D60:L60"/>
    <mergeCell ref="M57:N57"/>
    <mergeCell ref="M32:N32"/>
    <mergeCell ref="M14:N14"/>
    <mergeCell ref="D22:L22"/>
    <mergeCell ref="D31:L31"/>
    <mergeCell ref="D45:L45"/>
    <mergeCell ref="D66:L66"/>
    <mergeCell ref="D53:L53"/>
    <mergeCell ref="D47:L47"/>
    <mergeCell ref="M64:N64"/>
    <mergeCell ref="M51:N51"/>
    <mergeCell ref="D37:L37"/>
    <mergeCell ref="D9:L9"/>
    <mergeCell ref="D39:L3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M12:N12"/>
    <mergeCell ref="M37:N37"/>
    <mergeCell ref="D14:L14"/>
    <mergeCell ref="D54:L54"/>
    <mergeCell ref="D44:L44"/>
    <mergeCell ref="D59:L59"/>
    <mergeCell ref="M61:N61"/>
    <mergeCell ref="D20:L20"/>
    <mergeCell ref="M13:N13"/>
    <mergeCell ref="D15:L15"/>
    <mergeCell ref="M65:N65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M22:N22"/>
    <mergeCell ref="M30:N30"/>
    <mergeCell ref="M46:N46"/>
    <mergeCell ref="M28:N28"/>
    <mergeCell ref="M42:N42"/>
    <mergeCell ref="D50:L50"/>
    <mergeCell ref="M49:N49"/>
    <mergeCell ref="M21:N21"/>
    <mergeCell ref="D29:L29"/>
    <mergeCell ref="D23:L23"/>
    <mergeCell ref="D38:L38"/>
    <mergeCell ref="M27:N27"/>
    <mergeCell ref="M41:N41"/>
    <mergeCell ref="M24:N24"/>
    <mergeCell ref="M19:N19"/>
    <mergeCell ref="D6:L6"/>
    <mergeCell ref="M56:N56"/>
    <mergeCell ref="B2:N2"/>
    <mergeCell ref="M26:N26"/>
    <mergeCell ref="M29:N29"/>
    <mergeCell ref="M23:N23"/>
    <mergeCell ref="M38:N38"/>
    <mergeCell ref="D46:L46"/>
    <mergeCell ref="D40:L40"/>
    <mergeCell ref="D8:L8"/>
    <mergeCell ref="M6:N6"/>
    <mergeCell ref="M5:N5"/>
    <mergeCell ref="D5:L5"/>
    <mergeCell ref="B3:N3"/>
    <mergeCell ref="M7:N7"/>
    <mergeCell ref="M50:N50"/>
    <mergeCell ref="D36:L36"/>
    <mergeCell ref="M44:N44"/>
    <mergeCell ref="D21:L21"/>
    <mergeCell ref="M43:N43"/>
    <mergeCell ref="D13:L13"/>
  </mergeCells>
  <printOptions horizontalCentered="1"/>
  <pageMargins left="0.59" right="0.59" top="0.59" bottom="0.59" header="0.3" footer="0.3"/>
  <pageSetup paperSize="9" fitToHeight="0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2:N68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6" customWidth="1"/>
    <col min="4" max="4" width="60" customWidth="1"/>
    <col min="5" max="6" width="16" customWidth="1"/>
    <col min="7" max="14" width="14" customWidth="1"/>
    <col min="15" max="15" width="2" customWidth="1"/>
  </cols>
  <sheetData>
    <row r="2" spans="2:14" ht="28" customHeight="1" x14ac:dyDescent="0.2">
      <c r="B2" s="611" t="s">
        <v>2813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</row>
    <row r="3" spans="2:14" ht="18" customHeight="1" x14ac:dyDescent="0.2">
      <c r="B3" s="618" t="s">
        <v>2814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</row>
    <row r="5" spans="2:14" ht="22" customHeight="1" x14ac:dyDescent="0.2">
      <c r="B5" s="612" t="s">
        <v>2815</v>
      </c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</row>
    <row r="7" spans="2:14" ht="60" customHeight="1" x14ac:dyDescent="0.2">
      <c r="C7" s="377" t="s">
        <v>2816</v>
      </c>
      <c r="D7" s="604" t="s">
        <v>2817</v>
      </c>
      <c r="E7" s="473"/>
      <c r="F7" s="473"/>
      <c r="G7" s="473"/>
      <c r="H7" s="473"/>
      <c r="I7" s="473"/>
      <c r="J7" s="473"/>
      <c r="K7" s="473"/>
      <c r="L7" s="473"/>
      <c r="M7" s="473"/>
      <c r="N7" s="466"/>
    </row>
    <row r="8" spans="2:14" ht="60" customHeight="1" x14ac:dyDescent="0.2">
      <c r="C8" s="377" t="s">
        <v>2818</v>
      </c>
      <c r="D8" s="604" t="s">
        <v>2819</v>
      </c>
      <c r="E8" s="473"/>
      <c r="F8" s="473"/>
      <c r="G8" s="473"/>
      <c r="H8" s="473"/>
      <c r="I8" s="473"/>
      <c r="J8" s="473"/>
      <c r="K8" s="473"/>
      <c r="L8" s="473"/>
      <c r="M8" s="473"/>
      <c r="N8" s="466"/>
    </row>
    <row r="9" spans="2:14" ht="60" customHeight="1" x14ac:dyDescent="0.2">
      <c r="C9" s="377" t="s">
        <v>2579</v>
      </c>
      <c r="D9" s="604" t="s">
        <v>2820</v>
      </c>
      <c r="E9" s="473"/>
      <c r="F9" s="473"/>
      <c r="G9" s="473"/>
      <c r="H9" s="473"/>
      <c r="I9" s="473"/>
      <c r="J9" s="473"/>
      <c r="K9" s="473"/>
      <c r="L9" s="473"/>
      <c r="M9" s="473"/>
      <c r="N9" s="466"/>
    </row>
    <row r="10" spans="2:14" ht="60" customHeight="1" x14ac:dyDescent="0.2">
      <c r="C10" s="377" t="s">
        <v>2576</v>
      </c>
      <c r="D10" s="604" t="s">
        <v>2821</v>
      </c>
      <c r="E10" s="473"/>
      <c r="F10" s="473"/>
      <c r="G10" s="473"/>
      <c r="H10" s="473"/>
      <c r="I10" s="473"/>
      <c r="J10" s="473"/>
      <c r="K10" s="473"/>
      <c r="L10" s="473"/>
      <c r="M10" s="473"/>
      <c r="N10" s="466"/>
    </row>
    <row r="11" spans="2:14" ht="60" customHeight="1" x14ac:dyDescent="0.2">
      <c r="C11" s="377" t="s">
        <v>2597</v>
      </c>
      <c r="D11" s="604" t="s">
        <v>2822</v>
      </c>
      <c r="E11" s="473"/>
      <c r="F11" s="473"/>
      <c r="G11" s="473"/>
      <c r="H11" s="473"/>
      <c r="I11" s="473"/>
      <c r="J11" s="473"/>
      <c r="K11" s="473"/>
      <c r="L11" s="473"/>
      <c r="M11" s="473"/>
      <c r="N11" s="466"/>
    </row>
    <row r="12" spans="2:14" ht="60" customHeight="1" x14ac:dyDescent="0.2">
      <c r="C12" s="377" t="s">
        <v>2584</v>
      </c>
      <c r="D12" s="604" t="s">
        <v>2823</v>
      </c>
      <c r="E12" s="473"/>
      <c r="F12" s="473"/>
      <c r="G12" s="473"/>
      <c r="H12" s="473"/>
      <c r="I12" s="473"/>
      <c r="J12" s="473"/>
      <c r="K12" s="473"/>
      <c r="L12" s="473"/>
      <c r="M12" s="473"/>
      <c r="N12" s="466"/>
    </row>
    <row r="13" spans="2:14" ht="51" customHeight="1" x14ac:dyDescent="0.2">
      <c r="C13" s="377" t="s">
        <v>2824</v>
      </c>
      <c r="D13" s="604" t="s">
        <v>2825</v>
      </c>
      <c r="E13" s="473"/>
      <c r="F13" s="473"/>
      <c r="G13" s="473"/>
      <c r="H13" s="473"/>
      <c r="I13" s="473"/>
      <c r="J13" s="473"/>
      <c r="K13" s="473"/>
      <c r="L13" s="473"/>
      <c r="M13" s="473"/>
      <c r="N13" s="466"/>
    </row>
    <row r="14" spans="2:14" ht="48" customHeight="1" x14ac:dyDescent="0.2">
      <c r="C14" s="377" t="s">
        <v>2591</v>
      </c>
      <c r="D14" s="604" t="s">
        <v>2826</v>
      </c>
      <c r="E14" s="473"/>
      <c r="F14" s="473"/>
      <c r="G14" s="473"/>
      <c r="H14" s="473"/>
      <c r="I14" s="473"/>
      <c r="J14" s="473"/>
      <c r="K14" s="473"/>
      <c r="L14" s="473"/>
      <c r="M14" s="473"/>
      <c r="N14" s="466"/>
    </row>
    <row r="15" spans="2:14" ht="60" customHeight="1" x14ac:dyDescent="0.2">
      <c r="C15" s="377" t="s">
        <v>2594</v>
      </c>
      <c r="D15" s="604" t="s">
        <v>2827</v>
      </c>
      <c r="E15" s="473"/>
      <c r="F15" s="473"/>
      <c r="G15" s="473"/>
      <c r="H15" s="473"/>
      <c r="I15" s="473"/>
      <c r="J15" s="473"/>
      <c r="K15" s="473"/>
      <c r="L15" s="473"/>
      <c r="M15" s="473"/>
      <c r="N15" s="466"/>
    </row>
    <row r="16" spans="2:14" ht="58" customHeight="1" x14ac:dyDescent="0.2">
      <c r="C16" s="377" t="s">
        <v>2828</v>
      </c>
      <c r="D16" s="604" t="s">
        <v>2829</v>
      </c>
      <c r="E16" s="473"/>
      <c r="F16" s="473"/>
      <c r="G16" s="473"/>
      <c r="H16" s="473"/>
      <c r="I16" s="473"/>
      <c r="J16" s="473"/>
      <c r="K16" s="473"/>
      <c r="L16" s="473"/>
      <c r="M16" s="473"/>
      <c r="N16" s="466"/>
    </row>
    <row r="17" spans="2:14" ht="60" customHeight="1" x14ac:dyDescent="0.2">
      <c r="C17" s="377" t="s">
        <v>2614</v>
      </c>
      <c r="D17" s="604" t="s">
        <v>2830</v>
      </c>
      <c r="E17" s="473"/>
      <c r="F17" s="473"/>
      <c r="G17" s="473"/>
      <c r="H17" s="473"/>
      <c r="I17" s="473"/>
      <c r="J17" s="473"/>
      <c r="K17" s="473"/>
      <c r="L17" s="473"/>
      <c r="M17" s="473"/>
      <c r="N17" s="466"/>
    </row>
    <row r="18" spans="2:14" ht="52" customHeight="1" x14ac:dyDescent="0.2">
      <c r="C18" s="377" t="s">
        <v>2831</v>
      </c>
      <c r="D18" s="604" t="s">
        <v>2832</v>
      </c>
      <c r="E18" s="473"/>
      <c r="F18" s="473"/>
      <c r="G18" s="473"/>
      <c r="H18" s="473"/>
      <c r="I18" s="473"/>
      <c r="J18" s="473"/>
      <c r="K18" s="473"/>
      <c r="L18" s="473"/>
      <c r="M18" s="473"/>
      <c r="N18" s="466"/>
    </row>
    <row r="19" spans="2:14" ht="48" customHeight="1" x14ac:dyDescent="0.2">
      <c r="C19" s="377" t="s">
        <v>2622</v>
      </c>
      <c r="D19" s="604" t="s">
        <v>2833</v>
      </c>
      <c r="E19" s="473"/>
      <c r="F19" s="473"/>
      <c r="G19" s="473"/>
      <c r="H19" s="473"/>
      <c r="I19" s="473"/>
      <c r="J19" s="473"/>
      <c r="K19" s="473"/>
      <c r="L19" s="473"/>
      <c r="M19" s="473"/>
      <c r="N19" s="466"/>
    </row>
    <row r="20" spans="2:14" ht="53" customHeight="1" x14ac:dyDescent="0.2">
      <c r="C20" s="377" t="s">
        <v>2834</v>
      </c>
      <c r="D20" s="604" t="s">
        <v>2835</v>
      </c>
      <c r="E20" s="473"/>
      <c r="F20" s="473"/>
      <c r="G20" s="473"/>
      <c r="H20" s="473"/>
      <c r="I20" s="473"/>
      <c r="J20" s="473"/>
      <c r="K20" s="473"/>
      <c r="L20" s="473"/>
      <c r="M20" s="473"/>
      <c r="N20" s="466"/>
    </row>
    <row r="21" spans="2:14" ht="55" customHeight="1" x14ac:dyDescent="0.2">
      <c r="C21" s="377" t="s">
        <v>2836</v>
      </c>
      <c r="D21" s="604" t="s">
        <v>2837</v>
      </c>
      <c r="E21" s="473"/>
      <c r="F21" s="473"/>
      <c r="G21" s="473"/>
      <c r="H21" s="473"/>
      <c r="I21" s="473"/>
      <c r="J21" s="473"/>
      <c r="K21" s="473"/>
      <c r="L21" s="473"/>
      <c r="M21" s="473"/>
      <c r="N21" s="466"/>
    </row>
    <row r="22" spans="2:14" ht="60" customHeight="1" x14ac:dyDescent="0.2">
      <c r="C22" s="377" t="s">
        <v>2838</v>
      </c>
      <c r="D22" s="604" t="s">
        <v>2839</v>
      </c>
      <c r="E22" s="473"/>
      <c r="F22" s="473"/>
      <c r="G22" s="473"/>
      <c r="H22" s="473"/>
      <c r="I22" s="473"/>
      <c r="J22" s="473"/>
      <c r="K22" s="473"/>
      <c r="L22" s="473"/>
      <c r="M22" s="473"/>
      <c r="N22" s="466"/>
    </row>
    <row r="23" spans="2:14" ht="60" customHeight="1" x14ac:dyDescent="0.2">
      <c r="C23" s="377" t="s">
        <v>2840</v>
      </c>
      <c r="D23" s="604" t="s">
        <v>2841</v>
      </c>
      <c r="E23" s="473"/>
      <c r="F23" s="473"/>
      <c r="G23" s="473"/>
      <c r="H23" s="473"/>
      <c r="I23" s="473"/>
      <c r="J23" s="473"/>
      <c r="K23" s="473"/>
      <c r="L23" s="473"/>
      <c r="M23" s="473"/>
      <c r="N23" s="466"/>
    </row>
    <row r="24" spans="2:14" ht="60" customHeight="1" x14ac:dyDescent="0.2">
      <c r="C24" s="377" t="s">
        <v>2842</v>
      </c>
      <c r="D24" s="604" t="s">
        <v>2843</v>
      </c>
      <c r="E24" s="473"/>
      <c r="F24" s="473"/>
      <c r="G24" s="473"/>
      <c r="H24" s="473"/>
      <c r="I24" s="473"/>
      <c r="J24" s="473"/>
      <c r="K24" s="473"/>
      <c r="L24" s="473"/>
      <c r="M24" s="473"/>
      <c r="N24" s="466"/>
    </row>
    <row r="25" spans="2:14" ht="60" customHeight="1" x14ac:dyDescent="0.2">
      <c r="C25" s="377" t="s">
        <v>2844</v>
      </c>
      <c r="D25" s="604" t="s">
        <v>2845</v>
      </c>
      <c r="E25" s="473"/>
      <c r="F25" s="473"/>
      <c r="G25" s="473"/>
      <c r="H25" s="473"/>
      <c r="I25" s="473"/>
      <c r="J25" s="473"/>
      <c r="K25" s="473"/>
      <c r="L25" s="473"/>
      <c r="M25" s="473"/>
      <c r="N25" s="466"/>
    </row>
    <row r="26" spans="2:14" ht="59" customHeight="1" x14ac:dyDescent="0.2">
      <c r="C26" s="377" t="s">
        <v>2601</v>
      </c>
      <c r="D26" s="604" t="s">
        <v>2846</v>
      </c>
      <c r="E26" s="473"/>
      <c r="F26" s="473"/>
      <c r="G26" s="473"/>
      <c r="H26" s="473"/>
      <c r="I26" s="473"/>
      <c r="J26" s="473"/>
      <c r="K26" s="473"/>
      <c r="L26" s="473"/>
      <c r="M26" s="473"/>
      <c r="N26" s="466"/>
    </row>
    <row r="27" spans="2:14" ht="60" customHeight="1" x14ac:dyDescent="0.2">
      <c r="C27" s="377" t="s">
        <v>2847</v>
      </c>
      <c r="D27" s="604" t="s">
        <v>2848</v>
      </c>
      <c r="E27" s="473"/>
      <c r="F27" s="473"/>
      <c r="G27" s="473"/>
      <c r="H27" s="473"/>
      <c r="I27" s="473"/>
      <c r="J27" s="473"/>
      <c r="K27" s="473"/>
      <c r="L27" s="473"/>
      <c r="M27" s="473"/>
      <c r="N27" s="466"/>
    </row>
    <row r="28" spans="2:14" ht="60" customHeight="1" x14ac:dyDescent="0.2">
      <c r="C28" s="377" t="s">
        <v>2849</v>
      </c>
      <c r="D28" s="604" t="s">
        <v>2850</v>
      </c>
      <c r="E28" s="473"/>
      <c r="F28" s="473"/>
      <c r="G28" s="473"/>
      <c r="H28" s="473"/>
      <c r="I28" s="473"/>
      <c r="J28" s="473"/>
      <c r="K28" s="473"/>
      <c r="L28" s="473"/>
      <c r="M28" s="473"/>
      <c r="N28" s="466"/>
    </row>
    <row r="31" spans="2:14" ht="22" customHeight="1" x14ac:dyDescent="0.2">
      <c r="B31" s="612" t="s">
        <v>2851</v>
      </c>
      <c r="C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</row>
    <row r="33" spans="2:14" ht="22" customHeight="1" x14ac:dyDescent="0.2">
      <c r="B33" s="241" t="s">
        <v>376</v>
      </c>
      <c r="C33" s="555" t="s">
        <v>475</v>
      </c>
      <c r="D33" s="466"/>
      <c r="E33" s="555" t="s">
        <v>2852</v>
      </c>
      <c r="F33" s="473"/>
      <c r="G33" s="473"/>
      <c r="H33" s="473"/>
      <c r="I33" s="473"/>
      <c r="J33" s="473"/>
      <c r="K33" s="473"/>
      <c r="L33" s="466"/>
      <c r="M33" s="555" t="s">
        <v>2853</v>
      </c>
      <c r="N33" s="466"/>
    </row>
    <row r="34" spans="2:14" ht="26" customHeight="1" x14ac:dyDescent="0.2">
      <c r="B34" s="372" t="s">
        <v>2854</v>
      </c>
      <c r="C34" s="631" t="s">
        <v>2855</v>
      </c>
      <c r="D34" s="466"/>
      <c r="E34" s="604" t="s">
        <v>2856</v>
      </c>
      <c r="F34" s="473"/>
      <c r="G34" s="473"/>
      <c r="H34" s="473"/>
      <c r="I34" s="473"/>
      <c r="J34" s="473"/>
      <c r="K34" s="473"/>
      <c r="L34" s="466"/>
      <c r="M34" s="633" t="s">
        <v>2857</v>
      </c>
      <c r="N34" s="466"/>
    </row>
    <row r="35" spans="2:14" ht="26" customHeight="1" x14ac:dyDescent="0.2">
      <c r="B35" s="372" t="s">
        <v>2854</v>
      </c>
      <c r="C35" s="631" t="s">
        <v>2858</v>
      </c>
      <c r="D35" s="466"/>
      <c r="E35" s="604" t="s">
        <v>2859</v>
      </c>
      <c r="F35" s="473"/>
      <c r="G35" s="473"/>
      <c r="H35" s="473"/>
      <c r="I35" s="473"/>
      <c r="J35" s="473"/>
      <c r="K35" s="473"/>
      <c r="L35" s="466"/>
      <c r="M35" s="633" t="s">
        <v>2860</v>
      </c>
      <c r="N35" s="466"/>
    </row>
    <row r="36" spans="2:14" ht="26" customHeight="1" x14ac:dyDescent="0.2">
      <c r="B36" s="372" t="s">
        <v>2854</v>
      </c>
      <c r="C36" s="631" t="s">
        <v>2861</v>
      </c>
      <c r="D36" s="466"/>
      <c r="E36" s="604" t="s">
        <v>2862</v>
      </c>
      <c r="F36" s="473"/>
      <c r="G36" s="473"/>
      <c r="H36" s="473"/>
      <c r="I36" s="473"/>
      <c r="J36" s="473"/>
      <c r="K36" s="473"/>
      <c r="L36" s="466"/>
      <c r="M36" s="633" t="s">
        <v>2863</v>
      </c>
      <c r="N36" s="466"/>
    </row>
    <row r="37" spans="2:14" ht="26" customHeight="1" x14ac:dyDescent="0.2">
      <c r="B37" s="372" t="s">
        <v>2854</v>
      </c>
      <c r="C37" s="631" t="s">
        <v>2864</v>
      </c>
      <c r="D37" s="466"/>
      <c r="E37" s="604" t="s">
        <v>2865</v>
      </c>
      <c r="F37" s="473"/>
      <c r="G37" s="473"/>
      <c r="H37" s="473"/>
      <c r="I37" s="473"/>
      <c r="J37" s="473"/>
      <c r="K37" s="473"/>
      <c r="L37" s="466"/>
      <c r="M37" s="633" t="s">
        <v>2860</v>
      </c>
      <c r="N37" s="466"/>
    </row>
    <row r="38" spans="2:14" ht="26" customHeight="1" x14ac:dyDescent="0.2">
      <c r="B38" s="372" t="s">
        <v>2854</v>
      </c>
      <c r="C38" s="631" t="s">
        <v>2866</v>
      </c>
      <c r="D38" s="466"/>
      <c r="E38" s="604" t="s">
        <v>2867</v>
      </c>
      <c r="F38" s="473"/>
      <c r="G38" s="473"/>
      <c r="H38" s="473"/>
      <c r="I38" s="473"/>
      <c r="J38" s="473"/>
      <c r="K38" s="473"/>
      <c r="L38" s="466"/>
      <c r="M38" s="633" t="s">
        <v>2860</v>
      </c>
      <c r="N38" s="466"/>
    </row>
    <row r="39" spans="2:14" ht="26" customHeight="1" x14ac:dyDescent="0.2">
      <c r="B39" s="372" t="s">
        <v>2854</v>
      </c>
      <c r="C39" s="631" t="s">
        <v>2868</v>
      </c>
      <c r="D39" s="466"/>
      <c r="E39" s="604" t="s">
        <v>2869</v>
      </c>
      <c r="F39" s="473"/>
      <c r="G39" s="473"/>
      <c r="H39" s="473"/>
      <c r="I39" s="473"/>
      <c r="J39" s="473"/>
      <c r="K39" s="473"/>
      <c r="L39" s="466"/>
      <c r="M39" s="633" t="s">
        <v>2860</v>
      </c>
      <c r="N39" s="466"/>
    </row>
    <row r="40" spans="2:14" ht="26" customHeight="1" x14ac:dyDescent="0.2">
      <c r="B40" s="372" t="s">
        <v>2854</v>
      </c>
      <c r="C40" s="631" t="s">
        <v>2870</v>
      </c>
      <c r="D40" s="466"/>
      <c r="E40" s="604" t="s">
        <v>2871</v>
      </c>
      <c r="F40" s="473"/>
      <c r="G40" s="473"/>
      <c r="H40" s="473"/>
      <c r="I40" s="473"/>
      <c r="J40" s="473"/>
      <c r="K40" s="473"/>
      <c r="L40" s="466"/>
      <c r="M40" s="633" t="s">
        <v>2872</v>
      </c>
      <c r="N40" s="466"/>
    </row>
    <row r="41" spans="2:14" ht="26" customHeight="1" x14ac:dyDescent="0.2">
      <c r="B41" s="372" t="s">
        <v>2854</v>
      </c>
      <c r="C41" s="631" t="s">
        <v>2873</v>
      </c>
      <c r="D41" s="466"/>
      <c r="E41" s="604" t="s">
        <v>2874</v>
      </c>
      <c r="F41" s="473"/>
      <c r="G41" s="473"/>
      <c r="H41" s="473"/>
      <c r="I41" s="473"/>
      <c r="J41" s="473"/>
      <c r="K41" s="473"/>
      <c r="L41" s="466"/>
      <c r="M41" s="633" t="s">
        <v>2875</v>
      </c>
      <c r="N41" s="466"/>
    </row>
    <row r="42" spans="2:14" ht="26" customHeight="1" x14ac:dyDescent="0.2">
      <c r="B42" s="372" t="s">
        <v>2876</v>
      </c>
      <c r="C42" s="631" t="s">
        <v>2877</v>
      </c>
      <c r="D42" s="466"/>
      <c r="E42" s="604" t="s">
        <v>2878</v>
      </c>
      <c r="F42" s="473"/>
      <c r="G42" s="473"/>
      <c r="H42" s="473"/>
      <c r="I42" s="473"/>
      <c r="J42" s="473"/>
      <c r="K42" s="473"/>
      <c r="L42" s="466"/>
      <c r="M42" s="633" t="s">
        <v>2879</v>
      </c>
      <c r="N42" s="466"/>
    </row>
    <row r="43" spans="2:14" ht="26" customHeight="1" x14ac:dyDescent="0.2">
      <c r="B43" s="372" t="s">
        <v>2880</v>
      </c>
      <c r="C43" s="631" t="s">
        <v>2881</v>
      </c>
      <c r="D43" s="466"/>
      <c r="E43" s="604" t="s">
        <v>2882</v>
      </c>
      <c r="F43" s="473"/>
      <c r="G43" s="473"/>
      <c r="H43" s="473"/>
      <c r="I43" s="473"/>
      <c r="J43" s="473"/>
      <c r="K43" s="473"/>
      <c r="L43" s="466"/>
      <c r="M43" s="633" t="s">
        <v>2883</v>
      </c>
      <c r="N43" s="466"/>
    </row>
    <row r="44" spans="2:14" ht="26" customHeight="1" x14ac:dyDescent="0.2">
      <c r="B44" s="372" t="s">
        <v>2880</v>
      </c>
      <c r="C44" s="631" t="s">
        <v>2884</v>
      </c>
      <c r="D44" s="466"/>
      <c r="E44" s="604" t="s">
        <v>2885</v>
      </c>
      <c r="F44" s="473"/>
      <c r="G44" s="473"/>
      <c r="H44" s="473"/>
      <c r="I44" s="473"/>
      <c r="J44" s="473"/>
      <c r="K44" s="473"/>
      <c r="L44" s="466"/>
      <c r="M44" s="633" t="s">
        <v>2886</v>
      </c>
      <c r="N44" s="466"/>
    </row>
    <row r="45" spans="2:14" ht="26" customHeight="1" x14ac:dyDescent="0.2">
      <c r="B45" s="372" t="s">
        <v>2876</v>
      </c>
      <c r="C45" s="631" t="s">
        <v>2887</v>
      </c>
      <c r="D45" s="466"/>
      <c r="E45" s="604" t="s">
        <v>2888</v>
      </c>
      <c r="F45" s="473"/>
      <c r="G45" s="473"/>
      <c r="H45" s="473"/>
      <c r="I45" s="473"/>
      <c r="J45" s="473"/>
      <c r="K45" s="473"/>
      <c r="L45" s="466"/>
      <c r="M45" s="633" t="s">
        <v>2889</v>
      </c>
      <c r="N45" s="466"/>
    </row>
    <row r="46" spans="2:14" ht="26" customHeight="1" x14ac:dyDescent="0.2">
      <c r="B46" s="375" t="s">
        <v>2890</v>
      </c>
      <c r="C46" s="631" t="s">
        <v>2891</v>
      </c>
      <c r="D46" s="466"/>
      <c r="E46" s="604" t="s">
        <v>2892</v>
      </c>
      <c r="F46" s="473"/>
      <c r="G46" s="473"/>
      <c r="H46" s="473"/>
      <c r="I46" s="473"/>
      <c r="J46" s="473"/>
      <c r="K46" s="473"/>
      <c r="L46" s="466"/>
      <c r="M46" s="633" t="s">
        <v>2893</v>
      </c>
      <c r="N46" s="466"/>
    </row>
    <row r="47" spans="2:14" ht="26" customHeight="1" x14ac:dyDescent="0.2">
      <c r="B47" s="375" t="s">
        <v>2890</v>
      </c>
      <c r="C47" s="631" t="s">
        <v>2894</v>
      </c>
      <c r="D47" s="466"/>
      <c r="E47" s="604" t="s">
        <v>2895</v>
      </c>
      <c r="F47" s="473"/>
      <c r="G47" s="473"/>
      <c r="H47" s="473"/>
      <c r="I47" s="473"/>
      <c r="J47" s="473"/>
      <c r="K47" s="473"/>
      <c r="L47" s="466"/>
      <c r="M47" s="633" t="s">
        <v>2896</v>
      </c>
      <c r="N47" s="466"/>
    </row>
    <row r="48" spans="2:14" ht="26" customHeight="1" x14ac:dyDescent="0.2">
      <c r="B48" s="375" t="s">
        <v>2890</v>
      </c>
      <c r="C48" s="631" t="s">
        <v>2897</v>
      </c>
      <c r="D48" s="466"/>
      <c r="E48" s="604" t="s">
        <v>2898</v>
      </c>
      <c r="F48" s="473"/>
      <c r="G48" s="473"/>
      <c r="H48" s="473"/>
      <c r="I48" s="473"/>
      <c r="J48" s="473"/>
      <c r="K48" s="473"/>
      <c r="L48" s="466"/>
      <c r="M48" s="633" t="s">
        <v>2899</v>
      </c>
      <c r="N48" s="466"/>
    </row>
    <row r="49" spans="2:14" ht="26" customHeight="1" x14ac:dyDescent="0.2">
      <c r="B49" s="375" t="s">
        <v>2890</v>
      </c>
      <c r="C49" s="631" t="s">
        <v>2900</v>
      </c>
      <c r="D49" s="466"/>
      <c r="E49" s="604" t="s">
        <v>2901</v>
      </c>
      <c r="F49" s="473"/>
      <c r="G49" s="473"/>
      <c r="H49" s="473"/>
      <c r="I49" s="473"/>
      <c r="J49" s="473"/>
      <c r="K49" s="473"/>
      <c r="L49" s="466"/>
      <c r="M49" s="633" t="s">
        <v>2902</v>
      </c>
      <c r="N49" s="466"/>
    </row>
    <row r="50" spans="2:14" ht="26" customHeight="1" x14ac:dyDescent="0.2">
      <c r="B50" s="374" t="s">
        <v>2903</v>
      </c>
      <c r="C50" s="631" t="s">
        <v>2904</v>
      </c>
      <c r="D50" s="466"/>
      <c r="E50" s="604" t="s">
        <v>2905</v>
      </c>
      <c r="F50" s="473"/>
      <c r="G50" s="473"/>
      <c r="H50" s="473"/>
      <c r="I50" s="473"/>
      <c r="J50" s="473"/>
      <c r="K50" s="473"/>
      <c r="L50" s="466"/>
      <c r="M50" s="633" t="s">
        <v>2906</v>
      </c>
      <c r="N50" s="466"/>
    </row>
    <row r="51" spans="2:14" ht="26" customHeight="1" x14ac:dyDescent="0.2">
      <c r="B51" s="373" t="s">
        <v>2907</v>
      </c>
      <c r="C51" s="631" t="s">
        <v>2908</v>
      </c>
      <c r="D51" s="466"/>
      <c r="E51" s="604" t="s">
        <v>2909</v>
      </c>
      <c r="F51" s="473"/>
      <c r="G51" s="473"/>
      <c r="H51" s="473"/>
      <c r="I51" s="473"/>
      <c r="J51" s="473"/>
      <c r="K51" s="473"/>
      <c r="L51" s="466"/>
      <c r="M51" s="633" t="s">
        <v>2910</v>
      </c>
      <c r="N51" s="466"/>
    </row>
    <row r="53" spans="2:14" ht="28" customHeight="1" x14ac:dyDescent="0.2">
      <c r="B53" s="634" t="s">
        <v>2911</v>
      </c>
      <c r="C53" s="468"/>
      <c r="D53" s="468"/>
      <c r="E53" s="468"/>
      <c r="F53" s="468"/>
      <c r="G53" s="468"/>
      <c r="H53" s="468"/>
      <c r="I53" s="468"/>
      <c r="J53" s="468"/>
      <c r="K53" s="468"/>
      <c r="L53" s="468"/>
      <c r="M53" s="468"/>
      <c r="N53" s="468"/>
    </row>
    <row r="56" spans="2:14" ht="22" customHeight="1" x14ac:dyDescent="0.2">
      <c r="B56" s="615" t="s">
        <v>2912</v>
      </c>
      <c r="C56" s="468"/>
      <c r="D56" s="468"/>
      <c r="E56" s="468"/>
      <c r="F56" s="468"/>
      <c r="G56" s="468"/>
      <c r="H56" s="468"/>
      <c r="I56" s="468"/>
      <c r="J56" s="468"/>
      <c r="K56" s="468"/>
      <c r="L56" s="468"/>
      <c r="M56" s="468"/>
      <c r="N56" s="468"/>
    </row>
    <row r="58" spans="2:14" ht="280" customHeight="1" x14ac:dyDescent="0.2">
      <c r="B58" s="616" t="s">
        <v>2913</v>
      </c>
      <c r="C58" s="468"/>
      <c r="D58" s="468"/>
      <c r="E58" s="468"/>
      <c r="F58" s="468"/>
      <c r="G58" s="468"/>
      <c r="H58" s="468"/>
      <c r="I58" s="468"/>
      <c r="J58" s="468"/>
      <c r="K58" s="468"/>
      <c r="L58" s="468"/>
      <c r="M58" s="468"/>
      <c r="N58" s="468"/>
    </row>
    <row r="61" spans="2:14" ht="22" customHeight="1" x14ac:dyDescent="0.2">
      <c r="B61" s="612" t="s">
        <v>2914</v>
      </c>
      <c r="C61" s="468"/>
      <c r="D61" s="468"/>
      <c r="E61" s="468"/>
      <c r="F61" s="468"/>
      <c r="G61" s="468"/>
      <c r="H61" s="468"/>
      <c r="I61" s="468"/>
      <c r="J61" s="468"/>
      <c r="K61" s="468"/>
      <c r="L61" s="468"/>
      <c r="M61" s="468"/>
      <c r="N61" s="468"/>
    </row>
    <row r="63" spans="2:14" ht="22" customHeight="1" x14ac:dyDescent="0.2">
      <c r="B63" s="555" t="s">
        <v>2915</v>
      </c>
      <c r="C63" s="473"/>
      <c r="D63" s="466"/>
      <c r="E63" s="555" t="s">
        <v>2916</v>
      </c>
      <c r="F63" s="473"/>
      <c r="G63" s="466"/>
      <c r="H63" s="555" t="s">
        <v>2917</v>
      </c>
      <c r="I63" s="473"/>
      <c r="J63" s="473"/>
      <c r="K63" s="473"/>
      <c r="L63" s="473"/>
      <c r="M63" s="473"/>
      <c r="N63" s="466"/>
    </row>
    <row r="64" spans="2:14" ht="32" customHeight="1" x14ac:dyDescent="0.2">
      <c r="B64" s="632" t="s">
        <v>2918</v>
      </c>
      <c r="C64" s="473"/>
      <c r="D64" s="466"/>
      <c r="E64" s="635" t="s">
        <v>2919</v>
      </c>
      <c r="F64" s="473"/>
      <c r="G64" s="466"/>
      <c r="H64" s="604" t="s">
        <v>2920</v>
      </c>
      <c r="I64" s="473"/>
      <c r="J64" s="473"/>
      <c r="K64" s="473"/>
      <c r="L64" s="473"/>
      <c r="M64" s="473"/>
      <c r="N64" s="466"/>
    </row>
    <row r="65" spans="2:14" ht="32" customHeight="1" x14ac:dyDescent="0.2">
      <c r="B65" s="632" t="s">
        <v>2921</v>
      </c>
      <c r="C65" s="473"/>
      <c r="D65" s="466"/>
      <c r="E65" s="635" t="s">
        <v>2919</v>
      </c>
      <c r="F65" s="473"/>
      <c r="G65" s="466"/>
      <c r="H65" s="604" t="s">
        <v>2922</v>
      </c>
      <c r="I65" s="473"/>
      <c r="J65" s="473"/>
      <c r="K65" s="473"/>
      <c r="L65" s="473"/>
      <c r="M65" s="473"/>
      <c r="N65" s="466"/>
    </row>
    <row r="68" spans="2:14" ht="18" customHeight="1" x14ac:dyDescent="0.2">
      <c r="B68" s="614" t="s">
        <v>2923</v>
      </c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  <c r="N68" s="468"/>
    </row>
  </sheetData>
  <mergeCells count="97">
    <mergeCell ref="H65:N65"/>
    <mergeCell ref="E33:L33"/>
    <mergeCell ref="E42:L42"/>
    <mergeCell ref="M33:N33"/>
    <mergeCell ref="M45:N45"/>
    <mergeCell ref="M47:N47"/>
    <mergeCell ref="M50:N50"/>
    <mergeCell ref="E47:L47"/>
    <mergeCell ref="B61:N61"/>
    <mergeCell ref="E63:G63"/>
    <mergeCell ref="E65:G65"/>
    <mergeCell ref="B65:D65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C47:D47"/>
    <mergeCell ref="M51:N51"/>
    <mergeCell ref="E49:L49"/>
    <mergeCell ref="M41:N41"/>
    <mergeCell ref="E45:L45"/>
    <mergeCell ref="M49:N49"/>
    <mergeCell ref="M48:N48"/>
    <mergeCell ref="E51:L51"/>
    <mergeCell ref="C44:D44"/>
    <mergeCell ref="E43:L43"/>
    <mergeCell ref="M43:N43"/>
    <mergeCell ref="B63:D63"/>
    <mergeCell ref="M37:N37"/>
    <mergeCell ref="C51:D51"/>
    <mergeCell ref="B58:N58"/>
    <mergeCell ref="D28:N28"/>
    <mergeCell ref="C48:D48"/>
    <mergeCell ref="E48:L48"/>
    <mergeCell ref="E38:L38"/>
    <mergeCell ref="C40:D40"/>
    <mergeCell ref="E34:L34"/>
    <mergeCell ref="E36:L36"/>
    <mergeCell ref="E37:L37"/>
    <mergeCell ref="C34:D34"/>
    <mergeCell ref="M34:N34"/>
    <mergeCell ref="M39:N39"/>
    <mergeCell ref="M40:N40"/>
    <mergeCell ref="C42:D42"/>
    <mergeCell ref="E39:L39"/>
    <mergeCell ref="C35:D35"/>
    <mergeCell ref="D17:N17"/>
    <mergeCell ref="C46:D46"/>
    <mergeCell ref="D24:N24"/>
    <mergeCell ref="D27:N27"/>
    <mergeCell ref="D19:N19"/>
    <mergeCell ref="M44:N44"/>
    <mergeCell ref="C45:D45"/>
    <mergeCell ref="D20:N20"/>
    <mergeCell ref="D26:N26"/>
    <mergeCell ref="B2:N2"/>
    <mergeCell ref="D12:N12"/>
    <mergeCell ref="D25:N25"/>
    <mergeCell ref="C38:D38"/>
    <mergeCell ref="M38:N38"/>
    <mergeCell ref="D14:N14"/>
    <mergeCell ref="D23:N23"/>
    <mergeCell ref="C33:D33"/>
    <mergeCell ref="D11:N11"/>
    <mergeCell ref="D13:N13"/>
    <mergeCell ref="B3:N3"/>
    <mergeCell ref="D9:N9"/>
    <mergeCell ref="D15:N15"/>
    <mergeCell ref="D10:N10"/>
    <mergeCell ref="D8:N8"/>
    <mergeCell ref="E41:L41"/>
    <mergeCell ref="C37:D37"/>
    <mergeCell ref="B64:D64"/>
    <mergeCell ref="E40:L40"/>
    <mergeCell ref="D16:N16"/>
    <mergeCell ref="M46:N46"/>
    <mergeCell ref="B56:N56"/>
    <mergeCell ref="M42:N42"/>
    <mergeCell ref="D18:N18"/>
    <mergeCell ref="C39:D39"/>
    <mergeCell ref="H64:N64"/>
    <mergeCell ref="B53:N53"/>
    <mergeCell ref="E64:G64"/>
    <mergeCell ref="C49:D49"/>
    <mergeCell ref="E50:L50"/>
  </mergeCells>
  <printOptions horizontalCentered="1"/>
  <pageMargins left="0.59" right="0.59" top="0.59" bottom="0.59" header="0.3" footer="0.3"/>
  <pageSetup paperSize="9" fitToHeight="0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B2:N95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0" customWidth="1"/>
    <col min="4" max="4" width="60" customWidth="1"/>
    <col min="5" max="14" width="14" customWidth="1"/>
    <col min="15" max="15" width="2" customWidth="1"/>
  </cols>
  <sheetData>
    <row r="2" spans="2:14" ht="28" customHeight="1" x14ac:dyDescent="0.2">
      <c r="B2" s="611" t="s">
        <v>2924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</row>
    <row r="3" spans="2:14" ht="18" customHeight="1" x14ac:dyDescent="0.2">
      <c r="B3" s="618" t="s">
        <v>2925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</row>
    <row r="5" spans="2:14" ht="22" customHeight="1" x14ac:dyDescent="0.2">
      <c r="B5" s="612" t="s">
        <v>2926</v>
      </c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</row>
    <row r="7" spans="2:14" ht="18" customHeight="1" x14ac:dyDescent="0.2">
      <c r="B7" s="378" t="s">
        <v>61</v>
      </c>
      <c r="C7" s="379" t="s">
        <v>2927</v>
      </c>
      <c r="D7" s="637" t="s">
        <v>825</v>
      </c>
      <c r="E7" s="473"/>
      <c r="F7" s="473"/>
      <c r="G7" s="473"/>
      <c r="H7" s="473"/>
      <c r="I7" s="473"/>
      <c r="J7" s="473"/>
      <c r="K7" s="473"/>
      <c r="L7" s="473"/>
      <c r="M7" s="473"/>
      <c r="N7" s="466"/>
    </row>
    <row r="8" spans="2:14" ht="20" customHeight="1" x14ac:dyDescent="0.2">
      <c r="B8" s="376">
        <v>1</v>
      </c>
      <c r="C8" s="380" t="s">
        <v>2928</v>
      </c>
      <c r="D8" s="601" t="s">
        <v>2929</v>
      </c>
      <c r="E8" s="473"/>
      <c r="F8" s="473"/>
      <c r="G8" s="473"/>
      <c r="H8" s="473"/>
      <c r="I8" s="473"/>
      <c r="J8" s="473"/>
      <c r="K8" s="473"/>
      <c r="L8" s="473"/>
      <c r="M8" s="473"/>
      <c r="N8" s="466"/>
    </row>
    <row r="9" spans="2:14" ht="20" customHeight="1" x14ac:dyDescent="0.2">
      <c r="B9" s="376">
        <v>2</v>
      </c>
      <c r="C9" s="380" t="s">
        <v>2816</v>
      </c>
      <c r="D9" s="601" t="s">
        <v>2930</v>
      </c>
      <c r="E9" s="473"/>
      <c r="F9" s="473"/>
      <c r="G9" s="473"/>
      <c r="H9" s="473"/>
      <c r="I9" s="473"/>
      <c r="J9" s="473"/>
      <c r="K9" s="473"/>
      <c r="L9" s="473"/>
      <c r="M9" s="473"/>
      <c r="N9" s="466"/>
    </row>
    <row r="10" spans="2:14" ht="20" customHeight="1" x14ac:dyDescent="0.2">
      <c r="B10" s="376">
        <v>3</v>
      </c>
      <c r="C10" s="380" t="s">
        <v>2931</v>
      </c>
      <c r="D10" s="601" t="s">
        <v>2932</v>
      </c>
      <c r="E10" s="473"/>
      <c r="F10" s="473"/>
      <c r="G10" s="473"/>
      <c r="H10" s="473"/>
      <c r="I10" s="473"/>
      <c r="J10" s="473"/>
      <c r="K10" s="473"/>
      <c r="L10" s="473"/>
      <c r="M10" s="473"/>
      <c r="N10" s="466"/>
    </row>
    <row r="12" spans="2:14" ht="22" customHeight="1" x14ac:dyDescent="0.2">
      <c r="B12" s="636" t="s">
        <v>2933</v>
      </c>
      <c r="C12" s="468"/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</row>
    <row r="14" spans="2:14" ht="18" customHeight="1" x14ac:dyDescent="0.2">
      <c r="B14" s="378" t="s">
        <v>61</v>
      </c>
      <c r="C14" s="379" t="s">
        <v>2927</v>
      </c>
      <c r="D14" s="637" t="s">
        <v>825</v>
      </c>
      <c r="E14" s="473"/>
      <c r="F14" s="473"/>
      <c r="G14" s="473"/>
      <c r="H14" s="473"/>
      <c r="I14" s="473"/>
      <c r="J14" s="473"/>
      <c r="K14" s="473"/>
      <c r="L14" s="473"/>
      <c r="M14" s="473"/>
      <c r="N14" s="466"/>
    </row>
    <row r="15" spans="2:14" ht="20" customHeight="1" x14ac:dyDescent="0.2">
      <c r="B15" s="376">
        <v>4</v>
      </c>
      <c r="C15" s="380" t="s">
        <v>2934</v>
      </c>
      <c r="D15" s="601" t="s">
        <v>2935</v>
      </c>
      <c r="E15" s="473"/>
      <c r="F15" s="473"/>
      <c r="G15" s="473"/>
      <c r="H15" s="473"/>
      <c r="I15" s="473"/>
      <c r="J15" s="473"/>
      <c r="K15" s="473"/>
      <c r="L15" s="473"/>
      <c r="M15" s="473"/>
      <c r="N15" s="466"/>
    </row>
    <row r="16" spans="2:14" ht="20" customHeight="1" x14ac:dyDescent="0.2">
      <c r="B16" s="376">
        <v>5</v>
      </c>
      <c r="C16" s="380" t="s">
        <v>2936</v>
      </c>
      <c r="D16" s="601" t="s">
        <v>2937</v>
      </c>
      <c r="E16" s="473"/>
      <c r="F16" s="473"/>
      <c r="G16" s="473"/>
      <c r="H16" s="473"/>
      <c r="I16" s="473"/>
      <c r="J16" s="473"/>
      <c r="K16" s="473"/>
      <c r="L16" s="473"/>
      <c r="M16" s="473"/>
      <c r="N16" s="466"/>
    </row>
    <row r="17" spans="2:14" ht="20" customHeight="1" x14ac:dyDescent="0.2">
      <c r="B17" s="376">
        <v>6</v>
      </c>
      <c r="C17" s="380" t="s">
        <v>2579</v>
      </c>
      <c r="D17" s="601" t="s">
        <v>2938</v>
      </c>
      <c r="E17" s="473"/>
      <c r="F17" s="473"/>
      <c r="G17" s="473"/>
      <c r="H17" s="473"/>
      <c r="I17" s="473"/>
      <c r="J17" s="473"/>
      <c r="K17" s="473"/>
      <c r="L17" s="473"/>
      <c r="M17" s="473"/>
      <c r="N17" s="466"/>
    </row>
    <row r="19" spans="2:14" ht="22" customHeight="1" x14ac:dyDescent="0.2">
      <c r="B19" s="636" t="s">
        <v>2939</v>
      </c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468"/>
    </row>
    <row r="21" spans="2:14" ht="18" customHeight="1" x14ac:dyDescent="0.2">
      <c r="B21" s="378" t="s">
        <v>61</v>
      </c>
      <c r="C21" s="379" t="s">
        <v>2927</v>
      </c>
      <c r="D21" s="637" t="s">
        <v>825</v>
      </c>
      <c r="E21" s="473"/>
      <c r="F21" s="473"/>
      <c r="G21" s="473"/>
      <c r="H21" s="473"/>
      <c r="I21" s="473"/>
      <c r="J21" s="473"/>
      <c r="K21" s="473"/>
      <c r="L21" s="473"/>
      <c r="M21" s="473"/>
      <c r="N21" s="466"/>
    </row>
    <row r="22" spans="2:14" ht="20" customHeight="1" x14ac:dyDescent="0.2">
      <c r="B22" s="376">
        <v>7</v>
      </c>
      <c r="C22" s="380" t="s">
        <v>2576</v>
      </c>
      <c r="D22" s="601" t="s">
        <v>2940</v>
      </c>
      <c r="E22" s="473"/>
      <c r="F22" s="473"/>
      <c r="G22" s="473"/>
      <c r="H22" s="473"/>
      <c r="I22" s="473"/>
      <c r="J22" s="473"/>
      <c r="K22" s="473"/>
      <c r="L22" s="473"/>
      <c r="M22" s="473"/>
      <c r="N22" s="466"/>
    </row>
    <row r="23" spans="2:14" ht="20" customHeight="1" x14ac:dyDescent="0.2">
      <c r="B23" s="376">
        <v>8</v>
      </c>
      <c r="C23" s="380" t="s">
        <v>2597</v>
      </c>
      <c r="D23" s="601" t="s">
        <v>2941</v>
      </c>
      <c r="E23" s="473"/>
      <c r="F23" s="473"/>
      <c r="G23" s="473"/>
      <c r="H23" s="473"/>
      <c r="I23" s="473"/>
      <c r="J23" s="473"/>
      <c r="K23" s="473"/>
      <c r="L23" s="473"/>
      <c r="M23" s="473"/>
      <c r="N23" s="466"/>
    </row>
    <row r="25" spans="2:14" ht="22" customHeight="1" x14ac:dyDescent="0.2">
      <c r="B25" s="636" t="s">
        <v>2942</v>
      </c>
      <c r="C25" s="468"/>
      <c r="D25" s="468"/>
      <c r="E25" s="468"/>
      <c r="F25" s="468"/>
      <c r="G25" s="468"/>
      <c r="H25" s="468"/>
      <c r="I25" s="468"/>
      <c r="J25" s="468"/>
      <c r="K25" s="468"/>
      <c r="L25" s="468"/>
      <c r="M25" s="468"/>
      <c r="N25" s="468"/>
    </row>
    <row r="27" spans="2:14" ht="18" customHeight="1" x14ac:dyDescent="0.2">
      <c r="B27" s="378" t="s">
        <v>61</v>
      </c>
      <c r="C27" s="379" t="s">
        <v>2927</v>
      </c>
      <c r="D27" s="637" t="s">
        <v>825</v>
      </c>
      <c r="E27" s="473"/>
      <c r="F27" s="473"/>
      <c r="G27" s="473"/>
      <c r="H27" s="473"/>
      <c r="I27" s="473"/>
      <c r="J27" s="473"/>
      <c r="K27" s="473"/>
      <c r="L27" s="473"/>
      <c r="M27" s="473"/>
      <c r="N27" s="466"/>
    </row>
    <row r="28" spans="2:14" ht="20" customHeight="1" x14ac:dyDescent="0.2">
      <c r="B28" s="376">
        <v>9</v>
      </c>
      <c r="C28" s="380" t="s">
        <v>2584</v>
      </c>
      <c r="D28" s="601" t="s">
        <v>2943</v>
      </c>
      <c r="E28" s="473"/>
      <c r="F28" s="473"/>
      <c r="G28" s="473"/>
      <c r="H28" s="473"/>
      <c r="I28" s="473"/>
      <c r="J28" s="473"/>
      <c r="K28" s="473"/>
      <c r="L28" s="473"/>
      <c r="M28" s="473"/>
      <c r="N28" s="466"/>
    </row>
    <row r="29" spans="2:14" ht="20" customHeight="1" x14ac:dyDescent="0.2">
      <c r="B29" s="376">
        <v>10</v>
      </c>
      <c r="C29" s="380" t="s">
        <v>2824</v>
      </c>
      <c r="D29" s="601" t="s">
        <v>2944</v>
      </c>
      <c r="E29" s="473"/>
      <c r="F29" s="473"/>
      <c r="G29" s="473"/>
      <c r="H29" s="473"/>
      <c r="I29" s="473"/>
      <c r="J29" s="473"/>
      <c r="K29" s="473"/>
      <c r="L29" s="473"/>
      <c r="M29" s="473"/>
      <c r="N29" s="466"/>
    </row>
    <row r="30" spans="2:14" ht="20" customHeight="1" x14ac:dyDescent="0.2">
      <c r="B30" s="376">
        <v>11</v>
      </c>
      <c r="C30" s="380" t="s">
        <v>2945</v>
      </c>
      <c r="D30" s="601" t="s">
        <v>2946</v>
      </c>
      <c r="E30" s="473"/>
      <c r="F30" s="473"/>
      <c r="G30" s="473"/>
      <c r="H30" s="473"/>
      <c r="I30" s="473"/>
      <c r="J30" s="473"/>
      <c r="K30" s="473"/>
      <c r="L30" s="473"/>
      <c r="M30" s="473"/>
      <c r="N30" s="466"/>
    </row>
    <row r="31" spans="2:14" ht="20" customHeight="1" x14ac:dyDescent="0.2">
      <c r="B31" s="376">
        <v>12</v>
      </c>
      <c r="C31" s="380" t="s">
        <v>2947</v>
      </c>
      <c r="D31" s="601" t="s">
        <v>2948</v>
      </c>
      <c r="E31" s="473"/>
      <c r="F31" s="473"/>
      <c r="G31" s="473"/>
      <c r="H31" s="473"/>
      <c r="I31" s="473"/>
      <c r="J31" s="473"/>
      <c r="K31" s="473"/>
      <c r="L31" s="473"/>
      <c r="M31" s="473"/>
      <c r="N31" s="466"/>
    </row>
    <row r="32" spans="2:14" ht="20" customHeight="1" x14ac:dyDescent="0.2">
      <c r="B32" s="376">
        <v>13</v>
      </c>
      <c r="C32" s="380" t="s">
        <v>2949</v>
      </c>
      <c r="D32" s="601" t="s">
        <v>2950</v>
      </c>
      <c r="E32" s="473"/>
      <c r="F32" s="473"/>
      <c r="G32" s="473"/>
      <c r="H32" s="473"/>
      <c r="I32" s="473"/>
      <c r="J32" s="473"/>
      <c r="K32" s="473"/>
      <c r="L32" s="473"/>
      <c r="M32" s="473"/>
      <c r="N32" s="466"/>
    </row>
    <row r="34" spans="2:14" ht="22" customHeight="1" x14ac:dyDescent="0.2">
      <c r="B34" s="636" t="s">
        <v>2951</v>
      </c>
      <c r="C34" s="468"/>
      <c r="D34" s="468"/>
      <c r="E34" s="468"/>
      <c r="F34" s="468"/>
      <c r="G34" s="468"/>
      <c r="H34" s="468"/>
      <c r="I34" s="468"/>
      <c r="J34" s="468"/>
      <c r="K34" s="468"/>
      <c r="L34" s="468"/>
      <c r="M34" s="468"/>
      <c r="N34" s="468"/>
    </row>
    <row r="36" spans="2:14" ht="18" customHeight="1" x14ac:dyDescent="0.2">
      <c r="B36" s="378" t="s">
        <v>61</v>
      </c>
      <c r="C36" s="379" t="s">
        <v>2927</v>
      </c>
      <c r="D36" s="637" t="s">
        <v>825</v>
      </c>
      <c r="E36" s="473"/>
      <c r="F36" s="473"/>
      <c r="G36" s="473"/>
      <c r="H36" s="473"/>
      <c r="I36" s="473"/>
      <c r="J36" s="473"/>
      <c r="K36" s="473"/>
      <c r="L36" s="473"/>
      <c r="M36" s="473"/>
      <c r="N36" s="466"/>
    </row>
    <row r="37" spans="2:14" ht="20" customHeight="1" x14ac:dyDescent="0.2">
      <c r="B37" s="376">
        <v>14</v>
      </c>
      <c r="C37" s="380" t="s">
        <v>2591</v>
      </c>
      <c r="D37" s="601" t="s">
        <v>2952</v>
      </c>
      <c r="E37" s="473"/>
      <c r="F37" s="473"/>
      <c r="G37" s="473"/>
      <c r="H37" s="473"/>
      <c r="I37" s="473"/>
      <c r="J37" s="473"/>
      <c r="K37" s="473"/>
      <c r="L37" s="473"/>
      <c r="M37" s="473"/>
      <c r="N37" s="466"/>
    </row>
    <row r="38" spans="2:14" ht="20" customHeight="1" x14ac:dyDescent="0.2">
      <c r="B38" s="376">
        <v>15</v>
      </c>
      <c r="C38" s="380" t="s">
        <v>2953</v>
      </c>
      <c r="D38" s="601" t="s">
        <v>2954</v>
      </c>
      <c r="E38" s="473"/>
      <c r="F38" s="473"/>
      <c r="G38" s="473"/>
      <c r="H38" s="473"/>
      <c r="I38" s="473"/>
      <c r="J38" s="473"/>
      <c r="K38" s="473"/>
      <c r="L38" s="473"/>
      <c r="M38" s="473"/>
      <c r="N38" s="466"/>
    </row>
    <row r="39" spans="2:14" ht="20" customHeight="1" x14ac:dyDescent="0.2">
      <c r="B39" s="376">
        <v>16</v>
      </c>
      <c r="C39" s="380" t="s">
        <v>2955</v>
      </c>
      <c r="D39" s="601" t="s">
        <v>2956</v>
      </c>
      <c r="E39" s="473"/>
      <c r="F39" s="473"/>
      <c r="G39" s="473"/>
      <c r="H39" s="473"/>
      <c r="I39" s="473"/>
      <c r="J39" s="473"/>
      <c r="K39" s="473"/>
      <c r="L39" s="473"/>
      <c r="M39" s="473"/>
      <c r="N39" s="466"/>
    </row>
    <row r="40" spans="2:14" ht="20" customHeight="1" x14ac:dyDescent="0.2">
      <c r="B40" s="376">
        <v>17</v>
      </c>
      <c r="C40" s="380" t="s">
        <v>2594</v>
      </c>
      <c r="D40" s="601" t="s">
        <v>2957</v>
      </c>
      <c r="E40" s="473"/>
      <c r="F40" s="473"/>
      <c r="G40" s="473"/>
      <c r="H40" s="473"/>
      <c r="I40" s="473"/>
      <c r="J40" s="473"/>
      <c r="K40" s="473"/>
      <c r="L40" s="473"/>
      <c r="M40" s="473"/>
      <c r="N40" s="466"/>
    </row>
    <row r="41" spans="2:14" ht="20" customHeight="1" x14ac:dyDescent="0.2">
      <c r="B41" s="376">
        <v>18</v>
      </c>
      <c r="C41" s="380" t="s">
        <v>2958</v>
      </c>
      <c r="D41" s="601" t="s">
        <v>2959</v>
      </c>
      <c r="E41" s="473"/>
      <c r="F41" s="473"/>
      <c r="G41" s="473"/>
      <c r="H41" s="473"/>
      <c r="I41" s="473"/>
      <c r="J41" s="473"/>
      <c r="K41" s="473"/>
      <c r="L41" s="473"/>
      <c r="M41" s="473"/>
      <c r="N41" s="466"/>
    </row>
    <row r="42" spans="2:14" ht="20" customHeight="1" x14ac:dyDescent="0.2">
      <c r="B42" s="376">
        <v>19</v>
      </c>
      <c r="C42" s="380" t="s">
        <v>2828</v>
      </c>
      <c r="D42" s="601" t="s">
        <v>2960</v>
      </c>
      <c r="E42" s="473"/>
      <c r="F42" s="473"/>
      <c r="G42" s="473"/>
      <c r="H42" s="473"/>
      <c r="I42" s="473"/>
      <c r="J42" s="473"/>
      <c r="K42" s="473"/>
      <c r="L42" s="473"/>
      <c r="M42" s="473"/>
      <c r="N42" s="466"/>
    </row>
    <row r="44" spans="2:14" ht="22" customHeight="1" x14ac:dyDescent="0.2">
      <c r="B44" s="636" t="s">
        <v>2961</v>
      </c>
      <c r="C44" s="468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468"/>
    </row>
    <row r="46" spans="2:14" ht="18" customHeight="1" x14ac:dyDescent="0.2">
      <c r="B46" s="378" t="s">
        <v>61</v>
      </c>
      <c r="C46" s="379" t="s">
        <v>2927</v>
      </c>
      <c r="D46" s="637" t="s">
        <v>825</v>
      </c>
      <c r="E46" s="473"/>
      <c r="F46" s="473"/>
      <c r="G46" s="473"/>
      <c r="H46" s="473"/>
      <c r="I46" s="473"/>
      <c r="J46" s="473"/>
      <c r="K46" s="473"/>
      <c r="L46" s="473"/>
      <c r="M46" s="473"/>
      <c r="N46" s="466"/>
    </row>
    <row r="47" spans="2:14" ht="20" customHeight="1" x14ac:dyDescent="0.2">
      <c r="B47" s="376">
        <v>20</v>
      </c>
      <c r="C47" s="380" t="s">
        <v>2962</v>
      </c>
      <c r="D47" s="601" t="s">
        <v>2963</v>
      </c>
      <c r="E47" s="473"/>
      <c r="F47" s="473"/>
      <c r="G47" s="473"/>
      <c r="H47" s="473"/>
      <c r="I47" s="473"/>
      <c r="J47" s="473"/>
      <c r="K47" s="473"/>
      <c r="L47" s="473"/>
      <c r="M47" s="473"/>
      <c r="N47" s="466"/>
    </row>
    <row r="48" spans="2:14" ht="20" customHeight="1" x14ac:dyDescent="0.2">
      <c r="B48" s="376">
        <v>21</v>
      </c>
      <c r="C48" s="380" t="s">
        <v>2964</v>
      </c>
      <c r="D48" s="601" t="s">
        <v>2965</v>
      </c>
      <c r="E48" s="473"/>
      <c r="F48" s="473"/>
      <c r="G48" s="473"/>
      <c r="H48" s="473"/>
      <c r="I48" s="473"/>
      <c r="J48" s="473"/>
      <c r="K48" s="473"/>
      <c r="L48" s="473"/>
      <c r="M48" s="473"/>
      <c r="N48" s="466"/>
    </row>
    <row r="50" spans="2:14" ht="22" customHeight="1" x14ac:dyDescent="0.2">
      <c r="B50" s="636" t="s">
        <v>2966</v>
      </c>
      <c r="C50" s="468"/>
      <c r="D50" s="468"/>
      <c r="E50" s="468"/>
      <c r="F50" s="468"/>
      <c r="G50" s="468"/>
      <c r="H50" s="468"/>
      <c r="I50" s="468"/>
      <c r="J50" s="468"/>
      <c r="K50" s="468"/>
      <c r="L50" s="468"/>
      <c r="M50" s="468"/>
      <c r="N50" s="468"/>
    </row>
    <row r="52" spans="2:14" ht="18" customHeight="1" x14ac:dyDescent="0.2">
      <c r="B52" s="378" t="s">
        <v>61</v>
      </c>
      <c r="C52" s="379" t="s">
        <v>2927</v>
      </c>
      <c r="D52" s="637" t="s">
        <v>825</v>
      </c>
      <c r="E52" s="473"/>
      <c r="F52" s="473"/>
      <c r="G52" s="473"/>
      <c r="H52" s="473"/>
      <c r="I52" s="473"/>
      <c r="J52" s="473"/>
      <c r="K52" s="473"/>
      <c r="L52" s="473"/>
      <c r="M52" s="473"/>
      <c r="N52" s="466"/>
    </row>
    <row r="53" spans="2:14" ht="20" customHeight="1" x14ac:dyDescent="0.2">
      <c r="B53" s="376">
        <v>22</v>
      </c>
      <c r="C53" s="380" t="s">
        <v>2614</v>
      </c>
      <c r="D53" s="601" t="s">
        <v>2967</v>
      </c>
      <c r="E53" s="473"/>
      <c r="F53" s="473"/>
      <c r="G53" s="473"/>
      <c r="H53" s="473"/>
      <c r="I53" s="473"/>
      <c r="J53" s="473"/>
      <c r="K53" s="473"/>
      <c r="L53" s="473"/>
      <c r="M53" s="473"/>
      <c r="N53" s="466"/>
    </row>
    <row r="54" spans="2:14" ht="20" customHeight="1" x14ac:dyDescent="0.2">
      <c r="B54" s="376">
        <v>23</v>
      </c>
      <c r="C54" s="380" t="s">
        <v>2831</v>
      </c>
      <c r="D54" s="601" t="s">
        <v>2968</v>
      </c>
      <c r="E54" s="473"/>
      <c r="F54" s="473"/>
      <c r="G54" s="473"/>
      <c r="H54" s="473"/>
      <c r="I54" s="473"/>
      <c r="J54" s="473"/>
      <c r="K54" s="473"/>
      <c r="L54" s="473"/>
      <c r="M54" s="473"/>
      <c r="N54" s="466"/>
    </row>
    <row r="55" spans="2:14" ht="20" customHeight="1" x14ac:dyDescent="0.2">
      <c r="B55" s="376">
        <v>24</v>
      </c>
      <c r="C55" s="380" t="s">
        <v>2605</v>
      </c>
      <c r="D55" s="601" t="s">
        <v>2969</v>
      </c>
      <c r="E55" s="473"/>
      <c r="F55" s="473"/>
      <c r="G55" s="473"/>
      <c r="H55" s="473"/>
      <c r="I55" s="473"/>
      <c r="J55" s="473"/>
      <c r="K55" s="473"/>
      <c r="L55" s="473"/>
      <c r="M55" s="473"/>
      <c r="N55" s="466"/>
    </row>
    <row r="56" spans="2:14" ht="20" customHeight="1" x14ac:dyDescent="0.2">
      <c r="B56" s="376">
        <v>25</v>
      </c>
      <c r="C56" s="380" t="s">
        <v>2622</v>
      </c>
      <c r="D56" s="601" t="s">
        <v>2970</v>
      </c>
      <c r="E56" s="473"/>
      <c r="F56" s="473"/>
      <c r="G56" s="473"/>
      <c r="H56" s="473"/>
      <c r="I56" s="473"/>
      <c r="J56" s="473"/>
      <c r="K56" s="473"/>
      <c r="L56" s="473"/>
      <c r="M56" s="473"/>
      <c r="N56" s="466"/>
    </row>
    <row r="58" spans="2:14" ht="22" customHeight="1" x14ac:dyDescent="0.2">
      <c r="B58" s="636" t="s">
        <v>2971</v>
      </c>
      <c r="C58" s="468"/>
      <c r="D58" s="468"/>
      <c r="E58" s="468"/>
      <c r="F58" s="468"/>
      <c r="G58" s="468"/>
      <c r="H58" s="468"/>
      <c r="I58" s="468"/>
      <c r="J58" s="468"/>
      <c r="K58" s="468"/>
      <c r="L58" s="468"/>
      <c r="M58" s="468"/>
      <c r="N58" s="468"/>
    </row>
    <row r="60" spans="2:14" ht="18" customHeight="1" x14ac:dyDescent="0.2">
      <c r="B60" s="378" t="s">
        <v>61</v>
      </c>
      <c r="C60" s="379" t="s">
        <v>2927</v>
      </c>
      <c r="D60" s="637" t="s">
        <v>825</v>
      </c>
      <c r="E60" s="473"/>
      <c r="F60" s="473"/>
      <c r="G60" s="473"/>
      <c r="H60" s="473"/>
      <c r="I60" s="473"/>
      <c r="J60" s="473"/>
      <c r="K60" s="473"/>
      <c r="L60" s="473"/>
      <c r="M60" s="473"/>
      <c r="N60" s="466"/>
    </row>
    <row r="61" spans="2:14" ht="20" customHeight="1" x14ac:dyDescent="0.2">
      <c r="B61" s="376">
        <v>26</v>
      </c>
      <c r="C61" s="380" t="s">
        <v>2834</v>
      </c>
      <c r="D61" s="601" t="s">
        <v>2972</v>
      </c>
      <c r="E61" s="473"/>
      <c r="F61" s="473"/>
      <c r="G61" s="473"/>
      <c r="H61" s="473"/>
      <c r="I61" s="473"/>
      <c r="J61" s="473"/>
      <c r="K61" s="473"/>
      <c r="L61" s="473"/>
      <c r="M61" s="473"/>
      <c r="N61" s="466"/>
    </row>
    <row r="62" spans="2:14" ht="20" customHeight="1" x14ac:dyDescent="0.2">
      <c r="B62" s="376">
        <v>27</v>
      </c>
      <c r="C62" s="380" t="s">
        <v>2836</v>
      </c>
      <c r="D62" s="601" t="s">
        <v>2973</v>
      </c>
      <c r="E62" s="473"/>
      <c r="F62" s="473"/>
      <c r="G62" s="473"/>
      <c r="H62" s="473"/>
      <c r="I62" s="473"/>
      <c r="J62" s="473"/>
      <c r="K62" s="473"/>
      <c r="L62" s="473"/>
      <c r="M62" s="473"/>
      <c r="N62" s="466"/>
    </row>
    <row r="63" spans="2:14" ht="20" customHeight="1" x14ac:dyDescent="0.2">
      <c r="B63" s="376">
        <v>28</v>
      </c>
      <c r="C63" s="380" t="s">
        <v>2838</v>
      </c>
      <c r="D63" s="601" t="s">
        <v>2974</v>
      </c>
      <c r="E63" s="473"/>
      <c r="F63" s="473"/>
      <c r="G63" s="473"/>
      <c r="H63" s="473"/>
      <c r="I63" s="473"/>
      <c r="J63" s="473"/>
      <c r="K63" s="473"/>
      <c r="L63" s="473"/>
      <c r="M63" s="473"/>
      <c r="N63" s="466"/>
    </row>
    <row r="64" spans="2:14" ht="20" customHeight="1" x14ac:dyDescent="0.2">
      <c r="B64" s="376">
        <v>29</v>
      </c>
      <c r="C64" s="380" t="s">
        <v>2840</v>
      </c>
      <c r="D64" s="601" t="s">
        <v>2975</v>
      </c>
      <c r="E64" s="473"/>
      <c r="F64" s="473"/>
      <c r="G64" s="473"/>
      <c r="H64" s="473"/>
      <c r="I64" s="473"/>
      <c r="J64" s="473"/>
      <c r="K64" s="473"/>
      <c r="L64" s="473"/>
      <c r="M64" s="473"/>
      <c r="N64" s="466"/>
    </row>
    <row r="66" spans="2:14" ht="22" customHeight="1" x14ac:dyDescent="0.2">
      <c r="B66" s="636" t="s">
        <v>2976</v>
      </c>
      <c r="C66" s="468"/>
      <c r="D66" s="468"/>
      <c r="E66" s="468"/>
      <c r="F66" s="468"/>
      <c r="G66" s="468"/>
      <c r="H66" s="468"/>
      <c r="I66" s="468"/>
      <c r="J66" s="468"/>
      <c r="K66" s="468"/>
      <c r="L66" s="468"/>
      <c r="M66" s="468"/>
      <c r="N66" s="468"/>
    </row>
    <row r="68" spans="2:14" ht="18" customHeight="1" x14ac:dyDescent="0.2">
      <c r="B68" s="378" t="s">
        <v>61</v>
      </c>
      <c r="C68" s="379" t="s">
        <v>2927</v>
      </c>
      <c r="D68" s="637" t="s">
        <v>825</v>
      </c>
      <c r="E68" s="473"/>
      <c r="F68" s="473"/>
      <c r="G68" s="473"/>
      <c r="H68" s="473"/>
      <c r="I68" s="473"/>
      <c r="J68" s="473"/>
      <c r="K68" s="473"/>
      <c r="L68" s="473"/>
      <c r="M68" s="473"/>
      <c r="N68" s="466"/>
    </row>
    <row r="69" spans="2:14" ht="20" customHeight="1" x14ac:dyDescent="0.2">
      <c r="B69" s="376">
        <v>30</v>
      </c>
      <c r="C69" s="380" t="s">
        <v>2977</v>
      </c>
      <c r="D69" s="601" t="s">
        <v>2978</v>
      </c>
      <c r="E69" s="473"/>
      <c r="F69" s="473"/>
      <c r="G69" s="473"/>
      <c r="H69" s="473"/>
      <c r="I69" s="473"/>
      <c r="J69" s="473"/>
      <c r="K69" s="473"/>
      <c r="L69" s="473"/>
      <c r="M69" s="473"/>
      <c r="N69" s="466"/>
    </row>
    <row r="70" spans="2:14" ht="20" customHeight="1" x14ac:dyDescent="0.2">
      <c r="B70" s="376">
        <v>31</v>
      </c>
      <c r="C70" s="380" t="s">
        <v>2979</v>
      </c>
      <c r="D70" s="601" t="s">
        <v>2980</v>
      </c>
      <c r="E70" s="473"/>
      <c r="F70" s="473"/>
      <c r="G70" s="473"/>
      <c r="H70" s="473"/>
      <c r="I70" s="473"/>
      <c r="J70" s="473"/>
      <c r="K70" s="473"/>
      <c r="L70" s="473"/>
      <c r="M70" s="473"/>
      <c r="N70" s="466"/>
    </row>
    <row r="71" spans="2:14" ht="20" customHeight="1" x14ac:dyDescent="0.2">
      <c r="B71" s="376">
        <v>32</v>
      </c>
      <c r="C71" s="380" t="s">
        <v>2618</v>
      </c>
      <c r="D71" s="601" t="s">
        <v>2981</v>
      </c>
      <c r="E71" s="473"/>
      <c r="F71" s="473"/>
      <c r="G71" s="473"/>
      <c r="H71" s="473"/>
      <c r="I71" s="473"/>
      <c r="J71" s="473"/>
      <c r="K71" s="473"/>
      <c r="L71" s="473"/>
      <c r="M71" s="473"/>
      <c r="N71" s="466"/>
    </row>
    <row r="73" spans="2:14" ht="22" customHeight="1" x14ac:dyDescent="0.2">
      <c r="B73" s="636" t="s">
        <v>2982</v>
      </c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</row>
    <row r="75" spans="2:14" ht="18" customHeight="1" x14ac:dyDescent="0.2">
      <c r="B75" s="378" t="s">
        <v>61</v>
      </c>
      <c r="C75" s="379" t="s">
        <v>2927</v>
      </c>
      <c r="D75" s="637" t="s">
        <v>825</v>
      </c>
      <c r="E75" s="473"/>
      <c r="F75" s="473"/>
      <c r="G75" s="473"/>
      <c r="H75" s="473"/>
      <c r="I75" s="473"/>
      <c r="J75" s="473"/>
      <c r="K75" s="473"/>
      <c r="L75" s="473"/>
      <c r="M75" s="473"/>
      <c r="N75" s="466"/>
    </row>
    <row r="76" spans="2:14" ht="20" customHeight="1" x14ac:dyDescent="0.2">
      <c r="B76" s="376">
        <v>33</v>
      </c>
      <c r="C76" s="380" t="s">
        <v>2844</v>
      </c>
      <c r="D76" s="601" t="s">
        <v>2983</v>
      </c>
      <c r="E76" s="473"/>
      <c r="F76" s="473"/>
      <c r="G76" s="473"/>
      <c r="H76" s="473"/>
      <c r="I76" s="473"/>
      <c r="J76" s="473"/>
      <c r="K76" s="473"/>
      <c r="L76" s="473"/>
      <c r="M76" s="473"/>
      <c r="N76" s="466"/>
    </row>
    <row r="77" spans="2:14" ht="20" customHeight="1" x14ac:dyDescent="0.2">
      <c r="B77" s="376">
        <v>34</v>
      </c>
      <c r="C77" s="380" t="s">
        <v>2601</v>
      </c>
      <c r="D77" s="601" t="s">
        <v>2984</v>
      </c>
      <c r="E77" s="473"/>
      <c r="F77" s="473"/>
      <c r="G77" s="473"/>
      <c r="H77" s="473"/>
      <c r="I77" s="473"/>
      <c r="J77" s="473"/>
      <c r="K77" s="473"/>
      <c r="L77" s="473"/>
      <c r="M77" s="473"/>
      <c r="N77" s="466"/>
    </row>
    <row r="78" spans="2:14" ht="20" customHeight="1" x14ac:dyDescent="0.2">
      <c r="B78" s="376">
        <v>35</v>
      </c>
      <c r="C78" s="380" t="s">
        <v>2847</v>
      </c>
      <c r="D78" s="601" t="s">
        <v>2985</v>
      </c>
      <c r="E78" s="473"/>
      <c r="F78" s="473"/>
      <c r="G78" s="473"/>
      <c r="H78" s="473"/>
      <c r="I78" s="473"/>
      <c r="J78" s="473"/>
      <c r="K78" s="473"/>
      <c r="L78" s="473"/>
      <c r="M78" s="473"/>
      <c r="N78" s="466"/>
    </row>
    <row r="80" spans="2:14" ht="22" customHeight="1" x14ac:dyDescent="0.2">
      <c r="B80" s="615" t="s">
        <v>2986</v>
      </c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</row>
    <row r="82" spans="2:14" ht="18" customHeight="1" x14ac:dyDescent="0.2">
      <c r="B82" s="378" t="s">
        <v>61</v>
      </c>
      <c r="C82" s="379" t="s">
        <v>2927</v>
      </c>
      <c r="D82" s="637" t="s">
        <v>825</v>
      </c>
      <c r="E82" s="473"/>
      <c r="F82" s="473"/>
      <c r="G82" s="473"/>
      <c r="H82" s="473"/>
      <c r="I82" s="473"/>
      <c r="J82" s="473"/>
      <c r="K82" s="473"/>
      <c r="L82" s="473"/>
      <c r="M82" s="473"/>
      <c r="N82" s="466"/>
    </row>
    <row r="83" spans="2:14" ht="20" customHeight="1" x14ac:dyDescent="0.2">
      <c r="B83" s="376">
        <v>36</v>
      </c>
      <c r="C83" s="380" t="s">
        <v>2849</v>
      </c>
      <c r="D83" s="601" t="s">
        <v>2987</v>
      </c>
      <c r="E83" s="473"/>
      <c r="F83" s="473"/>
      <c r="G83" s="473"/>
      <c r="H83" s="473"/>
      <c r="I83" s="473"/>
      <c r="J83" s="473"/>
      <c r="K83" s="473"/>
      <c r="L83" s="473"/>
      <c r="M83" s="473"/>
      <c r="N83" s="466"/>
    </row>
    <row r="84" spans="2:14" ht="20" customHeight="1" x14ac:dyDescent="0.2">
      <c r="B84" s="376">
        <v>37</v>
      </c>
      <c r="C84" s="380" t="s">
        <v>2988</v>
      </c>
      <c r="D84" s="601" t="s">
        <v>2989</v>
      </c>
      <c r="E84" s="473"/>
      <c r="F84" s="473"/>
      <c r="G84" s="473"/>
      <c r="H84" s="473"/>
      <c r="I84" s="473"/>
      <c r="J84" s="473"/>
      <c r="K84" s="473"/>
      <c r="L84" s="473"/>
      <c r="M84" s="473"/>
      <c r="N84" s="466"/>
    </row>
    <row r="85" spans="2:14" ht="20" customHeight="1" x14ac:dyDescent="0.2">
      <c r="B85" s="376">
        <v>38</v>
      </c>
      <c r="C85" s="380" t="s">
        <v>2990</v>
      </c>
      <c r="D85" s="601" t="s">
        <v>2991</v>
      </c>
      <c r="E85" s="473"/>
      <c r="F85" s="473"/>
      <c r="G85" s="473"/>
      <c r="H85" s="473"/>
      <c r="I85" s="473"/>
      <c r="J85" s="473"/>
      <c r="K85" s="473"/>
      <c r="L85" s="473"/>
      <c r="M85" s="473"/>
      <c r="N85" s="466"/>
    </row>
    <row r="87" spans="2:14" ht="22" customHeight="1" x14ac:dyDescent="0.2">
      <c r="B87" s="615" t="s">
        <v>2992</v>
      </c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</row>
    <row r="89" spans="2:14" ht="18" customHeight="1" x14ac:dyDescent="0.2">
      <c r="B89" s="378" t="s">
        <v>61</v>
      </c>
      <c r="C89" s="379" t="s">
        <v>2927</v>
      </c>
      <c r="D89" s="637" t="s">
        <v>825</v>
      </c>
      <c r="E89" s="473"/>
      <c r="F89" s="473"/>
      <c r="G89" s="473"/>
      <c r="H89" s="473"/>
      <c r="I89" s="473"/>
      <c r="J89" s="473"/>
      <c r="K89" s="473"/>
      <c r="L89" s="473"/>
      <c r="M89" s="473"/>
      <c r="N89" s="466"/>
    </row>
    <row r="90" spans="2:14" ht="20" customHeight="1" x14ac:dyDescent="0.2">
      <c r="B90" s="376">
        <v>39</v>
      </c>
      <c r="C90" s="380" t="s">
        <v>2993</v>
      </c>
      <c r="D90" s="601" t="s">
        <v>2994</v>
      </c>
      <c r="E90" s="473"/>
      <c r="F90" s="473"/>
      <c r="G90" s="473"/>
      <c r="H90" s="473"/>
      <c r="I90" s="473"/>
      <c r="J90" s="473"/>
      <c r="K90" s="473"/>
      <c r="L90" s="473"/>
      <c r="M90" s="473"/>
      <c r="N90" s="466"/>
    </row>
    <row r="91" spans="2:14" ht="20" customHeight="1" x14ac:dyDescent="0.2">
      <c r="B91" s="376">
        <v>40</v>
      </c>
      <c r="C91" s="380" t="s">
        <v>2995</v>
      </c>
      <c r="D91" s="601" t="s">
        <v>2996</v>
      </c>
      <c r="E91" s="473"/>
      <c r="F91" s="473"/>
      <c r="G91" s="473"/>
      <c r="H91" s="473"/>
      <c r="I91" s="473"/>
      <c r="J91" s="473"/>
      <c r="K91" s="473"/>
      <c r="L91" s="473"/>
      <c r="M91" s="473"/>
      <c r="N91" s="466"/>
    </row>
    <row r="92" spans="2:14" ht="20" customHeight="1" x14ac:dyDescent="0.2">
      <c r="B92" s="376">
        <v>41</v>
      </c>
      <c r="C92" s="380" t="s">
        <v>2997</v>
      </c>
      <c r="D92" s="601" t="s">
        <v>2998</v>
      </c>
      <c r="E92" s="473"/>
      <c r="F92" s="473"/>
      <c r="G92" s="473"/>
      <c r="H92" s="473"/>
      <c r="I92" s="473"/>
      <c r="J92" s="473"/>
      <c r="K92" s="473"/>
      <c r="L92" s="473"/>
      <c r="M92" s="473"/>
      <c r="N92" s="466"/>
    </row>
    <row r="93" spans="2:14" ht="20" customHeight="1" x14ac:dyDescent="0.2">
      <c r="B93" s="376">
        <v>42</v>
      </c>
      <c r="C93" s="380" t="s">
        <v>2999</v>
      </c>
      <c r="D93" s="601" t="s">
        <v>3000</v>
      </c>
      <c r="E93" s="473"/>
      <c r="F93" s="473"/>
      <c r="G93" s="473"/>
      <c r="H93" s="473"/>
      <c r="I93" s="473"/>
      <c r="J93" s="473"/>
      <c r="K93" s="473"/>
      <c r="L93" s="473"/>
      <c r="M93" s="473"/>
      <c r="N93" s="466"/>
    </row>
    <row r="95" spans="2:14" ht="18" customHeight="1" x14ac:dyDescent="0.2">
      <c r="B95" s="614" t="s">
        <v>3001</v>
      </c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</row>
  </sheetData>
  <mergeCells count="69">
    <mergeCell ref="D90:N90"/>
    <mergeCell ref="D10:N10"/>
    <mergeCell ref="D46:N46"/>
    <mergeCell ref="D84:N84"/>
    <mergeCell ref="D22:N22"/>
    <mergeCell ref="D40:N40"/>
    <mergeCell ref="B80:N80"/>
    <mergeCell ref="D82:N82"/>
    <mergeCell ref="D42:N42"/>
    <mergeCell ref="B44:N44"/>
    <mergeCell ref="D38:N38"/>
    <mergeCell ref="D23:N23"/>
    <mergeCell ref="D89:N89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D91:N91"/>
    <mergeCell ref="D78:N78"/>
    <mergeCell ref="D28:N28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47:N47"/>
    <mergeCell ref="D16:N16"/>
    <mergeCell ref="D7:N7"/>
    <mergeCell ref="B12:N12"/>
    <mergeCell ref="B58:N58"/>
    <mergeCell ref="D37:N37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29:N29"/>
    <mergeCell ref="D85:N85"/>
    <mergeCell ref="B19:N19"/>
    <mergeCell ref="B34:N34"/>
    <mergeCell ref="D14:N14"/>
    <mergeCell ref="D69:N69"/>
    <mergeCell ref="D60:N60"/>
    <mergeCell ref="D63:N63"/>
  </mergeCells>
  <hyperlinks>
    <hyperlink ref="C8" location="'01_Cover'!A1" display="01_Cover" xr:uid="{00000000-0004-0000-2600-000000000000}"/>
    <hyperlink ref="C9" location="'02_Assumptions'!A1" display="02_Assumptions" xr:uid="{00000000-0004-0000-2600-000001000000}"/>
    <hyperlink ref="C10" location="'03_Change_Log'!A1" display="03_Change_Log" xr:uid="{00000000-0004-0000-2600-000002000000}"/>
    <hyperlink ref="C15" location="'04_FOT_Staff_A1'!A1" display="04_FOT_Staff_A1" xr:uid="{00000000-0004-0000-2600-000003000000}"/>
    <hyperlink ref="C16" location="'05_FOT_Staff_A2'!A1" display="05_FOT_Staff_A2" xr:uid="{00000000-0004-0000-2600-000004000000}"/>
    <hyperlink ref="C17" location="'06_Cost_Structure'!A1" display="06_Cost_Structure" xr:uid="{00000000-0004-0000-2600-000005000000}"/>
    <hyperlink ref="C22" location="'07_Revenue_Breakdown'!A1" display="07_Revenue_Breakdown" xr:uid="{00000000-0004-0000-2600-000006000000}"/>
    <hyperlink ref="C23" location="'08_Content_Pipeline'!A1" display="08_Content_Pipeline" xr:uid="{00000000-0004-0000-2600-000007000000}"/>
    <hyperlink ref="C28" location="'09_P&amp;L_Statement'!A1" display="09_P&amp;L_Statement" xr:uid="{00000000-0004-0000-2600-000008000000}"/>
    <hyperlink ref="C29" location="'10_Cash_Flow'!A1" display="10_Cash_Flow" xr:uid="{00000000-0004-0000-2600-000009000000}"/>
    <hyperlink ref="C30" location="'11_Balance_Sheet'!A1" display="11_Balance_Sheet" xr:uid="{00000000-0004-0000-2600-00000A000000}"/>
    <hyperlink ref="C31" location="'12_Working_Capital'!A1" display="12_Working_Capital" xr:uid="{00000000-0004-0000-2600-00000B000000}"/>
    <hyperlink ref="C32" location="'13_Debt_Schedule'!A1" display="13_Debt_Schedule" xr:uid="{00000000-0004-0000-2600-00000C000000}"/>
    <hyperlink ref="C37" location="'14_Investment_Inflow'!A1" display="14_Investment_Inflow" xr:uid="{00000000-0004-0000-2600-00000D000000}"/>
    <hyperlink ref="C38" location="'15_Use_of_Funds'!A1" display="15_Use_of_Funds" xr:uid="{00000000-0004-0000-2600-00000E000000}"/>
    <hyperlink ref="C39" location="'16_CAPEX_Schedule'!A1" display="16_CAPEX_Schedule" xr:uid="{00000000-0004-0000-2600-00000F000000}"/>
    <hyperlink ref="C40" location="'17_Deal_Structures'!A1" display="17_Deal_Structures" xr:uid="{00000000-0004-0000-2600-000010000000}"/>
    <hyperlink ref="C41" location="'18_Cap_Table'!A1" display="18_Cap_Table" xr:uid="{00000000-0004-0000-2600-000011000000}"/>
    <hyperlink ref="C42" location="'19_Waterfall'!A1" display="19_Waterfall" xr:uid="{00000000-0004-0000-2600-000012000000}"/>
    <hyperlink ref="C47" location="'20_Unit_Economics_per_Film'!A1" display="20_Unit_Economics_per_Film" xr:uid="{00000000-0004-0000-2600-000013000000}"/>
    <hyperlink ref="C48" location="'21_KPI_Dashboard'!A1" display="21_KPI_Dashboard" xr:uid="{00000000-0004-0000-2600-000014000000}"/>
    <hyperlink ref="C53" location="'22_Valuation_DCF'!A1" display="22_Valuation_DCF" xr:uid="{00000000-0004-0000-2600-000015000000}"/>
    <hyperlink ref="C54" location="'23_Valuation_Multiples'!A1" display="23_Valuation_Multiples" xr:uid="{00000000-0004-0000-2600-000016000000}"/>
    <hyperlink ref="C55" location="'24_Investor_Returns'!A1" display="24_Investor_Returns" xr:uid="{00000000-0004-0000-2600-000017000000}"/>
    <hyperlink ref="C56" location="'25_Exit_Scenarios'!A1" display="25_Exit_Scenarios" xr:uid="{00000000-0004-0000-2600-000018000000}"/>
    <hyperlink ref="C61" location="'26_Sensitivity'!A1" display="26_Sensitivity" xr:uid="{00000000-0004-0000-2600-000019000000}"/>
    <hyperlink ref="C62" location="'27_Scenario_Analysis'!A1" display="27_Scenario_Analysis" xr:uid="{00000000-0004-0000-2600-00001A000000}"/>
    <hyperlink ref="C63" location="'28_Monte_Carlo_Summary'!A1" display="28_Monte_Carlo_Summary" xr:uid="{00000000-0004-0000-2600-00001B000000}"/>
    <hyperlink ref="C64" location="'29_Risk_Register'!A1" display="29_Risk_Register" xr:uid="{00000000-0004-0000-2600-00001C000000}"/>
    <hyperlink ref="C69" location="'30_Market_Analysis'!A1" display="30_Market_Analysis" xr:uid="{00000000-0004-0000-2600-00001D000000}"/>
    <hyperlink ref="C70" location="'31_Benchmarks'!A1" display="31_Benchmarks" xr:uid="{00000000-0004-0000-2600-00001E000000}"/>
    <hyperlink ref="C71" location="'32_Comparable_Transactions'!A1" display="32_Comparable_Transactions" xr:uid="{00000000-0004-0000-2600-00001F000000}"/>
    <hyperlink ref="C76" location="'33_Gov_KPI'!A1" display="33_Gov_KPI" xr:uid="{00000000-0004-0000-2600-000020000000}"/>
    <hyperlink ref="C77" location="'34_Tax_Schedule'!A1" display="34_Tax_Schedule" xr:uid="{00000000-0004-0000-2600-000021000000}"/>
    <hyperlink ref="C78" location="'35_Roadmap_2026_2032'!A1" display="35_Roadmap_2026_2032" xr:uid="{00000000-0004-0000-2600-000022000000}"/>
    <hyperlink ref="C83" location="'36_Executive_Summary'!A1" display="36_Executive_Summary" xr:uid="{00000000-0004-0000-2600-000023000000}"/>
    <hyperlink ref="C84" location="'37_Glossary'!A1" display="37_Glossary" xr:uid="{00000000-0004-0000-2600-000024000000}"/>
    <hyperlink ref="C85" location="'38_Notes_and_Sources'!A1" display="38_Notes_and_Sources" xr:uid="{00000000-0004-0000-2600-000025000000}"/>
    <hyperlink ref="C90" location="'39_TOC'!A1" display="39_TOC" xr:uid="{00000000-0004-0000-2600-000026000000}"/>
    <hyperlink ref="C91" location="'40_Investor_Checklist'!A1" display="40_Investor_Checklist" xr:uid="{00000000-0004-0000-2600-000027000000}"/>
    <hyperlink ref="C92" location="'41_Print_Setup'!A1" display="41_Print_Setup" xr:uid="{00000000-0004-0000-2600-000028000000}"/>
    <hyperlink ref="C93" location="'42_Cover_Letter'!A1" display="42_Cover_Letter" xr:uid="{00000000-0004-0000-2600-000029000000}"/>
  </hyperlinks>
  <printOptions horizontalCentered="1"/>
  <pageMargins left="0.59" right="0.59" top="0.59" bottom="0.59" header="0.3" footer="0.3"/>
  <pageSetup paperSize="9" fitToHeight="0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2:N68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3" width="5" customWidth="1"/>
    <col min="4" max="4" width="60" customWidth="1"/>
    <col min="5" max="5" width="16" customWidth="1"/>
    <col min="6" max="14" width="14" customWidth="1"/>
    <col min="15" max="15" width="2" customWidth="1"/>
  </cols>
  <sheetData>
    <row r="2" spans="2:14" ht="28" customHeight="1" x14ac:dyDescent="0.2">
      <c r="B2" s="611" t="s">
        <v>3002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</row>
    <row r="3" spans="2:14" ht="18" customHeight="1" x14ac:dyDescent="0.2">
      <c r="B3" s="618" t="s">
        <v>3003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</row>
    <row r="5" spans="2:14" ht="22" customHeight="1" x14ac:dyDescent="0.2">
      <c r="B5" s="241" t="s">
        <v>61</v>
      </c>
      <c r="C5" s="241" t="s">
        <v>554</v>
      </c>
      <c r="D5" s="555" t="s">
        <v>3004</v>
      </c>
      <c r="E5" s="473"/>
      <c r="F5" s="473"/>
      <c r="G5" s="473"/>
      <c r="H5" s="473"/>
      <c r="I5" s="473"/>
      <c r="J5" s="473"/>
      <c r="K5" s="473"/>
      <c r="L5" s="466"/>
      <c r="M5" s="555" t="s">
        <v>3005</v>
      </c>
      <c r="N5" s="466"/>
    </row>
    <row r="6" spans="2:14" ht="20" customHeight="1" x14ac:dyDescent="0.2">
      <c r="B6" s="639" t="s">
        <v>3006</v>
      </c>
      <c r="C6" s="468"/>
      <c r="D6" s="468"/>
      <c r="E6" s="468"/>
      <c r="F6" s="468"/>
      <c r="G6" s="468"/>
      <c r="H6" s="468"/>
      <c r="I6" s="468"/>
      <c r="J6" s="468"/>
      <c r="K6" s="468"/>
      <c r="L6" s="468"/>
      <c r="M6" s="468"/>
      <c r="N6" s="468"/>
    </row>
    <row r="7" spans="2:14" ht="22" customHeight="1" x14ac:dyDescent="0.2">
      <c r="B7" s="372">
        <v>1</v>
      </c>
      <c r="C7" s="381" t="s">
        <v>3007</v>
      </c>
      <c r="D7" s="601" t="s">
        <v>3008</v>
      </c>
      <c r="E7" s="473"/>
      <c r="F7" s="473"/>
      <c r="G7" s="473"/>
      <c r="H7" s="473"/>
      <c r="I7" s="473"/>
      <c r="J7" s="473"/>
      <c r="K7" s="473"/>
      <c r="L7" s="466"/>
      <c r="M7" s="638" t="s">
        <v>2584</v>
      </c>
      <c r="N7" s="466"/>
    </row>
    <row r="8" spans="2:14" ht="22" customHeight="1" x14ac:dyDescent="0.2">
      <c r="B8" s="372">
        <v>2</v>
      </c>
      <c r="C8" s="381" t="s">
        <v>3007</v>
      </c>
      <c r="D8" s="601" t="s">
        <v>3009</v>
      </c>
      <c r="E8" s="473"/>
      <c r="F8" s="473"/>
      <c r="G8" s="473"/>
      <c r="H8" s="473"/>
      <c r="I8" s="473"/>
      <c r="J8" s="473"/>
      <c r="K8" s="473"/>
      <c r="L8" s="466"/>
      <c r="M8" s="638" t="s">
        <v>2576</v>
      </c>
      <c r="N8" s="466"/>
    </row>
    <row r="9" spans="2:14" ht="22" customHeight="1" x14ac:dyDescent="0.2">
      <c r="B9" s="372">
        <v>3</v>
      </c>
      <c r="C9" s="381" t="s">
        <v>3007</v>
      </c>
      <c r="D9" s="601" t="s">
        <v>3010</v>
      </c>
      <c r="E9" s="473"/>
      <c r="F9" s="473"/>
      <c r="G9" s="473"/>
      <c r="H9" s="473"/>
      <c r="I9" s="473"/>
      <c r="J9" s="473"/>
      <c r="K9" s="473"/>
      <c r="L9" s="466"/>
      <c r="M9" s="638" t="s">
        <v>2579</v>
      </c>
      <c r="N9" s="466"/>
    </row>
    <row r="10" spans="2:14" ht="22" customHeight="1" x14ac:dyDescent="0.2">
      <c r="B10" s="372">
        <v>4</v>
      </c>
      <c r="C10" s="381" t="s">
        <v>3007</v>
      </c>
      <c r="D10" s="601" t="s">
        <v>3011</v>
      </c>
      <c r="E10" s="473"/>
      <c r="F10" s="473"/>
      <c r="G10" s="473"/>
      <c r="H10" s="473"/>
      <c r="I10" s="473"/>
      <c r="J10" s="473"/>
      <c r="K10" s="473"/>
      <c r="L10" s="466"/>
      <c r="M10" s="638" t="s">
        <v>2597</v>
      </c>
      <c r="N10" s="466"/>
    </row>
    <row r="11" spans="2:14" ht="22" customHeight="1" x14ac:dyDescent="0.2">
      <c r="B11" s="372">
        <v>5</v>
      </c>
      <c r="C11" s="381" t="s">
        <v>3007</v>
      </c>
      <c r="D11" s="601" t="s">
        <v>3012</v>
      </c>
      <c r="E11" s="473"/>
      <c r="F11" s="473"/>
      <c r="G11" s="473"/>
      <c r="H11" s="473"/>
      <c r="I11" s="473"/>
      <c r="J11" s="473"/>
      <c r="K11" s="473"/>
      <c r="L11" s="466"/>
      <c r="M11" s="638" t="s">
        <v>2576</v>
      </c>
      <c r="N11" s="466"/>
    </row>
    <row r="13" spans="2:14" ht="20" customHeight="1" x14ac:dyDescent="0.2">
      <c r="B13" s="639" t="s">
        <v>3013</v>
      </c>
      <c r="C13" s="468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</row>
    <row r="14" spans="2:14" ht="22" customHeight="1" x14ac:dyDescent="0.2">
      <c r="B14" s="372">
        <v>6</v>
      </c>
      <c r="C14" s="381" t="s">
        <v>3007</v>
      </c>
      <c r="D14" s="601" t="s">
        <v>3014</v>
      </c>
      <c r="E14" s="473"/>
      <c r="F14" s="473"/>
      <c r="G14" s="473"/>
      <c r="H14" s="473"/>
      <c r="I14" s="473"/>
      <c r="J14" s="473"/>
      <c r="K14" s="473"/>
      <c r="L14" s="466"/>
      <c r="M14" s="638" t="s">
        <v>2591</v>
      </c>
      <c r="N14" s="466"/>
    </row>
    <row r="15" spans="2:14" ht="22" customHeight="1" x14ac:dyDescent="0.2">
      <c r="B15" s="372">
        <v>7</v>
      </c>
      <c r="C15" s="381" t="s">
        <v>3007</v>
      </c>
      <c r="D15" s="601" t="s">
        <v>3015</v>
      </c>
      <c r="E15" s="473"/>
      <c r="F15" s="473"/>
      <c r="G15" s="473"/>
      <c r="H15" s="473"/>
      <c r="I15" s="473"/>
      <c r="J15" s="473"/>
      <c r="K15" s="473"/>
      <c r="L15" s="466"/>
      <c r="M15" s="638" t="s">
        <v>2594</v>
      </c>
      <c r="N15" s="466"/>
    </row>
    <row r="16" spans="2:14" ht="22" customHeight="1" x14ac:dyDescent="0.2">
      <c r="B16" s="372">
        <v>8</v>
      </c>
      <c r="C16" s="381" t="s">
        <v>3007</v>
      </c>
      <c r="D16" s="601" t="s">
        <v>3016</v>
      </c>
      <c r="E16" s="473"/>
      <c r="F16" s="473"/>
      <c r="G16" s="473"/>
      <c r="H16" s="473"/>
      <c r="I16" s="473"/>
      <c r="J16" s="473"/>
      <c r="K16" s="473"/>
      <c r="L16" s="466"/>
      <c r="M16" s="638" t="s">
        <v>2958</v>
      </c>
      <c r="N16" s="466"/>
    </row>
    <row r="17" spans="2:14" ht="22" customHeight="1" x14ac:dyDescent="0.2">
      <c r="B17" s="372">
        <v>9</v>
      </c>
      <c r="C17" s="381" t="s">
        <v>3007</v>
      </c>
      <c r="D17" s="601" t="s">
        <v>3017</v>
      </c>
      <c r="E17" s="473"/>
      <c r="F17" s="473"/>
      <c r="G17" s="473"/>
      <c r="H17" s="473"/>
      <c r="I17" s="473"/>
      <c r="J17" s="473"/>
      <c r="K17" s="473"/>
      <c r="L17" s="466"/>
      <c r="M17" s="638" t="s">
        <v>2828</v>
      </c>
      <c r="N17" s="466"/>
    </row>
    <row r="18" spans="2:14" ht="22" customHeight="1" x14ac:dyDescent="0.2">
      <c r="B18" s="372">
        <v>10</v>
      </c>
      <c r="C18" s="381" t="s">
        <v>3007</v>
      </c>
      <c r="D18" s="601" t="s">
        <v>3018</v>
      </c>
      <c r="E18" s="473"/>
      <c r="F18" s="473"/>
      <c r="G18" s="473"/>
      <c r="H18" s="473"/>
      <c r="I18" s="473"/>
      <c r="J18" s="473"/>
      <c r="K18" s="473"/>
      <c r="L18" s="466"/>
      <c r="M18" s="638" t="s">
        <v>2953</v>
      </c>
      <c r="N18" s="466"/>
    </row>
    <row r="19" spans="2:14" ht="22" customHeight="1" x14ac:dyDescent="0.2">
      <c r="B19" s="372">
        <v>11</v>
      </c>
      <c r="C19" s="381" t="s">
        <v>3007</v>
      </c>
      <c r="D19" s="601" t="s">
        <v>3019</v>
      </c>
      <c r="E19" s="473"/>
      <c r="F19" s="473"/>
      <c r="G19" s="473"/>
      <c r="H19" s="473"/>
      <c r="I19" s="473"/>
      <c r="J19" s="473"/>
      <c r="K19" s="473"/>
      <c r="L19" s="466"/>
      <c r="M19" s="638" t="s">
        <v>2955</v>
      </c>
      <c r="N19" s="466"/>
    </row>
    <row r="21" spans="2:14" ht="20" customHeight="1" x14ac:dyDescent="0.2">
      <c r="B21" s="639" t="s">
        <v>3020</v>
      </c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8"/>
      <c r="N21" s="468"/>
    </row>
    <row r="22" spans="2:14" ht="22" customHeight="1" x14ac:dyDescent="0.2">
      <c r="B22" s="375">
        <v>12</v>
      </c>
      <c r="C22" s="381" t="s">
        <v>3007</v>
      </c>
      <c r="D22" s="601" t="s">
        <v>3021</v>
      </c>
      <c r="E22" s="473"/>
      <c r="F22" s="473"/>
      <c r="G22" s="473"/>
      <c r="H22" s="473"/>
      <c r="I22" s="473"/>
      <c r="J22" s="473"/>
      <c r="K22" s="473"/>
      <c r="L22" s="466"/>
      <c r="M22" s="638" t="s">
        <v>2614</v>
      </c>
      <c r="N22" s="466"/>
    </row>
    <row r="23" spans="2:14" ht="22" customHeight="1" x14ac:dyDescent="0.2">
      <c r="B23" s="375">
        <v>13</v>
      </c>
      <c r="C23" s="381" t="s">
        <v>3007</v>
      </c>
      <c r="D23" s="601" t="s">
        <v>3022</v>
      </c>
      <c r="E23" s="473"/>
      <c r="F23" s="473"/>
      <c r="G23" s="473"/>
      <c r="H23" s="473"/>
      <c r="I23" s="473"/>
      <c r="J23" s="473"/>
      <c r="K23" s="473"/>
      <c r="L23" s="466"/>
      <c r="M23" s="638" t="s">
        <v>2614</v>
      </c>
      <c r="N23" s="466"/>
    </row>
    <row r="24" spans="2:14" ht="22" customHeight="1" x14ac:dyDescent="0.2">
      <c r="B24" s="375">
        <v>14</v>
      </c>
      <c r="C24" s="381" t="s">
        <v>3007</v>
      </c>
      <c r="D24" s="601" t="s">
        <v>3023</v>
      </c>
      <c r="E24" s="473"/>
      <c r="F24" s="473"/>
      <c r="G24" s="473"/>
      <c r="H24" s="473"/>
      <c r="I24" s="473"/>
      <c r="J24" s="473"/>
      <c r="K24" s="473"/>
      <c r="L24" s="466"/>
      <c r="M24" s="638" t="s">
        <v>3024</v>
      </c>
      <c r="N24" s="466"/>
    </row>
    <row r="25" spans="2:14" ht="22" customHeight="1" x14ac:dyDescent="0.2">
      <c r="B25" s="375">
        <v>15</v>
      </c>
      <c r="C25" s="381" t="s">
        <v>3007</v>
      </c>
      <c r="D25" s="601" t="s">
        <v>3025</v>
      </c>
      <c r="E25" s="473"/>
      <c r="F25" s="473"/>
      <c r="G25" s="473"/>
      <c r="H25" s="473"/>
      <c r="I25" s="473"/>
      <c r="J25" s="473"/>
      <c r="K25" s="473"/>
      <c r="L25" s="466"/>
      <c r="M25" s="638" t="s">
        <v>2831</v>
      </c>
      <c r="N25" s="466"/>
    </row>
    <row r="26" spans="2:14" ht="22" customHeight="1" x14ac:dyDescent="0.2">
      <c r="B26" s="375">
        <v>16</v>
      </c>
      <c r="C26" s="381" t="s">
        <v>3007</v>
      </c>
      <c r="D26" s="601" t="s">
        <v>3026</v>
      </c>
      <c r="E26" s="473"/>
      <c r="F26" s="473"/>
      <c r="G26" s="473"/>
      <c r="H26" s="473"/>
      <c r="I26" s="473"/>
      <c r="J26" s="473"/>
      <c r="K26" s="473"/>
      <c r="L26" s="466"/>
      <c r="M26" s="638" t="s">
        <v>2622</v>
      </c>
      <c r="N26" s="466"/>
    </row>
    <row r="27" spans="2:14" ht="22" customHeight="1" x14ac:dyDescent="0.2">
      <c r="B27" s="375">
        <v>17</v>
      </c>
      <c r="C27" s="381" t="s">
        <v>3007</v>
      </c>
      <c r="D27" s="601" t="s">
        <v>3027</v>
      </c>
      <c r="E27" s="473"/>
      <c r="F27" s="473"/>
      <c r="G27" s="473"/>
      <c r="H27" s="473"/>
      <c r="I27" s="473"/>
      <c r="J27" s="473"/>
      <c r="K27" s="473"/>
      <c r="L27" s="466"/>
      <c r="M27" s="638" t="s">
        <v>2605</v>
      </c>
      <c r="N27" s="466"/>
    </row>
    <row r="29" spans="2:14" ht="20" customHeight="1" x14ac:dyDescent="0.2">
      <c r="B29" s="639" t="s">
        <v>3028</v>
      </c>
      <c r="C29" s="468"/>
      <c r="D29" s="468"/>
      <c r="E29" s="468"/>
      <c r="F29" s="468"/>
      <c r="G29" s="468"/>
      <c r="H29" s="468"/>
      <c r="I29" s="468"/>
      <c r="J29" s="468"/>
      <c r="K29" s="468"/>
      <c r="L29" s="468"/>
      <c r="M29" s="468"/>
      <c r="N29" s="468"/>
    </row>
    <row r="30" spans="2:14" ht="22" customHeight="1" x14ac:dyDescent="0.2">
      <c r="B30" s="382">
        <v>18</v>
      </c>
      <c r="C30" s="381" t="s">
        <v>3007</v>
      </c>
      <c r="D30" s="601" t="s">
        <v>3029</v>
      </c>
      <c r="E30" s="473"/>
      <c r="F30" s="473"/>
      <c r="G30" s="473"/>
      <c r="H30" s="473"/>
      <c r="I30" s="473"/>
      <c r="J30" s="473"/>
      <c r="K30" s="473"/>
      <c r="L30" s="466"/>
      <c r="M30" s="638" t="s">
        <v>2840</v>
      </c>
      <c r="N30" s="466"/>
    </row>
    <row r="31" spans="2:14" ht="22" customHeight="1" x14ac:dyDescent="0.2">
      <c r="B31" s="382">
        <v>19</v>
      </c>
      <c r="C31" s="381" t="s">
        <v>3007</v>
      </c>
      <c r="D31" s="601" t="s">
        <v>3030</v>
      </c>
      <c r="E31" s="473"/>
      <c r="F31" s="473"/>
      <c r="G31" s="473"/>
      <c r="H31" s="473"/>
      <c r="I31" s="473"/>
      <c r="J31" s="473"/>
      <c r="K31" s="473"/>
      <c r="L31" s="466"/>
      <c r="M31" s="638" t="s">
        <v>2840</v>
      </c>
      <c r="N31" s="466"/>
    </row>
    <row r="32" spans="2:14" ht="22" customHeight="1" x14ac:dyDescent="0.2">
      <c r="B32" s="382">
        <v>20</v>
      </c>
      <c r="C32" s="381" t="s">
        <v>3007</v>
      </c>
      <c r="D32" s="601" t="s">
        <v>3031</v>
      </c>
      <c r="E32" s="473"/>
      <c r="F32" s="473"/>
      <c r="G32" s="473"/>
      <c r="H32" s="473"/>
      <c r="I32" s="473"/>
      <c r="J32" s="473"/>
      <c r="K32" s="473"/>
      <c r="L32" s="466"/>
      <c r="M32" s="638" t="s">
        <v>2840</v>
      </c>
      <c r="N32" s="466"/>
    </row>
    <row r="33" spans="2:14" ht="22" customHeight="1" x14ac:dyDescent="0.2">
      <c r="B33" s="382">
        <v>21</v>
      </c>
      <c r="C33" s="381" t="s">
        <v>3007</v>
      </c>
      <c r="D33" s="601" t="s">
        <v>3032</v>
      </c>
      <c r="E33" s="473"/>
      <c r="F33" s="473"/>
      <c r="G33" s="473"/>
      <c r="H33" s="473"/>
      <c r="I33" s="473"/>
      <c r="J33" s="473"/>
      <c r="K33" s="473"/>
      <c r="L33" s="466"/>
      <c r="M33" s="638" t="s">
        <v>2838</v>
      </c>
      <c r="N33" s="466"/>
    </row>
    <row r="34" spans="2:14" ht="22" customHeight="1" x14ac:dyDescent="0.2">
      <c r="B34" s="382">
        <v>22</v>
      </c>
      <c r="C34" s="381" t="s">
        <v>3007</v>
      </c>
      <c r="D34" s="601" t="s">
        <v>3033</v>
      </c>
      <c r="E34" s="473"/>
      <c r="F34" s="473"/>
      <c r="G34" s="473"/>
      <c r="H34" s="473"/>
      <c r="I34" s="473"/>
      <c r="J34" s="473"/>
      <c r="K34" s="473"/>
      <c r="L34" s="466"/>
      <c r="M34" s="638" t="s">
        <v>2834</v>
      </c>
      <c r="N34" s="466"/>
    </row>
    <row r="35" spans="2:14" ht="22" customHeight="1" x14ac:dyDescent="0.2">
      <c r="B35" s="382">
        <v>23</v>
      </c>
      <c r="C35" s="381" t="s">
        <v>3007</v>
      </c>
      <c r="D35" s="601" t="s">
        <v>3034</v>
      </c>
      <c r="E35" s="473"/>
      <c r="F35" s="473"/>
      <c r="G35" s="473"/>
      <c r="H35" s="473"/>
      <c r="I35" s="473"/>
      <c r="J35" s="473"/>
      <c r="K35" s="473"/>
      <c r="L35" s="466"/>
      <c r="M35" s="638" t="s">
        <v>2836</v>
      </c>
      <c r="N35" s="466"/>
    </row>
    <row r="37" spans="2:14" ht="20" customHeight="1" x14ac:dyDescent="0.2">
      <c r="B37" s="639" t="s">
        <v>3035</v>
      </c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</row>
    <row r="38" spans="2:14" ht="22" customHeight="1" x14ac:dyDescent="0.2">
      <c r="B38" s="374">
        <v>24</v>
      </c>
      <c r="C38" s="381" t="s">
        <v>3007</v>
      </c>
      <c r="D38" s="601" t="s">
        <v>3036</v>
      </c>
      <c r="E38" s="473"/>
      <c r="F38" s="473"/>
      <c r="G38" s="473"/>
      <c r="H38" s="473"/>
      <c r="I38" s="473"/>
      <c r="J38" s="473"/>
      <c r="K38" s="473"/>
      <c r="L38" s="466"/>
      <c r="M38" s="638" t="s">
        <v>2977</v>
      </c>
      <c r="N38" s="466"/>
    </row>
    <row r="39" spans="2:14" ht="22" customHeight="1" x14ac:dyDescent="0.2">
      <c r="B39" s="374">
        <v>25</v>
      </c>
      <c r="C39" s="381" t="s">
        <v>3007</v>
      </c>
      <c r="D39" s="601" t="s">
        <v>3037</v>
      </c>
      <c r="E39" s="473"/>
      <c r="F39" s="473"/>
      <c r="G39" s="473"/>
      <c r="H39" s="473"/>
      <c r="I39" s="473"/>
      <c r="J39" s="473"/>
      <c r="K39" s="473"/>
      <c r="L39" s="466"/>
      <c r="M39" s="638" t="s">
        <v>2979</v>
      </c>
      <c r="N39" s="466"/>
    </row>
    <row r="40" spans="2:14" ht="22" customHeight="1" x14ac:dyDescent="0.2">
      <c r="B40" s="374">
        <v>26</v>
      </c>
      <c r="C40" s="381" t="s">
        <v>3007</v>
      </c>
      <c r="D40" s="601" t="s">
        <v>3038</v>
      </c>
      <c r="E40" s="473"/>
      <c r="F40" s="473"/>
      <c r="G40" s="473"/>
      <c r="H40" s="473"/>
      <c r="I40" s="473"/>
      <c r="J40" s="473"/>
      <c r="K40" s="473"/>
      <c r="L40" s="466"/>
      <c r="M40" s="638" t="s">
        <v>2618</v>
      </c>
      <c r="N40" s="466"/>
    </row>
    <row r="41" spans="2:14" ht="22" customHeight="1" x14ac:dyDescent="0.2">
      <c r="B41" s="374">
        <v>27</v>
      </c>
      <c r="C41" s="381" t="s">
        <v>3007</v>
      </c>
      <c r="D41" s="601" t="s">
        <v>3039</v>
      </c>
      <c r="E41" s="473"/>
      <c r="F41" s="473"/>
      <c r="G41" s="473"/>
      <c r="H41" s="473"/>
      <c r="I41" s="473"/>
      <c r="J41" s="473"/>
      <c r="K41" s="473"/>
      <c r="L41" s="466"/>
      <c r="M41" s="638" t="s">
        <v>2618</v>
      </c>
      <c r="N41" s="466"/>
    </row>
    <row r="42" spans="2:14" ht="22" customHeight="1" x14ac:dyDescent="0.2">
      <c r="B42" s="374">
        <v>28</v>
      </c>
      <c r="C42" s="381" t="s">
        <v>3007</v>
      </c>
      <c r="D42" s="601" t="s">
        <v>3040</v>
      </c>
      <c r="E42" s="473"/>
      <c r="F42" s="473"/>
      <c r="G42" s="473"/>
      <c r="H42" s="473"/>
      <c r="I42" s="473"/>
      <c r="J42" s="473"/>
      <c r="K42" s="473"/>
      <c r="L42" s="466"/>
      <c r="M42" s="638" t="s">
        <v>2977</v>
      </c>
      <c r="N42" s="466"/>
    </row>
    <row r="44" spans="2:14" ht="20" customHeight="1" x14ac:dyDescent="0.2">
      <c r="B44" s="639" t="s">
        <v>3041</v>
      </c>
      <c r="C44" s="468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468"/>
    </row>
    <row r="45" spans="2:14" ht="22" customHeight="1" x14ac:dyDescent="0.2">
      <c r="B45" s="376">
        <v>29</v>
      </c>
      <c r="C45" s="381" t="s">
        <v>3007</v>
      </c>
      <c r="D45" s="601" t="s">
        <v>3042</v>
      </c>
      <c r="E45" s="473"/>
      <c r="F45" s="473"/>
      <c r="G45" s="473"/>
      <c r="H45" s="473"/>
      <c r="I45" s="473"/>
      <c r="J45" s="473"/>
      <c r="K45" s="473"/>
      <c r="L45" s="466"/>
      <c r="M45" s="638" t="s">
        <v>2844</v>
      </c>
      <c r="N45" s="466"/>
    </row>
    <row r="46" spans="2:14" ht="22" customHeight="1" x14ac:dyDescent="0.2">
      <c r="B46" s="376">
        <v>30</v>
      </c>
      <c r="C46" s="381" t="s">
        <v>3007</v>
      </c>
      <c r="D46" s="601" t="s">
        <v>3043</v>
      </c>
      <c r="E46" s="473"/>
      <c r="F46" s="473"/>
      <c r="G46" s="473"/>
      <c r="H46" s="473"/>
      <c r="I46" s="473"/>
      <c r="J46" s="473"/>
      <c r="K46" s="473"/>
      <c r="L46" s="466"/>
      <c r="M46" s="638" t="s">
        <v>2844</v>
      </c>
      <c r="N46" s="466"/>
    </row>
    <row r="47" spans="2:14" ht="22" customHeight="1" x14ac:dyDescent="0.2">
      <c r="B47" s="376">
        <v>31</v>
      </c>
      <c r="C47" s="381" t="s">
        <v>3007</v>
      </c>
      <c r="D47" s="601" t="s">
        <v>3044</v>
      </c>
      <c r="E47" s="473"/>
      <c r="F47" s="473"/>
      <c r="G47" s="473"/>
      <c r="H47" s="473"/>
      <c r="I47" s="473"/>
      <c r="J47" s="473"/>
      <c r="K47" s="473"/>
      <c r="L47" s="466"/>
      <c r="M47" s="638" t="s">
        <v>2601</v>
      </c>
      <c r="N47" s="466"/>
    </row>
    <row r="48" spans="2:14" ht="22" customHeight="1" x14ac:dyDescent="0.2">
      <c r="B48" s="376">
        <v>32</v>
      </c>
      <c r="C48" s="381" t="s">
        <v>3007</v>
      </c>
      <c r="D48" s="601" t="s">
        <v>3045</v>
      </c>
      <c r="E48" s="473"/>
      <c r="F48" s="473"/>
      <c r="G48" s="473"/>
      <c r="H48" s="473"/>
      <c r="I48" s="473"/>
      <c r="J48" s="473"/>
      <c r="K48" s="473"/>
      <c r="L48" s="466"/>
      <c r="M48" s="638" t="s">
        <v>2601</v>
      </c>
      <c r="N48" s="466"/>
    </row>
    <row r="49" spans="2:14" ht="22" customHeight="1" x14ac:dyDescent="0.2">
      <c r="B49" s="376">
        <v>33</v>
      </c>
      <c r="C49" s="381" t="s">
        <v>3007</v>
      </c>
      <c r="D49" s="601" t="s">
        <v>3046</v>
      </c>
      <c r="E49" s="473"/>
      <c r="F49" s="473"/>
      <c r="G49" s="473"/>
      <c r="H49" s="473"/>
      <c r="I49" s="473"/>
      <c r="J49" s="473"/>
      <c r="K49" s="473"/>
      <c r="L49" s="466"/>
      <c r="M49" s="638" t="s">
        <v>2844</v>
      </c>
      <c r="N49" s="466"/>
    </row>
    <row r="51" spans="2:14" ht="20" customHeight="1" x14ac:dyDescent="0.2">
      <c r="B51" s="639" t="s">
        <v>3047</v>
      </c>
      <c r="C51" s="468"/>
      <c r="D51" s="468"/>
      <c r="E51" s="468"/>
      <c r="F51" s="468"/>
      <c r="G51" s="468"/>
      <c r="H51" s="468"/>
      <c r="I51" s="468"/>
      <c r="J51" s="468"/>
      <c r="K51" s="468"/>
      <c r="L51" s="468"/>
      <c r="M51" s="468"/>
      <c r="N51" s="468"/>
    </row>
    <row r="52" spans="2:14" ht="22" customHeight="1" x14ac:dyDescent="0.2">
      <c r="B52" s="373">
        <v>34</v>
      </c>
      <c r="C52" s="381" t="s">
        <v>3007</v>
      </c>
      <c r="D52" s="601" t="s">
        <v>3048</v>
      </c>
      <c r="E52" s="473"/>
      <c r="F52" s="473"/>
      <c r="G52" s="473"/>
      <c r="H52" s="473"/>
      <c r="I52" s="473"/>
      <c r="J52" s="473"/>
      <c r="K52" s="473"/>
      <c r="L52" s="466"/>
      <c r="M52" s="638" t="s">
        <v>2847</v>
      </c>
      <c r="N52" s="466"/>
    </row>
    <row r="53" spans="2:14" ht="22" customHeight="1" x14ac:dyDescent="0.2">
      <c r="B53" s="373">
        <v>35</v>
      </c>
      <c r="C53" s="381" t="s">
        <v>3007</v>
      </c>
      <c r="D53" s="601" t="s">
        <v>3049</v>
      </c>
      <c r="E53" s="473"/>
      <c r="F53" s="473"/>
      <c r="G53" s="473"/>
      <c r="H53" s="473"/>
      <c r="I53" s="473"/>
      <c r="J53" s="473"/>
      <c r="K53" s="473"/>
      <c r="L53" s="466"/>
      <c r="M53" s="638" t="s">
        <v>2847</v>
      </c>
      <c r="N53" s="466"/>
    </row>
    <row r="54" spans="2:14" ht="22" customHeight="1" x14ac:dyDescent="0.2">
      <c r="B54" s="373">
        <v>36</v>
      </c>
      <c r="C54" s="381" t="s">
        <v>3007</v>
      </c>
      <c r="D54" s="601" t="s">
        <v>3050</v>
      </c>
      <c r="E54" s="473"/>
      <c r="F54" s="473"/>
      <c r="G54" s="473"/>
      <c r="H54" s="473"/>
      <c r="I54" s="473"/>
      <c r="J54" s="473"/>
      <c r="K54" s="473"/>
      <c r="L54" s="466"/>
      <c r="M54" s="638" t="s">
        <v>2847</v>
      </c>
      <c r="N54" s="466"/>
    </row>
    <row r="55" spans="2:14" ht="22" customHeight="1" x14ac:dyDescent="0.2">
      <c r="B55" s="373">
        <v>37</v>
      </c>
      <c r="C55" s="381" t="s">
        <v>3007</v>
      </c>
      <c r="D55" s="601" t="s">
        <v>3051</v>
      </c>
      <c r="E55" s="473"/>
      <c r="F55" s="473"/>
      <c r="G55" s="473"/>
      <c r="H55" s="473"/>
      <c r="I55" s="473"/>
      <c r="J55" s="473"/>
      <c r="K55" s="473"/>
      <c r="L55" s="466"/>
      <c r="M55" s="638" t="s">
        <v>2847</v>
      </c>
      <c r="N55" s="466"/>
    </row>
    <row r="56" spans="2:14" ht="22" customHeight="1" x14ac:dyDescent="0.2">
      <c r="B56" s="373">
        <v>38</v>
      </c>
      <c r="C56" s="381" t="s">
        <v>3007</v>
      </c>
      <c r="D56" s="601" t="s">
        <v>3052</v>
      </c>
      <c r="E56" s="473"/>
      <c r="F56" s="473"/>
      <c r="G56" s="473"/>
      <c r="H56" s="473"/>
      <c r="I56" s="473"/>
      <c r="J56" s="473"/>
      <c r="K56" s="473"/>
      <c r="L56" s="466"/>
      <c r="M56" s="638" t="s">
        <v>2622</v>
      </c>
      <c r="N56" s="466"/>
    </row>
    <row r="57" spans="2:14" ht="22" customHeight="1" x14ac:dyDescent="0.2">
      <c r="B57" s="373">
        <v>39</v>
      </c>
      <c r="C57" s="381" t="s">
        <v>3007</v>
      </c>
      <c r="D57" s="601" t="s">
        <v>3053</v>
      </c>
      <c r="E57" s="473"/>
      <c r="F57" s="473"/>
      <c r="G57" s="473"/>
      <c r="H57" s="473"/>
      <c r="I57" s="473"/>
      <c r="J57" s="473"/>
      <c r="K57" s="473"/>
      <c r="L57" s="466"/>
      <c r="M57" s="638" t="s">
        <v>3054</v>
      </c>
      <c r="N57" s="466"/>
    </row>
    <row r="59" spans="2:14" ht="20" customHeight="1" x14ac:dyDescent="0.2">
      <c r="B59" s="639" t="s">
        <v>3055</v>
      </c>
      <c r="C59" s="468"/>
      <c r="D59" s="468"/>
      <c r="E59" s="468"/>
      <c r="F59" s="468"/>
      <c r="G59" s="468"/>
      <c r="H59" s="468"/>
      <c r="I59" s="468"/>
      <c r="J59" s="468"/>
      <c r="K59" s="468"/>
      <c r="L59" s="468"/>
      <c r="M59" s="468"/>
      <c r="N59" s="468"/>
    </row>
    <row r="60" spans="2:14" ht="22" customHeight="1" x14ac:dyDescent="0.2">
      <c r="B60" s="383">
        <v>40</v>
      </c>
      <c r="C60" s="381" t="s">
        <v>3007</v>
      </c>
      <c r="D60" s="601" t="s">
        <v>3056</v>
      </c>
      <c r="E60" s="473"/>
      <c r="F60" s="473"/>
      <c r="G60" s="473"/>
      <c r="H60" s="473"/>
      <c r="I60" s="473"/>
      <c r="J60" s="473"/>
      <c r="K60" s="473"/>
      <c r="L60" s="466"/>
      <c r="M60" s="638" t="s">
        <v>3057</v>
      </c>
      <c r="N60" s="466"/>
    </row>
    <row r="61" spans="2:14" ht="22" customHeight="1" x14ac:dyDescent="0.2">
      <c r="B61" s="383">
        <v>41</v>
      </c>
      <c r="C61" s="381" t="s">
        <v>3007</v>
      </c>
      <c r="D61" s="601" t="s">
        <v>3058</v>
      </c>
      <c r="E61" s="473"/>
      <c r="F61" s="473"/>
      <c r="G61" s="473"/>
      <c r="H61" s="473"/>
      <c r="I61" s="473"/>
      <c r="J61" s="473"/>
      <c r="K61" s="473"/>
      <c r="L61" s="466"/>
      <c r="M61" s="638" t="s">
        <v>3057</v>
      </c>
      <c r="N61" s="466"/>
    </row>
    <row r="62" spans="2:14" ht="22" customHeight="1" x14ac:dyDescent="0.2">
      <c r="B62" s="383">
        <v>42</v>
      </c>
      <c r="C62" s="381" t="s">
        <v>3007</v>
      </c>
      <c r="D62" s="601" t="s">
        <v>3059</v>
      </c>
      <c r="E62" s="473"/>
      <c r="F62" s="473"/>
      <c r="G62" s="473"/>
      <c r="H62" s="473"/>
      <c r="I62" s="473"/>
      <c r="J62" s="473"/>
      <c r="K62" s="473"/>
      <c r="L62" s="466"/>
      <c r="M62" s="638" t="s">
        <v>3057</v>
      </c>
      <c r="N62" s="466"/>
    </row>
    <row r="63" spans="2:14" ht="22" customHeight="1" x14ac:dyDescent="0.2">
      <c r="B63" s="383">
        <v>43</v>
      </c>
      <c r="C63" s="381" t="s">
        <v>3007</v>
      </c>
      <c r="D63" s="601" t="s">
        <v>3060</v>
      </c>
      <c r="E63" s="473"/>
      <c r="F63" s="473"/>
      <c r="G63" s="473"/>
      <c r="H63" s="473"/>
      <c r="I63" s="473"/>
      <c r="J63" s="473"/>
      <c r="K63" s="473"/>
      <c r="L63" s="466"/>
      <c r="M63" s="638" t="s">
        <v>3057</v>
      </c>
      <c r="N63" s="466"/>
    </row>
    <row r="64" spans="2:14" ht="22" customHeight="1" x14ac:dyDescent="0.2">
      <c r="B64" s="383">
        <v>44</v>
      </c>
      <c r="C64" s="381" t="s">
        <v>3007</v>
      </c>
      <c r="D64" s="601" t="s">
        <v>3061</v>
      </c>
      <c r="E64" s="473"/>
      <c r="F64" s="473"/>
      <c r="G64" s="473"/>
      <c r="H64" s="473"/>
      <c r="I64" s="473"/>
      <c r="J64" s="473"/>
      <c r="K64" s="473"/>
      <c r="L64" s="466"/>
      <c r="M64" s="638" t="s">
        <v>2958</v>
      </c>
      <c r="N64" s="466"/>
    </row>
    <row r="65" spans="2:14" ht="22" customHeight="1" x14ac:dyDescent="0.2">
      <c r="B65" s="383">
        <v>45</v>
      </c>
      <c r="C65" s="381" t="s">
        <v>3007</v>
      </c>
      <c r="D65" s="601" t="s">
        <v>3062</v>
      </c>
      <c r="E65" s="473"/>
      <c r="F65" s="473"/>
      <c r="G65" s="473"/>
      <c r="H65" s="473"/>
      <c r="I65" s="473"/>
      <c r="J65" s="473"/>
      <c r="K65" s="473"/>
      <c r="L65" s="466"/>
      <c r="M65" s="638" t="s">
        <v>3063</v>
      </c>
      <c r="N65" s="466"/>
    </row>
    <row r="68" spans="2:14" ht="30" customHeight="1" x14ac:dyDescent="0.2">
      <c r="B68" s="634" t="s">
        <v>3064</v>
      </c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  <c r="N68" s="468"/>
    </row>
  </sheetData>
  <mergeCells count="103"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M62:N62"/>
    <mergeCell ref="B13:N13"/>
    <mergeCell ref="M19:N19"/>
    <mergeCell ref="D11:L11"/>
    <mergeCell ref="D53:L53"/>
    <mergeCell ref="B51:N51"/>
    <mergeCell ref="D47:L47"/>
    <mergeCell ref="D17:L17"/>
    <mergeCell ref="M61:N61"/>
    <mergeCell ref="D60:L60"/>
    <mergeCell ref="M56:N56"/>
    <mergeCell ref="D61:L61"/>
    <mergeCell ref="D48:L48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D45:L45"/>
    <mergeCell ref="D10:L10"/>
    <mergeCell ref="M17:N17"/>
    <mergeCell ref="D19:L19"/>
    <mergeCell ref="D34:L34"/>
    <mergeCell ref="M47:N47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57:N57"/>
    <mergeCell ref="M32:N32"/>
    <mergeCell ref="M14:N14"/>
    <mergeCell ref="D22:L22"/>
    <mergeCell ref="D31:L31"/>
  </mergeCells>
  <printOptions horizontalCentered="1"/>
  <pageMargins left="0.59" right="0.59" top="0.59" bottom="0.59" header="0.3" footer="0.3"/>
  <pageSetup paperSize="9" fitToHeight="0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2:N51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8" customWidth="1"/>
    <col min="4" max="5" width="14" customWidth="1"/>
    <col min="6" max="7" width="18" customWidth="1"/>
    <col min="8" max="14" width="14" customWidth="1"/>
    <col min="15" max="15" width="2" customWidth="1"/>
  </cols>
  <sheetData>
    <row r="2" spans="2:14" ht="28" customHeight="1" x14ac:dyDescent="0.2">
      <c r="B2" s="611" t="s">
        <v>3065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</row>
    <row r="3" spans="2:14" ht="18" customHeight="1" x14ac:dyDescent="0.2">
      <c r="B3" s="618" t="s">
        <v>3066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</row>
    <row r="5" spans="2:14" ht="36" customHeight="1" x14ac:dyDescent="0.2">
      <c r="B5" s="641" t="s">
        <v>3067</v>
      </c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</row>
    <row r="7" spans="2:14" ht="22" customHeight="1" x14ac:dyDescent="0.2">
      <c r="B7" s="241" t="s">
        <v>61</v>
      </c>
      <c r="C7" s="241" t="s">
        <v>3068</v>
      </c>
      <c r="D7" s="241" t="s">
        <v>3069</v>
      </c>
      <c r="E7" s="241" t="s">
        <v>3070</v>
      </c>
      <c r="F7" s="555" t="s">
        <v>3071</v>
      </c>
      <c r="G7" s="466"/>
      <c r="H7" s="555" t="s">
        <v>3072</v>
      </c>
      <c r="I7" s="473"/>
      <c r="J7" s="473"/>
      <c r="K7" s="473"/>
      <c r="L7" s="473"/>
      <c r="M7" s="473"/>
      <c r="N7" s="466"/>
    </row>
    <row r="8" spans="2:14" ht="18" customHeight="1" x14ac:dyDescent="0.2">
      <c r="B8" s="384">
        <v>1</v>
      </c>
      <c r="C8" s="385" t="s">
        <v>2928</v>
      </c>
      <c r="D8" s="274" t="s">
        <v>3073</v>
      </c>
      <c r="E8" s="376" t="s">
        <v>703</v>
      </c>
      <c r="F8" s="640" t="s">
        <v>3074</v>
      </c>
      <c r="G8" s="466"/>
      <c r="H8" s="635" t="s">
        <v>3075</v>
      </c>
      <c r="I8" s="473"/>
      <c r="J8" s="473"/>
      <c r="K8" s="473"/>
      <c r="L8" s="473"/>
      <c r="M8" s="473"/>
      <c r="N8" s="466"/>
    </row>
    <row r="9" spans="2:14" ht="18" customHeight="1" x14ac:dyDescent="0.2">
      <c r="B9" s="384">
        <v>2</v>
      </c>
      <c r="C9" s="385" t="s">
        <v>2816</v>
      </c>
      <c r="D9" s="274" t="s">
        <v>3076</v>
      </c>
      <c r="E9" s="376" t="s">
        <v>703</v>
      </c>
      <c r="F9" s="640" t="s">
        <v>3077</v>
      </c>
      <c r="G9" s="466"/>
      <c r="H9" s="635" t="s">
        <v>3078</v>
      </c>
      <c r="I9" s="473"/>
      <c r="J9" s="473"/>
      <c r="K9" s="473"/>
      <c r="L9" s="473"/>
      <c r="M9" s="473"/>
      <c r="N9" s="466"/>
    </row>
    <row r="10" spans="2:14" ht="18" customHeight="1" x14ac:dyDescent="0.2">
      <c r="B10" s="384">
        <v>3</v>
      </c>
      <c r="C10" s="385" t="s">
        <v>2931</v>
      </c>
      <c r="D10" s="274" t="s">
        <v>3073</v>
      </c>
      <c r="E10" s="376" t="s">
        <v>703</v>
      </c>
      <c r="F10" s="640" t="s">
        <v>3079</v>
      </c>
      <c r="G10" s="466"/>
      <c r="H10" s="635" t="s">
        <v>3078</v>
      </c>
      <c r="I10" s="473"/>
      <c r="J10" s="473"/>
      <c r="K10" s="473"/>
      <c r="L10" s="473"/>
      <c r="M10" s="473"/>
      <c r="N10" s="466"/>
    </row>
    <row r="11" spans="2:14" ht="18" customHeight="1" x14ac:dyDescent="0.2">
      <c r="B11" s="384">
        <v>4</v>
      </c>
      <c r="C11" s="385" t="s">
        <v>2934</v>
      </c>
      <c r="D11" s="274" t="s">
        <v>3076</v>
      </c>
      <c r="E11" s="375" t="s">
        <v>700</v>
      </c>
      <c r="F11" s="640" t="s">
        <v>3080</v>
      </c>
      <c r="G11" s="466"/>
      <c r="H11" s="635" t="s">
        <v>3078</v>
      </c>
      <c r="I11" s="473"/>
      <c r="J11" s="473"/>
      <c r="K11" s="473"/>
      <c r="L11" s="473"/>
      <c r="M11" s="473"/>
      <c r="N11" s="466"/>
    </row>
    <row r="12" spans="2:14" ht="18" customHeight="1" x14ac:dyDescent="0.2">
      <c r="B12" s="384">
        <v>5</v>
      </c>
      <c r="C12" s="385" t="s">
        <v>2936</v>
      </c>
      <c r="D12" s="274" t="s">
        <v>3076</v>
      </c>
      <c r="E12" s="375" t="s">
        <v>700</v>
      </c>
      <c r="F12" s="640" t="s">
        <v>3080</v>
      </c>
      <c r="G12" s="466"/>
      <c r="H12" s="635" t="s">
        <v>3078</v>
      </c>
      <c r="I12" s="473"/>
      <c r="J12" s="473"/>
      <c r="K12" s="473"/>
      <c r="L12" s="473"/>
      <c r="M12" s="473"/>
      <c r="N12" s="466"/>
    </row>
    <row r="13" spans="2:14" ht="18" customHeight="1" x14ac:dyDescent="0.2">
      <c r="B13" s="384">
        <v>6</v>
      </c>
      <c r="C13" s="385" t="s">
        <v>2579</v>
      </c>
      <c r="D13" s="274" t="s">
        <v>3076</v>
      </c>
      <c r="E13" s="375" t="s">
        <v>700</v>
      </c>
      <c r="F13" s="640" t="s">
        <v>3079</v>
      </c>
      <c r="G13" s="466"/>
      <c r="H13" s="635" t="s">
        <v>3078</v>
      </c>
      <c r="I13" s="473"/>
      <c r="J13" s="473"/>
      <c r="K13" s="473"/>
      <c r="L13" s="473"/>
      <c r="M13" s="473"/>
      <c r="N13" s="466"/>
    </row>
    <row r="14" spans="2:14" ht="18" customHeight="1" x14ac:dyDescent="0.2">
      <c r="B14" s="384">
        <v>7</v>
      </c>
      <c r="C14" s="385" t="s">
        <v>2576</v>
      </c>
      <c r="D14" s="274" t="s">
        <v>3076</v>
      </c>
      <c r="E14" s="375" t="s">
        <v>700</v>
      </c>
      <c r="F14" s="640" t="s">
        <v>3081</v>
      </c>
      <c r="G14" s="466"/>
      <c r="H14" s="635" t="s">
        <v>3078</v>
      </c>
      <c r="I14" s="473"/>
      <c r="J14" s="473"/>
      <c r="K14" s="473"/>
      <c r="L14" s="473"/>
      <c r="M14" s="473"/>
      <c r="N14" s="466"/>
    </row>
    <row r="15" spans="2:14" ht="18" customHeight="1" x14ac:dyDescent="0.2">
      <c r="B15" s="384">
        <v>8</v>
      </c>
      <c r="C15" s="385" t="s">
        <v>2597</v>
      </c>
      <c r="D15" s="274" t="s">
        <v>3076</v>
      </c>
      <c r="E15" s="375" t="s">
        <v>700</v>
      </c>
      <c r="F15" s="640" t="s">
        <v>3080</v>
      </c>
      <c r="G15" s="466"/>
      <c r="H15" s="635" t="s">
        <v>3078</v>
      </c>
      <c r="I15" s="473"/>
      <c r="J15" s="473"/>
      <c r="K15" s="473"/>
      <c r="L15" s="473"/>
      <c r="M15" s="473"/>
      <c r="N15" s="466"/>
    </row>
    <row r="16" spans="2:14" ht="18" customHeight="1" x14ac:dyDescent="0.2">
      <c r="B16" s="384">
        <v>9</v>
      </c>
      <c r="C16" s="385" t="s">
        <v>2584</v>
      </c>
      <c r="D16" s="274" t="s">
        <v>3076</v>
      </c>
      <c r="E16" s="375" t="s">
        <v>700</v>
      </c>
      <c r="F16" s="640" t="s">
        <v>3082</v>
      </c>
      <c r="G16" s="466"/>
      <c r="H16" s="635" t="s">
        <v>3078</v>
      </c>
      <c r="I16" s="473"/>
      <c r="J16" s="473"/>
      <c r="K16" s="473"/>
      <c r="L16" s="473"/>
      <c r="M16" s="473"/>
      <c r="N16" s="466"/>
    </row>
    <row r="17" spans="2:14" ht="18" customHeight="1" x14ac:dyDescent="0.2">
      <c r="B17" s="384">
        <v>10</v>
      </c>
      <c r="C17" s="385" t="s">
        <v>2824</v>
      </c>
      <c r="D17" s="274" t="s">
        <v>3076</v>
      </c>
      <c r="E17" s="375" t="s">
        <v>700</v>
      </c>
      <c r="F17" s="640" t="s">
        <v>3083</v>
      </c>
      <c r="G17" s="466"/>
      <c r="H17" s="635" t="s">
        <v>3078</v>
      </c>
      <c r="I17" s="473"/>
      <c r="J17" s="473"/>
      <c r="K17" s="473"/>
      <c r="L17" s="473"/>
      <c r="M17" s="473"/>
      <c r="N17" s="466"/>
    </row>
    <row r="18" spans="2:14" ht="18" customHeight="1" x14ac:dyDescent="0.2">
      <c r="B18" s="384">
        <v>11</v>
      </c>
      <c r="C18" s="385" t="s">
        <v>2945</v>
      </c>
      <c r="D18" s="274" t="s">
        <v>3076</v>
      </c>
      <c r="E18" s="376" t="s">
        <v>703</v>
      </c>
      <c r="F18" s="640" t="s">
        <v>3074</v>
      </c>
      <c r="G18" s="466"/>
      <c r="H18" s="635" t="s">
        <v>3078</v>
      </c>
      <c r="I18" s="473"/>
      <c r="J18" s="473"/>
      <c r="K18" s="473"/>
      <c r="L18" s="473"/>
      <c r="M18" s="473"/>
      <c r="N18" s="466"/>
    </row>
    <row r="19" spans="2:14" ht="18" customHeight="1" x14ac:dyDescent="0.2">
      <c r="B19" s="384">
        <v>12</v>
      </c>
      <c r="C19" s="385" t="s">
        <v>2947</v>
      </c>
      <c r="D19" s="274" t="s">
        <v>3076</v>
      </c>
      <c r="E19" s="376" t="s">
        <v>703</v>
      </c>
      <c r="F19" s="640" t="s">
        <v>3084</v>
      </c>
      <c r="G19" s="466"/>
      <c r="H19" s="635" t="s">
        <v>3078</v>
      </c>
      <c r="I19" s="473"/>
      <c r="J19" s="473"/>
      <c r="K19" s="473"/>
      <c r="L19" s="473"/>
      <c r="M19" s="473"/>
      <c r="N19" s="466"/>
    </row>
    <row r="20" spans="2:14" ht="18" customHeight="1" x14ac:dyDescent="0.2">
      <c r="B20" s="384">
        <v>13</v>
      </c>
      <c r="C20" s="385" t="s">
        <v>2949</v>
      </c>
      <c r="D20" s="274" t="s">
        <v>3076</v>
      </c>
      <c r="E20" s="376" t="s">
        <v>703</v>
      </c>
      <c r="F20" s="640" t="s">
        <v>3084</v>
      </c>
      <c r="G20" s="466"/>
      <c r="H20" s="635" t="s">
        <v>3078</v>
      </c>
      <c r="I20" s="473"/>
      <c r="J20" s="473"/>
      <c r="K20" s="473"/>
      <c r="L20" s="473"/>
      <c r="M20" s="473"/>
      <c r="N20" s="466"/>
    </row>
    <row r="21" spans="2:14" ht="18" customHeight="1" x14ac:dyDescent="0.2">
      <c r="B21" s="384">
        <v>14</v>
      </c>
      <c r="C21" s="385" t="s">
        <v>2591</v>
      </c>
      <c r="D21" s="274" t="s">
        <v>3076</v>
      </c>
      <c r="E21" s="376" t="s">
        <v>703</v>
      </c>
      <c r="F21" s="640" t="s">
        <v>3084</v>
      </c>
      <c r="G21" s="466"/>
      <c r="H21" s="635" t="s">
        <v>3078</v>
      </c>
      <c r="I21" s="473"/>
      <c r="J21" s="473"/>
      <c r="K21" s="473"/>
      <c r="L21" s="473"/>
      <c r="M21" s="473"/>
      <c r="N21" s="466"/>
    </row>
    <row r="22" spans="2:14" ht="18" customHeight="1" x14ac:dyDescent="0.2">
      <c r="B22" s="384">
        <v>15</v>
      </c>
      <c r="C22" s="385" t="s">
        <v>2953</v>
      </c>
      <c r="D22" s="274" t="s">
        <v>3073</v>
      </c>
      <c r="E22" s="376" t="s">
        <v>703</v>
      </c>
      <c r="F22" s="640" t="s">
        <v>3084</v>
      </c>
      <c r="G22" s="466"/>
      <c r="H22" s="635" t="s">
        <v>3078</v>
      </c>
      <c r="I22" s="473"/>
      <c r="J22" s="473"/>
      <c r="K22" s="473"/>
      <c r="L22" s="473"/>
      <c r="M22" s="473"/>
      <c r="N22" s="466"/>
    </row>
    <row r="23" spans="2:14" ht="18" customHeight="1" x14ac:dyDescent="0.2">
      <c r="B23" s="384">
        <v>16</v>
      </c>
      <c r="C23" s="385" t="s">
        <v>2955</v>
      </c>
      <c r="D23" s="274" t="s">
        <v>3076</v>
      </c>
      <c r="E23" s="376" t="s">
        <v>703</v>
      </c>
      <c r="F23" s="640" t="s">
        <v>3084</v>
      </c>
      <c r="G23" s="466"/>
      <c r="H23" s="635" t="s">
        <v>3078</v>
      </c>
      <c r="I23" s="473"/>
      <c r="J23" s="473"/>
      <c r="K23" s="473"/>
      <c r="L23" s="473"/>
      <c r="M23" s="473"/>
      <c r="N23" s="466"/>
    </row>
    <row r="24" spans="2:14" ht="18" customHeight="1" x14ac:dyDescent="0.2">
      <c r="B24" s="384">
        <v>17</v>
      </c>
      <c r="C24" s="385" t="s">
        <v>2594</v>
      </c>
      <c r="D24" s="274" t="s">
        <v>3073</v>
      </c>
      <c r="E24" s="376" t="s">
        <v>703</v>
      </c>
      <c r="F24" s="640" t="s">
        <v>3074</v>
      </c>
      <c r="G24" s="466"/>
      <c r="H24" s="635" t="s">
        <v>3078</v>
      </c>
      <c r="I24" s="473"/>
      <c r="J24" s="473"/>
      <c r="K24" s="473"/>
      <c r="L24" s="473"/>
      <c r="M24" s="473"/>
      <c r="N24" s="466"/>
    </row>
    <row r="25" spans="2:14" ht="18" customHeight="1" x14ac:dyDescent="0.2">
      <c r="B25" s="384">
        <v>18</v>
      </c>
      <c r="C25" s="385" t="s">
        <v>2958</v>
      </c>
      <c r="D25" s="274" t="s">
        <v>3076</v>
      </c>
      <c r="E25" s="376" t="s">
        <v>703</v>
      </c>
      <c r="F25" s="640" t="s">
        <v>3084</v>
      </c>
      <c r="G25" s="466"/>
      <c r="H25" s="635" t="s">
        <v>3078</v>
      </c>
      <c r="I25" s="473"/>
      <c r="J25" s="473"/>
      <c r="K25" s="473"/>
      <c r="L25" s="473"/>
      <c r="M25" s="473"/>
      <c r="N25" s="466"/>
    </row>
    <row r="26" spans="2:14" ht="18" customHeight="1" x14ac:dyDescent="0.2">
      <c r="B26" s="384">
        <v>19</v>
      </c>
      <c r="C26" s="385" t="s">
        <v>2828</v>
      </c>
      <c r="D26" s="274" t="s">
        <v>3076</v>
      </c>
      <c r="E26" s="376" t="s">
        <v>703</v>
      </c>
      <c r="F26" s="640" t="s">
        <v>3074</v>
      </c>
      <c r="G26" s="466"/>
      <c r="H26" s="635" t="s">
        <v>3078</v>
      </c>
      <c r="I26" s="473"/>
      <c r="J26" s="473"/>
      <c r="K26" s="473"/>
      <c r="L26" s="473"/>
      <c r="M26" s="473"/>
      <c r="N26" s="466"/>
    </row>
    <row r="27" spans="2:14" ht="18" customHeight="1" x14ac:dyDescent="0.2">
      <c r="B27" s="384">
        <v>20</v>
      </c>
      <c r="C27" s="385" t="s">
        <v>2962</v>
      </c>
      <c r="D27" s="274" t="s">
        <v>3076</v>
      </c>
      <c r="E27" s="375" t="s">
        <v>700</v>
      </c>
      <c r="F27" s="640" t="s">
        <v>3085</v>
      </c>
      <c r="G27" s="466"/>
      <c r="H27" s="635" t="s">
        <v>3078</v>
      </c>
      <c r="I27" s="473"/>
      <c r="J27" s="473"/>
      <c r="K27" s="473"/>
      <c r="L27" s="473"/>
      <c r="M27" s="473"/>
      <c r="N27" s="466"/>
    </row>
    <row r="28" spans="2:14" ht="18" customHeight="1" x14ac:dyDescent="0.2">
      <c r="B28" s="384">
        <v>21</v>
      </c>
      <c r="C28" s="385" t="s">
        <v>2964</v>
      </c>
      <c r="D28" s="274" t="s">
        <v>3076</v>
      </c>
      <c r="E28" s="375" t="s">
        <v>700</v>
      </c>
      <c r="F28" s="640" t="s">
        <v>3084</v>
      </c>
      <c r="G28" s="466"/>
      <c r="H28" s="635" t="s">
        <v>3078</v>
      </c>
      <c r="I28" s="473"/>
      <c r="J28" s="473"/>
      <c r="K28" s="473"/>
      <c r="L28" s="473"/>
      <c r="M28" s="473"/>
      <c r="N28" s="466"/>
    </row>
    <row r="29" spans="2:14" ht="18" customHeight="1" x14ac:dyDescent="0.2">
      <c r="B29" s="384">
        <v>22</v>
      </c>
      <c r="C29" s="385" t="s">
        <v>2614</v>
      </c>
      <c r="D29" s="274" t="s">
        <v>3076</v>
      </c>
      <c r="E29" s="375" t="s">
        <v>700</v>
      </c>
      <c r="F29" s="640" t="s">
        <v>3086</v>
      </c>
      <c r="G29" s="466"/>
      <c r="H29" s="635" t="s">
        <v>3087</v>
      </c>
      <c r="I29" s="473"/>
      <c r="J29" s="473"/>
      <c r="K29" s="473"/>
      <c r="L29" s="473"/>
      <c r="M29" s="473"/>
      <c r="N29" s="466"/>
    </row>
    <row r="30" spans="2:14" ht="18" customHeight="1" x14ac:dyDescent="0.2">
      <c r="B30" s="384">
        <v>23</v>
      </c>
      <c r="C30" s="385" t="s">
        <v>2831</v>
      </c>
      <c r="D30" s="274" t="s">
        <v>3076</v>
      </c>
      <c r="E30" s="376" t="s">
        <v>703</v>
      </c>
      <c r="F30" s="640" t="s">
        <v>3088</v>
      </c>
      <c r="G30" s="466"/>
      <c r="H30" s="635" t="s">
        <v>3078</v>
      </c>
      <c r="I30" s="473"/>
      <c r="J30" s="473"/>
      <c r="K30" s="473"/>
      <c r="L30" s="473"/>
      <c r="M30" s="473"/>
      <c r="N30" s="466"/>
    </row>
    <row r="31" spans="2:14" ht="18" customHeight="1" x14ac:dyDescent="0.2">
      <c r="B31" s="384">
        <v>24</v>
      </c>
      <c r="C31" s="385" t="s">
        <v>2605</v>
      </c>
      <c r="D31" s="274" t="s">
        <v>3076</v>
      </c>
      <c r="E31" s="376" t="s">
        <v>703</v>
      </c>
      <c r="F31" s="640" t="s">
        <v>3074</v>
      </c>
      <c r="G31" s="466"/>
      <c r="H31" s="635" t="s">
        <v>3078</v>
      </c>
      <c r="I31" s="473"/>
      <c r="J31" s="473"/>
      <c r="K31" s="473"/>
      <c r="L31" s="473"/>
      <c r="M31" s="473"/>
      <c r="N31" s="466"/>
    </row>
    <row r="32" spans="2:14" ht="18" customHeight="1" x14ac:dyDescent="0.2">
      <c r="B32" s="384">
        <v>25</v>
      </c>
      <c r="C32" s="385" t="s">
        <v>2622</v>
      </c>
      <c r="D32" s="274" t="s">
        <v>3076</v>
      </c>
      <c r="E32" s="376" t="s">
        <v>703</v>
      </c>
      <c r="F32" s="640" t="s">
        <v>3074</v>
      </c>
      <c r="G32" s="466"/>
      <c r="H32" s="635" t="s">
        <v>3078</v>
      </c>
      <c r="I32" s="473"/>
      <c r="J32" s="473"/>
      <c r="K32" s="473"/>
      <c r="L32" s="473"/>
      <c r="M32" s="473"/>
      <c r="N32" s="466"/>
    </row>
    <row r="33" spans="2:14" ht="18" customHeight="1" x14ac:dyDescent="0.2">
      <c r="B33" s="384">
        <v>26</v>
      </c>
      <c r="C33" s="385" t="s">
        <v>2834</v>
      </c>
      <c r="D33" s="274" t="s">
        <v>3076</v>
      </c>
      <c r="E33" s="375" t="s">
        <v>700</v>
      </c>
      <c r="F33" s="640" t="s">
        <v>3089</v>
      </c>
      <c r="G33" s="466"/>
      <c r="H33" s="635" t="s">
        <v>3078</v>
      </c>
      <c r="I33" s="473"/>
      <c r="J33" s="473"/>
      <c r="K33" s="473"/>
      <c r="L33" s="473"/>
      <c r="M33" s="473"/>
      <c r="N33" s="466"/>
    </row>
    <row r="34" spans="2:14" ht="18" customHeight="1" x14ac:dyDescent="0.2">
      <c r="B34" s="384">
        <v>27</v>
      </c>
      <c r="C34" s="385" t="s">
        <v>2836</v>
      </c>
      <c r="D34" s="274" t="s">
        <v>3076</v>
      </c>
      <c r="E34" s="375" t="s">
        <v>700</v>
      </c>
      <c r="F34" s="640" t="s">
        <v>3089</v>
      </c>
      <c r="G34" s="466"/>
      <c r="H34" s="635" t="s">
        <v>3078</v>
      </c>
      <c r="I34" s="473"/>
      <c r="J34" s="473"/>
      <c r="K34" s="473"/>
      <c r="L34" s="473"/>
      <c r="M34" s="473"/>
      <c r="N34" s="466"/>
    </row>
    <row r="35" spans="2:14" ht="18" customHeight="1" x14ac:dyDescent="0.2">
      <c r="B35" s="384">
        <v>28</v>
      </c>
      <c r="C35" s="385" t="s">
        <v>2838</v>
      </c>
      <c r="D35" s="274" t="s">
        <v>3076</v>
      </c>
      <c r="E35" s="375" t="s">
        <v>700</v>
      </c>
      <c r="F35" s="640" t="s">
        <v>3090</v>
      </c>
      <c r="G35" s="466"/>
      <c r="H35" s="635" t="s">
        <v>3078</v>
      </c>
      <c r="I35" s="473"/>
      <c r="J35" s="473"/>
      <c r="K35" s="473"/>
      <c r="L35" s="473"/>
      <c r="M35" s="473"/>
      <c r="N35" s="466"/>
    </row>
    <row r="36" spans="2:14" ht="18" customHeight="1" x14ac:dyDescent="0.2">
      <c r="B36" s="384">
        <v>29</v>
      </c>
      <c r="C36" s="385" t="s">
        <v>2840</v>
      </c>
      <c r="D36" s="274" t="s">
        <v>3076</v>
      </c>
      <c r="E36" s="375" t="s">
        <v>700</v>
      </c>
      <c r="F36" s="640" t="s">
        <v>3091</v>
      </c>
      <c r="G36" s="466"/>
      <c r="H36" s="635" t="s">
        <v>3087</v>
      </c>
      <c r="I36" s="473"/>
      <c r="J36" s="473"/>
      <c r="K36" s="473"/>
      <c r="L36" s="473"/>
      <c r="M36" s="473"/>
      <c r="N36" s="466"/>
    </row>
    <row r="37" spans="2:14" ht="18" customHeight="1" x14ac:dyDescent="0.2">
      <c r="B37" s="384">
        <v>30</v>
      </c>
      <c r="C37" s="385" t="s">
        <v>2977</v>
      </c>
      <c r="D37" s="274" t="s">
        <v>3076</v>
      </c>
      <c r="E37" s="375" t="s">
        <v>700</v>
      </c>
      <c r="F37" s="640" t="s">
        <v>3092</v>
      </c>
      <c r="G37" s="466"/>
      <c r="H37" s="635" t="s">
        <v>3078</v>
      </c>
      <c r="I37" s="473"/>
      <c r="J37" s="473"/>
      <c r="K37" s="473"/>
      <c r="L37" s="473"/>
      <c r="M37" s="473"/>
      <c r="N37" s="466"/>
    </row>
    <row r="38" spans="2:14" ht="18" customHeight="1" x14ac:dyDescent="0.2">
      <c r="B38" s="384">
        <v>31</v>
      </c>
      <c r="C38" s="385" t="s">
        <v>2979</v>
      </c>
      <c r="D38" s="274" t="s">
        <v>3076</v>
      </c>
      <c r="E38" s="375" t="s">
        <v>700</v>
      </c>
      <c r="F38" s="640" t="s">
        <v>3091</v>
      </c>
      <c r="G38" s="466"/>
      <c r="H38" s="635" t="s">
        <v>3078</v>
      </c>
      <c r="I38" s="473"/>
      <c r="J38" s="473"/>
      <c r="K38" s="473"/>
      <c r="L38" s="473"/>
      <c r="M38" s="473"/>
      <c r="N38" s="466"/>
    </row>
    <row r="39" spans="2:14" ht="18" customHeight="1" x14ac:dyDescent="0.2">
      <c r="B39" s="384">
        <v>32</v>
      </c>
      <c r="C39" s="385" t="s">
        <v>2618</v>
      </c>
      <c r="D39" s="274" t="s">
        <v>3076</v>
      </c>
      <c r="E39" s="375" t="s">
        <v>700</v>
      </c>
      <c r="F39" s="640" t="s">
        <v>3093</v>
      </c>
      <c r="G39" s="466"/>
      <c r="H39" s="635" t="s">
        <v>3078</v>
      </c>
      <c r="I39" s="473"/>
      <c r="J39" s="473"/>
      <c r="K39" s="473"/>
      <c r="L39" s="473"/>
      <c r="M39" s="473"/>
      <c r="N39" s="466"/>
    </row>
    <row r="40" spans="2:14" ht="18" customHeight="1" x14ac:dyDescent="0.2">
      <c r="B40" s="384">
        <v>33</v>
      </c>
      <c r="C40" s="385" t="s">
        <v>2844</v>
      </c>
      <c r="D40" s="274" t="s">
        <v>3076</v>
      </c>
      <c r="E40" s="375" t="s">
        <v>700</v>
      </c>
      <c r="F40" s="640" t="s">
        <v>3077</v>
      </c>
      <c r="G40" s="466"/>
      <c r="H40" s="635" t="s">
        <v>3078</v>
      </c>
      <c r="I40" s="473"/>
      <c r="J40" s="473"/>
      <c r="K40" s="473"/>
      <c r="L40" s="473"/>
      <c r="M40" s="473"/>
      <c r="N40" s="466"/>
    </row>
    <row r="41" spans="2:14" ht="18" customHeight="1" x14ac:dyDescent="0.2">
      <c r="B41" s="384">
        <v>34</v>
      </c>
      <c r="C41" s="385" t="s">
        <v>2601</v>
      </c>
      <c r="D41" s="274" t="s">
        <v>3076</v>
      </c>
      <c r="E41" s="375" t="s">
        <v>700</v>
      </c>
      <c r="F41" s="640" t="s">
        <v>3083</v>
      </c>
      <c r="G41" s="466"/>
      <c r="H41" s="635" t="s">
        <v>3078</v>
      </c>
      <c r="I41" s="473"/>
      <c r="J41" s="473"/>
      <c r="K41" s="473"/>
      <c r="L41" s="473"/>
      <c r="M41" s="473"/>
      <c r="N41" s="466"/>
    </row>
    <row r="42" spans="2:14" ht="18" customHeight="1" x14ac:dyDescent="0.2">
      <c r="B42" s="384">
        <v>35</v>
      </c>
      <c r="C42" s="385" t="s">
        <v>2847</v>
      </c>
      <c r="D42" s="274" t="s">
        <v>3076</v>
      </c>
      <c r="E42" s="375" t="s">
        <v>700</v>
      </c>
      <c r="F42" s="640" t="s">
        <v>3094</v>
      </c>
      <c r="G42" s="466"/>
      <c r="H42" s="635" t="s">
        <v>3078</v>
      </c>
      <c r="I42" s="473"/>
      <c r="J42" s="473"/>
      <c r="K42" s="473"/>
      <c r="L42" s="473"/>
      <c r="M42" s="473"/>
      <c r="N42" s="466"/>
    </row>
    <row r="43" spans="2:14" ht="18" customHeight="1" x14ac:dyDescent="0.2">
      <c r="B43" s="384">
        <v>36</v>
      </c>
      <c r="C43" s="385" t="s">
        <v>2849</v>
      </c>
      <c r="D43" s="274" t="s">
        <v>3073</v>
      </c>
      <c r="E43" s="376" t="s">
        <v>703</v>
      </c>
      <c r="F43" s="640" t="s">
        <v>3092</v>
      </c>
      <c r="G43" s="466"/>
      <c r="H43" s="635" t="s">
        <v>3087</v>
      </c>
      <c r="I43" s="473"/>
      <c r="J43" s="473"/>
      <c r="K43" s="473"/>
      <c r="L43" s="473"/>
      <c r="M43" s="473"/>
      <c r="N43" s="466"/>
    </row>
    <row r="44" spans="2:14" ht="18" customHeight="1" x14ac:dyDescent="0.2">
      <c r="B44" s="384">
        <v>37</v>
      </c>
      <c r="C44" s="385" t="s">
        <v>2988</v>
      </c>
      <c r="D44" s="274" t="s">
        <v>3073</v>
      </c>
      <c r="E44" s="376" t="s">
        <v>703</v>
      </c>
      <c r="F44" s="640" t="s">
        <v>3086</v>
      </c>
      <c r="G44" s="466"/>
      <c r="H44" s="635" t="s">
        <v>3078</v>
      </c>
      <c r="I44" s="473"/>
      <c r="J44" s="473"/>
      <c r="K44" s="473"/>
      <c r="L44" s="473"/>
      <c r="M44" s="473"/>
      <c r="N44" s="466"/>
    </row>
    <row r="45" spans="2:14" ht="18" customHeight="1" x14ac:dyDescent="0.2">
      <c r="B45" s="384">
        <v>38</v>
      </c>
      <c r="C45" s="385" t="s">
        <v>2990</v>
      </c>
      <c r="D45" s="274" t="s">
        <v>3073</v>
      </c>
      <c r="E45" s="376" t="s">
        <v>703</v>
      </c>
      <c r="F45" s="640" t="s">
        <v>3095</v>
      </c>
      <c r="G45" s="466"/>
      <c r="H45" s="635" t="s">
        <v>3078</v>
      </c>
      <c r="I45" s="473"/>
      <c r="J45" s="473"/>
      <c r="K45" s="473"/>
      <c r="L45" s="473"/>
      <c r="M45" s="473"/>
      <c r="N45" s="466"/>
    </row>
    <row r="46" spans="2:14" ht="18" customHeight="1" x14ac:dyDescent="0.2">
      <c r="B46" s="384">
        <v>39</v>
      </c>
      <c r="C46" s="385" t="s">
        <v>2993</v>
      </c>
      <c r="D46" s="274" t="s">
        <v>3073</v>
      </c>
      <c r="E46" s="376" t="s">
        <v>703</v>
      </c>
      <c r="F46" s="640" t="s">
        <v>3079</v>
      </c>
      <c r="G46" s="466"/>
      <c r="H46" s="635" t="s">
        <v>3078</v>
      </c>
      <c r="I46" s="473"/>
      <c r="J46" s="473"/>
      <c r="K46" s="473"/>
      <c r="L46" s="473"/>
      <c r="M46" s="473"/>
      <c r="N46" s="466"/>
    </row>
    <row r="47" spans="2:14" ht="18" customHeight="1" x14ac:dyDescent="0.2">
      <c r="B47" s="384">
        <v>40</v>
      </c>
      <c r="C47" s="385" t="s">
        <v>2995</v>
      </c>
      <c r="D47" s="274" t="s">
        <v>3073</v>
      </c>
      <c r="E47" s="376" t="s">
        <v>703</v>
      </c>
      <c r="F47" s="640" t="s">
        <v>3096</v>
      </c>
      <c r="G47" s="466"/>
      <c r="H47" s="635" t="s">
        <v>3078</v>
      </c>
      <c r="I47" s="473"/>
      <c r="J47" s="473"/>
      <c r="K47" s="473"/>
      <c r="L47" s="473"/>
      <c r="M47" s="473"/>
      <c r="N47" s="466"/>
    </row>
    <row r="48" spans="2:14" ht="18" customHeight="1" x14ac:dyDescent="0.2">
      <c r="B48" s="384">
        <v>41</v>
      </c>
      <c r="C48" s="385" t="s">
        <v>2997</v>
      </c>
      <c r="D48" s="274" t="s">
        <v>3076</v>
      </c>
      <c r="E48" s="376" t="s">
        <v>703</v>
      </c>
      <c r="F48" s="640" t="s">
        <v>3097</v>
      </c>
      <c r="G48" s="466"/>
      <c r="H48" s="635" t="s">
        <v>3078</v>
      </c>
      <c r="I48" s="473"/>
      <c r="J48" s="473"/>
      <c r="K48" s="473"/>
      <c r="L48" s="473"/>
      <c r="M48" s="473"/>
      <c r="N48" s="466"/>
    </row>
    <row r="49" spans="2:14" ht="18" customHeight="1" x14ac:dyDescent="0.2">
      <c r="B49" s="384">
        <v>42</v>
      </c>
      <c r="C49" s="385" t="s">
        <v>2999</v>
      </c>
      <c r="D49" s="274" t="s">
        <v>3073</v>
      </c>
      <c r="E49" s="376" t="s">
        <v>703</v>
      </c>
      <c r="F49" s="640" t="s">
        <v>3074</v>
      </c>
      <c r="G49" s="466"/>
      <c r="H49" s="635" t="s">
        <v>3075</v>
      </c>
      <c r="I49" s="473"/>
      <c r="J49" s="473"/>
      <c r="K49" s="473"/>
      <c r="L49" s="473"/>
      <c r="M49" s="473"/>
      <c r="N49" s="466"/>
    </row>
    <row r="51" spans="2:14" ht="28" customHeight="1" x14ac:dyDescent="0.2">
      <c r="B51" s="614" t="s">
        <v>3098</v>
      </c>
      <c r="C51" s="468"/>
      <c r="D51" s="468"/>
      <c r="E51" s="468"/>
      <c r="F51" s="468"/>
      <c r="G51" s="468"/>
      <c r="H51" s="468"/>
      <c r="I51" s="468"/>
      <c r="J51" s="468"/>
      <c r="K51" s="468"/>
      <c r="L51" s="468"/>
      <c r="M51" s="468"/>
      <c r="N51" s="468"/>
    </row>
  </sheetData>
  <mergeCells count="90">
    <mergeCell ref="F41:G41"/>
    <mergeCell ref="F35:G35"/>
    <mergeCell ref="F38:G38"/>
    <mergeCell ref="H9:N9"/>
    <mergeCell ref="H37:N37"/>
    <mergeCell ref="F29:G29"/>
    <mergeCell ref="H13:N13"/>
    <mergeCell ref="F16:G16"/>
    <mergeCell ref="F25:G25"/>
    <mergeCell ref="H15:N15"/>
    <mergeCell ref="H49:N49"/>
    <mergeCell ref="F43:G43"/>
    <mergeCell ref="H36:N36"/>
    <mergeCell ref="H17:N17"/>
    <mergeCell ref="H11:N11"/>
    <mergeCell ref="H19:N19"/>
    <mergeCell ref="H28:N28"/>
    <mergeCell ref="F19:G19"/>
    <mergeCell ref="F34:G34"/>
    <mergeCell ref="H12:N12"/>
    <mergeCell ref="H48:N48"/>
    <mergeCell ref="F22:G22"/>
    <mergeCell ref="H46:N46"/>
    <mergeCell ref="H35:N35"/>
    <mergeCell ref="F32:G32"/>
    <mergeCell ref="F26:G26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F48:G48"/>
    <mergeCell ref="F21:G21"/>
    <mergeCell ref="H30:N30"/>
    <mergeCell ref="F36:G36"/>
    <mergeCell ref="H20:N20"/>
    <mergeCell ref="H44:N44"/>
    <mergeCell ref="F46:G46"/>
    <mergeCell ref="H21:N21"/>
    <mergeCell ref="F28:G28"/>
    <mergeCell ref="F9:G9"/>
    <mergeCell ref="F39:G39"/>
    <mergeCell ref="H16:N16"/>
    <mergeCell ref="H22:N22"/>
    <mergeCell ref="H42:N42"/>
    <mergeCell ref="H23:N23"/>
    <mergeCell ref="F15:G15"/>
    <mergeCell ref="H43:N43"/>
    <mergeCell ref="H41:N41"/>
    <mergeCell ref="F23:G23"/>
    <mergeCell ref="H25:N25"/>
    <mergeCell ref="H34:N34"/>
    <mergeCell ref="F13:G13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26:N26"/>
    <mergeCell ref="F17:G17"/>
    <mergeCell ref="F47:G47"/>
    <mergeCell ref="H39:N39"/>
    <mergeCell ref="F27:G27"/>
    <mergeCell ref="F37:G37"/>
    <mergeCell ref="F44:G44"/>
    <mergeCell ref="B2:N2"/>
    <mergeCell ref="H8:N8"/>
    <mergeCell ref="B3:N3"/>
    <mergeCell ref="H31:N31"/>
    <mergeCell ref="H40:N40"/>
    <mergeCell ref="F31:G31"/>
    <mergeCell ref="H7:N7"/>
    <mergeCell ref="F7:G7"/>
    <mergeCell ref="B5:N5"/>
    <mergeCell ref="F10:G10"/>
    <mergeCell ref="F8:G8"/>
    <mergeCell ref="H10:N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2:N42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18" customWidth="1"/>
    <col min="4" max="6" width="20" customWidth="1"/>
    <col min="7" max="14" width="14" customWidth="1"/>
    <col min="15" max="15" width="2" customWidth="1"/>
  </cols>
  <sheetData>
    <row r="2" spans="2:14" ht="19" x14ac:dyDescent="0.25">
      <c r="B2" s="645" t="s">
        <v>3099</v>
      </c>
      <c r="C2" s="468"/>
      <c r="D2" s="468"/>
      <c r="E2" s="468"/>
      <c r="F2" s="468"/>
      <c r="G2" s="468"/>
      <c r="H2" s="468"/>
      <c r="I2" s="468"/>
    </row>
    <row r="3" spans="2:14" x14ac:dyDescent="0.2">
      <c r="B3" s="551" t="s">
        <v>3100</v>
      </c>
      <c r="C3" s="468"/>
      <c r="D3" s="468"/>
      <c r="E3" s="468"/>
      <c r="F3" s="468"/>
      <c r="G3" s="468"/>
      <c r="H3" s="468"/>
      <c r="I3" s="468"/>
    </row>
    <row r="4" spans="2:14" x14ac:dyDescent="0.2">
      <c r="B4" s="551" t="s">
        <v>3101</v>
      </c>
      <c r="C4" s="468"/>
      <c r="D4" s="468"/>
      <c r="E4" s="468"/>
      <c r="F4" s="468"/>
      <c r="G4" s="468"/>
      <c r="H4" s="468"/>
      <c r="I4" s="468"/>
      <c r="J4" s="468"/>
      <c r="K4" s="468"/>
      <c r="L4" s="468"/>
    </row>
    <row r="6" spans="2:14" x14ac:dyDescent="0.2">
      <c r="J6" s="646" t="s">
        <v>3102</v>
      </c>
      <c r="K6" s="468"/>
      <c r="L6" s="468"/>
      <c r="M6" s="468"/>
      <c r="N6" s="468"/>
    </row>
    <row r="7" spans="2:14" x14ac:dyDescent="0.2">
      <c r="J7" s="646" t="s">
        <v>3103</v>
      </c>
      <c r="K7" s="468"/>
      <c r="L7" s="468"/>
      <c r="M7" s="468"/>
      <c r="N7" s="468"/>
    </row>
    <row r="9" spans="2:14" ht="28" customHeight="1" x14ac:dyDescent="0.2">
      <c r="B9" s="649" t="s">
        <v>3104</v>
      </c>
      <c r="C9" s="468"/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</row>
    <row r="11" spans="2:14" ht="22" customHeight="1" x14ac:dyDescent="0.2">
      <c r="B11" s="648" t="s">
        <v>3105</v>
      </c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</row>
    <row r="13" spans="2:14" ht="28" customHeight="1" x14ac:dyDescent="0.2">
      <c r="B13" s="643" t="s">
        <v>3106</v>
      </c>
      <c r="C13" s="468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</row>
    <row r="15" spans="2:14" ht="160" customHeight="1" x14ac:dyDescent="0.2">
      <c r="B15" s="643" t="s">
        <v>3107</v>
      </c>
      <c r="C15" s="468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</row>
    <row r="17" spans="2:14" ht="144" customHeight="1" x14ac:dyDescent="0.2">
      <c r="B17" s="643" t="s">
        <v>3108</v>
      </c>
      <c r="C17" s="468"/>
      <c r="D17" s="468"/>
      <c r="E17" s="468"/>
      <c r="F17" s="468"/>
      <c r="G17" s="468"/>
      <c r="H17" s="468"/>
      <c r="I17" s="468"/>
      <c r="J17" s="468"/>
      <c r="K17" s="468"/>
      <c r="L17" s="468"/>
      <c r="M17" s="468"/>
      <c r="N17" s="468"/>
    </row>
    <row r="19" spans="2:14" ht="128" customHeight="1" x14ac:dyDescent="0.2">
      <c r="B19" s="643" t="s">
        <v>3109</v>
      </c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468"/>
    </row>
    <row r="21" spans="2:14" ht="48" customHeight="1" x14ac:dyDescent="0.2">
      <c r="B21" s="643" t="s">
        <v>3110</v>
      </c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8"/>
      <c r="N21" s="468"/>
    </row>
    <row r="23" spans="2:14" ht="144" customHeight="1" x14ac:dyDescent="0.2">
      <c r="B23" s="643" t="s">
        <v>3111</v>
      </c>
      <c r="C23" s="468"/>
      <c r="D23" s="468"/>
      <c r="E23" s="468"/>
      <c r="F23" s="468"/>
      <c r="G23" s="468"/>
      <c r="H23" s="468"/>
      <c r="I23" s="468"/>
      <c r="J23" s="468"/>
      <c r="K23" s="468"/>
      <c r="L23" s="468"/>
      <c r="M23" s="468"/>
      <c r="N23" s="468"/>
    </row>
    <row r="26" spans="2:14" ht="20" customHeight="1" x14ac:dyDescent="0.2">
      <c r="B26" s="643" t="s">
        <v>3112</v>
      </c>
      <c r="C26" s="468"/>
      <c r="D26" s="468"/>
      <c r="E26" s="468"/>
      <c r="F26" s="468"/>
      <c r="G26" s="468"/>
      <c r="H26" s="468"/>
      <c r="I26" s="468"/>
      <c r="J26" s="468"/>
      <c r="K26" s="468"/>
      <c r="L26" s="468"/>
      <c r="M26" s="468"/>
      <c r="N26" s="468"/>
    </row>
    <row r="29" spans="2:14" x14ac:dyDescent="0.2">
      <c r="B29" s="647" t="s">
        <v>3113</v>
      </c>
      <c r="C29" s="468"/>
      <c r="D29" s="468"/>
      <c r="E29" s="468"/>
      <c r="F29" s="468"/>
      <c r="G29" s="468"/>
      <c r="H29" s="468"/>
      <c r="I29" s="468"/>
    </row>
    <row r="30" spans="2:14" x14ac:dyDescent="0.2">
      <c r="B30" s="642" t="s">
        <v>3114</v>
      </c>
      <c r="C30" s="468"/>
      <c r="D30" s="468"/>
      <c r="E30" s="468"/>
      <c r="F30" s="468"/>
      <c r="G30" s="468"/>
      <c r="H30" s="468"/>
      <c r="I30" s="468"/>
    </row>
    <row r="31" spans="2:14" x14ac:dyDescent="0.2">
      <c r="B31" s="650" t="s">
        <v>3115</v>
      </c>
      <c r="C31" s="468"/>
      <c r="D31" s="468"/>
      <c r="E31" s="468"/>
      <c r="F31" s="468"/>
      <c r="G31" s="468"/>
      <c r="H31" s="468"/>
      <c r="I31" s="468"/>
    </row>
    <row r="32" spans="2:14" x14ac:dyDescent="0.2">
      <c r="B32" s="644" t="s">
        <v>3116</v>
      </c>
      <c r="C32" s="468"/>
      <c r="D32" s="468"/>
      <c r="E32" s="468"/>
      <c r="F32" s="468"/>
      <c r="G32" s="468"/>
      <c r="H32" s="468"/>
      <c r="I32" s="468"/>
    </row>
    <row r="35" spans="2:14" x14ac:dyDescent="0.2">
      <c r="B35" s="651" t="s">
        <v>3117</v>
      </c>
      <c r="C35" s="468"/>
      <c r="D35" s="468"/>
      <c r="E35" s="468"/>
      <c r="F35" s="468"/>
      <c r="G35" s="468"/>
      <c r="H35" s="468"/>
      <c r="I35" s="468"/>
      <c r="J35" s="468"/>
      <c r="K35" s="468"/>
      <c r="L35" s="468"/>
      <c r="M35" s="468"/>
      <c r="N35" s="468"/>
    </row>
    <row r="36" spans="2:14" ht="18" customHeight="1" x14ac:dyDescent="0.2">
      <c r="B36" s="616" t="s">
        <v>3118</v>
      </c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</row>
    <row r="37" spans="2:14" ht="18" customHeight="1" x14ac:dyDescent="0.2">
      <c r="B37" s="616" t="s">
        <v>3119</v>
      </c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</row>
    <row r="38" spans="2:14" ht="18" customHeight="1" x14ac:dyDescent="0.2">
      <c r="B38" s="616" t="s">
        <v>3120</v>
      </c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</row>
    <row r="39" spans="2:14" ht="18" customHeight="1" x14ac:dyDescent="0.2">
      <c r="B39" s="616" t="s">
        <v>3121</v>
      </c>
      <c r="C39" s="468"/>
      <c r="D39" s="468"/>
      <c r="E39" s="468"/>
      <c r="F39" s="468"/>
      <c r="G39" s="468"/>
      <c r="H39" s="468"/>
      <c r="I39" s="468"/>
      <c r="J39" s="468"/>
      <c r="K39" s="468"/>
      <c r="L39" s="468"/>
      <c r="M39" s="468"/>
      <c r="N39" s="468"/>
    </row>
    <row r="40" spans="2:14" ht="18" customHeight="1" x14ac:dyDescent="0.2">
      <c r="B40" s="616" t="s">
        <v>3122</v>
      </c>
      <c r="C40" s="468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</row>
    <row r="42" spans="2:14" ht="36" customHeight="1" x14ac:dyDescent="0.2">
      <c r="B42" s="614" t="s">
        <v>3123</v>
      </c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468"/>
    </row>
  </sheetData>
  <mergeCells count="25">
    <mergeCell ref="B2:I2"/>
    <mergeCell ref="J6:N6"/>
    <mergeCell ref="B26:N26"/>
    <mergeCell ref="B29:I29"/>
    <mergeCell ref="J7:N7"/>
    <mergeCell ref="B21:N21"/>
    <mergeCell ref="B11:N11"/>
    <mergeCell ref="B4:L4"/>
    <mergeCell ref="B9:N9"/>
    <mergeCell ref="B3:I3"/>
    <mergeCell ref="B15:N15"/>
    <mergeCell ref="B42:N42"/>
    <mergeCell ref="B30:I30"/>
    <mergeCell ref="B23:N23"/>
    <mergeCell ref="B17:N17"/>
    <mergeCell ref="B13:N13"/>
    <mergeCell ref="B38:N38"/>
    <mergeCell ref="B19:N19"/>
    <mergeCell ref="B32:I32"/>
    <mergeCell ref="B37:N37"/>
    <mergeCell ref="B40:N40"/>
    <mergeCell ref="B31:I31"/>
    <mergeCell ref="B36:N36"/>
    <mergeCell ref="B35:N35"/>
    <mergeCell ref="B39:N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01_Cover</vt:lpstr>
      <vt:lpstr>02_Assumptions</vt:lpstr>
      <vt:lpstr>03_Change_Log</vt:lpstr>
      <vt:lpstr>04_FOT_Staff_A1</vt:lpstr>
      <vt:lpstr>05_FOT_Staff_A2</vt:lpstr>
      <vt:lpstr>06_Cost_Structure</vt:lpstr>
      <vt:lpstr>07_Revenue_Breakdown</vt:lpstr>
      <vt:lpstr>08_Content_Pipeline</vt:lpstr>
      <vt:lpstr>09_P&amp;L_Statement</vt:lpstr>
      <vt:lpstr>10_Cash_Flow</vt:lpstr>
      <vt:lpstr>11_Balance_Sheet</vt:lpstr>
      <vt:lpstr>12_Working_Capital</vt:lpstr>
      <vt:lpstr>13_Debt_Schedule</vt:lpstr>
      <vt:lpstr>14_Investment_Inflow</vt:lpstr>
      <vt:lpstr>15_Use_of_Funds</vt:lpstr>
      <vt:lpstr>16_CAPEX_Schedule</vt:lpstr>
      <vt:lpstr>17_Deal_Structures</vt:lpstr>
      <vt:lpstr>18_Cap_Table</vt:lpstr>
      <vt:lpstr>19_Waterfall</vt:lpstr>
      <vt:lpstr>20_Unit_Economics_per_Film</vt:lpstr>
      <vt:lpstr>21_KPI_Dashboard</vt:lpstr>
      <vt:lpstr>22_Valuation_DCF</vt:lpstr>
      <vt:lpstr>23_Valuation_Multiples</vt:lpstr>
      <vt:lpstr>24_Investor_Returns</vt:lpstr>
      <vt:lpstr>25_Exit_Scenarios</vt:lpstr>
      <vt:lpstr>26_Sensitivity</vt:lpstr>
      <vt:lpstr>27_Scenario_Analysis</vt:lpstr>
      <vt:lpstr>28_Monte_Carlo_Summary</vt:lpstr>
      <vt:lpstr>29_Risk_Register</vt:lpstr>
      <vt:lpstr>30_Market_Analysis</vt:lpstr>
      <vt:lpstr>31_Benchmarks</vt:lpstr>
      <vt:lpstr>32_Comparable_Transactions</vt:lpstr>
      <vt:lpstr>33_Gov_KPI</vt:lpstr>
      <vt:lpstr>34_Tax_Schedule</vt:lpstr>
      <vt:lpstr>35_Roadmap_2026_2032</vt:lpstr>
      <vt:lpstr>36_Executive_Summary</vt:lpstr>
      <vt:lpstr>37_Glossary</vt:lpstr>
      <vt:lpstr>38_Notes_and_Sources</vt:lpstr>
      <vt:lpstr>39_TOC</vt:lpstr>
      <vt:lpstr>40_Investor_Checklist</vt:lpstr>
      <vt:lpstr>41_Print_Setup</vt:lpstr>
      <vt:lpstr>42_Cover_Letter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investor_model_v1.0_Public — ТрендСтудио</dc:title>
  <dc:subject>Investor Financial Model, Pre-IPO Institutional</dc:subject>
  <dc:creator>Команда ТрендСтудио</dc:creator>
  <cp:keywords>investor, financial model, L3, pre-IPO, cinema</cp:keywords>
  <dc:description>Якорь: cumulative EBITDA 2026–2028 = 3 000 млн ₽</dc:description>
  <cp:lastModifiedBy>a</cp:lastModifiedBy>
  <dcterms:created xsi:type="dcterms:W3CDTF">2026-04-11T18:02:50Z</dcterms:created>
  <dcterms:modified xsi:type="dcterms:W3CDTF">2026-04-12T10:15:08Z</dcterms:modified>
</cp:coreProperties>
</file>