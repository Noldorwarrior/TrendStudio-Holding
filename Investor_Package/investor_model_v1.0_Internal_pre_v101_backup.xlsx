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29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</numFmts>
  <fonts count="10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</fonts>
  <fills count="3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  <c r="C41" s="523" t="n"/>
      <c r="D41" s="523" t="n"/>
      <c r="E41" s="523" t="n"/>
      <c r="F41" s="523" t="n"/>
      <c r="G41" s="523" t="n"/>
      <c r="H41" s="523" t="n"/>
      <c r="I41" s="523" t="n"/>
      <c r="J41" s="523" t="n"/>
      <c r="K41" s="523" t="n"/>
      <c r="L41" s="523" t="n"/>
      <c r="M41" s="523" t="n"/>
      <c r="N41" s="523" t="n"/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7" ht="20" customHeight="1">
      <c r="B47" s="14" t="inlineStr">
        <is>
          <t>F. СТРУКТУРА ВЫРУЧКИ (% от average revenue)</t>
        </is>
      </c>
    </row>
    <row r="48" ht="18" customHeight="1">
      <c r="B48" s="22" t="n">
        <v>32</v>
      </c>
      <c r="C48" s="23" t="inlineStr">
        <is>
          <t>Box Office (кинопрокат)</t>
        </is>
      </c>
      <c r="D48" s="24" t="n">
        <v>0.48</v>
      </c>
      <c r="E48" s="22" t="inlineStr">
        <is>
          <t>%</t>
        </is>
      </c>
      <c r="F48" s="25" t="inlineStr">
        <is>
          <t>Средневзвешенная доля, 400–1200 млн</t>
        </is>
      </c>
    </row>
    <row r="49" ht="18" customHeight="1">
      <c r="B49" s="22" t="n">
        <v>33</v>
      </c>
      <c r="C49" s="23" t="inlineStr">
        <is>
          <t>Online SVOD (стриминги)</t>
        </is>
      </c>
      <c r="D49" s="24" t="n">
        <v>0.2</v>
      </c>
      <c r="E49" s="22" t="inlineStr">
        <is>
          <t>%</t>
        </is>
      </c>
      <c r="F49" s="25" t="inlineStr">
        <is>
          <t>Kion, Okko, START, IVI, 150–500 млн</t>
        </is>
      </c>
    </row>
    <row r="50" ht="18" customHeight="1">
      <c r="B50" s="22" t="n">
        <v>34</v>
      </c>
      <c r="C50" s="23" t="inlineStr">
        <is>
          <t>TV rights</t>
        </is>
      </c>
      <c r="D50" s="24" t="n">
        <v>0.08</v>
      </c>
      <c r="E50" s="22" t="inlineStr">
        <is>
          <t>%</t>
        </is>
      </c>
      <c r="F50" s="25" t="inlineStr">
        <is>
          <t>Первый, Россия-1, ТНТ, 50–200 млн</t>
        </is>
      </c>
    </row>
    <row r="51" ht="18" customHeight="1">
      <c r="B51" s="22" t="n">
        <v>35</v>
      </c>
      <c r="C51" s="23" t="inlineStr">
        <is>
          <t>International sales</t>
        </is>
      </c>
      <c r="D51" s="24" t="n">
        <v>0.1</v>
      </c>
      <c r="E51" s="22" t="inlineStr">
        <is>
          <t>%</t>
        </is>
      </c>
      <c r="F51" s="25" t="inlineStr">
        <is>
          <t>СНГ + BRICS, 30–500 млн</t>
        </is>
      </c>
    </row>
    <row r="52" ht="18" customHeight="1">
      <c r="B52" s="22" t="n">
        <v>36</v>
      </c>
      <c r="C52" s="23" t="inlineStr">
        <is>
          <t>VOD (transactional)</t>
        </is>
      </c>
      <c r="D52" s="24" t="n">
        <v>0.04</v>
      </c>
      <c r="E52" s="22" t="inlineStr">
        <is>
          <t>%</t>
        </is>
      </c>
      <c r="F52" s="25" t="inlineStr">
        <is>
          <t>20–100 млн</t>
        </is>
      </c>
    </row>
    <row r="53" ht="18" customHeight="1">
      <c r="B53" s="22" t="n">
        <v>37</v>
      </c>
      <c r="C53" s="23" t="inlineStr">
        <is>
          <t>Sponsorship / product placement</t>
        </is>
      </c>
      <c r="D53" s="24" t="n">
        <v>0.05</v>
      </c>
      <c r="E53" s="22" t="inlineStr">
        <is>
          <t>%</t>
        </is>
      </c>
      <c r="F53" s="25" t="inlineStr">
        <is>
          <t>20–150 млн</t>
        </is>
      </c>
    </row>
    <row r="54" ht="18" customHeight="1">
      <c r="B54" s="22" t="n">
        <v>38</v>
      </c>
      <c r="C54" s="23" t="inlineStr">
        <is>
          <t>Merchandise</t>
        </is>
      </c>
      <c r="D54" s="24" t="n">
        <v>0.02</v>
      </c>
      <c r="E54" s="22" t="inlineStr">
        <is>
          <t>%</t>
        </is>
      </c>
      <c r="F54" s="25" t="inlineStr">
        <is>
          <t>10–100 млн</t>
        </is>
      </c>
    </row>
    <row r="55" ht="18" customHeight="1">
      <c r="B55" s="22" t="n">
        <v>39</v>
      </c>
      <c r="C55" s="23" t="inlineStr">
        <is>
          <t>Господдержка (грант + невозвр.)</t>
        </is>
      </c>
      <c r="D55" s="24" t="n">
        <v>0.03</v>
      </c>
      <c r="E55" s="22" t="inlineStr">
        <is>
          <t>%</t>
        </is>
      </c>
      <c r="F55" s="25" t="inlineStr">
        <is>
          <t>Фонд кино + Минкульт, 25% бюджета</t>
        </is>
      </c>
    </row>
    <row r="57" ht="20" customHeight="1">
      <c r="B57" s="14" t="inlineStr">
        <is>
          <t>G. ГОСПОДДЕРЖКА (State Support, Base)</t>
        </is>
      </c>
    </row>
    <row r="58" ht="18" customHeight="1">
      <c r="B58" s="22" t="n">
        <v>40</v>
      </c>
      <c r="C58" s="23" t="inlineStr">
        <is>
          <t>Доля господдержки в бюджете (Base)</t>
        </is>
      </c>
      <c r="D58" s="24" t="n">
        <v>0.25</v>
      </c>
      <c r="E58" s="22" t="inlineStr">
        <is>
          <t>%</t>
        </is>
      </c>
      <c r="F58" s="25" t="inlineStr">
        <is>
          <t>Среднее по Фонд кино + Минкульт + ИРИ</t>
        </is>
      </c>
    </row>
    <row r="59" ht="18" customHeight="1">
      <c r="B59" s="22" t="n">
        <v>41</v>
      </c>
      <c r="C59" s="23" t="inlineStr">
        <is>
          <t>Доля господдержки (Min)</t>
        </is>
      </c>
      <c r="D59" s="24" t="n">
        <v>0</v>
      </c>
      <c r="E59" s="22" t="inlineStr">
        <is>
          <t>%</t>
        </is>
      </c>
      <c r="F59" s="25" t="inlineStr">
        <is>
          <t>Sensitivity lower bound</t>
        </is>
      </c>
    </row>
    <row r="60" ht="18" customHeight="1">
      <c r="B60" s="22" t="n">
        <v>42</v>
      </c>
      <c r="C60" s="23" t="inlineStr">
        <is>
          <t>Доля господдержки (Max)</t>
        </is>
      </c>
      <c r="D60" s="24" t="n">
        <v>0.35</v>
      </c>
      <c r="E60" s="22" t="inlineStr">
        <is>
          <t>%</t>
        </is>
      </c>
      <c r="F60" s="25" t="inlineStr">
        <is>
          <t>Sensitivity upper bound</t>
        </is>
      </c>
    </row>
    <row r="61" ht="18" customHeight="1">
      <c r="B61" s="22" t="n">
        <v>43</v>
      </c>
      <c r="C61" s="23" t="inlineStr">
        <is>
          <t>Из них: Фонд кино (%)</t>
        </is>
      </c>
      <c r="D61" s="24" t="n">
        <v>0.6</v>
      </c>
      <c r="E61" s="22" t="inlineStr">
        <is>
          <t>%</t>
        </is>
      </c>
      <c r="F61" s="25" t="inlineStr">
        <is>
          <t>Самый значимый источник</t>
        </is>
      </c>
    </row>
    <row r="62" ht="18" customHeight="1">
      <c r="B62" s="22" t="n">
        <v>44</v>
      </c>
      <c r="C62" s="23" t="inlineStr">
        <is>
          <t>Из них: Минкульт (%)</t>
        </is>
      </c>
      <c r="D62" s="24" t="n">
        <v>0.25</v>
      </c>
      <c r="E62" s="22" t="inlineStr">
        <is>
          <t>%</t>
        </is>
      </c>
      <c r="F62" s="25" t="inlineStr">
        <is>
          <t>Невозвратные гранты</t>
        </is>
      </c>
    </row>
    <row r="63" ht="18" customHeight="1">
      <c r="B63" s="22" t="n">
        <v>45</v>
      </c>
      <c r="C63" s="23" t="inlineStr">
        <is>
          <t>Из них: ИРИ (%)</t>
        </is>
      </c>
      <c r="D63" s="24" t="n">
        <v>0.15</v>
      </c>
      <c r="E63" s="22" t="inlineStr">
        <is>
          <t>%</t>
        </is>
      </c>
      <c r="F63" s="25" t="inlineStr">
        <is>
          <t>Интернет-контент/цифровизация</t>
        </is>
      </c>
    </row>
    <row r="64" ht="18" customHeight="1">
      <c r="B64" s="22" t="n">
        <v>46</v>
      </c>
      <c r="C64" s="23" t="inlineStr">
        <is>
          <t>Безвозвратная часть (% от господдержки)</t>
        </is>
      </c>
      <c r="D64" s="24" t="n">
        <v>0.7</v>
      </c>
      <c r="E64" s="22" t="inlineStr">
        <is>
          <t>%</t>
        </is>
      </c>
      <c r="F64" s="25" t="inlineStr">
        <is>
          <t>Grant vs loan</t>
        </is>
      </c>
    </row>
    <row r="66" ht="20" customHeight="1">
      <c r="B66" s="14" t="inlineStr">
        <is>
          <t>H. FOT / ШТАТ (Модель A₁ Fixed, Холдинг Кино.xlsx)</t>
        </is>
      </c>
    </row>
    <row r="67" ht="18" customHeight="1">
      <c r="B67" s="22" t="n">
        <v>47</v>
      </c>
      <c r="C67" s="23" t="inlineStr">
        <is>
          <t>Штат (фиксированный)</t>
        </is>
      </c>
      <c r="D67" s="27" t="n">
        <v>50</v>
      </c>
      <c r="E67" s="22" t="inlineStr">
        <is>
          <t>чел</t>
        </is>
      </c>
      <c r="F67" s="25" t="inlineStr">
        <is>
          <t>Оригинальная структура</t>
        </is>
      </c>
    </row>
    <row r="68" ht="18" customHeight="1">
      <c r="B68" s="22" t="n">
        <v>48</v>
      </c>
      <c r="C68" s="23" t="inlineStr">
        <is>
          <t>ФОТ gross (месячный)</t>
        </is>
      </c>
      <c r="D68" s="29" t="n">
        <v>4740000</v>
      </c>
      <c r="E68" s="22" t="inlineStr">
        <is>
          <t>₽/мес</t>
        </is>
      </c>
      <c r="F68" s="25" t="inlineStr">
        <is>
          <t>До страховых</t>
        </is>
      </c>
    </row>
    <row r="69" ht="18" customHeight="1">
      <c r="B69" s="22" t="n">
        <v>49</v>
      </c>
      <c r="C69" s="23" t="inlineStr">
        <is>
          <t>Страховые взносы (30%)</t>
        </is>
      </c>
      <c r="D69" s="29" t="n">
        <v>1422000</v>
      </c>
      <c r="E69" s="22" t="inlineStr">
        <is>
          <t>₽/мес</t>
        </is>
      </c>
      <c r="F69" s="25" t="inlineStr">
        <is>
          <t>ПФР+ФОМС+ФСС</t>
        </is>
      </c>
    </row>
    <row r="70" ht="18" customHeight="1">
      <c r="B70" s="22" t="n">
        <v>50</v>
      </c>
      <c r="C70" s="23" t="inlineStr">
        <is>
          <t>ФОТ с налогами (месячный)</t>
        </is>
      </c>
      <c r="D70" s="29" t="n">
        <v>6162000</v>
      </c>
      <c r="E70" s="22" t="inlineStr">
        <is>
          <t>₽/мес</t>
        </is>
      </c>
      <c r="F70" s="25" t="inlineStr">
        <is>
          <t>Итоговая стоимость работодателя</t>
        </is>
      </c>
    </row>
    <row r="71" ht="18" customHeight="1">
      <c r="B71" s="22" t="n">
        <v>51</v>
      </c>
      <c r="C71" s="23" t="inlineStr">
        <is>
          <t>ФОТ годовой (A₁ fixed)</t>
        </is>
      </c>
      <c r="D71" s="26" t="n">
        <v>73.944</v>
      </c>
      <c r="E71" s="22" t="inlineStr">
        <is>
          <t>млн ₽</t>
        </is>
      </c>
      <c r="F71" s="25" t="inlineStr">
        <is>
          <t>× 12 мес</t>
        </is>
      </c>
    </row>
    <row r="72" ht="18" customHeight="1">
      <c r="B72" s="22" t="n">
        <v>52</v>
      </c>
      <c r="C72" s="23" t="inlineStr">
        <is>
          <t>ФОТ за 3 года (A₁ fixed)</t>
        </is>
      </c>
      <c r="D72" s="26" t="n">
        <v>221.832</v>
      </c>
      <c r="E72" s="22" t="inlineStr">
        <is>
          <t>млн ₽</t>
        </is>
      </c>
      <c r="F72" s="25" t="inlineStr">
        <is>
          <t>× 36 мес, без индексации</t>
        </is>
      </c>
    </row>
    <row r="74" ht="20" customHeight="1">
      <c r="B74" s="14" t="inlineStr">
        <is>
          <t>I. FOT / ШТАТ (Модель A₂ Full Dynamic)</t>
        </is>
      </c>
    </row>
    <row r="75" ht="18" customHeight="1">
      <c r="B75" s="22" t="n">
        <v>53</v>
      </c>
      <c r="C75" s="23" t="inlineStr">
        <is>
          <t>Штат 2026</t>
        </is>
      </c>
      <c r="D75" s="27" t="n">
        <v>50</v>
      </c>
      <c r="E75" s="22" t="inlineStr">
        <is>
          <t>чел</t>
        </is>
      </c>
      <c r="F75" s="25" t="inlineStr">
        <is>
          <t>Базовый</t>
        </is>
      </c>
    </row>
    <row r="76" ht="18" customHeight="1">
      <c r="B76" s="22" t="n">
        <v>54</v>
      </c>
      <c r="C76" s="23" t="inlineStr">
        <is>
          <t>Штат 2027</t>
        </is>
      </c>
      <c r="D76" s="27" t="n">
        <v>60</v>
      </c>
      <c r="E76" s="22" t="inlineStr">
        <is>
          <t>чел</t>
        </is>
      </c>
      <c r="F76" s="25" t="inlineStr">
        <is>
          <t>+10 (расширение)</t>
        </is>
      </c>
    </row>
    <row r="77" ht="18" customHeight="1">
      <c r="B77" s="22" t="n">
        <v>55</v>
      </c>
      <c r="C77" s="23" t="inlineStr">
        <is>
          <t>Штат 2028</t>
        </is>
      </c>
      <c r="D77" s="27" t="n">
        <v>70</v>
      </c>
      <c r="E77" s="22" t="inlineStr">
        <is>
          <t>чел</t>
        </is>
      </c>
      <c r="F77" s="25" t="inlineStr">
        <is>
          <t>+10 (пре-IPO команда)</t>
        </is>
      </c>
    </row>
    <row r="78" ht="18" customHeight="1">
      <c r="B78" s="22" t="n">
        <v>56</v>
      </c>
      <c r="C78" s="23" t="inlineStr">
        <is>
          <t>Индексация окладов (годовая)</t>
        </is>
      </c>
      <c r="D78" s="24" t="n">
        <v>0.07000000000000001</v>
      </c>
      <c r="E78" s="22" t="inlineStr">
        <is>
          <t>%</t>
        </is>
      </c>
      <c r="F78" s="25" t="inlineStr">
        <is>
          <t>CPI + премия, 7%</t>
        </is>
      </c>
    </row>
    <row r="79" ht="18" customHeight="1">
      <c r="B79" s="22" t="n">
        <v>57</v>
      </c>
      <c r="C79" s="23" t="inlineStr">
        <is>
          <t>Премиальный фонд (% от ФОТ)</t>
        </is>
      </c>
      <c r="D79" s="24" t="n">
        <v>0.15</v>
      </c>
      <c r="E79" s="22" t="inlineStr">
        <is>
          <t>%</t>
        </is>
      </c>
      <c r="F79" s="25" t="inlineStr">
        <is>
          <t>KPI-bonus</t>
        </is>
      </c>
    </row>
    <row r="81" ht="20" customHeight="1">
      <c r="B81" s="14" t="inlineStr">
        <is>
          <t>J. OPEX (кроме ФОТ, Холдинг Кино.xlsx)</t>
        </is>
      </c>
    </row>
    <row r="82" ht="18" customHeight="1">
      <c r="B82" s="22" t="n">
        <v>58</v>
      </c>
      <c r="C82" s="23" t="inlineStr">
        <is>
          <t>Аренда офиса (годовая)</t>
        </is>
      </c>
      <c r="D82" s="26" t="n">
        <v>8.25</v>
      </c>
      <c r="E82" s="22" t="inlineStr">
        <is>
          <t>млн ₽</t>
        </is>
      </c>
      <c r="F82" s="25" t="inlineStr">
        <is>
          <t>750 м² × 11000 × 12 / 12 мес</t>
        </is>
      </c>
    </row>
    <row r="83" ht="18" customHeight="1">
      <c r="B83" s="22" t="n">
        <v>59</v>
      </c>
      <c r="C83" s="23" t="inlineStr">
        <is>
          <t>Коммунальные платежи</t>
        </is>
      </c>
      <c r="D83" s="26" t="n">
        <v>0.396</v>
      </c>
      <c r="E83" s="22" t="inlineStr">
        <is>
          <t>млн ₽</t>
        </is>
      </c>
      <c r="F83" s="25" t="inlineStr">
        <is>
          <t>33 т.р./мес × 12</t>
        </is>
      </c>
    </row>
    <row r="84" ht="18" customHeight="1">
      <c r="B84" s="22" t="n">
        <v>60</v>
      </c>
      <c r="C84" s="23" t="inlineStr">
        <is>
          <t>Прочие OPEX</t>
        </is>
      </c>
      <c r="D84" s="26" t="n">
        <v>5.916</v>
      </c>
      <c r="E84" s="22" t="inlineStr">
        <is>
          <t>млн ₽</t>
        </is>
      </c>
      <c r="F84" s="25" t="inlineStr">
        <is>
          <t>Командировки, связь, ПО и пр.</t>
        </is>
      </c>
    </row>
    <row r="85" ht="18" customHeight="1">
      <c r="B85" s="22" t="n">
        <v>61</v>
      </c>
      <c r="C85" s="23" t="inlineStr">
        <is>
          <t>Итого OPEX без ФОТ (годовой)</t>
        </is>
      </c>
      <c r="D85" s="26" t="n">
        <v>14.562</v>
      </c>
      <c r="E85" s="22" t="inlineStr">
        <is>
          <t>млн ₽</t>
        </is>
      </c>
      <c r="F85" s="25" t="inlineStr">
        <is>
          <t>Аренда + ком + прочие</t>
        </is>
      </c>
    </row>
    <row r="86" ht="18" customHeight="1">
      <c r="B86" s="22" t="n">
        <v>62</v>
      </c>
      <c r="C86" s="23" t="inlineStr">
        <is>
          <t>Итого OPEX с ФОТ A₁ (годовой)</t>
        </is>
      </c>
      <c r="D86" s="26" t="n">
        <v>88.506</v>
      </c>
      <c r="E86" s="22" t="inlineStr">
        <is>
          <t>млн ₽</t>
        </is>
      </c>
      <c r="F86" s="25" t="inlineStr">
        <is>
          <t>Соответствует Холдинг Кино.xlsx</t>
        </is>
      </c>
    </row>
    <row r="88" ht="20" customHeight="1">
      <c r="B88" s="14" t="inlineStr">
        <is>
          <t>K. COGS / ПРОИЗВОДСТВО</t>
        </is>
      </c>
    </row>
    <row r="89" ht="18" customHeight="1">
      <c r="B89" s="22" t="n">
        <v>63</v>
      </c>
      <c r="C89" s="23" t="inlineStr">
        <is>
          <t>Total content budget</t>
        </is>
      </c>
      <c r="D89" s="26" t="n">
        <v>1850</v>
      </c>
      <c r="E89" s="22" t="inlineStr">
        <is>
          <t>млн ₽</t>
        </is>
      </c>
      <c r="F89" s="25" t="inlineStr">
        <is>
          <t>Бюджет 12 фильмов</t>
        </is>
      </c>
    </row>
    <row r="90" ht="18" customHeight="1">
      <c r="B90" s="22" t="n">
        <v>64</v>
      </c>
      <c r="C90" s="23" t="inlineStr">
        <is>
          <t>Средний бюджет 1 фильма</t>
        </is>
      </c>
      <c r="D90" s="26" t="n">
        <v>154.2</v>
      </c>
      <c r="E90" s="22" t="inlineStr">
        <is>
          <t>млн ₽</t>
        </is>
      </c>
      <c r="F90" s="25" t="inlineStr">
        <is>
          <t>1850 / 12</t>
        </is>
      </c>
    </row>
    <row r="91" ht="18" customHeight="1">
      <c r="B91" s="22" t="n">
        <v>65</v>
      </c>
      <c r="C91" s="23" t="inlineStr">
        <is>
          <t>Производственный цикл (мес)</t>
        </is>
      </c>
      <c r="D91" s="27" t="n">
        <v>18</v>
      </c>
      <c r="E91" s="22" t="inlineStr">
        <is>
          <t>мес</t>
        </is>
      </c>
      <c r="F91" s="25" t="inlineStr">
        <is>
          <t>Preprod 6 + prod 6 + postprod 6</t>
        </is>
      </c>
    </row>
    <row r="92" ht="18" customHeight="1">
      <c r="B92" s="22" t="n">
        <v>66</v>
      </c>
      <c r="C92" s="23" t="inlineStr">
        <is>
          <t>Amortization пленки (мес после релиза)</t>
        </is>
      </c>
      <c r="D92" s="27" t="n">
        <v>12</v>
      </c>
      <c r="E92" s="22" t="inlineStr">
        <is>
          <t>мес</t>
        </is>
      </c>
      <c r="F92" s="25" t="inlineStr">
        <is>
          <t>Линейная амортизация 12 мес</t>
        </is>
      </c>
    </row>
    <row r="93" ht="18" customHeight="1">
      <c r="B93" s="22" t="n">
        <v>67</v>
      </c>
      <c r="C93" s="23" t="inlineStr">
        <is>
          <t>Маркетинг P&amp;A (% от бюджета)</t>
        </is>
      </c>
      <c r="D93" s="24" t="n">
        <v>0.15</v>
      </c>
      <c r="E93" s="22" t="inlineStr">
        <is>
          <t>%</t>
        </is>
      </c>
      <c r="F93" s="25" t="inlineStr">
        <is>
          <t>Prints &amp; Advertising</t>
        </is>
      </c>
    </row>
    <row r="95" ht="20" customHeight="1">
      <c r="B95" s="14" t="inlineStr">
        <is>
          <t>L. WORKING CAPITAL</t>
        </is>
      </c>
    </row>
    <row r="96" ht="18" customHeight="1">
      <c r="B96" s="22" t="n">
        <v>68</v>
      </c>
      <c r="C96" s="23" t="inlineStr">
        <is>
          <t>DSO (days sales outstanding)</t>
        </is>
      </c>
      <c r="D96" s="27" t="n">
        <v>45</v>
      </c>
      <c r="E96" s="22" t="inlineStr">
        <is>
          <t>дн</t>
        </is>
      </c>
      <c r="F96" s="25" t="inlineStr">
        <is>
          <t>Дебиторка от прокатчиков/стримингов</t>
        </is>
      </c>
    </row>
    <row r="97" ht="18" customHeight="1">
      <c r="B97" s="22" t="n">
        <v>69</v>
      </c>
      <c r="C97" s="23" t="inlineStr">
        <is>
          <t>DPO (days payable outstanding)</t>
        </is>
      </c>
      <c r="D97" s="27" t="n">
        <v>30</v>
      </c>
      <c r="E97" s="22" t="inlineStr">
        <is>
          <t>дн</t>
        </is>
      </c>
      <c r="F97" s="25" t="inlineStr">
        <is>
          <t>Кредиторка поставщикам</t>
        </is>
      </c>
    </row>
    <row r="98" ht="18" customHeight="1">
      <c r="B98" s="22" t="n">
        <v>70</v>
      </c>
      <c r="C98" s="23" t="inlineStr">
        <is>
          <t>DIO (days inventory outstanding)</t>
        </is>
      </c>
      <c r="D98" s="27" t="n">
        <v>60</v>
      </c>
      <c r="E98" s="22" t="inlineStr">
        <is>
          <t>дн</t>
        </is>
      </c>
      <c r="F98" s="25" t="inlineStr">
        <is>
          <t>Незавершённое производство</t>
        </is>
      </c>
    </row>
    <row r="99" ht="18" customHeight="1">
      <c r="B99" s="22" t="n">
        <v>71</v>
      </c>
      <c r="C99" s="23" t="inlineStr">
        <is>
          <t>Cash Conversion Cycle</t>
        </is>
      </c>
      <c r="D99" s="27" t="n">
        <v>75</v>
      </c>
      <c r="E99" s="22" t="inlineStr">
        <is>
          <t>дн</t>
        </is>
      </c>
      <c r="F99" s="25" t="inlineStr">
        <is>
          <t>DSO+DIO−DPO</t>
        </is>
      </c>
    </row>
    <row r="100" ht="18" customHeight="1">
      <c r="B100" s="22" t="n">
        <v>72</v>
      </c>
      <c r="C100" s="23" t="inlineStr">
        <is>
          <t>Минимальный кассовый остаток</t>
        </is>
      </c>
      <c r="D100" s="26" t="n">
        <v>50</v>
      </c>
      <c r="E100" s="22" t="inlineStr">
        <is>
          <t>млн ₽</t>
        </is>
      </c>
      <c r="F100" s="25" t="inlineStr">
        <is>
          <t>Подушка безопасности</t>
        </is>
      </c>
    </row>
    <row r="102" ht="20" customHeight="1">
      <c r="B102" s="14" t="inlineStr">
        <is>
          <t>M. EXIT / VALUATION</t>
        </is>
      </c>
    </row>
    <row r="103" ht="18" customHeight="1">
      <c r="B103" s="22" t="n">
        <v>73</v>
      </c>
      <c r="C103" s="23" t="inlineStr">
        <is>
          <t>EV/EBITDA Bear</t>
        </is>
      </c>
      <c r="D103" s="28" t="n">
        <v>3</v>
      </c>
      <c r="E103" s="22" t="inlineStr">
        <is>
          <t>×</t>
        </is>
      </c>
      <c r="F103" s="25" t="inlineStr">
        <is>
          <t>Russian media lower bound</t>
        </is>
      </c>
    </row>
    <row r="104" ht="18" customHeight="1">
      <c r="B104" s="22" t="n">
        <v>74</v>
      </c>
      <c r="C104" s="23" t="inlineStr">
        <is>
          <t>EV/EBITDA Base</t>
        </is>
      </c>
      <c r="D104" s="28" t="n">
        <v>5</v>
      </c>
      <c r="E104" s="22" t="inlineStr">
        <is>
          <t>×</t>
        </is>
      </c>
      <c r="F104" s="25" t="inlineStr">
        <is>
          <t>Russian media mid</t>
        </is>
      </c>
    </row>
    <row r="105" ht="18" customHeight="1">
      <c r="B105" s="22" t="n">
        <v>75</v>
      </c>
      <c r="C105" s="23" t="inlineStr">
        <is>
          <t>EV/EBITDA Bull</t>
        </is>
      </c>
      <c r="D105" s="28" t="n">
        <v>7</v>
      </c>
      <c r="E105" s="22" t="inlineStr">
        <is>
          <t>×</t>
        </is>
      </c>
      <c r="F105" s="25" t="inlineStr">
        <is>
          <t>Russian media upper bound / premium</t>
        </is>
      </c>
    </row>
    <row r="106" ht="18" customHeight="1">
      <c r="B106" s="22" t="n">
        <v>76</v>
      </c>
      <c r="C106" s="23" t="inlineStr">
        <is>
          <t>Exit horizon 1 (Y3)</t>
        </is>
      </c>
      <c r="D106" s="27" t="n">
        <v>2028</v>
      </c>
      <c r="E106" s="22" t="inlineStr">
        <is>
          <t>год</t>
        </is>
      </c>
      <c r="F106" s="25" t="inlineStr">
        <is>
          <t>Q4 2028</t>
        </is>
      </c>
    </row>
    <row r="107" ht="18" customHeight="1">
      <c r="B107" s="22" t="n">
        <v>77</v>
      </c>
      <c r="C107" s="23" t="inlineStr">
        <is>
          <t>Exit horizon 2 (Y5)</t>
        </is>
      </c>
      <c r="D107" s="27" t="n">
        <v>2030</v>
      </c>
      <c r="E107" s="22" t="inlineStr">
        <is>
          <t>год</t>
        </is>
      </c>
      <c r="F107" s="25" t="inlineStr">
        <is>
          <t>Q4 2030</t>
        </is>
      </c>
    </row>
    <row r="108" ht="18" customHeight="1">
      <c r="B108" s="22" t="n">
        <v>78</v>
      </c>
      <c r="C108" s="23" t="inlineStr">
        <is>
          <t>Exit horizon 3 (Y7)</t>
        </is>
      </c>
      <c r="D108" s="27" t="n">
        <v>2032</v>
      </c>
      <c r="E108" s="22" t="inlineStr">
        <is>
          <t>год</t>
        </is>
      </c>
      <c r="F108" s="25" t="inlineStr">
        <is>
          <t>Q4 2032</t>
        </is>
      </c>
    </row>
    <row r="109" ht="18" customHeight="1">
      <c r="B109" s="22" t="n">
        <v>79</v>
      </c>
      <c r="C109" s="23" t="inlineStr">
        <is>
          <t>Target IRR (инвестор)</t>
        </is>
      </c>
      <c r="D109" s="24" t="n">
        <v>0.3</v>
      </c>
      <c r="E109" s="22" t="inlineStr">
        <is>
          <t>%</t>
        </is>
      </c>
      <c r="F109" s="25" t="inlineStr">
        <is>
          <t>30% minimum hurdle rate</t>
        </is>
      </c>
    </row>
    <row r="110" ht="18" customHeight="1">
      <c r="B110" s="22" t="n">
        <v>80</v>
      </c>
      <c r="C110" s="23" t="inlineStr">
        <is>
          <t>Target MOIC (инвестор)</t>
        </is>
      </c>
      <c r="D110" s="28" t="n">
        <v>2.5</v>
      </c>
      <c r="E110" s="22" t="inlineStr">
        <is>
          <t>×</t>
        </is>
      </c>
      <c r="F110" s="25" t="inlineStr">
        <is>
          <t>Multiple of Invested Capital</t>
        </is>
      </c>
    </row>
    <row r="112" ht="22" customHeight="1">
      <c r="B112" s="30" t="inlineStr">
        <is>
          <t>ВСЕГО ДОПУЩЕНИЙ: 80  ·  Блоков: 13  ·  Якорь EBITDA 2026–2028 = 3 000 млн ₽</t>
        </is>
      </c>
    </row>
    <row r="114" ht="22" customHeight="1">
      <c r="B114" s="149" t="inlineStr">
        <is>
          <t>N.  NDP RECONCILIATION BRIDGE  ·  EBITDA (GAAP) → NDP (legacy)</t>
        </is>
      </c>
      <c r="C114" s="188" t="n"/>
      <c r="D114" s="188" t="n"/>
      <c r="E114" s="185" t="n"/>
    </row>
    <row r="115" ht="36" customHeight="1">
      <c r="B115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17" ht="18" customHeight="1">
      <c r="B117" s="145" t="inlineStr">
        <is>
          <t>#</t>
        </is>
      </c>
      <c r="C117" s="145" t="inlineStr">
        <is>
          <t>Компонент</t>
        </is>
      </c>
      <c r="D117" s="145" t="inlineStr">
        <is>
          <t>Значение, млн ₽</t>
        </is>
      </c>
      <c r="E117" s="145" t="inlineStr">
        <is>
          <t>Комментарий</t>
        </is>
      </c>
    </row>
    <row r="118" ht="20" customHeight="1">
      <c r="B118" s="148" t="inlineStr">
        <is>
          <t>1</t>
        </is>
      </c>
      <c r="C118" s="147" t="inlineStr">
        <is>
          <t>EBITDA (GAAP, standard) Σ 2026–2028</t>
        </is>
      </c>
      <c r="D118" s="151" t="n">
        <v>2152</v>
      </c>
      <c r="E118" s="152" t="inlineStr">
        <is>
          <t>Revenue 4545 − COGS 2127.5 − OpEx 265.5</t>
        </is>
      </c>
    </row>
    <row r="119" ht="20" customHeight="1">
      <c r="B119" s="148" t="inlineStr">
        <is>
          <t>2</t>
        </is>
      </c>
      <c r="C119" s="147" t="inlineStr">
        <is>
          <t>(+) Add-back: Producer equity contribution</t>
        </is>
      </c>
      <c r="D119" s="151" t="n">
        <v>600</v>
      </c>
      <c r="E119" s="152" t="inlineStr">
        <is>
          <t>Участие продюсера (off-P&amp;L minority interest / JV capital)</t>
        </is>
      </c>
    </row>
    <row r="120" ht="20" customHeight="1">
      <c r="B120" s="148" t="inlineStr">
        <is>
          <t>3</t>
        </is>
      </c>
      <c r="C120" s="147" t="inlineStr">
        <is>
          <t>(+) Add-back: Working capital release &amp; gov credit timing</t>
        </is>
      </c>
      <c r="D120" s="151" t="n">
        <v>248</v>
      </c>
      <c r="E120" s="152" t="inlineStr">
        <is>
          <t>Высвобождение WC и налоговый кредит за периметром P&amp;L</t>
        </is>
      </c>
    </row>
    <row r="121" ht="20" customHeight="1">
      <c r="B121" s="153" t="inlineStr">
        <is>
          <t>=</t>
        </is>
      </c>
      <c r="C121" s="154" t="inlineStr">
        <is>
          <t>NDP Σ (legacy v1.4.4 anchor)</t>
        </is>
      </c>
      <c r="D121" s="155" t="n">
        <v>3000</v>
      </c>
      <c r="E121" s="156" t="inlineStr">
        <is>
          <t>Cумма распределяемых cash flows к пайщикам</t>
        </is>
      </c>
    </row>
    <row r="122" ht="20" customHeight="1">
      <c r="B122" s="148" t="inlineStr">
        <is>
          <t>4</t>
        </is>
      </c>
      <c r="C122" s="147" t="inlineStr">
        <is>
          <t>(−) Producer share (60 / 40 waterfall W₁)</t>
        </is>
      </c>
      <c r="D122" s="151" t="n">
        <v>-785</v>
      </c>
      <c r="E122" s="152" t="inlineStr">
        <is>
          <t>Доля продюсера по дефолтной каскадной схеме</t>
        </is>
      </c>
    </row>
    <row r="123" ht="20" customHeight="1">
      <c r="B123" s="153" t="inlineStr">
        <is>
          <t>=</t>
        </is>
      </c>
      <c r="C123" s="154" t="inlineStr">
        <is>
          <t>Investor net distributable proceeds</t>
        </is>
      </c>
      <c r="D123" s="155" t="n">
        <v>2215</v>
      </c>
      <c r="E123" s="156" t="inlineStr">
        <is>
          <t>Чистые распределения инвестору (T₁ Legacy)</t>
        </is>
      </c>
    </row>
    <row r="125">
      <c r="B125" s="157" t="inlineStr">
        <is>
          <t>Ключевые параметры JV-интерпретации:</t>
        </is>
      </c>
    </row>
    <row r="126" ht="18" customHeight="1">
      <c r="B126" s="148" t="inlineStr">
        <is>
          <t>N.01</t>
        </is>
      </c>
      <c r="C126" s="147" t="inlineStr">
        <is>
          <t>Investor funded production cost</t>
        </is>
      </c>
      <c r="D126" s="158" t="n">
        <v>1250</v>
      </c>
      <c r="E126" s="159" t="inlineStr">
        <is>
          <t>млн ₽  ·  T₁ Legacy, 4 транша 20/28/28/24%</t>
        </is>
      </c>
    </row>
    <row r="127" ht="18" customHeight="1">
      <c r="B127" s="148" t="inlineStr">
        <is>
          <t>N.02</t>
        </is>
      </c>
      <c r="C127" s="147" t="inlineStr">
        <is>
          <t>Producer equity contribution (off-P&amp;L)</t>
        </is>
      </c>
      <c r="D127" s="158" t="n">
        <v>600</v>
      </c>
      <c r="E127" s="159" t="inlineStr">
        <is>
          <t>млн ₽  ·  Вклад продюсера в JV</t>
        </is>
      </c>
    </row>
    <row r="128" ht="18" customHeight="1">
      <c r="B128" s="148" t="inlineStr">
        <is>
          <t>N.03</t>
        </is>
      </c>
      <c r="C128" s="147" t="inlineStr">
        <is>
          <t>Total production budget (consolidated COGS)</t>
        </is>
      </c>
      <c r="D128" s="158" t="n">
        <v>1850</v>
      </c>
      <c r="E128" s="159" t="inlineStr">
        <is>
          <t>млн ₽  ·  12 фильмов, средний бюджет 154 млн</t>
        </is>
      </c>
    </row>
    <row r="129" ht="18" customHeight="1">
      <c r="B129" s="148" t="inlineStr">
        <is>
          <t>N.04</t>
        </is>
      </c>
      <c r="C129" s="147" t="inlineStr">
        <is>
          <t>P&amp;A (Prints &amp; Advertising)</t>
        </is>
      </c>
      <c r="D129" s="160" t="n">
        <v>277.5</v>
      </c>
      <c r="E129" s="159" t="inlineStr">
        <is>
          <t>млн ₽  ·  6.1% от выручки 4545</t>
        </is>
      </c>
    </row>
    <row r="130" ht="18" customHeight="1">
      <c r="B130" s="148" t="inlineStr">
        <is>
          <t>N.05</t>
        </is>
      </c>
      <c r="C130" s="147" t="inlineStr">
        <is>
          <t>Waterfall split (default W₁)</t>
        </is>
      </c>
      <c r="D130" s="161" t="inlineStr">
        <is>
          <t>60 / 40</t>
        </is>
      </c>
      <c r="E130" s="159" t="inlineStr">
        <is>
          <t>—  ·  Инвестор / Продюсер</t>
        </is>
      </c>
    </row>
    <row r="131" ht="18" customHeight="1">
      <c r="B131" s="148" t="inlineStr">
        <is>
          <t>N.06</t>
        </is>
      </c>
      <c r="C131" s="147" t="inlineStr">
        <is>
          <t>NDP anchor (legacy v1.4.4)</t>
        </is>
      </c>
      <c r="D131" s="158" t="n">
        <v>3000</v>
      </c>
      <c r="E131" s="159" t="inlineStr">
        <is>
          <t>млн ₽  ·  Инвариант, закреплено</t>
        </is>
      </c>
    </row>
    <row r="132" ht="18" customHeight="1">
      <c r="B132" s="148" t="inlineStr">
        <is>
          <t>N.07</t>
        </is>
      </c>
      <c r="C132" s="147" t="inlineStr">
        <is>
          <t>EBITDA (GAAP) Σ 2026–2028</t>
        </is>
      </c>
      <c r="D132" s="158" t="n">
        <v>2152</v>
      </c>
      <c r="E132" s="159" t="inlineStr">
        <is>
          <t>млн ₽  ·  Расчёт по стандарту</t>
        </is>
      </c>
    </row>
    <row r="133" ht="18" customHeight="1">
      <c r="B133" s="148" t="inlineStr">
        <is>
          <t>N.08</t>
        </is>
      </c>
      <c r="C133" s="147" t="inlineStr">
        <is>
          <t>Net Profit Σ 2026–2028</t>
        </is>
      </c>
      <c r="D133" s="158" t="n">
        <v>1689</v>
      </c>
      <c r="E133" s="159" t="inlineStr">
        <is>
          <t>млн ₽  ·  После 20% налога на прибыль</t>
        </is>
      </c>
    </row>
  </sheetData>
  <mergeCells count="19">
    <mergeCell ref="B47:F47"/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(60 / 40 waterfall W₁)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W₁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W₁ (60/40). Проценты — service fee 15 млн суммарно. Принципал возвращается 2029-2032. Все суммы — млн ₽.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W₁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19  ·  DISTRIBUTION WATERFALL  ·  3 варианта распределения NDP 3 000 млн</t>
        </is>
      </c>
    </row>
    <row r="3">
      <c r="B3" s="189" t="inlineStr">
        <is>
          <t>W₁ — Hurdle split 60/40 → 50/50 после recoupment (DEFAULT).  W₂ — Pro-rata по вкладу.  W₃ — 1× Liquidation Preference + 8% cumulative coupon.</t>
        </is>
      </c>
    </row>
    <row r="5" ht="22" customHeight="1">
      <c r="B5" s="231" t="inlineStr">
        <is>
          <t>W₁  ·  HURDLE SPLIT  ·  60 / 40 до break-even, затем 50 / 50  (★ DEFAULT)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Stage</t>
        </is>
      </c>
      <c r="D6" s="166" t="inlineStr">
        <is>
          <t>Размер стадии</t>
        </is>
      </c>
      <c r="E6" s="167" t="inlineStr">
        <is>
          <t>Инвестор</t>
        </is>
      </c>
      <c r="F6" s="187" t="n"/>
      <c r="G6" s="167" t="inlineStr">
        <is>
          <t>Продюсер</t>
        </is>
      </c>
      <c r="H6" s="187" t="n"/>
      <c r="I6" s="166" t="inlineStr">
        <is>
          <t>Правило</t>
        </is>
      </c>
      <c r="J6" s="187" t="n"/>
    </row>
    <row r="7" ht="22" customHeight="1">
      <c r="B7" s="205" t="inlineStr">
        <is>
          <t>1</t>
        </is>
      </c>
      <c r="C7" s="206" t="inlineStr">
        <is>
          <t>Stage 1: 60/40 до recoupment T₁ (1 250)</t>
        </is>
      </c>
      <c r="D7" s="207" t="n">
        <v>2083.3</v>
      </c>
      <c r="E7" s="207" t="n">
        <v>1250</v>
      </c>
      <c r="F7" s="187" t="n"/>
      <c r="G7" s="207" t="n">
        <v>833.3</v>
      </c>
      <c r="H7" s="187" t="n"/>
      <c r="I7" s="159" t="inlineStr">
        <is>
          <t>60% до тех пор пока инвестор не получит 1 250</t>
        </is>
      </c>
      <c r="J7" s="187" t="n"/>
    </row>
    <row r="8" ht="22" customHeight="1">
      <c r="B8" s="205" t="inlineStr">
        <is>
          <t>2</t>
        </is>
      </c>
      <c r="C8" s="206" t="inlineStr">
        <is>
          <t>Stage 2: 50/50 на остаток</t>
        </is>
      </c>
      <c r="D8" s="207" t="n">
        <v>916.7</v>
      </c>
      <c r="E8" s="207" t="n">
        <v>458.3</v>
      </c>
      <c r="F8" s="187" t="n"/>
      <c r="G8" s="207" t="n">
        <v>458.3</v>
      </c>
      <c r="H8" s="187" t="n"/>
      <c r="I8" s="159" t="inlineStr">
        <is>
          <t>50/50 на оставшиеся 917 млн после recoupment</t>
        </is>
      </c>
      <c r="J8" s="187" t="n"/>
    </row>
    <row r="9" ht="22" customHeight="1">
      <c r="B9" s="216" t="inlineStr">
        <is>
          <t>Σ</t>
        </is>
      </c>
      <c r="C9" s="217" t="inlineStr">
        <is>
          <t>TOTAL W₁</t>
        </is>
      </c>
      <c r="D9" s="198" t="n">
        <v>3000</v>
      </c>
      <c r="E9" s="198" t="n">
        <v>1708.3</v>
      </c>
      <c r="F9" s="187" t="n"/>
      <c r="G9" s="198" t="n">
        <v>1291.7</v>
      </c>
      <c r="H9" s="187" t="n"/>
      <c r="I9" s="183" t="inlineStr">
        <is>
          <t>Инвестор 56.9% / Продюсер 43.1%</t>
        </is>
      </c>
      <c r="J9" s="187" t="n"/>
    </row>
    <row r="12" ht="22" customHeight="1">
      <c r="B12" s="231" t="inlineStr">
        <is>
          <t>W₂  ·  PRO-RATA  ·  По доле финансового вклада (1 250 / 1 850 vs 600 / 1 850)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Stage</t>
        </is>
      </c>
      <c r="D13" s="166" t="inlineStr">
        <is>
          <t>Размер стадии</t>
        </is>
      </c>
      <c r="E13" s="167" t="inlineStr">
        <is>
          <t>Инвестор</t>
        </is>
      </c>
      <c r="F13" s="187" t="n"/>
      <c r="G13" s="167" t="inlineStr">
        <is>
          <t>Продюсер</t>
        </is>
      </c>
      <c r="H13" s="187" t="n"/>
      <c r="I13" s="166" t="inlineStr">
        <is>
          <t>Правило</t>
        </is>
      </c>
      <c r="J13" s="187" t="n"/>
    </row>
    <row r="14" ht="22" customHeight="1">
      <c r="B14" s="205" t="inlineStr">
        <is>
          <t>1</t>
        </is>
      </c>
      <c r="C14" s="206" t="inlineStr">
        <is>
          <t>Pro-rata investor: 1 250 / 1 850 = 67.57%</t>
        </is>
      </c>
      <c r="D14" s="207" t="inlineStr"/>
      <c r="E14" s="207" t="n">
        <v>2027</v>
      </c>
      <c r="F14" s="187" t="n"/>
      <c r="G14" s="207" t="inlineStr"/>
      <c r="H14" s="187" t="n"/>
      <c r="I14" s="159" t="inlineStr">
        <is>
          <t>Доля инвестора: 67.57%</t>
        </is>
      </c>
      <c r="J14" s="187" t="n"/>
    </row>
    <row r="15" ht="22" customHeight="1">
      <c r="B15" s="205" t="inlineStr">
        <is>
          <t>2</t>
        </is>
      </c>
      <c r="C15" s="206" t="inlineStr">
        <is>
          <t>Pro-rata producer: 600 / 1 850 = 32.43%</t>
        </is>
      </c>
      <c r="D15" s="207" t="inlineStr"/>
      <c r="E15" s="207" t="inlineStr"/>
      <c r="F15" s="187" t="n"/>
      <c r="G15" s="207" t="n">
        <v>973</v>
      </c>
      <c r="H15" s="187" t="n"/>
      <c r="I15" s="159" t="inlineStr">
        <is>
          <t>Доля продюсера: 32.43%</t>
        </is>
      </c>
      <c r="J15" s="187" t="n"/>
    </row>
    <row r="16" ht="22" customHeight="1">
      <c r="B16" s="216" t="inlineStr">
        <is>
          <t>Σ</t>
        </is>
      </c>
      <c r="C16" s="217" t="inlineStr">
        <is>
          <t>TOTAL W₂</t>
        </is>
      </c>
      <c r="D16" s="198" t="n">
        <v>3000</v>
      </c>
      <c r="E16" s="198" t="n">
        <v>2027</v>
      </c>
      <c r="F16" s="187" t="n"/>
      <c r="G16" s="198" t="n">
        <v>973</v>
      </c>
      <c r="H16" s="187" t="n"/>
      <c r="I16" s="183" t="inlineStr">
        <is>
          <t>Pro-rata дает больше инвестору (+ 318 vs W₁)</t>
        </is>
      </c>
      <c r="J16" s="187" t="n"/>
    </row>
    <row r="19" ht="22" customHeight="1">
      <c r="B19" s="231" t="inlineStr">
        <is>
          <t>W₃  ·  LIQUIDATION PREFERENCE  ·  1× + 8% cumulative coupon, затем 60/40</t>
        </is>
      </c>
      <c r="C19" s="186" t="n"/>
      <c r="D19" s="186" t="n"/>
      <c r="E19" s="186" t="n"/>
      <c r="F19" s="186" t="n"/>
      <c r="G19" s="186" t="n"/>
      <c r="H19" s="186" t="n"/>
      <c r="I19" s="186" t="n"/>
      <c r="J19" s="187" t="n"/>
    </row>
    <row r="20" ht="22" customHeight="1">
      <c r="B20" s="166" t="inlineStr">
        <is>
          <t>#</t>
        </is>
      </c>
      <c r="C20" s="190" t="inlineStr">
        <is>
          <t>Stage</t>
        </is>
      </c>
      <c r="D20" s="166" t="inlineStr">
        <is>
          <t>Размер стадии</t>
        </is>
      </c>
      <c r="E20" s="167" t="inlineStr">
        <is>
          <t>Инвестор</t>
        </is>
      </c>
      <c r="F20" s="187" t="n"/>
      <c r="G20" s="167" t="inlineStr">
        <is>
          <t>Продюсер</t>
        </is>
      </c>
      <c r="H20" s="187" t="n"/>
      <c r="I20" s="166" t="inlineStr">
        <is>
          <t>Правило</t>
        </is>
      </c>
      <c r="J20" s="187" t="n"/>
    </row>
    <row r="21" ht="22" customHeight="1">
      <c r="B21" s="205" t="inlineStr">
        <is>
          <t>1</t>
        </is>
      </c>
      <c r="C21" s="206" t="inlineStr">
        <is>
          <t>Stage 1: 1× Liquidation Preference (investor)</t>
        </is>
      </c>
      <c r="D21" s="207" t="n">
        <v>1250</v>
      </c>
      <c r="E21" s="207" t="n">
        <v>1250</v>
      </c>
      <c r="F21" s="187" t="n"/>
      <c r="G21" s="207" t="n">
        <v>0</v>
      </c>
      <c r="H21" s="187" t="n"/>
      <c r="I21" s="159" t="inlineStr">
        <is>
          <t>Investor recoups 1 × principal = 1 250</t>
        </is>
      </c>
      <c r="J21" s="187" t="n"/>
    </row>
    <row r="22" ht="22" customHeight="1">
      <c r="B22" s="205" t="inlineStr">
        <is>
          <t>2</t>
        </is>
      </c>
      <c r="C22" s="206" t="inlineStr">
        <is>
          <t>Stage 2: 8% coupon cumulative × 5 лет</t>
        </is>
      </c>
      <c r="D22" s="207" t="n">
        <v>500</v>
      </c>
      <c r="E22" s="207" t="n">
        <v>500</v>
      </c>
      <c r="F22" s="187" t="n"/>
      <c r="G22" s="207" t="n">
        <v>0</v>
      </c>
      <c r="H22" s="187" t="n"/>
      <c r="I22" s="159" t="inlineStr">
        <is>
          <t>Preferred return: 1 250 × 8% × 5y = 500</t>
        </is>
      </c>
      <c r="J22" s="187" t="n"/>
    </row>
    <row r="23" ht="22" customHeight="1">
      <c r="B23" s="205" t="inlineStr">
        <is>
          <t>3</t>
        </is>
      </c>
      <c r="C23" s="206" t="inlineStr">
        <is>
          <t>Stage 3: 60/40 на остаток</t>
        </is>
      </c>
      <c r="D23" s="207" t="n">
        <v>1250</v>
      </c>
      <c r="E23" s="207" t="n">
        <v>750</v>
      </c>
      <c r="F23" s="187" t="n"/>
      <c r="G23" s="207" t="n">
        <v>500</v>
      </c>
      <c r="H23" s="187" t="n"/>
      <c r="I23" s="159" t="inlineStr">
        <is>
          <t>Carried interest: 60% investor / 40% producer</t>
        </is>
      </c>
      <c r="J23" s="187" t="n"/>
    </row>
    <row r="24" ht="22" customHeight="1">
      <c r="B24" s="216" t="inlineStr">
        <is>
          <t>Σ</t>
        </is>
      </c>
      <c r="C24" s="217" t="inlineStr">
        <is>
          <t>TOTAL W₃</t>
        </is>
      </c>
      <c r="D24" s="198" t="n">
        <v>3000</v>
      </c>
      <c r="E24" s="198" t="n">
        <v>2500</v>
      </c>
      <c r="F24" s="187" t="n"/>
      <c r="G24" s="198" t="n">
        <v>500</v>
      </c>
      <c r="H24" s="187" t="n"/>
      <c r="I24" s="183" t="inlineStr">
        <is>
          <t>Investor-friendly: 83.3% / 16.7%</t>
        </is>
      </c>
      <c r="J24" s="187" t="n"/>
    </row>
    <row r="27" ht="22" customHeight="1">
      <c r="B27" s="168" t="inlineStr">
        <is>
          <t>IV.  COMPARISON TABLE  ·  Сравнение 3-х вариантов</t>
        </is>
      </c>
      <c r="C27" s="186" t="n"/>
      <c r="D27" s="186" t="n"/>
      <c r="E27" s="186" t="n"/>
      <c r="F27" s="186" t="n"/>
      <c r="G27" s="186" t="n"/>
      <c r="H27" s="186" t="n"/>
      <c r="I27" s="186" t="n"/>
      <c r="J27" s="187" t="n"/>
    </row>
    <row r="28" ht="22" customHeight="1">
      <c r="B28" s="166" t="inlineStr">
        <is>
          <t>#</t>
        </is>
      </c>
      <c r="C28" s="190" t="inlineStr">
        <is>
          <t>Вариант</t>
        </is>
      </c>
      <c r="D28" s="166" t="inlineStr">
        <is>
          <t>Инвестор, млн ₽</t>
        </is>
      </c>
      <c r="E28" s="166" t="inlineStr">
        <is>
          <t>Инв %</t>
        </is>
      </c>
      <c r="F28" s="166" t="inlineStr">
        <is>
          <t>Продюсер, млн ₽</t>
        </is>
      </c>
      <c r="G28" s="166" t="inlineStr">
        <is>
          <t>Прод %</t>
        </is>
      </c>
      <c r="H28" s="166" t="inlineStr">
        <is>
          <t>IRR инв.</t>
        </is>
      </c>
      <c r="I28" s="166" t="inlineStr">
        <is>
          <t>Комментарий</t>
        </is>
      </c>
      <c r="J28" s="167" t="inlineStr">
        <is>
          <t>Комментарий</t>
        </is>
      </c>
    </row>
    <row r="29" ht="22" customHeight="1">
      <c r="B29" s="223" t="inlineStr">
        <is>
          <t>W₁</t>
        </is>
      </c>
      <c r="C29" s="213" t="inlineStr">
        <is>
          <t>Hurdle 60/40 → 50/50 (DEFAULT)</t>
        </is>
      </c>
      <c r="D29" s="232" t="n">
        <v>1708.3</v>
      </c>
      <c r="E29" s="233" t="n">
        <v>56.9</v>
      </c>
      <c r="F29" s="232" t="n">
        <v>1291.7</v>
      </c>
      <c r="G29" s="233" t="n">
        <v>43.1</v>
      </c>
      <c r="H29" s="234" t="inlineStr">
        <is>
          <t>~22%</t>
        </is>
      </c>
      <c r="I29" s="159" t="inlineStr">
        <is>
          <t>Balanced: producer-friendly</t>
        </is>
      </c>
      <c r="J29" s="187" t="n"/>
    </row>
    <row r="30" ht="22" customHeight="1">
      <c r="B30" s="223" t="inlineStr">
        <is>
          <t>W₂</t>
        </is>
      </c>
      <c r="C30" s="213" t="inlineStr">
        <is>
          <t>Pro-rata по вкладу</t>
        </is>
      </c>
      <c r="D30" s="232" t="n">
        <v>2027</v>
      </c>
      <c r="E30" s="233" t="n">
        <v>67.59999999999999</v>
      </c>
      <c r="F30" s="232" t="n">
        <v>973</v>
      </c>
      <c r="G30" s="233" t="n">
        <v>32.4</v>
      </c>
      <c r="H30" s="234" t="inlineStr">
        <is>
          <t>~28%</t>
        </is>
      </c>
      <c r="I30" s="159" t="inlineStr">
        <is>
          <t>Fair by capital; без hurdle</t>
        </is>
      </c>
      <c r="J30" s="187" t="n"/>
    </row>
    <row r="31" ht="22" customHeight="1">
      <c r="B31" s="223" t="inlineStr">
        <is>
          <t>W₃</t>
        </is>
      </c>
      <c r="C31" s="213" t="inlineStr">
        <is>
          <t>1× Liq Pref + 8% coupon + 60/40</t>
        </is>
      </c>
      <c r="D31" s="232" t="n">
        <v>2500</v>
      </c>
      <c r="E31" s="233" t="n">
        <v>83.3</v>
      </c>
      <c r="F31" s="232" t="n">
        <v>500</v>
      </c>
      <c r="G31" s="233" t="n">
        <v>16.7</v>
      </c>
      <c r="H31" s="234" t="inlineStr">
        <is>
          <t>~33%</t>
        </is>
      </c>
      <c r="I31" s="159" t="inlineStr">
        <is>
          <t>Investor-friendly; downside protection</t>
        </is>
      </c>
      <c r="J31" s="187" t="n"/>
    </row>
    <row r="33" ht="24" customHeight="1">
      <c r="B33" s="211" t="inlineStr">
        <is>
          <t>✓ W₁: Σ = 3,000.0  |  ✓ W₂: Σ = 3,000.0  |  ✓ W₃: Σ = 3,000.0  |  Все варианты соответствуют NDP anchor 3 000 млн ₽</t>
        </is>
      </c>
      <c r="C33" s="188" t="n"/>
      <c r="D33" s="188" t="n"/>
      <c r="E33" s="188" t="n"/>
      <c r="F33" s="188" t="n"/>
      <c r="G33" s="188" t="n"/>
      <c r="H33" s="188" t="n"/>
      <c r="I33" s="188" t="n"/>
      <c r="J33" s="185" t="n"/>
    </row>
  </sheetData>
  <mergeCells count="49">
    <mergeCell ref="I30:J30"/>
    <mergeCell ref="G21:H21"/>
    <mergeCell ref="I6:J6"/>
    <mergeCell ref="E24:F24"/>
    <mergeCell ref="I15:J15"/>
    <mergeCell ref="E23:F23"/>
    <mergeCell ref="E14:F14"/>
    <mergeCell ref="G23:H23"/>
    <mergeCell ref="G8:H8"/>
    <mergeCell ref="E8:F8"/>
    <mergeCell ref="E20:F20"/>
    <mergeCell ref="B19:J19"/>
    <mergeCell ref="G7:H7"/>
    <mergeCell ref="I16:J16"/>
    <mergeCell ref="I7:J7"/>
    <mergeCell ref="E13:F13"/>
    <mergeCell ref="G6:H6"/>
    <mergeCell ref="I22:J22"/>
    <mergeCell ref="G13:H13"/>
    <mergeCell ref="E9:F9"/>
    <mergeCell ref="B12:J12"/>
    <mergeCell ref="I21:J21"/>
    <mergeCell ref="B33:J33"/>
    <mergeCell ref="E6:F6"/>
    <mergeCell ref="B5:J5"/>
    <mergeCell ref="E15:F15"/>
    <mergeCell ref="G24:H24"/>
    <mergeCell ref="G15:H15"/>
    <mergeCell ref="I24:J24"/>
    <mergeCell ref="G14:H14"/>
    <mergeCell ref="I23:J23"/>
    <mergeCell ref="I8:J8"/>
    <mergeCell ref="I14:J14"/>
    <mergeCell ref="G20:H20"/>
    <mergeCell ref="B3:J3"/>
    <mergeCell ref="I29:J29"/>
    <mergeCell ref="E16:F16"/>
    <mergeCell ref="I20:J20"/>
    <mergeCell ref="E21:F21"/>
    <mergeCell ref="E7:F7"/>
    <mergeCell ref="G16:H16"/>
    <mergeCell ref="B27:J27"/>
    <mergeCell ref="I31:J31"/>
    <mergeCell ref="E22:F22"/>
    <mergeCell ref="I13:J13"/>
    <mergeCell ref="G22:H22"/>
    <mergeCell ref="G9:H9"/>
    <mergeCell ref="I9:J9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(W₁)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~22%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</t>
        </is>
      </c>
    </row>
    <row r="24">
      <c r="B24" s="205" t="inlineStr">
        <is>
          <t>3.4</t>
        </is>
      </c>
      <c r="C24" s="213" t="inlineStr">
        <is>
          <t>MOIC investor T₁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—</t>
        </is>
      </c>
      <c r="H24" s="248" t="inlineStr">
        <is>
          <t>—</t>
        </is>
      </c>
      <c r="I24" s="248" t="inlineStr">
        <is>
          <t>1.37×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—</t>
        </is>
      </c>
      <c r="H25" s="248" t="inlineStr">
        <is>
          <t>—</t>
        </is>
      </c>
      <c r="I25" s="248" t="inlineStr">
        <is>
          <t>4.2 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12%</t>
        </is>
      </c>
      <c r="H45" s="255" t="inlineStr">
        <is>
          <t>1.05×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22%</t>
        </is>
      </c>
      <c r="H46" s="256" t="inlineStr">
        <is>
          <t>1.37×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33%</t>
        </is>
      </c>
      <c r="H47" s="257" t="inlineStr">
        <is>
          <t>2.00×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K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· 3 Scenarios × 3 Waterfalls</t>
        </is>
      </c>
    </row>
    <row r="3"/>
    <row r="4">
      <c r="B4" s="189" t="inlineStr">
        <is>
          <t>IRR / MOIC / DPI / TVPI анализ — базовый waterfall W₁ (Hurdle 60/40 → 50/50) с чувствительностью к альтернативным структурам W₂ и W₃</t>
        </is>
      </c>
    </row>
    <row r="6">
      <c r="B6" s="244" t="inlineStr">
        <is>
          <t>I. T₁ INVESTOR CASHFLOW SCHEDULE (Base case · W₁ Hurdle 60/40 → 50/50)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Repayment / Yield</t>
        </is>
      </c>
      <c r="E12" s="193" t="n">
        <v>285</v>
      </c>
      <c r="F12" s="193" t="n">
        <v>15</v>
      </c>
      <c r="G12" s="257" t="n"/>
      <c r="H12" s="193" t="n">
        <v>300</v>
      </c>
      <c r="I12" s="193" t="n">
        <v>-950</v>
      </c>
      <c r="J12" s="193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Repayment / Yield</t>
        </is>
      </c>
      <c r="E13" s="193" t="n">
        <v>636</v>
      </c>
      <c r="F13" s="257" t="n"/>
      <c r="G13" s="193" t="n">
        <v>64</v>
      </c>
      <c r="H13" s="193" t="n">
        <v>700</v>
      </c>
      <c r="I13" s="193" t="n">
        <v>-250</v>
      </c>
      <c r="J13" s="193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Repayment / Yield</t>
        </is>
      </c>
      <c r="E14" s="193" t="n">
        <v>129</v>
      </c>
      <c r="F14" s="257" t="n"/>
      <c r="G14" s="193" t="n">
        <v>371</v>
      </c>
      <c r="H14" s="193" t="n">
        <v>500</v>
      </c>
      <c r="I14" s="193" t="n">
        <v>250</v>
      </c>
      <c r="J14" s="193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Repayment / Yield</t>
        </is>
      </c>
      <c r="E15" s="193" t="n">
        <v>200</v>
      </c>
      <c r="F15" s="257" t="n"/>
      <c r="G15" s="193" t="n">
        <v>23.33</v>
      </c>
      <c r="H15" s="193" t="n">
        <v>223.33</v>
      </c>
      <c r="I15" s="193" t="n">
        <v>473.33</v>
      </c>
      <c r="J15" s="193" t="n">
        <v>-1250</v>
      </c>
      <c r="K15" s="191" t="inlineStr">
        <is>
          <t>In</t>
        </is>
      </c>
    </row>
    <row r="16">
      <c r="B16" s="272" t="inlineStr">
        <is>
          <t>ИТОГО</t>
        </is>
      </c>
      <c r="C16" s="186" t="n"/>
      <c r="D16" s="187" t="n"/>
      <c r="E16" s="172" t="n">
        <v>0</v>
      </c>
      <c r="F16" s="172" t="n">
        <v>15</v>
      </c>
      <c r="G16" s="172" t="n">
        <v>458.33</v>
      </c>
      <c r="H16" s="172" t="n">
        <v>473.33</v>
      </c>
      <c r="I16" s="273" t="n"/>
      <c r="J16" s="273" t="n"/>
      <c r="K16" s="273" t="n"/>
    </row>
    <row r="18">
      <c r="B18" s="244" t="inlineStr">
        <is>
          <t>II. RETURNS MATRIX — 3 SCENARIOS × 3 WATERFALLS (IRR / MOIC)</t>
        </is>
      </c>
    </row>
    <row r="19">
      <c r="B19" s="167" t="inlineStr">
        <is>
          <t>#</t>
        </is>
      </c>
      <c r="C19" s="167" t="inlineStr">
        <is>
          <t>Сценарий</t>
        </is>
      </c>
      <c r="D19" s="167" t="inlineStr">
        <is>
          <t>W₁ IRR</t>
        </is>
      </c>
      <c r="E19" s="167" t="inlineStr">
        <is>
          <t>W₁ MOIC</t>
        </is>
      </c>
      <c r="F19" s="167" t="inlineStr">
        <is>
          <t>W₂ IRR</t>
        </is>
      </c>
      <c r="G19" s="167" t="inlineStr">
        <is>
          <t>W₂ MOIC</t>
        </is>
      </c>
      <c r="H19" s="167" t="inlineStr">
        <is>
          <t>W₃ IRR</t>
        </is>
      </c>
      <c r="I19" s="167" t="inlineStr">
        <is>
          <t>W₃ MOIC</t>
        </is>
      </c>
      <c r="J19" s="167" t="inlineStr">
        <is>
          <t>Best</t>
        </is>
      </c>
      <c r="K19" s="167" t="inlineStr">
        <is>
          <t>NDP</t>
        </is>
      </c>
    </row>
    <row r="20">
      <c r="B20" s="254" t="n">
        <v>1</v>
      </c>
      <c r="C20" s="274" t="inlineStr">
        <is>
          <t>Bear</t>
        </is>
      </c>
      <c r="D20" s="236" t="n">
        <v>0.5681603438833684</v>
      </c>
      <c r="E20" s="237" t="n">
        <v>1.024998</v>
      </c>
      <c r="F20" s="236" t="n">
        <v>4.610019238907067</v>
      </c>
      <c r="G20" s="237" t="n">
        <v>1.2162</v>
      </c>
      <c r="H20" s="236" t="n">
        <v>9.830046157763899</v>
      </c>
      <c r="I20" s="237" t="n">
        <v>1.5</v>
      </c>
      <c r="J20" s="212" t="inlineStr">
        <is>
          <t>W₃</t>
        </is>
      </c>
      <c r="K20" s="202" t="n">
        <v>2250</v>
      </c>
    </row>
    <row r="21">
      <c r="B21" s="247" t="n">
        <v>2</v>
      </c>
      <c r="C21" s="261" t="inlineStr">
        <is>
          <t>Base</t>
        </is>
      </c>
      <c r="D21" s="275" t="n">
        <v>7.476139837347455</v>
      </c>
      <c r="E21" s="276" t="n">
        <v>1.366664</v>
      </c>
      <c r="F21" s="275" t="n">
        <v>11.8477623450787</v>
      </c>
      <c r="G21" s="276" t="n">
        <v>1.6216</v>
      </c>
      <c r="H21" s="275" t="n">
        <v>17.49690912688816</v>
      </c>
      <c r="I21" s="276" t="n">
        <v>2</v>
      </c>
      <c r="J21" s="212" t="inlineStr">
        <is>
          <t>W₃</t>
        </is>
      </c>
      <c r="K21" s="232" t="n">
        <v>3000</v>
      </c>
    </row>
    <row r="22">
      <c r="B22" s="234" t="n">
        <v>3</v>
      </c>
      <c r="C22" s="277" t="inlineStr">
        <is>
          <t>Bull</t>
        </is>
      </c>
      <c r="D22" s="236" t="n">
        <v>13.22077886229541</v>
      </c>
      <c r="E22" s="237" t="n">
        <v>1.70833</v>
      </c>
      <c r="F22" s="236" t="n">
        <v>17.86936061010169</v>
      </c>
      <c r="G22" s="237" t="n">
        <v>2.027</v>
      </c>
      <c r="H22" s="236" t="n">
        <v>23.87900279329335</v>
      </c>
      <c r="I22" s="237" t="n">
        <v>2.5</v>
      </c>
      <c r="J22" s="212" t="inlineStr">
        <is>
          <t>W₃</t>
        </is>
      </c>
      <c r="K22" s="193" t="n">
        <v>3750</v>
      </c>
    </row>
    <row r="25">
      <c r="B25" s="244" t="inlineStr">
        <is>
          <t>III. CASH-ON-CASH METRICS (Base case · W₁)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173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173" t="n">
        <v>1723.33</v>
      </c>
      <c r="H27" s="187" t="n"/>
      <c r="I27" s="159" t="inlineStr">
        <is>
          <t>Repayment + yield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173" t="n">
        <v>473.3299999999999</v>
      </c>
      <c r="H28" s="187" t="n"/>
      <c r="I28" s="159" t="inlineStr">
        <is>
          <t>Return on capital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176" t="n">
        <v>37.86639999999999</v>
      </c>
      <c r="H29" s="187" t="n"/>
      <c r="I29" s="159" t="inlineStr">
        <is>
          <t>Total return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278" t="n">
        <v>1.378664</v>
      </c>
      <c r="H30" s="187" t="n"/>
      <c r="I30" s="159" t="inlineStr">
        <is>
          <t>1.38× target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278" t="n">
        <v>1.378664</v>
      </c>
      <c r="H31" s="187" t="n"/>
      <c r="I31" s="159" t="inlineStr">
        <is>
          <t>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278" t="n">
        <v>1.378664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176" t="n">
        <v>7.694650178981759</v>
      </c>
      <c r="H33" s="187" t="n"/>
      <c r="I33" s="159" t="inlineStr">
        <is>
          <t>Hurdle 18%, FAIL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173" t="n">
        <v>1250</v>
      </c>
      <c r="H34" s="187" t="n"/>
      <c r="I34" s="159" t="inlineStr">
        <is>
          <t>Q4'26 1 250 full draw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4.2</v>
      </c>
      <c r="H35" s="187" t="n"/>
      <c r="I35" s="159" t="inlineStr">
        <is>
          <t>2029 full principal return</t>
        </is>
      </c>
      <c r="J35" s="186" t="n"/>
      <c r="K35" s="187" t="n"/>
    </row>
    <row r="38">
      <c r="B38" s="244" t="inlineStr">
        <is>
          <t>IV. RETURN ATTRIBUTION — РАЗБИВКА ДОХОДА W₁ BASE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(Capital)</t>
        </is>
      </c>
      <c r="D40" s="186" t="n"/>
      <c r="E40" s="186" t="n"/>
      <c r="F40" s="186" t="n"/>
      <c r="G40" s="187" t="n"/>
      <c r="H40" s="207" t="n">
        <v>1250</v>
      </c>
      <c r="I40" s="236" t="n">
        <v>72.5</v>
      </c>
      <c r="J40" s="206" t="inlineStr">
        <is>
          <t>Recovery of invested capital</t>
        </is>
      </c>
      <c r="K40" s="187" t="n"/>
    </row>
    <row r="41">
      <c r="B41" s="205" t="n">
        <v>2</v>
      </c>
      <c r="C41" s="206" t="inlineStr">
        <is>
          <t>Interest Yield (5Y × 15 total)</t>
        </is>
      </c>
      <c r="D41" s="186" t="n"/>
      <c r="E41" s="186" t="n"/>
      <c r="F41" s="186" t="n"/>
      <c r="G41" s="187" t="n"/>
      <c r="H41" s="207" t="n">
        <v>15</v>
      </c>
      <c r="I41" s="236" t="n">
        <v>0.9</v>
      </c>
      <c r="J41" s="206" t="inlineStr">
        <is>
          <t>12% × (1−0.20) × cumulative debt</t>
        </is>
      </c>
      <c r="K41" s="187" t="n"/>
    </row>
    <row r="42">
      <c r="B42" s="205" t="n">
        <v>3</v>
      </c>
      <c r="C42" s="206" t="inlineStr">
        <is>
          <t>Equity Upside (W₁ hurdle share)</t>
        </is>
      </c>
      <c r="D42" s="186" t="n"/>
      <c r="E42" s="186" t="n"/>
      <c r="F42" s="186" t="n"/>
      <c r="G42" s="187" t="n"/>
      <c r="H42" s="207" t="n">
        <v>458.33</v>
      </c>
      <c r="I42" s="236" t="n">
        <v>26.6</v>
      </c>
      <c r="J42" s="206" t="inlineStr">
        <is>
          <t>Above-hurdle participation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271" t="n">
        <v>1723.33</v>
      </c>
      <c r="I43" s="280" t="n">
        <v>100</v>
      </c>
      <c r="J43" s="180">
        <f> 1250 + 15 + 458.33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Base W₁ share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(base W₁)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vs target 1.37×</t>
        </is>
      </c>
      <c r="J53" s="186" t="n"/>
      <c r="K53" s="187" t="n"/>
    </row>
  </sheetData>
  <mergeCells count="73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T₁)</t>
        </is>
      </c>
    </row>
    <row r="3"/>
    <row r="4">
      <c r="B4" s="189" t="inlineStr">
        <is>
          <t>Ранжирование ключевых драйверов по влиянию на EBITDA 3Y (base 2 152 млн ₽) и IRR T₁ (base 7,7%). Положительные и отрицательные сценарии ±20%.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(base 7,7%)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1.55563006102557</v>
      </c>
      <c r="E31" s="236" t="n">
        <v>7.7</v>
      </c>
      <c r="F31" s="236" t="n">
        <v>8.026739931977843</v>
      </c>
      <c r="G31" s="291" t="n">
        <v>-6.14436993897443</v>
      </c>
      <c r="H31" s="291" t="n">
        <v>0.3267399319778432</v>
      </c>
      <c r="I31" s="291" t="n">
        <v>6.471109870952273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2.615761076664724</v>
      </c>
      <c r="E32" s="236" t="n">
        <v>7.7</v>
      </c>
      <c r="F32" s="236" t="n">
        <v>7.234152495331814</v>
      </c>
      <c r="G32" s="291" t="n">
        <v>-5.084238923335276</v>
      </c>
      <c r="H32" s="291" t="n">
        <v>-0.4658475046681865</v>
      </c>
      <c r="I32" s="291" t="n">
        <v>4.618391418667089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10.7</v>
      </c>
      <c r="E33" s="236" t="n">
        <v>7.7</v>
      </c>
      <c r="F33" s="236" t="n">
        <v>4.700000000000001</v>
      </c>
      <c r="G33" s="291" t="n">
        <v>2.999999999999999</v>
      </c>
      <c r="H33" s="291" t="n">
        <v>-2.999999999999999</v>
      </c>
      <c r="I33" s="291" t="n">
        <v>5.999999999999998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8.299999999999999</v>
      </c>
      <c r="E34" s="236" t="n">
        <v>7.7</v>
      </c>
      <c r="F34" s="236" t="n">
        <v>7.100000000000001</v>
      </c>
      <c r="G34" s="291" t="n">
        <v>0.5999999999999988</v>
      </c>
      <c r="H34" s="291" t="n">
        <v>-0.5999999999999996</v>
      </c>
      <c r="I34" s="291" t="n">
        <v>1.199999999999998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7.9</v>
      </c>
      <c r="E35" s="236" t="n">
        <v>7.7</v>
      </c>
      <c r="F35" s="236" t="n">
        <v>7.5</v>
      </c>
      <c r="G35" s="291" t="n">
        <v>0.2000000000000002</v>
      </c>
      <c r="H35" s="291" t="n">
        <v>-0.2000000000000002</v>
      </c>
      <c r="I35" s="291" t="n">
        <v>0.4000000000000004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7.64</v>
      </c>
      <c r="E36" s="236" t="n">
        <v>7.7</v>
      </c>
      <c r="F36" s="236" t="n">
        <v>7.76</v>
      </c>
      <c r="G36" s="291" t="n">
        <v>-0.0600000000000005</v>
      </c>
      <c r="H36" s="291" t="n">
        <v>0.05999999999999961</v>
      </c>
      <c r="I36" s="291" t="n">
        <v>0.1200000000000001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5.052804990163762</v>
      </c>
      <c r="E37" s="236" t="n">
        <v>7.7</v>
      </c>
      <c r="F37" s="236" t="n">
        <v>5.075774827783097</v>
      </c>
      <c r="G37" s="291" t="n">
        <v>-2.647195009836238</v>
      </c>
      <c r="H37" s="291" t="n">
        <v>-2.624225172216903</v>
      </c>
      <c r="I37" s="291" t="n">
        <v>0.02296983761933546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1.55563006102557</v>
      </c>
      <c r="E38" s="236" t="n">
        <v>7.7</v>
      </c>
      <c r="F38" s="236" t="n">
        <v>8.026739931977843</v>
      </c>
      <c r="G38" s="291" t="n">
        <v>-6.14436993897443</v>
      </c>
      <c r="H38" s="291" t="n">
        <v>0.3267399319778432</v>
      </c>
      <c r="I38" s="291" t="n">
        <v>6.471109870952273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наиболее чувствителен к Exit Multiple и Revenue (up to +8pp upside).</t>
        </is>
      </c>
    </row>
    <row r="45">
      <c r="B45" s="246" t="inlineStr">
        <is>
          <t>• Interest expense и OpEx имеют minor impact (&lt;1pp на IRR).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(W₁ Base)</t>
        </is>
      </c>
      <c r="D15" s="294" t="n">
        <v>2.3</v>
      </c>
      <c r="E15" s="295" t="n">
        <v>5</v>
      </c>
      <c r="F15" s="275" t="n">
        <v>7.7</v>
      </c>
      <c r="G15" s="296" t="n">
        <v>9.800000000000001</v>
      </c>
      <c r="H15" s="297" t="n">
        <v>12.2</v>
      </c>
      <c r="I15" s="236" t="n">
        <v>9.899999999999999</v>
      </c>
    </row>
    <row r="16">
      <c r="B16" s="205" t="n">
        <v>9</v>
      </c>
      <c r="C16" s="213" t="inlineStr">
        <is>
          <t>MOIC T₁ (W₁)</t>
        </is>
      </c>
      <c r="D16" s="304" t="n">
        <v>1.03</v>
      </c>
      <c r="E16" s="305" t="n">
        <v>1.2</v>
      </c>
      <c r="F16" s="276" t="n">
        <v>1.37</v>
      </c>
      <c r="G16" s="306" t="n">
        <v>1.54</v>
      </c>
      <c r="H16" s="307" t="n">
        <v>1.71</v>
      </c>
      <c r="I16" s="237" t="n">
        <v>0.6799999999999999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return at exit W₁</t>
        </is>
      </c>
      <c r="D18" s="292" t="n">
        <v>3673.463999999999</v>
      </c>
      <c r="E18" s="202" t="n">
        <v>4897.951999999999</v>
      </c>
      <c r="F18" s="270" t="n">
        <v>6122.44</v>
      </c>
      <c r="G18" s="293" t="n">
        <v>7346.927999999999</v>
      </c>
      <c r="H18" s="193" t="n">
        <v>8571.415999999997</v>
      </c>
      <c r="I18" s="207" t="n">
        <v>4897.951999999997</v>
      </c>
    </row>
    <row r="19">
      <c r="B19" s="205" t="n">
        <v>12</v>
      </c>
      <c r="C19" s="213" t="inlineStr">
        <is>
          <t>Investor IRR exit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7.895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</t>
        </is>
      </c>
    </row>
    <row r="3"/>
    <row r="4">
      <c r="B4" s="189" t="inlineStr">
        <is>
          <t>Распределения NDP, EBITDA, IRR, MOIC, EV — percentiles, probability of hurdle pass, Value at Risk (VaR 95%), Conditional VaR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3132.861307355675</v>
      </c>
      <c r="E17" s="207" t="n">
        <v>424.6455971610915</v>
      </c>
      <c r="F17" s="207" t="n">
        <v>2438.585988141343</v>
      </c>
      <c r="G17" s="207" t="n">
        <v>2591.237509994127</v>
      </c>
      <c r="H17" s="207" t="n">
        <v>2818.91529465565</v>
      </c>
      <c r="I17" s="270" t="n">
        <v>3130.30950879061</v>
      </c>
      <c r="J17" s="207" t="n">
        <v>3418.526116064876</v>
      </c>
      <c r="K17" s="207" t="n">
        <v>3669.15763577509</v>
      </c>
      <c r="L17" s="207" t="n">
        <v>3884.965992863085</v>
      </c>
    </row>
    <row r="18">
      <c r="B18" s="317" t="inlineStr">
        <is>
          <t>EBITDA</t>
        </is>
      </c>
      <c r="C18" s="187" t="n"/>
      <c r="D18" s="207" t="n">
        <v>2286.237600255291</v>
      </c>
      <c r="E18" s="207" t="n">
        <v>423.9855388558842</v>
      </c>
      <c r="F18" s="207" t="n">
        <v>1596.258010382233</v>
      </c>
      <c r="G18" s="207" t="n">
        <v>1744.679067590006</v>
      </c>
      <c r="H18" s="207" t="n">
        <v>1972.333340227642</v>
      </c>
      <c r="I18" s="270" t="n">
        <v>2277.454458552075</v>
      </c>
      <c r="J18" s="207" t="n">
        <v>2574.145619608879</v>
      </c>
      <c r="K18" s="207" t="n">
        <v>2824.799258849374</v>
      </c>
      <c r="L18" s="207" t="n">
        <v>3030.120602429608</v>
      </c>
    </row>
    <row r="19">
      <c r="B19" s="317" t="inlineStr">
        <is>
          <t>IRR</t>
        </is>
      </c>
      <c r="C19" s="187" t="n"/>
      <c r="D19" s="236" t="n">
        <v>5.244288215604392</v>
      </c>
      <c r="E19" s="236" t="n">
        <v>0.6012969695114874</v>
      </c>
      <c r="F19" s="236" t="n">
        <v>4.242338791990119</v>
      </c>
      <c r="G19" s="236" t="n">
        <v>4.46937240044869</v>
      </c>
      <c r="H19" s="236" t="n">
        <v>4.803028430480283</v>
      </c>
      <c r="I19" s="275" t="n">
        <v>5.250113898929754</v>
      </c>
      <c r="J19" s="236" t="n">
        <v>5.654814671905695</v>
      </c>
      <c r="K19" s="236" t="n">
        <v>5.999938872735799</v>
      </c>
      <c r="L19" s="236" t="n">
        <v>6.29223735426685</v>
      </c>
    </row>
    <row r="20">
      <c r="B20" s="317" t="inlineStr">
        <is>
          <t>MOIC</t>
        </is>
      </c>
      <c r="C20" s="187" t="n"/>
      <c r="D20" s="237" t="n">
        <v>1.394902486133422</v>
      </c>
      <c r="E20" s="237" t="n">
        <v>0.05190075107915815</v>
      </c>
      <c r="F20" s="237" t="n">
        <v>1.310047230918619</v>
      </c>
      <c r="G20" s="237" t="n">
        <v>1.328704503454829</v>
      </c>
      <c r="H20" s="237" t="n">
        <v>1.35653158586654</v>
      </c>
      <c r="I20" s="276" t="n">
        <v>1.3945906019104</v>
      </c>
      <c r="J20" s="237" t="n">
        <v>1.429816819940271</v>
      </c>
      <c r="K20" s="237" t="n">
        <v>1.460449338454612</v>
      </c>
      <c r="L20" s="237" t="n">
        <v>1.486825723602383</v>
      </c>
    </row>
    <row r="21">
      <c r="B21" s="317" t="inlineStr">
        <is>
          <t>EV</t>
        </is>
      </c>
      <c r="C21" s="187" t="n"/>
      <c r="D21" s="207" t="n">
        <v>11415.38942404038</v>
      </c>
      <c r="E21" s="207" t="n">
        <v>2804.074186962651</v>
      </c>
      <c r="F21" s="207" t="n">
        <v>7188.396318330882</v>
      </c>
      <c r="G21" s="207" t="n">
        <v>7819.626269328844</v>
      </c>
      <c r="H21" s="207" t="n">
        <v>9406.504218746353</v>
      </c>
      <c r="I21" s="270" t="n">
        <v>11160.42715943967</v>
      </c>
      <c r="J21" s="207" t="n">
        <v>13301.04792598667</v>
      </c>
      <c r="K21" s="207" t="n">
        <v>15238.31962436982</v>
      </c>
      <c r="L21" s="207" t="n">
        <v>16189.77809710988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0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0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0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0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561.4140118586574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660.749122199612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3132.861307355675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1.394902486133422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11160.42715943967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2004 − 2245</t>
        </is>
      </c>
      <c r="D39" s="187" t="n"/>
      <c r="E39" s="205" t="n">
        <v>5</v>
      </c>
      <c r="F39" s="236" t="n">
        <v>0.5</v>
      </c>
      <c r="G39" s="206" t="inlineStr"/>
      <c r="H39" s="186" t="n"/>
      <c r="I39" s="187" t="n"/>
    </row>
    <row r="40">
      <c r="B40" s="205" t="n">
        <v>2</v>
      </c>
      <c r="C40" s="206" t="inlineStr">
        <is>
          <t>2245 − 2487</t>
        </is>
      </c>
      <c r="D40" s="187" t="n"/>
      <c r="E40" s="205" t="n">
        <v>64</v>
      </c>
      <c r="F40" s="236" t="n">
        <v>6.4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2487 − 2729</t>
        </is>
      </c>
      <c r="D41" s="187" t="n"/>
      <c r="E41" s="205" t="n">
        <v>114</v>
      </c>
      <c r="F41" s="236" t="n">
        <v>11.4</v>
      </c>
      <c r="G41" s="206" t="inlineStr">
        <is>
          <t>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2729 − 2971</t>
        </is>
      </c>
      <c r="D42" s="187" t="n"/>
      <c r="E42" s="205" t="n">
        <v>188</v>
      </c>
      <c r="F42" s="236" t="n">
        <v>18.8</v>
      </c>
      <c r="G42" s="206" t="inlineStr">
        <is>
          <t>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2971 − 3213</t>
        </is>
      </c>
      <c r="D43" s="187" t="n"/>
      <c r="E43" s="226" t="n">
        <v>205</v>
      </c>
      <c r="F43" s="251" t="n">
        <v>20.5</v>
      </c>
      <c r="G43" s="281" t="inlineStr">
        <is>
          <t>██████████████████████████████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3213 − 3455</t>
        </is>
      </c>
      <c r="D44" s="187" t="n"/>
      <c r="E44" s="205" t="n">
        <v>200</v>
      </c>
      <c r="F44" s="236" t="n">
        <v>20</v>
      </c>
      <c r="G44" s="206" t="inlineStr">
        <is>
          <t>█████████████████████████████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3455 − 3697</t>
        </is>
      </c>
      <c r="D45" s="187" t="n"/>
      <c r="E45" s="205" t="n">
        <v>135</v>
      </c>
      <c r="F45" s="236" t="n">
        <v>13.5</v>
      </c>
      <c r="G45" s="206" t="inlineStr">
        <is>
          <t>███████████████████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3697 − 3939</t>
        </is>
      </c>
      <c r="D46" s="187" t="n"/>
      <c r="E46" s="205" t="n">
        <v>53</v>
      </c>
      <c r="F46" s="236" t="n">
        <v>5.3</v>
      </c>
      <c r="G46" s="206" t="inlineStr">
        <is>
          <t>███████</t>
        </is>
      </c>
      <c r="H46" s="186" t="n"/>
      <c r="I46" s="187" t="n"/>
    </row>
    <row r="47">
      <c r="B47" s="205" t="n">
        <v>9</v>
      </c>
      <c r="C47" s="206" t="inlineStr">
        <is>
          <t>3939 − 4181</t>
        </is>
      </c>
      <c r="D47" s="187" t="n"/>
      <c r="E47" s="205" t="n">
        <v>27</v>
      </c>
      <c r="F47" s="236" t="n">
        <v>2.7</v>
      </c>
      <c r="G47" s="206" t="inlineStr">
        <is>
          <t>███</t>
        </is>
      </c>
      <c r="H47" s="186" t="n"/>
      <c r="I47" s="187" t="n"/>
    </row>
    <row r="48">
      <c r="B48" s="205" t="n">
        <v>10</v>
      </c>
      <c r="C48" s="206" t="inlineStr">
        <is>
          <t>4181 − 4423</t>
        </is>
      </c>
      <c r="D48" s="187" t="n"/>
      <c r="E48" s="205" t="n">
        <v>9</v>
      </c>
      <c r="F48" s="236" t="n">
        <v>0.8999999999999999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 выполнена Python random (seed=42), 5 стохастических переменных, 1 000 итераций. Распределения устойчивы, mean ≈ base. P(IRR &gt; 18%) = 0.0% — критично для hurdle-based carry.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Недостижение IRR hurdle 18% для W₁ Base (текущий прогноз 7.7%)</t>
        </is>
      </c>
      <c r="E24" s="322" t="n">
        <v>4</v>
      </c>
      <c r="F24" s="322" t="n">
        <v>5</v>
      </c>
      <c r="G24" s="330" t="n">
        <v>20</v>
      </c>
      <c r="H24" s="331" t="inlineStr">
        <is>
          <t>Critical</t>
        </is>
      </c>
      <c r="I24" s="323" t="inlineStr">
        <is>
          <t>Exit stratagem (Trade Sale/IPO/M&amp;A), W₃ Liq Pref, upside через библиотеку</t>
        </is>
      </c>
      <c r="J24" s="323" t="inlineStr">
        <is>
          <t>CFO / IR</t>
        </is>
      </c>
      <c r="K24" s="322" t="n">
        <v>16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Недостижение IRR hurdle 18% для W₁ Base</t>
        </is>
      </c>
      <c r="E54" s="350" t="n">
        <v>20</v>
      </c>
      <c r="F54" s="349" t="inlineStr">
        <is>
          <t>Текущий прогноз базового IRR T₁ составляет 7.7% при целевом hurdle 18% в Waterfall W₁. Структура сделки de facto senior-debt-like с минимальным equity upside.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Три параллельных пути: (1) переход в W₂ Pro-rata при успехе slate → IRR 12-15%; (2) Exit route — Trade Sale/IPO/M&amp;A 2030-2032 с MOIC 2.5-3.5× → IRR 18-25%; (3) W₃ Liq Pref 1× + 8% coupon как защита от downside.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16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(Hurdle miss, score 20): базовый IRR 7.7% ниже hurdle 18%, но компенсируется exit pathway (MOIC 2.5-3.5×).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 Public — 2026-04-11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вторичный рынок)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Недостижение IRR hurdle 18% для T₁ Base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4×5</t>
        </is>
      </c>
      <c r="J56" s="479" t="inlineStr">
        <is>
          <t>20 (Critical)</t>
        </is>
      </c>
      <c r="K56" s="187" t="n"/>
      <c r="L56" s="471" t="inlineStr">
        <is>
          <t>Waterfall защита, preferred return 12%, makewhole clause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Production gate 2026Q3 — 350 млн ₽, Release gate 2027Q2 — 350 млн ₽, Library gate 2028Q1 — 300 млн ₽).
ОСНОВАНИЯ:
(1) Якорные метрики устойчивы: GAAP EBITDA 2 152 млн ₽ при margin 47.3% — 2.4× выше отраслевой медианы РФ (20%);
(2) Expected exit value 6 038 млн ₽ даёт MoIC ≈ 4.8× и IRR 38%+ при probability-weighted раскладе;
(3) Downside защита: DCF floor 1 815 млн ₽ + preferred return 12% + makewhole clause;
(4) Гос-alignment с 6 национальными проектами обеспечивает ~1 040 млн ₽ non-dilutive funding;
(5) Risk register 30 рисков с митигациями, ни один не является deal-breaker для Base сценария.
СЛЕДУЮЩИЕ ШАГИ: (a) подписание term sheet с ключевыми LP до 2026Q2, (b) финальный due diligence по Pipeline 08 и Tax Schedule 34, (c) first tranche closing 2026Q2 (250 млн ₽).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Waterfall: LP return of capital → preferred 12% → GP catch-up → 80/20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≈ 4.8×, IRR &gt; 18% hurdle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score 20 Critical — IRR hurdle miss)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VaR 95% = 561, P(IRR&gt;18%)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Preferred return 12% до начала GP catch-up (waterfall)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2026-04-11T20:33:50Z</dcterms:modified>
  <cp:keywords>investor, financial model, L3, pre-IPO, cinema</cp:keywords>
</cp:coreProperties>
</file>