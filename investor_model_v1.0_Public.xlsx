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2167.4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1697.6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175</v>
      </c>
      <c r="G24" s="729" t="n">
        <v>348</v>
      </c>
      <c r="H24" s="729" t="n">
        <v>520</v>
      </c>
      <c r="I24" s="764" t="n">
        <v>1049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175</v>
      </c>
      <c r="G27" s="729" t="n">
        <v>348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Y4=20%, Y5=50%, Y6=15%, Y7=15% (simplified CF pattern)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50,000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3509.79</v>
      </c>
      <c r="E17" s="831" t="n">
        <v>485.25</v>
      </c>
      <c r="F17" s="831" t="n">
        <v>2736.87</v>
      </c>
      <c r="G17" s="831" t="n">
        <v>2877.67</v>
      </c>
      <c r="H17" s="831" t="n">
        <v>3160.85</v>
      </c>
      <c r="I17" s="822" t="n">
        <v>3494.27</v>
      </c>
      <c r="J17" s="831" t="n">
        <v>3843.05</v>
      </c>
      <c r="K17" s="831" t="n">
        <v>4159.66</v>
      </c>
      <c r="L17" s="831" t="n">
        <v>4332.14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2663.14</v>
      </c>
      <c r="E18" s="831" t="n">
        <v>484.49</v>
      </c>
      <c r="F18" s="831" t="n">
        <v>1889.2</v>
      </c>
      <c r="G18" s="831" t="n">
        <v>2031.83</v>
      </c>
      <c r="H18" s="831" t="n">
        <v>2314.9</v>
      </c>
      <c r="I18" s="822" t="n">
        <v>2647.61</v>
      </c>
      <c r="J18" s="831" t="n">
        <v>2995.06</v>
      </c>
      <c r="K18" s="831" t="n">
        <v>3311.14</v>
      </c>
      <c r="L18" s="831" t="n">
        <v>3485.19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7.24</v>
      </c>
      <c r="E19" s="832" t="n">
        <v>0.85</v>
      </c>
      <c r="F19" s="832" t="n">
        <v>5.86</v>
      </c>
      <c r="G19" s="832" t="n">
        <v>6.12</v>
      </c>
      <c r="H19" s="832" t="n">
        <v>6.63</v>
      </c>
      <c r="I19" s="812" t="n">
        <v>7.22</v>
      </c>
      <c r="J19" s="832" t="n">
        <v>7.83</v>
      </c>
      <c r="K19" s="832" t="n">
        <v>8.369999999999999</v>
      </c>
      <c r="L19" s="832" t="n">
        <v>8.65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1.44</v>
      </c>
      <c r="E20" s="833" t="n">
        <v>0.06</v>
      </c>
      <c r="F20" s="833" t="n">
        <v>1.35</v>
      </c>
      <c r="G20" s="833" t="n">
        <v>1.36</v>
      </c>
      <c r="H20" s="833" t="n">
        <v>1.4</v>
      </c>
      <c r="I20" s="817" t="n">
        <v>1.44</v>
      </c>
      <c r="J20" s="833" t="n">
        <v>1.48</v>
      </c>
      <c r="K20" s="833" t="n">
        <v>1.52</v>
      </c>
      <c r="L20" s="833" t="n">
        <v>1.54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13314.43</v>
      </c>
      <c r="E21" s="831" t="n">
        <v>3259.8</v>
      </c>
      <c r="F21" s="831" t="n">
        <v>8417.719999999999</v>
      </c>
      <c r="G21" s="831" t="n">
        <v>9279.42</v>
      </c>
      <c r="H21" s="831" t="n">
        <v>10946.07</v>
      </c>
      <c r="I21" s="822" t="n">
        <v>13042.44</v>
      </c>
      <c r="J21" s="831" t="n">
        <v>15410.43</v>
      </c>
      <c r="K21" s="831" t="n">
        <v>17707.09</v>
      </c>
      <c r="L21" s="831" t="n">
        <v>19091.63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0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19.4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0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0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263.1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398.8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3509.8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1.441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13042.4</v>
      </c>
      <c r="H34" s="473" t="n"/>
      <c r="I34" s="466" t="n"/>
    </row>
    <row r="37">
      <c r="B37" s="757" t="inlineStr">
        <is>
          <t>IV. NDP (чистые распределяемые поступления) DISTRIBUTION HISTOGRAM (50,000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2114 − 2453</t>
        </is>
      </c>
      <c r="D39" s="466" t="n"/>
      <c r="E39" s="457" t="n">
        <v>242</v>
      </c>
      <c r="F39" s="832" t="n">
        <v>0.5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2453 − 2791</t>
        </is>
      </c>
      <c r="D40" s="466" t="n"/>
      <c r="E40" s="457" t="n">
        <v>3128</v>
      </c>
      <c r="F40" s="832" t="n">
        <v>6.3</v>
      </c>
      <c r="G40" s="564" t="inlineStr">
        <is>
          <t>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2791 − 3130</t>
        </is>
      </c>
      <c r="D41" s="466" t="n"/>
      <c r="E41" s="457" t="n">
        <v>8132</v>
      </c>
      <c r="F41" s="832" t="n">
        <v>16.3</v>
      </c>
      <c r="G41" s="564" t="inlineStr">
        <is>
          <t>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3130 − 3469</t>
        </is>
      </c>
      <c r="D42" s="466" t="n"/>
      <c r="E42" s="457" t="n">
        <v>12467</v>
      </c>
      <c r="F42" s="832" t="n">
        <v>24.9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3469 − 3807</t>
        </is>
      </c>
      <c r="D43" s="466" t="n"/>
      <c r="E43" s="458" t="n">
        <v>12441</v>
      </c>
      <c r="F43" s="812" t="n">
        <v>24.9</v>
      </c>
      <c r="G43" s="590" t="inlineStr">
        <is>
          <t>██████████████████████████████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3807 − 4146</t>
        </is>
      </c>
      <c r="D44" s="466" t="n"/>
      <c r="E44" s="457" t="n">
        <v>8365</v>
      </c>
      <c r="F44" s="832" t="n">
        <v>16.7</v>
      </c>
      <c r="G44" s="564" t="inlineStr">
        <is>
          <t>████████████████████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4146 − 4485</t>
        </is>
      </c>
      <c r="D45" s="466" t="n"/>
      <c r="E45" s="457" t="n">
        <v>3960</v>
      </c>
      <c r="F45" s="832" t="n">
        <v>7.9</v>
      </c>
      <c r="G45" s="564" t="inlineStr">
        <is>
          <t>█████████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4485 − 4823</t>
        </is>
      </c>
      <c r="D46" s="466" t="n"/>
      <c r="E46" s="457" t="n">
        <v>1098</v>
      </c>
      <c r="F46" s="832" t="n">
        <v>2.2</v>
      </c>
      <c r="G46" s="564" t="inlineStr">
        <is>
          <t>██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4823 − 5162</t>
        </is>
      </c>
      <c r="D47" s="466" t="n"/>
      <c r="E47" s="457" t="n">
        <v>156</v>
      </c>
      <c r="F47" s="832" t="n">
        <v>0.3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5162 − 5501</t>
        </is>
      </c>
      <c r="D48" s="466" t="n"/>
      <c r="E48" s="457" t="n">
        <v>11</v>
      </c>
      <c r="F48" s="832" t="n">
        <v>0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20.09%, hurdle (порог) 18% + 2.09pp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5.71×)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20.09% = hurdle (порог) 18% ровно, MOIC (мультипликатор вложенного капитала) 2.00×, Payback (Окупаемость) 3.23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14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v1.1.0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2 167 млн ₽ (margin (маржа) 47.3% — 2.4× отраслевой медианы РФ)
• Net Profit (Чистая прибыль) 1 698 млн ₽ после налогов (эффективная нагрузка 12.9%)
• Expected exit EV (стоимость предприятия) 6 038 млн ₽ на 2030 (probability-weighted)
• MoIC (мультипликатор вложенного капитала) 2.0× / IRR (внутренняя норма доходности) 20.09% при Base (Базовый) W₃
• Payback (Окупаемость) 3.2 года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v1.1.0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(45 пунктов)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2026-04-14T15:12:09Z</dcterms:modified>
  <cp:lastModifiedBy>TrendStudio</cp:lastModifiedBy>
  <cp:keywords>investor, financial model, pre-IPO, cinema</cp:keywords>
</cp:coreProperties>
</file>