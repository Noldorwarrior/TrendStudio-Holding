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</fonts>
  <fills count="3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30" t="inlineStr">
        <is>
          <t>ВСЕГО ДОПУЩЕНИЙ: 88  ·  Блоков: 13  ·  Якорь EBITDA 2026–2028 = 3 000 млн ₽  ·  Waterfall: 4 варианта (default W₃)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147" t="inlineStr">
        <is>
          <t>(−) Producer share (waterfall W₃ default · 60/40 от residual после Liq Pref + coupon)</t>
        </is>
      </c>
      <c r="D130" s="151" t="n">
        <v>-500</v>
      </c>
      <c r="E130" s="152" t="inlineStr">
        <is>
          <t>Под W₃: producer = 40% × residual 1250 = 500 млн ₽</t>
        </is>
      </c>
    </row>
    <row r="131" ht="18" customHeight="1">
      <c r="B131" s="153" t="inlineStr">
        <is>
          <t>=</t>
        </is>
      </c>
      <c r="C131" s="154" t="inlineStr">
        <is>
          <t>Investor net distributable proceeds</t>
        </is>
      </c>
      <c r="D131" s="155" t="n">
        <v>2500</v>
      </c>
      <c r="E131" s="156" t="inlineStr">
        <is>
          <t>Под W₃: 1250 Liq Pref + 500 coupon + 750 carried (60% × 1250)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147" t="inlineStr">
        <is>
          <t>Waterfall split (default W₃ Liq Pref)</t>
        </is>
      </c>
      <c r="D138" s="161" t="inlineStr">
        <is>
          <t>1× + 8%</t>
        </is>
      </c>
      <c r="E138" s="159" t="inlineStr">
        <is>
          <t>—  ·  Инвестор / Продюсер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</sheetData>
  <mergeCells count="19">
    <mergeCell ref="B16:F16"/>
    <mergeCell ref="B81:F81"/>
    <mergeCell ref="B25:F25"/>
    <mergeCell ref="B3:F3"/>
    <mergeCell ref="B66:F66"/>
    <mergeCell ref="B31:F31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74:F74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Текущая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9" t="inlineStr">
        <is>
          <t>В очереди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9" t="inlineStr">
        <is>
          <t>В очереди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9" t="inlineStr">
        <is>
          <t>В очереди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9" t="inlineStr">
        <is>
          <t>В очереди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9" t="inlineStr">
        <is>
          <t>В очереди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9" t="inlineStr">
        <is>
          <t>В очереди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9" t="inlineStr">
        <is>
          <t>В очереди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9" t="inlineStr">
        <is>
          <t>В очереди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9" t="inlineStr">
        <is>
          <t>В очереди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9" t="inlineStr">
        <is>
          <t>В очереди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9" t="inlineStr">
        <is>
          <t>В очереди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9" t="inlineStr">
        <is>
          <t>В очереди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9" t="inlineStr">
        <is>
          <t>В очереди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9" t="inlineStr">
        <is>
          <t>В очереди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9" t="inlineStr">
        <is>
          <t>В очереди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9" t="inlineStr">
        <is>
          <t>В очереди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A₁ (Fixed)</t>
        </is>
      </c>
    </row>
    <row r="3">
      <c r="B3" s="20" t="inlineStr">
        <is>
          <t>50 чел × 6.162 млн ₽/мес. Структура из Холдинг Кино.xlsx без изменений. 3 года = 221.832 млн ₽.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</t>
        </is>
      </c>
      <c r="D6" s="44" t="n">
        <v>5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 t="n">
        <v>5</v>
      </c>
      <c r="E8" s="45" t="n">
        <v>120000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 t="n">
        <v>7</v>
      </c>
      <c r="E9" s="45" t="n">
        <v>100000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 t="n">
        <v>80000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 t="n">
        <v>15</v>
      </c>
      <c r="E11" s="45" t="n">
        <v>60000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 t="n">
        <v>70000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 t="n">
        <v>10</v>
      </c>
      <c r="E13" s="45" t="n">
        <v>70000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(Fixed)</t>
        </is>
      </c>
      <c r="D14" s="50">
        <f>SUM(D6:D13)</f>
        <v/>
      </c>
      <c r="E14" s="51" t="n"/>
      <c r="F14" s="51">
        <f>SUM(F6:F13)</f>
        <v/>
      </c>
      <c r="G14" s="51">
        <f>SUM(G6:G13)</f>
        <v/>
      </c>
      <c r="H14" s="51">
        <f>SUM(H6:H13)</f>
        <v/>
      </c>
      <c r="I14" s="51">
        <f>SUM(I6:I13)</f>
        <v/>
      </c>
    </row>
    <row r="16" ht="20" customHeight="1">
      <c r="B16" s="14" t="inlineStr">
        <is>
          <t>ФОТ A₁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f>D14</f>
        <v/>
      </c>
      <c r="E18" s="54">
        <f>F14</f>
        <v/>
      </c>
      <c r="F18" s="54">
        <f>H14</f>
        <v/>
      </c>
      <c r="G18" s="55">
        <f>I14/1000000</f>
        <v/>
      </c>
      <c r="H18" s="56">
        <f>G14*12/1000000</f>
        <v/>
      </c>
      <c r="I18" s="57" t="inlineStr">
        <is>
          <t>0.0%</t>
        </is>
      </c>
    </row>
    <row r="19" ht="20" customHeight="1">
      <c r="C19" s="52" t="n">
        <v>2027</v>
      </c>
      <c r="D19" s="53">
        <f>D14</f>
        <v/>
      </c>
      <c r="E19" s="54">
        <f>F14</f>
        <v/>
      </c>
      <c r="F19" s="54">
        <f>H14</f>
        <v/>
      </c>
      <c r="G19" s="55">
        <f>I14/1000000</f>
        <v/>
      </c>
      <c r="H19" s="56">
        <f>G14*12/1000000</f>
        <v/>
      </c>
      <c r="I19" s="57" t="inlineStr">
        <is>
          <t>0.0%</t>
        </is>
      </c>
    </row>
    <row r="20" ht="20" customHeight="1">
      <c r="C20" s="52" t="n">
        <v>2028</v>
      </c>
      <c r="D20" s="53">
        <f>D14</f>
        <v/>
      </c>
      <c r="E20" s="54">
        <f>F14</f>
        <v/>
      </c>
      <c r="F20" s="54">
        <f>H14</f>
        <v/>
      </c>
      <c r="G20" s="55">
        <f>I14/1000000</f>
        <v/>
      </c>
      <c r="H20" s="56">
        <f>G14*12/1000000</f>
        <v/>
      </c>
      <c r="I20" s="57" t="inlineStr">
        <is>
          <t>0.0%</t>
        </is>
      </c>
    </row>
    <row r="21" ht="24" customHeight="1">
      <c r="C21" s="58" t="inlineStr">
        <is>
          <t>Σ 2026–2028</t>
        </is>
      </c>
      <c r="D21" s="50">
        <f>D18</f>
        <v/>
      </c>
      <c r="E21" s="51">
        <f>E18</f>
        <v/>
      </c>
      <c r="F21" s="51">
        <f>F18</f>
        <v/>
      </c>
      <c r="G21" s="59">
        <f>SUM(G18:G20)</f>
        <v/>
      </c>
      <c r="H21" s="59">
        <f>SUM(H18:H20)</f>
        <v/>
      </c>
      <c r="I21" s="58" t="inlineStr">
        <is>
          <t>—</t>
        </is>
      </c>
    </row>
    <row r="23" ht="32" customHeight="1">
      <c r="B23" s="18" t="inlineStr">
        <is>
          <t>⚫ Модель A₁ «Fixed»: штат и оклады зафиксированы на уровне Холдинг Кино.xlsx (50 чел, 4 740 000 ₽/мес gross). Индексация и рост штата отсутствуют. Общий ФОТ 2026–2028 с налогами = 221.832 млн ₽. Соответствует v1.4.4.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(Full Dynamic)</t>
        </is>
      </c>
    </row>
    <row r="3">
      <c r="B3" s="20" t="inlineStr">
        <is>
          <t>Рост штата 50→60→70 + индексация окладов 7%/год (CPI + премия). Поквартально 2026–2028, годовые 2029–2032.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 t="n">
        <v>50</v>
      </c>
      <c r="D7" s="44" t="n">
        <v>60</v>
      </c>
      <c r="E7" s="44" t="n">
        <v>70</v>
      </c>
      <c r="F7" s="44" t="n">
        <v>75</v>
      </c>
      <c r="G7" s="44" t="n">
        <v>80</v>
      </c>
      <c r="H7" s="44" t="n">
        <v>85</v>
      </c>
      <c r="I7" s="44" t="n">
        <v>90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 t="n">
        <v>1.07</v>
      </c>
      <c r="E8" s="61" t="n">
        <v>1.1449</v>
      </c>
      <c r="F8" s="61" t="n">
        <v>1.225</v>
      </c>
      <c r="G8" s="61" t="n">
        <v>1.3108</v>
      </c>
      <c r="H8" s="61" t="n">
        <v>1.4026</v>
      </c>
      <c r="I8" s="61" t="n">
        <v>1.5007</v>
      </c>
    </row>
    <row r="9" ht="18" customHeight="1">
      <c r="B9" s="23" t="inlineStr">
        <is>
          <t>Ср. оклад gross (₽/мес, база 2026)</t>
        </is>
      </c>
      <c r="C9" s="46">
        <f>94800*C8</f>
        <v/>
      </c>
      <c r="D9" s="46">
        <f>94800*D8</f>
        <v/>
      </c>
      <c r="E9" s="46">
        <f>94800*E8</f>
        <v/>
      </c>
      <c r="F9" s="46">
        <f>94800*F8</f>
        <v/>
      </c>
      <c r="G9" s="46">
        <f>94800*G8</f>
        <v/>
      </c>
      <c r="H9" s="46">
        <f>94800*H8</f>
        <v/>
      </c>
      <c r="I9" s="46">
        <f>94800*I8</f>
        <v/>
      </c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A₁ Fixed и Assumptions.</t>
        </is>
      </c>
    </row>
    <row r="5" ht="20" customHeight="1">
      <c r="B5" s="14" t="inlineStr">
        <is>
          <t>OPEX ПО ГОДАМ (Base, модель A₁ Fixed),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(A₁ Fixed)</t>
        </is>
      </c>
      <c r="C7" s="71" t="n">
        <v>73.944</v>
      </c>
      <c r="D7" s="71" t="n">
        <v>73.944</v>
      </c>
      <c r="E7" s="71" t="n">
        <v>73.944</v>
      </c>
      <c r="F7" s="71" t="n">
        <v>73.944</v>
      </c>
      <c r="G7" s="71" t="n">
        <v>73.944</v>
      </c>
      <c r="H7" s="72">
        <f>SUM(C7:E7)</f>
        <v/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f>SUM(C7:C17)</f>
        <v/>
      </c>
      <c r="D18" s="74">
        <f>SUM(D7:D17)</f>
        <v/>
      </c>
      <c r="E18" s="74">
        <f>SUM(E7:E17)</f>
        <v/>
      </c>
      <c r="F18" s="74">
        <f>SUM(F7:F17)</f>
        <v/>
      </c>
      <c r="G18" s="74">
        <f>SUM(G7:G17)</f>
        <v/>
      </c>
      <c r="H18" s="74">
        <f>SUM(H7:H17)</f>
        <v/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f>C6</f>
        <v/>
      </c>
      <c r="D22" s="78">
        <f>C22/=C18</f>
        <v/>
      </c>
      <c r="E22" s="79" t="inlineStr">
        <is>
          <t>ключевая статья (~84%)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f>C7+C8</f>
        <v/>
      </c>
      <c r="D23" s="78">
        <f>C23/=C18</f>
        <v/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f>C9+C10+C13</f>
        <v/>
      </c>
      <c r="D24" s="78">
        <f>C24/=C18</f>
        <v/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f>C11+C12</f>
        <v/>
      </c>
      <c r="D25" s="78">
        <f>C25/=C18</f>
        <v/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f>C14</f>
        <v/>
      </c>
      <c r="D26" s="78">
        <f>C26/=C18</f>
        <v/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f>C15+C16</f>
        <v/>
      </c>
      <c r="D27" s="78">
        <f>C27/=C18</f>
        <v/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f>SUM(C22:C27)</f>
        <v/>
      </c>
      <c r="D28" s="82">
        <f>SUM(D22:D27)</f>
        <v/>
      </c>
      <c r="E28" s="83" t="inlineStr">
        <is>
          <t>✓ Должно совпадать с ИТОГО OPEX 2026 и равняться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 t="n">
        <v>1850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 t="n">
        <v>154.2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 t="n">
        <v>600</v>
      </c>
      <c r="D34" s="22" t="inlineStr">
        <is>
          <t>млн ₽</t>
        </is>
      </c>
      <c r="E34" s="79" t="inlineStr">
        <is>
          <t>600 / 1850 = 32.4%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 t="n">
        <v>1250</v>
      </c>
      <c r="D35" s="22" t="inlineStr">
        <is>
          <t>млн ₽</t>
        </is>
      </c>
      <c r="E35" s="79" t="inlineStr">
        <is>
          <t>1250 / 1850 = 67.6%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</sheetData>
  <mergeCells count="37">
    <mergeCell ref="D35:H35"/>
    <mergeCell ref="J22:M22"/>
    <mergeCell ref="K32:M32"/>
    <mergeCell ref="D34:H34"/>
    <mergeCell ref="B3:L3"/>
    <mergeCell ref="K31:M31"/>
    <mergeCell ref="B24:E24"/>
    <mergeCell ref="D31:H31"/>
    <mergeCell ref="D36:H36"/>
    <mergeCell ref="J23:M23"/>
    <mergeCell ref="B26:E26"/>
    <mergeCell ref="B21:L21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K35:M35"/>
    <mergeCell ref="D38:H38"/>
    <mergeCell ref="B19:E19"/>
    <mergeCell ref="J25:M25"/>
    <mergeCell ref="K29:M29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 t="n">
        <v>0</v>
      </c>
      <c r="E17" s="169" t="n">
        <v>0</v>
      </c>
      <c r="F17" s="169" t="n">
        <v>0</v>
      </c>
      <c r="G17" s="169" t="n">
        <v>126.18</v>
      </c>
      <c r="H17" s="169" t="n">
        <v>101.76</v>
      </c>
      <c r="I17" s="169" t="n">
        <v>284.93</v>
      </c>
      <c r="J17" s="169" t="n">
        <v>252.37</v>
      </c>
      <c r="K17" s="169" t="n">
        <v>170.96</v>
      </c>
      <c r="L17" s="169" t="n">
        <v>187.24</v>
      </c>
      <c r="M17" s="169" t="n">
        <v>223.87</v>
      </c>
      <c r="N17" s="169" t="n">
        <v>337.84</v>
      </c>
      <c r="O17" s="169" t="n">
        <v>164.85</v>
      </c>
      <c r="P17" s="169" t="n">
        <v>154.68</v>
      </c>
      <c r="Q17" s="169" t="n">
        <v>122.11</v>
      </c>
      <c r="R17" s="169" t="n">
        <v>89.55</v>
      </c>
      <c r="S17" s="169" t="n">
        <v>61.06</v>
      </c>
      <c r="T17" s="170" t="n">
        <v>1850</v>
      </c>
      <c r="U17" s="170" t="n">
        <v>2277.4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 t="n">
        <v>0</v>
      </c>
      <c r="E18" s="169" t="n">
        <v>0</v>
      </c>
      <c r="F18" s="169" t="n">
        <v>0</v>
      </c>
      <c r="G18" s="169" t="n">
        <v>18.93</v>
      </c>
      <c r="H18" s="169" t="n">
        <v>15.26</v>
      </c>
      <c r="I18" s="169" t="n">
        <v>42.74</v>
      </c>
      <c r="J18" s="169" t="n">
        <v>37.85</v>
      </c>
      <c r="K18" s="169" t="n">
        <v>25.64</v>
      </c>
      <c r="L18" s="169" t="n">
        <v>28.09</v>
      </c>
      <c r="M18" s="169" t="n">
        <v>33.58</v>
      </c>
      <c r="N18" s="169" t="n">
        <v>50.68</v>
      </c>
      <c r="O18" s="169" t="n">
        <v>24.73</v>
      </c>
      <c r="P18" s="169" t="n">
        <v>23.2</v>
      </c>
      <c r="Q18" s="169" t="n">
        <v>18.32</v>
      </c>
      <c r="R18" s="169" t="n">
        <v>13.43</v>
      </c>
      <c r="S18" s="169" t="n">
        <v>9.16</v>
      </c>
      <c r="T18" s="170" t="n">
        <v>277.5</v>
      </c>
      <c r="U18" s="170" t="n">
        <v>341.6</v>
      </c>
    </row>
    <row r="19">
      <c r="B19" s="148" t="inlineStr">
        <is>
          <t>2.3</t>
        </is>
      </c>
      <c r="C19" s="171" t="inlineStr">
        <is>
          <t>Total COGS</t>
        </is>
      </c>
      <c r="D19" s="172" t="n">
        <v>0</v>
      </c>
      <c r="E19" s="172" t="n">
        <v>0</v>
      </c>
      <c r="F19" s="172" t="n">
        <v>0</v>
      </c>
      <c r="G19" s="172" t="n">
        <v>145.11</v>
      </c>
      <c r="H19" s="172" t="n">
        <v>117.02</v>
      </c>
      <c r="I19" s="172" t="n">
        <v>327.67</v>
      </c>
      <c r="J19" s="172" t="n">
        <v>290.22</v>
      </c>
      <c r="K19" s="172" t="n">
        <v>196.6</v>
      </c>
      <c r="L19" s="172" t="n">
        <v>215.32</v>
      </c>
      <c r="M19" s="172" t="n">
        <v>257.45</v>
      </c>
      <c r="N19" s="172" t="n">
        <v>388.52</v>
      </c>
      <c r="O19" s="172" t="n">
        <v>189.58</v>
      </c>
      <c r="P19" s="172" t="n">
        <v>177.88</v>
      </c>
      <c r="Q19" s="172" t="n">
        <v>140.43</v>
      </c>
      <c r="R19" s="172" t="n">
        <v>102.98</v>
      </c>
      <c r="S19" s="172" t="n">
        <v>70.20999999999999</v>
      </c>
      <c r="T19" s="172" t="n">
        <v>2127.5</v>
      </c>
      <c r="U19" s="172" t="n">
        <v>2619</v>
      </c>
    </row>
    <row r="20">
      <c r="B20" s="148" t="inlineStr">
        <is>
          <t>2.4</t>
        </is>
      </c>
      <c r="C20" s="171" t="inlineStr">
        <is>
          <t>GROSS PROFIT</t>
        </is>
      </c>
      <c r="D20" s="172" t="n">
        <v>0</v>
      </c>
      <c r="E20" s="172" t="n">
        <v>0</v>
      </c>
      <c r="F20" s="172" t="n">
        <v>0</v>
      </c>
      <c r="G20" s="172" t="n">
        <v>164.89</v>
      </c>
      <c r="H20" s="172" t="n">
        <v>132.98</v>
      </c>
      <c r="I20" s="172" t="n">
        <v>372.33</v>
      </c>
      <c r="J20" s="172" t="n">
        <v>329.78</v>
      </c>
      <c r="K20" s="172" t="n">
        <v>223.4</v>
      </c>
      <c r="L20" s="172" t="n">
        <v>244.68</v>
      </c>
      <c r="M20" s="172" t="n">
        <v>292.55</v>
      </c>
      <c r="N20" s="172" t="n">
        <v>441.48</v>
      </c>
      <c r="O20" s="172" t="n">
        <v>215.42</v>
      </c>
      <c r="P20" s="172" t="n">
        <v>202.12</v>
      </c>
      <c r="Q20" s="172" t="n">
        <v>159.57</v>
      </c>
      <c r="R20" s="172" t="n">
        <v>117.02</v>
      </c>
      <c r="S20" s="172" t="n">
        <v>79.79000000000001</v>
      </c>
      <c r="T20" s="172" t="n">
        <v>2417.5</v>
      </c>
      <c r="U20" s="172" t="n">
        <v>2976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 t="n">
        <v>18.49</v>
      </c>
      <c r="E23" s="169" t="n">
        <v>18.49</v>
      </c>
      <c r="F23" s="169" t="n">
        <v>18.49</v>
      </c>
      <c r="G23" s="169" t="n">
        <v>18.49</v>
      </c>
      <c r="H23" s="169" t="n">
        <v>18.49</v>
      </c>
      <c r="I23" s="169" t="n">
        <v>18.49</v>
      </c>
      <c r="J23" s="169" t="n">
        <v>18.49</v>
      </c>
      <c r="K23" s="169" t="n">
        <v>18.49</v>
      </c>
      <c r="L23" s="169" t="n">
        <v>18.49</v>
      </c>
      <c r="M23" s="169" t="n">
        <v>18.49</v>
      </c>
      <c r="N23" s="169" t="n">
        <v>18.49</v>
      </c>
      <c r="O23" s="169" t="n">
        <v>18.49</v>
      </c>
      <c r="P23" s="169" t="n">
        <v>73.95</v>
      </c>
      <c r="Q23" s="169" t="n">
        <v>73.95</v>
      </c>
      <c r="R23" s="169" t="n">
        <v>73.95</v>
      </c>
      <c r="S23" s="169" t="n">
        <v>73.95</v>
      </c>
      <c r="T23" s="170" t="n">
        <v>221.9</v>
      </c>
      <c r="U23" s="170" t="n">
        <v>517.7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 t="n">
        <v>22.13</v>
      </c>
      <c r="E27" s="172" t="n">
        <v>22.13</v>
      </c>
      <c r="F27" s="172" t="n">
        <v>22.13</v>
      </c>
      <c r="G27" s="172" t="n">
        <v>22.13</v>
      </c>
      <c r="H27" s="172" t="n">
        <v>22.13</v>
      </c>
      <c r="I27" s="172" t="n">
        <v>22.13</v>
      </c>
      <c r="J27" s="172" t="n">
        <v>22.13</v>
      </c>
      <c r="K27" s="172" t="n">
        <v>22.13</v>
      </c>
      <c r="L27" s="172" t="n">
        <v>22.13</v>
      </c>
      <c r="M27" s="172" t="n">
        <v>22.13</v>
      </c>
      <c r="N27" s="172" t="n">
        <v>22.13</v>
      </c>
      <c r="O27" s="172" t="n">
        <v>22.13</v>
      </c>
      <c r="P27" s="172" t="n">
        <v>88.51000000000001</v>
      </c>
      <c r="Q27" s="172" t="n">
        <v>88.51000000000001</v>
      </c>
      <c r="R27" s="172" t="n">
        <v>88.51000000000001</v>
      </c>
      <c r="S27" s="172" t="n">
        <v>88.51000000000001</v>
      </c>
      <c r="T27" s="172" t="n">
        <v>265.6</v>
      </c>
      <c r="U27" s="172" t="n">
        <v>619.6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 t="n">
        <v>-22.13</v>
      </c>
      <c r="E28" s="172" t="n">
        <v>-22.13</v>
      </c>
      <c r="F28" s="172" t="n">
        <v>-22.13</v>
      </c>
      <c r="G28" s="172" t="n">
        <v>142.76</v>
      </c>
      <c r="H28" s="172" t="n">
        <v>110.85</v>
      </c>
      <c r="I28" s="172" t="n">
        <v>350.2</v>
      </c>
      <c r="J28" s="172" t="n">
        <v>307.65</v>
      </c>
      <c r="K28" s="172" t="n">
        <v>201.27</v>
      </c>
      <c r="L28" s="172" t="n">
        <v>222.55</v>
      </c>
      <c r="M28" s="172" t="n">
        <v>270.42</v>
      </c>
      <c r="N28" s="172" t="n">
        <v>419.35</v>
      </c>
      <c r="O28" s="172" t="n">
        <v>193.29</v>
      </c>
      <c r="P28" s="172" t="n">
        <v>113.61</v>
      </c>
      <c r="Q28" s="172" t="n">
        <v>71.06</v>
      </c>
      <c r="R28" s="172" t="n">
        <v>28.51</v>
      </c>
      <c r="S28" s="172" t="n">
        <v>-8.720000000000001</v>
      </c>
      <c r="T28" s="173" t="n">
        <v>2151.9</v>
      </c>
      <c r="U28" s="173" t="n">
        <v>2356.4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 t="n">
        <v>-22.88</v>
      </c>
      <c r="E32" s="172" t="n">
        <v>-22.88</v>
      </c>
      <c r="F32" s="172" t="n">
        <v>-22.88</v>
      </c>
      <c r="G32" s="172" t="n">
        <v>142.01</v>
      </c>
      <c r="H32" s="172" t="n">
        <v>110.1</v>
      </c>
      <c r="I32" s="172" t="n">
        <v>349.45</v>
      </c>
      <c r="J32" s="172" t="n">
        <v>306.9</v>
      </c>
      <c r="K32" s="172" t="n">
        <v>200.52</v>
      </c>
      <c r="L32" s="172" t="n">
        <v>221.8</v>
      </c>
      <c r="M32" s="172" t="n">
        <v>269.67</v>
      </c>
      <c r="N32" s="172" t="n">
        <v>418.6</v>
      </c>
      <c r="O32" s="172" t="n">
        <v>192.54</v>
      </c>
      <c r="P32" s="172" t="n">
        <v>110.61</v>
      </c>
      <c r="Q32" s="172" t="n">
        <v>68.06</v>
      </c>
      <c r="R32" s="172" t="n">
        <v>25.51</v>
      </c>
      <c r="S32" s="172" t="n">
        <v>-11.72</v>
      </c>
      <c r="T32" s="172" t="n">
        <v>2142.9</v>
      </c>
      <c r="U32" s="172" t="n">
        <v>2335.4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 t="n">
        <v>-23.88</v>
      </c>
      <c r="E34" s="172" t="n">
        <v>-23.88</v>
      </c>
      <c r="F34" s="172" t="n">
        <v>-24.38</v>
      </c>
      <c r="G34" s="172" t="n">
        <v>140.51</v>
      </c>
      <c r="H34" s="172" t="n">
        <v>108.6</v>
      </c>
      <c r="I34" s="172" t="n">
        <v>347.95</v>
      </c>
      <c r="J34" s="172" t="n">
        <v>305.4</v>
      </c>
      <c r="K34" s="172" t="n">
        <v>199.02</v>
      </c>
      <c r="L34" s="172" t="n">
        <v>221.05</v>
      </c>
      <c r="M34" s="172" t="n">
        <v>268.92</v>
      </c>
      <c r="N34" s="172" t="n">
        <v>418.1</v>
      </c>
      <c r="O34" s="172" t="n">
        <v>192.04</v>
      </c>
      <c r="P34" s="172" t="n">
        <v>109.61</v>
      </c>
      <c r="Q34" s="172" t="n">
        <v>67.56</v>
      </c>
      <c r="R34" s="172" t="n">
        <v>25.51</v>
      </c>
      <c r="S34" s="172" t="n">
        <v>-11.72</v>
      </c>
      <c r="T34" s="172" t="n">
        <v>2129.4</v>
      </c>
      <c r="U34" s="172" t="n">
        <v>2320.4</v>
      </c>
    </row>
    <row r="35">
      <c r="B35" s="148" t="inlineStr">
        <is>
          <t>4.5</t>
        </is>
      </c>
      <c r="C35" s="147" t="inlineStr">
        <is>
          <t>Income tax (20%)</t>
        </is>
      </c>
      <c r="D35" s="169" t="n">
        <v>0</v>
      </c>
      <c r="E35" s="169" t="n">
        <v>0</v>
      </c>
      <c r="F35" s="169" t="n">
        <v>0</v>
      </c>
      <c r="G35" s="169" t="n">
        <v>28.1</v>
      </c>
      <c r="H35" s="169" t="n">
        <v>21.72</v>
      </c>
      <c r="I35" s="169" t="n">
        <v>69.59</v>
      </c>
      <c r="J35" s="169" t="n">
        <v>61.08</v>
      </c>
      <c r="K35" s="169" t="n">
        <v>39.8</v>
      </c>
      <c r="L35" s="169" t="n">
        <v>44.21</v>
      </c>
      <c r="M35" s="169" t="n">
        <v>53.78</v>
      </c>
      <c r="N35" s="169" t="n">
        <v>83.62</v>
      </c>
      <c r="O35" s="169" t="n">
        <v>38.41</v>
      </c>
      <c r="P35" s="169" t="n">
        <v>21.92</v>
      </c>
      <c r="Q35" s="169" t="n">
        <v>13.51</v>
      </c>
      <c r="R35" s="169" t="n">
        <v>5.1</v>
      </c>
      <c r="S35" s="169" t="n">
        <v>0</v>
      </c>
      <c r="T35" s="170" t="n">
        <v>440.3</v>
      </c>
      <c r="U35" s="170" t="n">
        <v>480.8</v>
      </c>
    </row>
    <row r="36">
      <c r="B36" s="148" t="inlineStr">
        <is>
          <t>4.6</t>
        </is>
      </c>
      <c r="C36" s="171" t="inlineStr">
        <is>
          <t>NET INCOME</t>
        </is>
      </c>
      <c r="D36" s="172" t="n">
        <v>-23.88</v>
      </c>
      <c r="E36" s="172" t="n">
        <v>-23.88</v>
      </c>
      <c r="F36" s="172" t="n">
        <v>-24.38</v>
      </c>
      <c r="G36" s="172" t="n">
        <v>112.41</v>
      </c>
      <c r="H36" s="172" t="n">
        <v>86.88</v>
      </c>
      <c r="I36" s="172" t="n">
        <v>278.36</v>
      </c>
      <c r="J36" s="172" t="n">
        <v>244.32</v>
      </c>
      <c r="K36" s="172" t="n">
        <v>159.22</v>
      </c>
      <c r="L36" s="172" t="n">
        <v>176.84</v>
      </c>
      <c r="M36" s="172" t="n">
        <v>215.13</v>
      </c>
      <c r="N36" s="172" t="n">
        <v>334.48</v>
      </c>
      <c r="O36" s="172" t="n">
        <v>153.63</v>
      </c>
      <c r="P36" s="172" t="n">
        <v>87.69</v>
      </c>
      <c r="Q36" s="172" t="n">
        <v>54.05</v>
      </c>
      <c r="R36" s="172" t="n">
        <v>20.41</v>
      </c>
      <c r="S36" s="172" t="n">
        <v>-11.72</v>
      </c>
      <c r="T36" s="173" t="n">
        <v>1689.1</v>
      </c>
      <c r="U36" s="173" t="n">
        <v>1839.6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 t="n">
        <v>0</v>
      </c>
      <c r="E39" s="175" t="n">
        <v>0</v>
      </c>
      <c r="F39" s="175" t="n">
        <v>0</v>
      </c>
      <c r="G39" s="175" t="n">
        <v>53.2</v>
      </c>
      <c r="H39" s="175" t="n">
        <v>53.2</v>
      </c>
      <c r="I39" s="175" t="n">
        <v>53.2</v>
      </c>
      <c r="J39" s="175" t="n">
        <v>53.2</v>
      </c>
      <c r="K39" s="175" t="n">
        <v>53.2</v>
      </c>
      <c r="L39" s="175" t="n">
        <v>53.2</v>
      </c>
      <c r="M39" s="175" t="n">
        <v>53.2</v>
      </c>
      <c r="N39" s="175" t="n">
        <v>53.2</v>
      </c>
      <c r="O39" s="175" t="n">
        <v>53.2</v>
      </c>
      <c r="P39" s="175" t="n">
        <v>53.2</v>
      </c>
      <c r="Q39" s="175" t="n">
        <v>53.2</v>
      </c>
      <c r="R39" s="175" t="n">
        <v>53.2</v>
      </c>
      <c r="S39" s="175" t="n">
        <v>53.2</v>
      </c>
      <c r="T39" s="176" t="n">
        <v>53.2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 t="n">
        <v>0</v>
      </c>
      <c r="E40" s="175" t="n">
        <v>0</v>
      </c>
      <c r="F40" s="175" t="n">
        <v>0</v>
      </c>
      <c r="G40" s="175" t="n">
        <v>46.1</v>
      </c>
      <c r="H40" s="175" t="n">
        <v>44.3</v>
      </c>
      <c r="I40" s="175" t="n">
        <v>50</v>
      </c>
      <c r="J40" s="175" t="n">
        <v>49.6</v>
      </c>
      <c r="K40" s="175" t="n">
        <v>47.9</v>
      </c>
      <c r="L40" s="175" t="n">
        <v>48.4</v>
      </c>
      <c r="M40" s="175" t="n">
        <v>49.2</v>
      </c>
      <c r="N40" s="175" t="n">
        <v>50.5</v>
      </c>
      <c r="O40" s="175" t="n">
        <v>47.7</v>
      </c>
      <c r="P40" s="175" t="n">
        <v>29.9</v>
      </c>
      <c r="Q40" s="175" t="n">
        <v>23.7</v>
      </c>
      <c r="R40" s="175" t="n">
        <v>13</v>
      </c>
      <c r="S40" s="175" t="n">
        <v>-5.8</v>
      </c>
      <c r="T40" s="176" t="n">
        <v>47.3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 t="n">
        <v>0</v>
      </c>
      <c r="E41" s="175" t="n">
        <v>0</v>
      </c>
      <c r="F41" s="175" t="n">
        <v>0</v>
      </c>
      <c r="G41" s="175" t="n">
        <v>36.3</v>
      </c>
      <c r="H41" s="175" t="n">
        <v>34.8</v>
      </c>
      <c r="I41" s="175" t="n">
        <v>39.8</v>
      </c>
      <c r="J41" s="175" t="n">
        <v>39.4</v>
      </c>
      <c r="K41" s="175" t="n">
        <v>37.9</v>
      </c>
      <c r="L41" s="175" t="n">
        <v>38.4</v>
      </c>
      <c r="M41" s="175" t="n">
        <v>39.1</v>
      </c>
      <c r="N41" s="175" t="n">
        <v>40.3</v>
      </c>
      <c r="O41" s="175" t="n">
        <v>37.9</v>
      </c>
      <c r="P41" s="175" t="n">
        <v>23.1</v>
      </c>
      <c r="Q41" s="175" t="n">
        <v>18</v>
      </c>
      <c r="R41" s="175" t="n">
        <v>9.300000000000001</v>
      </c>
      <c r="S41" s="175" t="n">
        <v>-7.8</v>
      </c>
      <c r="T41" s="176" t="n">
        <v>37.2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(2 152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 t="n">
        <v>2152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 t="n">
        <v>248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W₃ default · 60/40 от residual после Liq Pref + coupon)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-785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Доля продюсера по дефолтному каскаду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2215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Чистые распределения инвестору T₁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2 152 + Producer 600 + WC/Gov 248 = NDP 3 000 ✓  |  3 000 − Producer share 785 = Investor 2 215 ✓  |  Net Profit 1 710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 t="n">
        <v>-23.88</v>
      </c>
      <c r="E7" s="193" t="n">
        <v>-23.88</v>
      </c>
      <c r="F7" s="193" t="n">
        <v>-24.38</v>
      </c>
      <c r="G7" s="193" t="n">
        <v>112.41</v>
      </c>
      <c r="H7" s="193" t="n">
        <v>86.88</v>
      </c>
      <c r="I7" s="193" t="n">
        <v>278.36</v>
      </c>
      <c r="J7" s="193" t="n">
        <v>244.32</v>
      </c>
      <c r="K7" s="193" t="n">
        <v>159.22</v>
      </c>
      <c r="L7" s="193" t="n">
        <v>176.84</v>
      </c>
      <c r="M7" s="193" t="n">
        <v>215.14</v>
      </c>
      <c r="N7" s="193" t="n">
        <v>334.48</v>
      </c>
      <c r="O7" s="193" t="n">
        <v>153.64</v>
      </c>
      <c r="P7" s="193" t="n">
        <v>87.69</v>
      </c>
      <c r="Q7" s="193" t="n">
        <v>54.05</v>
      </c>
      <c r="R7" s="193" t="n">
        <v>20.41</v>
      </c>
      <c r="S7" s="193" t="n">
        <v>-11.72</v>
      </c>
      <c r="T7" s="194" t="n">
        <v>1689.2</v>
      </c>
      <c r="U7" s="194" t="n">
        <v>1839.6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 t="n">
        <v>0</v>
      </c>
      <c r="E9" s="193" t="n">
        <v>0</v>
      </c>
      <c r="F9" s="193" t="n">
        <v>0</v>
      </c>
      <c r="G9" s="193" t="n">
        <v>126.18</v>
      </c>
      <c r="H9" s="193" t="n">
        <v>101.76</v>
      </c>
      <c r="I9" s="193" t="n">
        <v>284.93</v>
      </c>
      <c r="J9" s="193" t="n">
        <v>252.37</v>
      </c>
      <c r="K9" s="193" t="n">
        <v>170.96</v>
      </c>
      <c r="L9" s="193" t="n">
        <v>187.24</v>
      </c>
      <c r="M9" s="193" t="n">
        <v>223.87</v>
      </c>
      <c r="N9" s="193" t="n">
        <v>337.84</v>
      </c>
      <c r="O9" s="193" t="n">
        <v>164.85</v>
      </c>
      <c r="P9" s="193" t="n">
        <v>154.68</v>
      </c>
      <c r="Q9" s="193" t="n">
        <v>122.11</v>
      </c>
      <c r="R9" s="193" t="n">
        <v>89.55</v>
      </c>
      <c r="S9" s="193" t="n">
        <v>61.06</v>
      </c>
      <c r="T9" s="194" t="n">
        <v>1850</v>
      </c>
      <c r="U9" s="194" t="n">
        <v>2277.4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 t="n">
        <v>-23.13</v>
      </c>
      <c r="E10" s="197" t="n">
        <v>-23.13</v>
      </c>
      <c r="F10" s="197" t="n">
        <v>-23.63</v>
      </c>
      <c r="G10" s="197" t="n">
        <v>239.34</v>
      </c>
      <c r="H10" s="197" t="n">
        <v>189.39</v>
      </c>
      <c r="I10" s="197" t="n">
        <v>564.04</v>
      </c>
      <c r="J10" s="197" t="n">
        <v>497.44</v>
      </c>
      <c r="K10" s="197" t="n">
        <v>330.93</v>
      </c>
      <c r="L10" s="197" t="n">
        <v>364.83</v>
      </c>
      <c r="M10" s="197" t="n">
        <v>439.76</v>
      </c>
      <c r="N10" s="197" t="n">
        <v>673.0700000000001</v>
      </c>
      <c r="O10" s="197" t="n">
        <v>319.24</v>
      </c>
      <c r="P10" s="197" t="n">
        <v>245.37</v>
      </c>
      <c r="Q10" s="197" t="n">
        <v>179.16</v>
      </c>
      <c r="R10" s="197" t="n">
        <v>112.96</v>
      </c>
      <c r="S10" s="197" t="n">
        <v>52.34</v>
      </c>
      <c r="T10" s="198" t="n">
        <v>3548.2</v>
      </c>
      <c r="U10" s="198" t="n">
        <v>4138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 t="n">
        <v>-80</v>
      </c>
      <c r="E12" s="202" t="n">
        <v>-100</v>
      </c>
      <c r="F12" s="202" t="n">
        <v>-120</v>
      </c>
      <c r="G12" s="202" t="n">
        <v>-100</v>
      </c>
      <c r="H12" s="202" t="n">
        <v>-180</v>
      </c>
      <c r="I12" s="202" t="n">
        <v>-220</v>
      </c>
      <c r="J12" s="202" t="n">
        <v>-220</v>
      </c>
      <c r="K12" s="202" t="n">
        <v>-180</v>
      </c>
      <c r="L12" s="202" t="n">
        <v>-180</v>
      </c>
      <c r="M12" s="202" t="n">
        <v>-170</v>
      </c>
      <c r="N12" s="202" t="n">
        <v>-170</v>
      </c>
      <c r="O12" s="202" t="n">
        <v>-130</v>
      </c>
      <c r="P12" s="202" t="n">
        <v>0</v>
      </c>
      <c r="Q12" s="202" t="n">
        <v>0</v>
      </c>
      <c r="R12" s="202" t="n">
        <v>0</v>
      </c>
      <c r="S12" s="202" t="n">
        <v>0</v>
      </c>
      <c r="T12" s="203" t="n">
        <v>-1850</v>
      </c>
      <c r="U12" s="203" t="n">
        <v>-1850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 t="n">
        <v>-80.83</v>
      </c>
      <c r="E14" s="197" t="n">
        <v>-100.83</v>
      </c>
      <c r="F14" s="197" t="n">
        <v>-120.83</v>
      </c>
      <c r="G14" s="197" t="n">
        <v>-100.83</v>
      </c>
      <c r="H14" s="197" t="n">
        <v>-180.83</v>
      </c>
      <c r="I14" s="197" t="n">
        <v>-220.83</v>
      </c>
      <c r="J14" s="197" t="n">
        <v>-220.83</v>
      </c>
      <c r="K14" s="197" t="n">
        <v>-180.83</v>
      </c>
      <c r="L14" s="197" t="n">
        <v>-180.83</v>
      </c>
      <c r="M14" s="197" t="n">
        <v>-170.83</v>
      </c>
      <c r="N14" s="197" t="n">
        <v>-170.83</v>
      </c>
      <c r="O14" s="197" t="n">
        <v>-130.83</v>
      </c>
      <c r="P14" s="197" t="n">
        <v>0</v>
      </c>
      <c r="Q14" s="197" t="n">
        <v>0</v>
      </c>
      <c r="R14" s="197" t="n">
        <v>0</v>
      </c>
      <c r="S14" s="197" t="n">
        <v>0</v>
      </c>
      <c r="T14" s="198" t="n">
        <v>-1860</v>
      </c>
      <c r="U14" s="198" t="n">
        <v>-1860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 t="n">
        <v>-1200</v>
      </c>
      <c r="Q18" s="202" t="n">
        <v>-900</v>
      </c>
      <c r="R18" s="202" t="n">
        <v>-600</v>
      </c>
      <c r="S18" s="202" t="n">
        <v>-300</v>
      </c>
      <c r="T18" s="203" t="n">
        <v>0</v>
      </c>
      <c r="U18" s="203" t="n">
        <v>-3000</v>
      </c>
      <c r="V18" s="204" t="inlineStr">
        <is>
          <t>NDP 3000 распределяется 2029-2032 (40/30/20/10%)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 t="n">
        <v>346.04</v>
      </c>
      <c r="E21" s="197" t="n">
        <v>-123.96</v>
      </c>
      <c r="F21" s="197" t="n">
        <v>-144.46</v>
      </c>
      <c r="G21" s="197" t="n">
        <v>638.51</v>
      </c>
      <c r="H21" s="197" t="n">
        <v>8.56</v>
      </c>
      <c r="I21" s="197" t="n">
        <v>343.21</v>
      </c>
      <c r="J21" s="197" t="n">
        <v>776.61</v>
      </c>
      <c r="K21" s="197" t="n">
        <v>150.1</v>
      </c>
      <c r="L21" s="197" t="n">
        <v>184</v>
      </c>
      <c r="M21" s="197" t="n">
        <v>668.9299999999999</v>
      </c>
      <c r="N21" s="197" t="n">
        <v>502.24</v>
      </c>
      <c r="O21" s="197" t="n">
        <v>188.41</v>
      </c>
      <c r="P21" s="197" t="n">
        <v>-954.63</v>
      </c>
      <c r="Q21" s="197" t="n">
        <v>-720.84</v>
      </c>
      <c r="R21" s="197" t="n">
        <v>-487.04</v>
      </c>
      <c r="S21" s="197" t="n">
        <v>-247.66</v>
      </c>
      <c r="T21" s="198" t="n">
        <v>3538.2</v>
      </c>
      <c r="U21" s="198" t="n">
        <v>1128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 t="n">
        <v>0</v>
      </c>
      <c r="E22" s="207" t="n">
        <v>346.04</v>
      </c>
      <c r="F22" s="207" t="n">
        <v>222.08</v>
      </c>
      <c r="G22" s="207" t="n">
        <v>77.62</v>
      </c>
      <c r="H22" s="207" t="n">
        <v>716.13</v>
      </c>
      <c r="I22" s="207" t="n">
        <v>724.6900000000001</v>
      </c>
      <c r="J22" s="207" t="n">
        <v>1067.9</v>
      </c>
      <c r="K22" s="207" t="n">
        <v>1844.51</v>
      </c>
      <c r="L22" s="207" t="n">
        <v>1994.61</v>
      </c>
      <c r="M22" s="207" t="n">
        <v>2178.61</v>
      </c>
      <c r="N22" s="207" t="n">
        <v>2847.54</v>
      </c>
      <c r="O22" s="207" t="n">
        <v>3349.78</v>
      </c>
      <c r="P22" s="207" t="n">
        <v>3538.19</v>
      </c>
      <c r="Q22" s="207" t="n">
        <v>2583.56</v>
      </c>
      <c r="R22" s="207" t="n">
        <v>1862.72</v>
      </c>
      <c r="S22" s="207" t="n">
        <v>1375.68</v>
      </c>
      <c r="T22" s="208" t="n">
        <v>15369.5</v>
      </c>
      <c r="U22" s="208" t="n">
        <v>24729.7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 t="n">
        <v>346.04</v>
      </c>
      <c r="E23" s="194" t="n">
        <v>222.08</v>
      </c>
      <c r="F23" s="194" t="n">
        <v>77.62</v>
      </c>
      <c r="G23" s="194" t="n">
        <v>716.13</v>
      </c>
      <c r="H23" s="194" t="n">
        <v>724.6900000000001</v>
      </c>
      <c r="I23" s="194" t="n">
        <v>1067.9</v>
      </c>
      <c r="J23" s="194" t="n">
        <v>1844.51</v>
      </c>
      <c r="K23" s="194" t="n">
        <v>1994.61</v>
      </c>
      <c r="L23" s="194" t="n">
        <v>2178.61</v>
      </c>
      <c r="M23" s="194" t="n">
        <v>2847.54</v>
      </c>
      <c r="N23" s="194" t="n">
        <v>3349.78</v>
      </c>
      <c r="O23" s="194" t="n">
        <v>3538.19</v>
      </c>
      <c r="P23" s="194" t="n">
        <v>2583.56</v>
      </c>
      <c r="Q23" s="194" t="n">
        <v>1862.72</v>
      </c>
      <c r="R23" s="194" t="n">
        <v>1375.68</v>
      </c>
      <c r="S23" s="194" t="n">
        <v>1128.02</v>
      </c>
      <c r="T23" s="198" t="n">
        <v>18907.7</v>
      </c>
      <c r="U23" s="198" t="n">
        <v>25857.7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3,538.2 млн ₽  |  Cash end of 2032 = 1,128.0 млн ₽  |  Σ OCF 3Y = 3,548  ·  Σ ICF 3Y = -1,860  ·  Σ FCF 3Y = 1,850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W₃ DEFAULT (1× Liq Pref 1 250 + 8%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(W₃ default)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W₃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>
        <f> EBITDA × multiple</f>
        <v/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>
        <f> EV − Net Debt</f>
        <v/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44" t="inlineStr">
        <is>
          <t>★ DEFAULT — LP downside protection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8">
      <c r="B38" s="548" t="inlineStr">
        <is>
          <t>✓ W₁ Σ = 3 000.0  ·  ✓ W₂ Σ = 3 000.0  ·  ✓ W₃ Σ = 3 000.0 (★ DEFAULT)  ·  ✓ W₄ Σ = 3,000.0  |  IRR cash-on-cash: см. 24_Investor_Returns Matrix 3×4</t>
        </is>
      </c>
    </row>
  </sheetData>
  <mergeCells count="8">
    <mergeCell ref="B11:J11"/>
    <mergeCell ref="B38:J38"/>
    <mergeCell ref="B3:J3"/>
    <mergeCell ref="B5:J5"/>
    <mergeCell ref="B31:J31"/>
    <mergeCell ref="B17:J17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 t="n">
        <v>50</v>
      </c>
      <c r="E14" s="207" t="n">
        <v>640</v>
      </c>
      <c r="F14" s="207" t="n">
        <v>1462</v>
      </c>
      <c r="G14" s="232" t="n">
        <v>2152</v>
      </c>
      <c r="H14" s="207" t="n">
        <v>850</v>
      </c>
      <c r="I14" s="207" t="n">
        <v>3002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 t="n">
        <v>12.98701298701299</v>
      </c>
      <c r="E15" s="236" t="n">
        <v>38.43843843843844</v>
      </c>
      <c r="F15" s="236" t="n">
        <v>58.59719438877755</v>
      </c>
      <c r="G15" s="251" t="n">
        <v>47.34873487348734</v>
      </c>
      <c r="H15" s="236" t="n">
        <v>80.95238095238095</v>
      </c>
      <c r="I15" s="236" t="n">
        <v>53.6550491510277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 t="n">
        <v>5</v>
      </c>
      <c r="E17" s="207" t="n">
        <v>490</v>
      </c>
      <c r="F17" s="207" t="n">
        <v>1194</v>
      </c>
      <c r="G17" s="232" t="n">
        <v>1689</v>
      </c>
      <c r="H17" s="207" t="n">
        <v>650</v>
      </c>
      <c r="I17" s="207" t="n">
        <v>2339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 t="n">
        <v>1.298701298701299</v>
      </c>
      <c r="E18" s="236" t="n">
        <v>29.42942942942943</v>
      </c>
      <c r="F18" s="236" t="n">
        <v>47.85571142284569</v>
      </c>
      <c r="G18" s="251" t="n">
        <v>37.16171617161716</v>
      </c>
      <c r="H18" s="236" t="n">
        <v>61.90476190476191</v>
      </c>
      <c r="I18" s="236" t="n">
        <v>41.80518319928508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213" t="inlineStr">
        <is>
          <t>IRR investor T₁ (W₃ default)</t>
        </is>
      </c>
      <c r="D23" s="248" t="inlineStr">
        <is>
          <t>—</t>
        </is>
      </c>
      <c r="E23" s="248" t="inlineStr">
        <is>
          <t>—</t>
        </is>
      </c>
      <c r="F23" s="248" t="inlineStr">
        <is>
          <t>—</t>
        </is>
      </c>
      <c r="G23" s="249" t="inlineStr">
        <is>
          <t>18.04%</t>
        </is>
      </c>
      <c r="H23" s="248" t="inlineStr">
        <is>
          <t>—</t>
        </is>
      </c>
      <c r="I23" s="248" t="inlineStr">
        <is>
          <t>—</t>
        </is>
      </c>
      <c r="J23" s="247" t="inlineStr">
        <is>
          <t>Base (hurdle ровно)</t>
        </is>
      </c>
    </row>
    <row r="24">
      <c r="B24" s="205" t="inlineStr">
        <is>
          <t>3.4</t>
        </is>
      </c>
      <c r="C24" s="213" t="inlineStr">
        <is>
          <t>MOIC investor T₁ (W₃)</t>
        </is>
      </c>
      <c r="D24" s="248" t="inlineStr">
        <is>
          <t>—</t>
        </is>
      </c>
      <c r="E24" s="248" t="inlineStr">
        <is>
          <t>—</t>
        </is>
      </c>
      <c r="F24" s="248" t="inlineStr">
        <is>
          <t>—</t>
        </is>
      </c>
      <c r="G24" s="249" t="inlineStr">
        <is>
          <t>2.00×</t>
        </is>
      </c>
      <c r="H24" s="248" t="inlineStr">
        <is>
          <t>—</t>
        </is>
      </c>
      <c r="I24" s="248" t="inlineStr">
        <is>
          <t>2.00×</t>
        </is>
      </c>
      <c r="J24" s="247" t="inlineStr">
        <is>
          <t>Base</t>
        </is>
      </c>
    </row>
    <row r="25">
      <c r="B25" s="205" t="inlineStr">
        <is>
          <t>3.5</t>
        </is>
      </c>
      <c r="C25" s="213" t="inlineStr">
        <is>
          <t>Payback T₁ (years)</t>
        </is>
      </c>
      <c r="D25" s="248" t="inlineStr">
        <is>
          <t>—</t>
        </is>
      </c>
      <c r="E25" s="248" t="inlineStr">
        <is>
          <t>—</t>
        </is>
      </c>
      <c r="F25" s="248" t="inlineStr">
        <is>
          <t>—</t>
        </is>
      </c>
      <c r="G25" s="249" t="inlineStr">
        <is>
          <t>3.75y</t>
        </is>
      </c>
      <c r="H25" s="248" t="inlineStr">
        <is>
          <t>—</t>
        </is>
      </c>
      <c r="I25" s="248" t="inlineStr">
        <is>
          <t>3.75y</t>
        </is>
      </c>
      <c r="J25" s="247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3 538</t>
        </is>
      </c>
      <c r="G30" s="249" t="inlineStr">
        <is>
          <t>3 538</t>
        </is>
      </c>
      <c r="H30" s="248" t="inlineStr">
        <is>
          <t>1 128</t>
        </is>
      </c>
      <c r="I30" s="248" t="inlineStr">
        <is>
          <t>1 128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 t="n">
        <v>402.5</v>
      </c>
      <c r="E36" s="207" t="n">
        <v>853</v>
      </c>
      <c r="F36" s="207" t="n">
        <v>594.5</v>
      </c>
      <c r="G36" s="232" t="n">
        <v>1850</v>
      </c>
      <c r="H36" s="207" t="n">
        <v>0</v>
      </c>
      <c r="I36" s="207" t="n">
        <v>1850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 t="n">
        <v>22.5</v>
      </c>
      <c r="E37" s="207" t="n">
        <v>105</v>
      </c>
      <c r="F37" s="207" t="n">
        <v>150</v>
      </c>
      <c r="G37" s="232" t="n">
        <v>277.5</v>
      </c>
      <c r="H37" s="248" t="inlineStr">
        <is>
          <t>—</t>
        </is>
      </c>
      <c r="I37" s="207" t="n">
        <v>277.5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A₁), млн ₽</t>
        </is>
      </c>
      <c r="D38" s="207" t="n">
        <v>73.90000000000001</v>
      </c>
      <c r="E38" s="207" t="n">
        <v>73.90000000000001</v>
      </c>
      <c r="F38" s="207" t="n">
        <v>73.90000000000001</v>
      </c>
      <c r="G38" s="232" t="n">
        <v>221.8</v>
      </c>
      <c r="H38" s="248" t="inlineStr">
        <is>
          <t>—</t>
        </is>
      </c>
      <c r="I38" s="207" t="n">
        <v>221.8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 t="n">
        <v>1614</v>
      </c>
      <c r="E45" s="202" t="n">
        <v>2250</v>
      </c>
      <c r="F45" s="202" t="n">
        <v>1182</v>
      </c>
      <c r="G45" s="255" t="inlineStr">
        <is>
          <t>12.50%</t>
        </is>
      </c>
      <c r="H45" s="255" t="inlineStr">
        <is>
          <t>1.64×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 t="n">
        <v>2152</v>
      </c>
      <c r="E46" s="232" t="n">
        <v>3000</v>
      </c>
      <c r="F46" s="232" t="n">
        <v>1689</v>
      </c>
      <c r="G46" s="256" t="inlineStr">
        <is>
          <t>18.04%</t>
        </is>
      </c>
      <c r="H46" s="256" t="inlineStr">
        <is>
          <t>2.00×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 t="n">
        <v>2690</v>
      </c>
      <c r="E47" s="193" t="n">
        <v>3750</v>
      </c>
      <c r="F47" s="193" t="n">
        <v>2111</v>
      </c>
      <c r="G47" s="257" t="inlineStr">
        <is>
          <t>22.91%</t>
        </is>
      </c>
      <c r="H47" s="257" t="inlineStr">
        <is>
          <t>2.36×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>
        <f> FCFF</f>
        <v/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>
        <f> Equity Value</f>
        <v/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M43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244" t="inlineStr">
        <is>
          <t>I. T₁ INVESTOR CASHFLOW SCHEDULE (Base case · W₃ Liq Pref + 8% + 60/40 DEFAULT)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-600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-950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Liq Pref partial</t>
        </is>
      </c>
      <c r="E12" s="549" t="n">
        <v>500</v>
      </c>
      <c r="F12" s="549" t="n"/>
      <c r="G12" s="257" t="n"/>
      <c r="H12" s="549" t="n">
        <v>500</v>
      </c>
      <c r="I12" s="549" t="n">
        <v>-750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Liq Pref final + coupon</t>
        </is>
      </c>
      <c r="E13" s="549" t="n">
        <v>750</v>
      </c>
      <c r="F13" s="549" t="n">
        <v>500</v>
      </c>
      <c r="G13" s="549" t="n"/>
      <c r="H13" s="549" t="n">
        <v>1250</v>
      </c>
      <c r="I13" s="549" t="n">
        <v>500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Carried interest share</t>
        </is>
      </c>
      <c r="E14" s="549" t="n"/>
      <c r="F14" s="257" t="n"/>
      <c r="G14" s="549" t="n">
        <v>375</v>
      </c>
      <c r="H14" s="549" t="n">
        <v>375</v>
      </c>
      <c r="I14" s="549" t="n">
        <v>875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Carried interest share</t>
        </is>
      </c>
      <c r="E15" s="549" t="n"/>
      <c r="F15" s="257" t="n"/>
      <c r="G15" s="549" t="n">
        <v>375</v>
      </c>
      <c r="H15" s="549" t="n">
        <v>375</v>
      </c>
      <c r="I15" s="549" t="n">
        <v>1250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0</v>
      </c>
      <c r="F16" s="550" t="n">
        <v>500</v>
      </c>
      <c r="G16" s="550" t="n">
        <v>750</v>
      </c>
      <c r="H16" s="550" t="n">
        <v>1250</v>
      </c>
      <c r="I16" s="273" t="n"/>
      <c r="J16" s="273" t="n"/>
      <c r="K16" s="273" t="n"/>
    </row>
    <row r="18">
      <c r="B18" s="244" t="inlineStr">
        <is>
          <t>II. RETURNS MATRIX — 3 SCENARIOS × 4 WATERFALLS (IRR / MOIC, единая методология)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30" t="inlineStr">
        <is>
          <t>Best</t>
        </is>
      </c>
      <c r="M19" s="530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212" t="inlineStr">
        <is>
          <t>W₄</t>
        </is>
      </c>
      <c r="M20" s="555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212" t="inlineStr">
        <is>
          <t>W₄</t>
        </is>
      </c>
      <c r="M21" s="555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212" t="inlineStr">
        <is>
          <t>W₄</t>
        </is>
      </c>
      <c r="M22" s="555" t="n">
        <v>3750</v>
      </c>
    </row>
    <row r="25">
      <c r="B25" s="244" t="inlineStr">
        <is>
          <t>III. CASH-ON-CASH METRICS (Base case · W₃ DEFAULT)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58" t="n">
        <v>2500</v>
      </c>
      <c r="H27" s="187" t="n"/>
      <c r="I27" s="159" t="inlineStr">
        <is>
          <t>W₃: 1250 liq pref + 500 coupon + 750 carried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58" t="n">
        <v>1250</v>
      </c>
      <c r="H28" s="187" t="n"/>
      <c r="I28" s="159" t="inlineStr">
        <is>
          <t>Return on capital (net gain)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59" t="n">
        <v>100</v>
      </c>
      <c r="H29" s="187" t="n"/>
      <c r="I29" s="159" t="inlineStr">
        <is>
          <t>Total return % (net gain / invest)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60" t="n">
        <v>2</v>
      </c>
      <c r="H30" s="187" t="n"/>
      <c r="I30" s="159" t="inlineStr">
        <is>
          <t>MOIC = 2500/1250 (investor-friendly W₃)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60" t="n">
        <v>2</v>
      </c>
      <c r="H31" s="187" t="n"/>
      <c r="I31" s="159" t="inlineStr">
        <is>
          <t>DPI fully realized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60" t="n">
        <v>2</v>
      </c>
      <c r="H32" s="187" t="n"/>
      <c r="I32" s="159">
        <f> DPI (no NAV)</f>
        <v/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59" t="n">
        <v>18.04314415327262</v>
      </c>
      <c r="H33" s="187" t="n"/>
      <c r="I33" s="159" t="inlineStr">
        <is>
          <t>Hurdle 18%, PASS (fractional period IRR)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58" t="n">
        <v>1250</v>
      </c>
      <c r="H34" s="187" t="n"/>
      <c r="I34" s="159" t="inlineStr">
        <is>
          <t>Q4'26 full draw 1 250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279" t="n">
        <v>3.75</v>
      </c>
      <c r="H35" s="187" t="n"/>
      <c r="I35" s="159" t="inlineStr">
        <is>
          <t>2029-начало 2030 full principal return</t>
        </is>
      </c>
      <c r="J35" s="186" t="n"/>
      <c r="K35" s="187" t="n"/>
    </row>
    <row r="38">
      <c r="B38" s="244" t="inlineStr">
        <is>
          <t>IV. RETURN ATTRIBUTION — РАЗБИВКА ROI (Base W₃ DEFAULT)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50</v>
      </c>
      <c r="J40" s="206" t="inlineStr">
        <is>
          <t>Stage 1 W₃: senior recovery</t>
        </is>
      </c>
      <c r="K40" s="187" t="n"/>
    </row>
    <row r="41">
      <c r="B41" s="205" t="n">
        <v>2</v>
      </c>
      <c r="C41" s="206" t="inlineStr">
        <is>
          <t>Preferred Return Coupon (8% × 5y)</t>
        </is>
      </c>
      <c r="D41" s="186" t="n"/>
      <c r="E41" s="186" t="n"/>
      <c r="F41" s="186" t="n"/>
      <c r="G41" s="187" t="n"/>
      <c r="H41" s="227" t="n">
        <v>500</v>
      </c>
      <c r="I41" s="236" t="n">
        <v>20</v>
      </c>
      <c r="J41" s="206" t="inlineStr">
        <is>
          <t>Stage 2 W₃: 1 250 × 8% × 5y = 500</t>
        </is>
      </c>
      <c r="K41" s="187" t="n"/>
    </row>
    <row r="42">
      <c r="B42" s="205" t="n">
        <v>3</v>
      </c>
      <c r="C42" s="206" t="inlineStr">
        <is>
          <t>Carried Interest Share (60% of 1 250 residual)</t>
        </is>
      </c>
      <c r="D42" s="186" t="n"/>
      <c r="E42" s="186" t="n"/>
      <c r="F42" s="186" t="n"/>
      <c r="G42" s="187" t="n"/>
      <c r="H42" s="227" t="n">
        <v>750</v>
      </c>
      <c r="I42" s="236" t="n">
        <v>30</v>
      </c>
      <c r="J42" s="206" t="inlineStr">
        <is>
          <t>Stage 3 W₃: 60% × (3000 − 1250 − 500)</t>
        </is>
      </c>
      <c r="K42" s="187" t="n"/>
    </row>
    <row r="43">
      <c r="B43" s="179" t="inlineStr"/>
      <c r="C43" s="180" t="inlineStr">
        <is>
          <t>ИТОГО ROI</t>
        </is>
      </c>
      <c r="D43" s="186" t="n"/>
      <c r="E43" s="186" t="n"/>
      <c r="F43" s="186" t="n"/>
      <c r="G43" s="187" t="n"/>
      <c r="H43" s="561" t="n">
        <v>2500</v>
      </c>
      <c r="I43" s="280" t="n">
        <v>100</v>
      </c>
      <c r="J43" s="180">
        <f> 1250 + 500 + 750 (W₃ Base NDP 3000)</f>
        <v/>
      </c>
      <c r="K43" s="187" t="n"/>
    </row>
  </sheetData>
  <mergeCells count="47">
    <mergeCell ref="J39:K39"/>
    <mergeCell ref="I32:K32"/>
    <mergeCell ref="I28:K28"/>
    <mergeCell ref="C42:G42"/>
    <mergeCell ref="G27:H27"/>
    <mergeCell ref="B31:F31"/>
    <mergeCell ref="B6:K6"/>
    <mergeCell ref="B2:K3"/>
    <mergeCell ref="B27:F27"/>
    <mergeCell ref="J40:K40"/>
    <mergeCell ref="I33:K33"/>
    <mergeCell ref="B4:K4"/>
    <mergeCell ref="C41:G41"/>
    <mergeCell ref="B25:K25"/>
    <mergeCell ref="G28:H28"/>
    <mergeCell ref="I35:K35"/>
    <mergeCell ref="C40:G40"/>
    <mergeCell ref="I29:K29"/>
    <mergeCell ref="B29:F29"/>
    <mergeCell ref="G34:H34"/>
    <mergeCell ref="C43:G43"/>
    <mergeCell ref="G30:H30"/>
    <mergeCell ref="B34:F34"/>
    <mergeCell ref="B18:K18"/>
    <mergeCell ref="B28:F28"/>
    <mergeCell ref="G33:H33"/>
    <mergeCell ref="I31:K31"/>
    <mergeCell ref="J41:K41"/>
    <mergeCell ref="I34:K34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>
        <f> Enterprise Value</f>
        <v/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>
        <f> Equity Value</f>
        <v/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>
        <f> Net Equity Proceeds</f>
        <v/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W₃ Base MOIC = 2.00×).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(W₃)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 на EBITDA 3Y и IRR T₁ W₃ default)</t>
        </is>
      </c>
    </row>
    <row r="3"/>
    <row r="4">
      <c r="B4" s="189" t="inlineStr">
        <is>
          <t>Ранжирование ключевых драйверов по влиянию на EBITDA 3Y (база 2 152 млн ₽) и IRR T₁ W₃ (база 18.04% = hurdle 18% ровно). Под W₃ чувствительность IRR ниже из-за floor 1× Liq Pref (downside protection).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W₃ (база 18.04%)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13.54</v>
      </c>
      <c r="E31" s="236" t="n">
        <v>18.04</v>
      </c>
      <c r="F31" s="236" t="n">
        <v>21.84</v>
      </c>
      <c r="G31" s="291" t="n">
        <v>-4.5</v>
      </c>
      <c r="H31" s="291" t="n">
        <v>3.8</v>
      </c>
      <c r="I31" s="291" t="n">
        <v>8.300000000000001</v>
      </c>
      <c r="J31" s="236" t="n">
        <v>84.04038793444511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14.24</v>
      </c>
      <c r="E32" s="236" t="n">
        <v>18.04</v>
      </c>
      <c r="F32" s="236" t="n">
        <v>21.24</v>
      </c>
      <c r="G32" s="291" t="n">
        <v>-3.8</v>
      </c>
      <c r="H32" s="291" t="n">
        <v>3.2</v>
      </c>
      <c r="I32" s="291" t="n">
        <v>7</v>
      </c>
      <c r="J32" s="236" t="n">
        <v>59.97910933333882</v>
      </c>
      <c r="K32" s="212" t="n">
        <v>4</v>
      </c>
    </row>
    <row r="33">
      <c r="B33" s="205" t="n">
        <v>3</v>
      </c>
      <c r="C33" s="206" t="inlineStr">
        <is>
          <t>Production CAPEX</t>
        </is>
      </c>
      <c r="D33" s="236" t="n">
        <v>19.84</v>
      </c>
      <c r="E33" s="236" t="n">
        <v>18.04</v>
      </c>
      <c r="F33" s="236" t="n">
        <v>15.84</v>
      </c>
      <c r="G33" s="291" t="n">
        <v>1.8</v>
      </c>
      <c r="H33" s="291" t="n">
        <v>-2.2</v>
      </c>
      <c r="I33" s="291" t="n">
        <v>4</v>
      </c>
      <c r="J33" s="236" t="n">
        <v>77.92207792207789</v>
      </c>
      <c r="K33" s="212" t="n">
        <v>3</v>
      </c>
    </row>
    <row r="34">
      <c r="B34" s="205" t="n">
        <v>4</v>
      </c>
      <c r="C34" s="206" t="inlineStr">
        <is>
          <t>P&amp;A ratio</t>
        </is>
      </c>
      <c r="D34" s="236" t="n">
        <v>18.64</v>
      </c>
      <c r="E34" s="236" t="n">
        <v>18.04</v>
      </c>
      <c r="F34" s="236" t="n">
        <v>17.24</v>
      </c>
      <c r="G34" s="291" t="n">
        <v>0.6</v>
      </c>
      <c r="H34" s="291" t="n">
        <v>-0.8</v>
      </c>
      <c r="I34" s="291" t="n">
        <v>1.4</v>
      </c>
      <c r="J34" s="236" t="n">
        <v>15.58441558441556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18.24</v>
      </c>
      <c r="E35" s="236" t="n">
        <v>18.04</v>
      </c>
      <c r="F35" s="236" t="n">
        <v>17.79</v>
      </c>
      <c r="G35" s="291" t="n">
        <v>0.2</v>
      </c>
      <c r="H35" s="291" t="n">
        <v>-0.25</v>
      </c>
      <c r="I35" s="291" t="n">
        <v>0.45</v>
      </c>
      <c r="J35" s="236" t="n">
        <v>5.194805194805199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17.98</v>
      </c>
      <c r="E36" s="236" t="n">
        <v>18.04</v>
      </c>
      <c r="F36" s="236" t="n">
        <v>18.1</v>
      </c>
      <c r="G36" s="291" t="n">
        <v>-0.06</v>
      </c>
      <c r="H36" s="291" t="n">
        <v>0.06</v>
      </c>
      <c r="I36" s="291" t="n">
        <v>0.12</v>
      </c>
      <c r="J36" s="236" t="n">
        <v>1.55844155844156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15.64</v>
      </c>
      <c r="E37" s="236" t="n">
        <v>18.04</v>
      </c>
      <c r="F37" s="236" t="n">
        <v>15.84</v>
      </c>
      <c r="G37" s="291" t="n">
        <v>-2.4</v>
      </c>
      <c r="H37" s="291" t="n">
        <v>-2.2</v>
      </c>
      <c r="I37" s="291" t="n">
        <v>0.1999999999999997</v>
      </c>
      <c r="J37" s="236" t="n">
        <v>0.2983095794718892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13.54</v>
      </c>
      <c r="E38" s="236" t="n">
        <v>18.04</v>
      </c>
      <c r="F38" s="236" t="n">
        <v>21.84</v>
      </c>
      <c r="G38" s="291" t="n">
        <v>-4.5</v>
      </c>
      <c r="H38" s="291" t="n">
        <v>3.8</v>
      </c>
      <c r="I38" s="291" t="n">
        <v>8.300000000000001</v>
      </c>
      <c r="J38" s="236" t="n">
        <v>84.04038793444511</v>
      </c>
      <c r="K38" s="290" t="n">
        <v>2</v>
      </c>
    </row>
    <row r="41">
      <c r="B41" s="244" t="inlineStr">
        <is>
          <t>IV. ЗАКЛЮЧЕНИЯ</t>
        </is>
      </c>
    </row>
    <row r="42">
      <c r="B42" s="246" t="inlineStr">
        <is>
          <t>• Top-2 drivers EBITDA: Revenue и EBITDA margin (эквивалентные, оба ±430 млн ₽ при ±20%).</t>
        </is>
      </c>
    </row>
    <row r="43">
      <c r="B43" s="246" t="inlineStr">
        <is>
          <t>• Production CAPEX — 3rd critical driver (range ±240 млн ₽ при ±20%).</t>
        </is>
      </c>
    </row>
    <row r="44">
      <c r="B44" s="246" t="inlineStr">
        <is>
          <t>• IRR T₁ W₃ защищён floor Liq Pref: downside ограничен (-4.5pp max при Revenue/Attendance −20%), но при этом апсайд компенсирован carried interest (+3.8pp при Revenue +20%).</t>
        </is>
      </c>
    </row>
    <row r="45">
      <c r="B45" s="246" t="inlineStr">
        <is>
          <t>• Под W₃ чувствительность значительно ниже, чем была под W₁ (range ~8pp vs 12pp): это прямой эффект структурной защиты инвестора через Liq Pref + coupon.</t>
        </is>
      </c>
    </row>
    <row r="46">
      <c r="B46" s="246" t="inlineStr">
        <is>
          <t>• Рекомендация: фокус на Box Office revenue (attendance × ticket price) и margin control.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(W₃ Base)</t>
        </is>
      </c>
      <c r="D15" s="294" t="n">
        <v>12.5</v>
      </c>
      <c r="E15" s="295" t="n">
        <v>15.37</v>
      </c>
      <c r="F15" s="275" t="n">
        <v>18.04</v>
      </c>
      <c r="G15" s="296" t="n">
        <v>20.55</v>
      </c>
      <c r="H15" s="297" t="n">
        <v>22.91</v>
      </c>
      <c r="I15" s="236" t="n">
        <v>10.41</v>
      </c>
    </row>
    <row r="16">
      <c r="B16" s="205" t="n">
        <v>9</v>
      </c>
      <c r="C16" s="213" t="inlineStr">
        <is>
          <t>MOIC T₁ (W₃)</t>
        </is>
      </c>
      <c r="D16" s="304" t="n">
        <v>1.64</v>
      </c>
      <c r="E16" s="305" t="n">
        <v>1.82</v>
      </c>
      <c r="F16" s="276" t="n">
        <v>2</v>
      </c>
      <c r="G16" s="306" t="n">
        <v>2.18</v>
      </c>
      <c r="H16" s="307" t="n">
        <v>2.36</v>
      </c>
      <c r="I16" s="237" t="n">
        <v>0.72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distribution W₃</t>
        </is>
      </c>
      <c r="D18" s="292" t="n">
        <v>2050</v>
      </c>
      <c r="E18" s="202" t="n">
        <v>2275</v>
      </c>
      <c r="F18" s="270" t="n">
        <v>2500</v>
      </c>
      <c r="G18" s="293" t="n">
        <v>2725</v>
      </c>
      <c r="H18" s="193" t="n">
        <v>2950</v>
      </c>
      <c r="I18" s="207" t="n">
        <v>900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</t>
        </is>
      </c>
      <c r="C37" s="186" t="n"/>
      <c r="D37" s="186" t="n"/>
      <c r="E37" s="186" t="n"/>
      <c r="F37" s="187" t="n"/>
      <c r="G37" s="176" t="n">
        <v>18.354</v>
      </c>
      <c r="H37" s="187" t="n"/>
      <c r="I37" s="159" t="inlineStr">
        <is>
          <t>%</t>
        </is>
      </c>
    </row>
  </sheetData>
  <mergeCells count="27">
    <mergeCell ref="D27:I27"/>
    <mergeCell ref="B25:C25"/>
    <mergeCell ref="G36:H36"/>
    <mergeCell ref="B31:I31"/>
    <mergeCell ref="B27:C27"/>
    <mergeCell ref="D28:I28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1 000 ИТЕРАЦИЙ · 5 СТОХАСТИЧЕСКИХ ПЕРЕМЕННЫХ · W₃ BASE</t>
        </is>
      </c>
    </row>
    <row r="3"/>
    <row r="4">
      <c r="B4" s="189" t="inlineStr">
        <is>
          <t>Распределения NDP, EBITDA, IRR, MOIC, EV под Waterfall W₃ (DEFAULT, 1× Liq Pref + 8% coupon + 60/40). Percentiles, probability of hurdle/target pass, Value at Risk. Seed=42. IRR/MOIC рассчитаны единой методологией: out квартально Q1-Q4 2026, in 20/50/15/15 в 2029-2032.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1 000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3013.024231940783</v>
      </c>
      <c r="E17" s="207" t="n">
        <v>620.8922201026729</v>
      </c>
      <c r="F17" s="207" t="n">
        <v>2061.551183400659</v>
      </c>
      <c r="G17" s="207" t="n">
        <v>2265.093898037318</v>
      </c>
      <c r="H17" s="207" t="n">
        <v>2549.831901700255</v>
      </c>
      <c r="I17" s="270" t="n">
        <v>2976.521452177528</v>
      </c>
      <c r="J17" s="207" t="n">
        <v>3429.128405437157</v>
      </c>
      <c r="K17" s="207" t="n">
        <v>3837.452803918447</v>
      </c>
      <c r="L17" s="207" t="n">
        <v>4065.081654442005</v>
      </c>
    </row>
    <row r="18">
      <c r="B18" s="317" t="inlineStr">
        <is>
          <t>EBITDA</t>
        </is>
      </c>
      <c r="C18" s="187" t="n"/>
      <c r="D18" s="207" t="n">
        <v>2157.333617287114</v>
      </c>
      <c r="E18" s="207" t="n">
        <v>431.0494292190086</v>
      </c>
      <c r="F18" s="207" t="n">
        <v>1486.322905324711</v>
      </c>
      <c r="G18" s="207" t="n">
        <v>1619.296045987819</v>
      </c>
      <c r="H18" s="207" t="n">
        <v>1840.485344820347</v>
      </c>
      <c r="I18" s="270" t="n">
        <v>2130.980992685321</v>
      </c>
      <c r="J18" s="207" t="n">
        <v>2439.949847087632</v>
      </c>
      <c r="K18" s="207" t="n">
        <v>2726.467835662731</v>
      </c>
      <c r="L18" s="207" t="n">
        <v>2876.552753403357</v>
      </c>
    </row>
    <row r="19">
      <c r="B19" s="317" t="inlineStr">
        <is>
          <t>IRR</t>
        </is>
      </c>
      <c r="C19" s="187" t="n"/>
      <c r="D19" s="236" t="n">
        <v>17.90404398861444</v>
      </c>
      <c r="E19" s="236" t="n">
        <v>4.266813507178683</v>
      </c>
      <c r="F19" s="236" t="n">
        <v>10.97794187473445</v>
      </c>
      <c r="G19" s="236" t="n">
        <v>12.62350749917582</v>
      </c>
      <c r="H19" s="236" t="n">
        <v>14.81291573656237</v>
      </c>
      <c r="I19" s="275" t="n">
        <v>17.88096050207096</v>
      </c>
      <c r="J19" s="236" t="n">
        <v>20.89947482689052</v>
      </c>
      <c r="K19" s="236" t="n">
        <v>23.44691359734223</v>
      </c>
      <c r="L19" s="236" t="n">
        <v>24.80367058210948</v>
      </c>
    </row>
    <row r="20">
      <c r="B20" s="317" t="inlineStr">
        <is>
          <t>MOIC</t>
        </is>
      </c>
      <c r="C20" s="187" t="n"/>
      <c r="D20" s="237" t="n">
        <v>2.005952392921614</v>
      </c>
      <c r="E20" s="237" t="n">
        <v>0.2987887834220987</v>
      </c>
      <c r="F20" s="237" t="n">
        <v>1.549544568032317</v>
      </c>
      <c r="G20" s="237" t="n">
        <v>1.647245071057913</v>
      </c>
      <c r="H20" s="237" t="n">
        <v>1.783919312816122</v>
      </c>
      <c r="I20" s="276" t="n">
        <v>1.988730297045213</v>
      </c>
      <c r="J20" s="237" t="n">
        <v>2.205981634609835</v>
      </c>
      <c r="K20" s="237" t="n">
        <v>2.401977345880854</v>
      </c>
      <c r="L20" s="237" t="n">
        <v>2.511239194132162</v>
      </c>
    </row>
    <row r="21">
      <c r="B21" s="317" t="inlineStr">
        <is>
          <t>EV</t>
        </is>
      </c>
      <c r="C21" s="187" t="n"/>
      <c r="D21" s="207" t="n">
        <v>10699.06609815291</v>
      </c>
      <c r="E21" s="207" t="n">
        <v>2766.470232575132</v>
      </c>
      <c r="F21" s="207" t="n">
        <v>6510.285945446833</v>
      </c>
      <c r="G21" s="207" t="n">
        <v>7287.918327832361</v>
      </c>
      <c r="H21" s="207" t="n">
        <v>8722.258874834171</v>
      </c>
      <c r="I21" s="270" t="n">
        <v>10458.84307374762</v>
      </c>
      <c r="J21" s="207" t="n">
        <v>12453.55109655373</v>
      </c>
      <c r="K21" s="207" t="n">
        <v>14524.08353581089</v>
      </c>
      <c r="L21" s="207" t="n">
        <v>15657.10412946274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49.2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91.90000000000001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99.59999999999999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0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48.6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938.4488165993405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1091.93892712422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3013.024231940783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2.005952392921614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10458.84307374762</v>
      </c>
      <c r="H34" s="186" t="n"/>
      <c r="I34" s="187" t="n"/>
    </row>
    <row r="37">
      <c r="B37" s="244" t="inlineStr">
        <is>
          <t>IV. NDP DISTRIBUTION HISTOGRAM (1 000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1448 − 1825</t>
        </is>
      </c>
      <c r="D39" s="187" t="n"/>
      <c r="E39" s="205" t="n">
        <v>10</v>
      </c>
      <c r="F39" s="236" t="n">
        <v>1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1825 − 2201</t>
        </is>
      </c>
      <c r="D40" s="187" t="n"/>
      <c r="E40" s="205" t="n">
        <v>76</v>
      </c>
      <c r="F40" s="236" t="n">
        <v>7.6</v>
      </c>
      <c r="G40" s="206" t="inlineStr">
        <is>
          <t>██████████</t>
        </is>
      </c>
      <c r="H40" s="186" t="n"/>
      <c r="I40" s="187" t="n"/>
    </row>
    <row r="41">
      <c r="B41" s="205" t="n">
        <v>3</v>
      </c>
      <c r="C41" s="206" t="inlineStr">
        <is>
          <t>2201 − 2578</t>
        </is>
      </c>
      <c r="D41" s="187" t="n"/>
      <c r="E41" s="205" t="n">
        <v>175</v>
      </c>
      <c r="F41" s="236" t="n">
        <v>17.5</v>
      </c>
      <c r="G41" s="206" t="inlineStr">
        <is>
          <t>███████████████████████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2578 − 2955</t>
        </is>
      </c>
      <c r="D42" s="187" t="n"/>
      <c r="E42" s="205" t="n">
        <v>227</v>
      </c>
      <c r="F42" s="236" t="n">
        <v>22.7</v>
      </c>
      <c r="G42" s="206" t="inlineStr">
        <is>
          <t>██████████████████████████████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2955 − 3332</t>
        </is>
      </c>
      <c r="D43" s="187" t="n"/>
      <c r="E43" s="226" t="n">
        <v>223</v>
      </c>
      <c r="F43" s="251" t="n">
        <v>22.3</v>
      </c>
      <c r="G43" s="281" t="inlineStr">
        <is>
          <t>█████████████████████████████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3332 − 3708</t>
        </is>
      </c>
      <c r="D44" s="187" t="n"/>
      <c r="E44" s="205" t="n">
        <v>147</v>
      </c>
      <c r="F44" s="236" t="n">
        <v>14.7</v>
      </c>
      <c r="G44" s="206" t="inlineStr">
        <is>
          <t>███████████████████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3708 − 4085</t>
        </is>
      </c>
      <c r="D45" s="187" t="n"/>
      <c r="E45" s="205" t="n">
        <v>97</v>
      </c>
      <c r="F45" s="236" t="n">
        <v>9.700000000000001</v>
      </c>
      <c r="G45" s="206" t="inlineStr">
        <is>
          <t>████████████</t>
        </is>
      </c>
      <c r="H45" s="186" t="n"/>
      <c r="I45" s="187" t="n"/>
    </row>
    <row r="46">
      <c r="B46" s="205" t="n">
        <v>8</v>
      </c>
      <c r="C46" s="206" t="inlineStr">
        <is>
          <t>4085 − 4462</t>
        </is>
      </c>
      <c r="D46" s="187" t="n"/>
      <c r="E46" s="205" t="n">
        <v>29</v>
      </c>
      <c r="F46" s="236" t="n">
        <v>2.9</v>
      </c>
      <c r="G46" s="206" t="inlineStr">
        <is>
          <t>███</t>
        </is>
      </c>
      <c r="H46" s="186" t="n"/>
      <c r="I46" s="187" t="n"/>
    </row>
    <row r="47">
      <c r="B47" s="205" t="n">
        <v>9</v>
      </c>
      <c r="C47" s="206" t="inlineStr">
        <is>
          <t>4462 − 4838</t>
        </is>
      </c>
      <c r="D47" s="187" t="n"/>
      <c r="E47" s="205" t="n">
        <v>11</v>
      </c>
      <c r="F47" s="236" t="n">
        <v>1.1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4838 − 5215</t>
        </is>
      </c>
      <c r="D48" s="187" t="n"/>
      <c r="E48" s="205" t="n">
        <v>5</v>
      </c>
      <c r="F48" s="236" t="n">
        <v>0.5</v>
      </c>
      <c r="G48" s="206" t="inlineStr">
        <is>
          <t>█</t>
        </is>
      </c>
      <c r="H48" s="186" t="n"/>
      <c r="I48" s="187" t="n"/>
    </row>
    <row r="51">
      <c r="B51" s="258" t="inlineStr">
        <is>
          <t>Симуляция: numpy seed=42, 1 000 итераций, 5 стохастических переменных (Revenue mult Triangular 0.6/1.0/1.4, Margin shock Normal 0/4pp, CAPEX LogNormal σ=10%, Exit mult Triangular 3/5/7, Film hit rate Binomial p=0.70 n=12). Applied Waterfall W₃ DEFAULT. Methodology: unified numpy_financial.irr() с паттерном 20/50/15/15.</t>
        </is>
      </c>
    </row>
  </sheetData>
  <mergeCells count="61">
    <mergeCell ref="G38:I38"/>
    <mergeCell ref="B16:C16"/>
    <mergeCell ref="G28:I28"/>
    <mergeCell ref="H10:I10"/>
    <mergeCell ref="B25:F25"/>
    <mergeCell ref="C42:D42"/>
    <mergeCell ref="C45:D45"/>
    <mergeCell ref="B31:F31"/>
    <mergeCell ref="G34:I34"/>
    <mergeCell ref="B18:C18"/>
    <mergeCell ref="G30:I30"/>
    <mergeCell ref="H9:I9"/>
    <mergeCell ref="B27:F27"/>
    <mergeCell ref="G33:I33"/>
    <mergeCell ref="B21:C21"/>
    <mergeCell ref="C47:D47"/>
    <mergeCell ref="C41:D41"/>
    <mergeCell ref="G45:I45"/>
    <mergeCell ref="C44:D44"/>
    <mergeCell ref="G26:I26"/>
    <mergeCell ref="C40:D40"/>
    <mergeCell ref="B17:C17"/>
    <mergeCell ref="G29:I29"/>
    <mergeCell ref="G25:I25"/>
    <mergeCell ref="C43:D43"/>
    <mergeCell ref="H11:I11"/>
    <mergeCell ref="B29:F29"/>
    <mergeCell ref="G32:I32"/>
    <mergeCell ref="C46:D46"/>
    <mergeCell ref="G47:I47"/>
    <mergeCell ref="G44:I44"/>
    <mergeCell ref="G41:I41"/>
    <mergeCell ref="B34:F34"/>
    <mergeCell ref="H7:I7"/>
    <mergeCell ref="B19:C19"/>
    <mergeCell ref="B28:F28"/>
    <mergeCell ref="G31:I31"/>
    <mergeCell ref="G46:I46"/>
    <mergeCell ref="G40:I40"/>
    <mergeCell ref="B37:I37"/>
    <mergeCell ref="C48:D48"/>
    <mergeCell ref="C39:D39"/>
    <mergeCell ref="G43:I43"/>
    <mergeCell ref="B30:F30"/>
    <mergeCell ref="H12:I12"/>
    <mergeCell ref="C38:D38"/>
    <mergeCell ref="B15:I15"/>
    <mergeCell ref="G27:I27"/>
    <mergeCell ref="G42:I42"/>
    <mergeCell ref="B6:I6"/>
    <mergeCell ref="B24:I24"/>
    <mergeCell ref="B20:C20"/>
    <mergeCell ref="B33:F33"/>
    <mergeCell ref="B51:I51"/>
    <mergeCell ref="B2:I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W₃ Base IRR = 18.04% (hurdle ровно)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W₃ Liq Pref 1× floor + 8% coupon + W₄ премиум-опция (12% pref + 65/35); exit stratagem backup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W₃ Base IRR = 18.04%</t>
        </is>
      </c>
      <c r="E54" s="350" t="n">
        <v>12</v>
      </c>
      <c r="F54" s="349" t="inlineStr">
        <is>
          <t>Базовый IRR T₁ под Waterfall W₃ DEFAULT составляет 18.04%, что ровно соответствует hurdle 18%. Downside защищён 1× Liq Pref floor (1 250 млн ₽) + 8% coupon × 5y (500 млн ₽). Риск активируется только при глубоком NDP shortfall (&lt;2 500 млн ₽, -17% от базы). Премиум-опция W₄ (12% preferred + 65/35) даёт IRR 19.73% для LP с enhanced requirements.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waterfall: (1) W₃ floor Liq Pref гарантирует возврат principal; (2) coupon 8%×5y = 500 млн ₽ минимальная доходность; (3) W₄ опция 12% preferred для enhanced LP protection; (4) exit route — Trade Sale/IPO 2030 backup.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W₃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базовый IRR T₁ под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W₃ activation (default) / W₄ premium upgrade decision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2 152 млн ₽ | Net Profit Σ = 1 689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2 127.5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2 152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Margin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1 689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Investment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1 850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C27" s="563" t="inlineStr">
        <is>
          <t>Investor Returns T₁ (W₃ default)</t>
        </is>
      </c>
      <c r="E27" t="inlineStr">
        <is>
          <t>IRR 18.04% · MOIC 2.00× · Payback 3.75y</t>
        </is>
      </c>
      <c r="G27" t="inlineStr">
        <is>
          <t>24_Investor_Returns</t>
        </is>
      </c>
      <c r="I27" t="inlineStr">
        <is>
          <t>Base W₃ = hurdle 18% ровно</t>
        </is>
      </c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Comps Median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Market valuation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 t="n"/>
      <c r="E45" s="187" t="n"/>
      <c r="F45" s="471" t="inlineStr">
        <is>
          <t>В DCF высокий WACC 19% + реалистичный forecast (без hockey-stick) = два независимых слоя консерватизма. В Multiples исполнительский риск уже реализован в цене сделок-прецедентов — double-counting устранён.</t>
        </is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 t="n"/>
      <c r="E46" s="187" t="n"/>
      <c r="F46" s="471" t="inlineStr">
        <is>
          <t>CAPEX падает к 2029–2030 (инвестиционный цикл T₁ завершён), FCF растёт импульсом. Gordon g=3% сглаживает этот impulse в линейный рост и занижает post-peak cash generation.</t>
        </is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(W₃ Base IRR = 18.04% = hurdle)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Waterfall W₃ (1× Liq Pref floor + 8% coupon + 60/40), W₄ premium опция (12% preferred + 65/35)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Market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control premium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vertical integration premium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W₃ default (1× Liq Pref + 8% coupon + 60/40) или W₄ premium (12% pref + 65/35)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2.00× (W₃) / 2.12× (W₄), IRR 18.04% = hurdle 18%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W₃ Base = hurdle)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Carlo: n=1000, W₃ base, P(IRR&gt;18%), VaR 95% NDP shortfall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W₃ DEFAULT (1× Liq Pref + 8% coupon + 60/40) — IRR 18.04% = hurdle 18%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2026-04-11T22:45:33Z</dcterms:modified>
  <cp:keywords>investor, financial model, L3, pre-IPO, cinema</cp:keywords>
</cp:coreProperties>
</file>