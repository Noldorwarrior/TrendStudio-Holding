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12_Working_Capital" sheetId="9" state="visible" r:id="rId9"/>
    <sheet xmlns:r="http://schemas.openxmlformats.org/officeDocument/2006/relationships" name="13_Debt_Schedule" sheetId="10" state="visible" r:id="rId10"/>
    <sheet xmlns:r="http://schemas.openxmlformats.org/officeDocument/2006/relationships" name="14_Investment_Inflow" sheetId="11" state="visible" r:id="rId11"/>
    <sheet xmlns:r="http://schemas.openxmlformats.org/officeDocument/2006/relationships" name="15_Use_of_Funds" sheetId="12" state="visible" r:id="rId12"/>
    <sheet xmlns:r="http://schemas.openxmlformats.org/officeDocument/2006/relationships" name="16_CAPEX_Schedule" sheetId="13" state="visible" r:id="rId13"/>
    <sheet xmlns:r="http://schemas.openxmlformats.org/officeDocument/2006/relationships" name="17_Deal_Structures" sheetId="14" state="visible" r:id="rId14"/>
    <sheet xmlns:r="http://schemas.openxmlformats.org/officeDocument/2006/relationships" name="18_Cap_Table" sheetId="15" state="visible" r:id="rId15"/>
    <sheet xmlns:r="http://schemas.openxmlformats.org/officeDocument/2006/relationships" name="19_Waterfall" sheetId="16" state="visible" r:id="rId16"/>
    <sheet xmlns:r="http://schemas.openxmlformats.org/officeDocument/2006/relationships" name="20_Unit_Economics_per_Film" sheetId="17" state="visible" r:id="rId17"/>
    <sheet xmlns:r="http://schemas.openxmlformats.org/officeDocument/2006/relationships" name="21_KPI_Dashboard" sheetId="18" state="visible" r:id="rId18"/>
    <sheet xmlns:r="http://schemas.openxmlformats.org/officeDocument/2006/relationships" name="23_Valuation_Multiples" sheetId="19" state="visible" r:id="rId19"/>
    <sheet xmlns:r="http://schemas.openxmlformats.org/officeDocument/2006/relationships" name="24_Investor_Returns" sheetId="20" state="visible" r:id="rId20"/>
    <sheet xmlns:r="http://schemas.openxmlformats.org/officeDocument/2006/relationships" name="25_Exit_Scenarios" sheetId="21" state="visible" r:id="rId21"/>
    <sheet xmlns:r="http://schemas.openxmlformats.org/officeDocument/2006/relationships" name="26_Sensitivity" sheetId="22" state="visible" r:id="rId22"/>
    <sheet xmlns:r="http://schemas.openxmlformats.org/officeDocument/2006/relationships" name="27_Scenario_Analysis" sheetId="23" state="visible" r:id="rId23"/>
    <sheet xmlns:r="http://schemas.openxmlformats.org/officeDocument/2006/relationships" name="28_Monte_Carlo_Summary" sheetId="24" state="visible" r:id="rId24"/>
    <sheet xmlns:r="http://schemas.openxmlformats.org/officeDocument/2006/relationships" name="29_Risk_Register" sheetId="25" state="visible" r:id="rId25"/>
    <sheet xmlns:r="http://schemas.openxmlformats.org/officeDocument/2006/relationships" name="30_Market_Analysis" sheetId="26" state="visible" r:id="rId26"/>
    <sheet xmlns:r="http://schemas.openxmlformats.org/officeDocument/2006/relationships" name="31_Benchmarks" sheetId="27" state="visible" r:id="rId27"/>
    <sheet xmlns:r="http://schemas.openxmlformats.org/officeDocument/2006/relationships" name="32_Comparable_Transactions" sheetId="28" state="visible" r:id="rId28"/>
    <sheet xmlns:r="http://schemas.openxmlformats.org/officeDocument/2006/relationships" name="33_Gov_KPI" sheetId="29" state="visible" r:id="rId29"/>
    <sheet xmlns:r="http://schemas.openxmlformats.org/officeDocument/2006/relationships" name="34_Tax_Schedule" sheetId="30" state="visible" r:id="rId30"/>
    <sheet xmlns:r="http://schemas.openxmlformats.org/officeDocument/2006/relationships" name="35_Roadmap_2026_2032" sheetId="31" state="visible" r:id="rId31"/>
    <sheet xmlns:r="http://schemas.openxmlformats.org/officeDocument/2006/relationships" name="36_Executive_Summary" sheetId="32" state="visible" r:id="rId32"/>
    <sheet xmlns:r="http://schemas.openxmlformats.org/officeDocument/2006/relationships" name="37_Glossary" sheetId="33" state="visible" r:id="rId33"/>
    <sheet xmlns:r="http://schemas.openxmlformats.org/officeDocument/2006/relationships" name="38_Notes_and_Sources" sheetId="34" state="visible" r:id="rId34"/>
    <sheet xmlns:r="http://schemas.openxmlformats.org/officeDocument/2006/relationships" name="39_TOC" sheetId="35" state="visible" r:id="rId35"/>
    <sheet xmlns:r="http://schemas.openxmlformats.org/officeDocument/2006/relationships" name="40_Investor_Checklist" sheetId="36" state="visible" r:id="rId36"/>
    <sheet xmlns:r="http://schemas.openxmlformats.org/officeDocument/2006/relationships" name="41_Print_Setup" sheetId="37" state="visible" r:id="rId37"/>
    <sheet xmlns:r="http://schemas.openxmlformats.org/officeDocument/2006/relationships" name="42_Cover_Letter" sheetId="38" state="visible" r:id="rId38"/>
    <sheet xmlns:r="http://schemas.openxmlformats.org/officeDocument/2006/relationships" name="09_P&amp;L_Statement" sheetId="39" state="visible" r:id="rId39"/>
    <sheet xmlns:r="http://schemas.openxmlformats.org/officeDocument/2006/relationships" name="10_Cash_Flow" sheetId="40" state="visible" r:id="rId40"/>
    <sheet xmlns:r="http://schemas.openxmlformats.org/officeDocument/2006/relationships" name="11_Balance_Sheet" sheetId="41" state="visible" r:id="rId41"/>
    <sheet xmlns:r="http://schemas.openxmlformats.org/officeDocument/2006/relationships" name="22_Valuation_DCF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31">
    <numFmt numFmtId="164" formatCode="0.0%"/>
    <numFmt numFmtId="165" formatCode="#,##0.000;[Red]-#,##0.000"/>
    <numFmt numFmtId="166" formatCode="0.0&quot;x&quot;"/>
    <numFmt numFmtId="167" formatCode="#,##0 &quot;₽&quot;;[Red]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+#,##0.000;-#,##0.000"/>
    <numFmt numFmtId="173" formatCode="+0.0%;-0.0%"/>
    <numFmt numFmtId="174" formatCode="#,##0.0"/>
    <numFmt numFmtId="175" formatCode="#,##0.00&quot; млн&quot;"/>
    <numFmt numFmtId="176" formatCode="#,##0.00&quot; млн ₽&quot;"/>
    <numFmt numFmtId="177" formatCode="+#,##0.00;-#,##0.00;&quot;0.00&quot;"/>
    <numFmt numFmtId="178" formatCode="0.00&quot;×&quot;"/>
    <numFmt numFmtId="179" formatCode="+0%;-0%"/>
    <numFmt numFmtId="180" formatCode="0&quot; мес&quot;"/>
    <numFmt numFmtId="181" formatCode="#,##0&quot; млн&quot;"/>
    <numFmt numFmtId="182" formatCode="0&quot; шт&quot;"/>
    <numFmt numFmtId="183" formatCode="#,##0;[Red]-#,##0"/>
    <numFmt numFmtId="184" formatCode="#,##0.0;[Red]-#,##0.0"/>
    <numFmt numFmtId="185" formatCode="0.0&quot;%&quot;;[Red]-0.0&quot;%&quot;"/>
    <numFmt numFmtId="186" formatCode="0.0&quot;%&quot;"/>
    <numFmt numFmtId="187" formatCode="0.0&quot; Q&quot;"/>
    <numFmt numFmtId="188" formatCode="0.0"/>
    <numFmt numFmtId="189" formatCode="0.0&quot; years&quot;"/>
    <numFmt numFmtId="190" formatCode="0&quot;%&quot;"/>
    <numFmt numFmtId="191" formatCode="+0.0&quot; pp&quot;;-0.0&quot; pp&quot;"/>
    <numFmt numFmtId="192" formatCode="0.0&quot;×&quot;"/>
    <numFmt numFmtId="193" formatCode="0.000&quot;×&quot;"/>
    <numFmt numFmtId="194" formatCode="0.00&quot;%&quot;"/>
  </numFmts>
  <fonts count="10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2060"/>
      <sz val="22"/>
    </font>
    <font>
      <name val="Arial"/>
      <i val="1"/>
      <color rgb="00595959"/>
      <sz val="14"/>
    </font>
    <font>
      <name val="Arial"/>
      <color rgb="000070C0"/>
      <sz val="11"/>
    </font>
    <font>
      <name val="Arial"/>
      <color rgb="00595959"/>
      <sz val="10"/>
    </font>
    <font>
      <name val="Arial"/>
      <b val="1"/>
      <color rgb="00FFFFFF"/>
      <sz val="13"/>
    </font>
    <font>
      <name val="Arial"/>
      <b val="1"/>
      <color rgb="00595959"/>
      <sz val="10"/>
    </font>
    <font>
      <name val="Arial"/>
      <b val="1"/>
      <color rgb="00002060"/>
      <sz val="26"/>
    </font>
    <font>
      <name val="Arial"/>
      <color rgb="000070C0"/>
      <sz val="10"/>
    </font>
    <font>
      <name val="Arial"/>
      <i val="1"/>
      <color rgb="00595959"/>
      <sz val="8"/>
    </font>
    <font>
      <name val="Arial"/>
      <b val="1"/>
      <color rgb="00548235"/>
      <sz val="11"/>
    </font>
    <font>
      <name val="Arial"/>
      <b val="1"/>
      <color rgb="00FFFFFF"/>
      <sz val="11"/>
    </font>
    <font>
      <name val="Arial"/>
      <color rgb="00002060"/>
      <sz val="10"/>
    </font>
    <font>
      <name val="Arial"/>
      <i val="1"/>
      <color rgb="00595959"/>
      <sz val="9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color rgb="00595959"/>
      <sz val="9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548235"/>
      <sz val="10"/>
    </font>
    <font>
      <name val="Arial"/>
      <b val="1"/>
      <color rgb="00002060"/>
      <sz val="10"/>
    </font>
    <font>
      <name val="Arial"/>
      <b val="1"/>
      <color rgb="00002060"/>
      <sz val="9"/>
    </font>
    <font>
      <name val="Arial"/>
      <sz val="9"/>
    </font>
    <font>
      <name val="Arial"/>
      <b val="1"/>
      <color rgb="00548235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sz val="10"/>
    </font>
    <font>
      <name val="Arial"/>
      <color rgb="00006100"/>
      <sz val="10"/>
    </font>
    <font>
      <name val="Arial"/>
      <color rgb="00C00000"/>
      <sz val="10"/>
    </font>
    <font>
      <name val="Arial"/>
      <b val="1"/>
      <color rgb="00006100"/>
      <sz val="10"/>
    </font>
    <font>
      <name val="Arial"/>
      <b val="1"/>
      <color rgb="00FFFFFF"/>
      <sz val="12"/>
    </font>
    <font>
      <name val="Arial"/>
      <i val="1"/>
      <color rgb="00548235"/>
      <sz val="9"/>
    </font>
    <font>
      <name val="Arial"/>
      <color rgb="00548235"/>
      <sz val="10"/>
    </font>
    <font>
      <name val="Arial"/>
      <b val="1"/>
      <color rgb="00002060"/>
      <sz val="13"/>
    </font>
    <font>
      <name val="Arial"/>
      <b val="1"/>
      <sz val="11"/>
    </font>
    <font>
      <name val="Arial"/>
      <b val="1"/>
      <color rgb="000000FF"/>
      <sz val="12"/>
    </font>
    <font>
      <name val="Arial"/>
      <b val="1"/>
      <color rgb="00000000"/>
      <sz val="12"/>
    </font>
    <font>
      <name val="Arial"/>
      <b val="1"/>
      <color rgb="00548235"/>
      <sz val="12"/>
    </font>
    <font>
      <name val="Arial"/>
      <color rgb="000000FF"/>
      <sz val="10"/>
    </font>
    <font>
      <name val="Arial"/>
      <b val="1"/>
      <color rgb="000070C0"/>
      <sz val="10"/>
    </font>
    <font>
      <name val="Arial"/>
      <b val="1"/>
      <color rgb="00BF8F00"/>
      <sz val="10"/>
    </font>
    <font/>
    <font>
      <name val="Calibri"/>
      <b val="1"/>
      <color rgb="00FFFFFF"/>
      <sz val="12"/>
    </font>
    <font>
      <name val="Calibri"/>
      <b val="1"/>
      <color rgb="001F3864"/>
      <sz val="22"/>
    </font>
    <font>
      <name val="Calibri"/>
      <b val="1"/>
      <color rgb="001F3864"/>
      <sz val="12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color rgb="000000FF"/>
      <sz val="11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000000"/>
      <sz val="10"/>
    </font>
    <font>
      <name val="Calibri"/>
      <b val="1"/>
      <color rgb="00002060"/>
      <sz val="16"/>
    </font>
    <font>
      <name val="Calibri"/>
      <i val="1"/>
      <color rgb="00808080"/>
      <sz val="10"/>
    </font>
    <font>
      <name val="Calibri"/>
      <b val="1"/>
      <color rgb="000070C0"/>
      <sz val="12"/>
    </font>
    <font>
      <name val="Calibri"/>
      <sz val="9"/>
    </font>
    <font>
      <name val="Calibri"/>
      <b val="1"/>
      <sz val="10"/>
    </font>
    <font>
      <name val="Calibri"/>
      <b val="1"/>
      <sz val="9"/>
    </font>
    <font>
      <name val="Calibri"/>
      <sz val="8"/>
    </font>
    <font>
      <name val="Calibri"/>
      <b val="1"/>
      <sz val="8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808080"/>
      <sz val="12"/>
    </font>
    <font>
      <name val="Calibri"/>
      <b val="1"/>
      <color rgb="0000B050"/>
      <sz val="11"/>
    </font>
    <font>
      <name val="Calibri"/>
      <b val="1"/>
      <color rgb="00ED7D31"/>
      <sz val="11"/>
    </font>
    <font>
      <name val="Calibri"/>
      <b val="1"/>
      <color rgb="00C00000"/>
      <sz val="11"/>
    </font>
    <font>
      <name val="Calibri"/>
      <b val="1"/>
      <sz val="11"/>
    </font>
    <font>
      <name val="Calibri"/>
      <i val="1"/>
      <sz val="9"/>
    </font>
    <font>
      <name val="Calibri"/>
      <i val="1"/>
      <color rgb="000070C0"/>
      <sz val="9"/>
    </font>
    <font>
      <name val="Calibri"/>
      <sz val="7"/>
    </font>
    <font>
      <name val="Calibri"/>
      <b val="1"/>
      <color rgb="00006100"/>
      <sz val="7"/>
    </font>
    <font>
      <name val="Calibri"/>
      <b val="1"/>
      <sz val="7"/>
    </font>
    <font>
      <name val="Calibri"/>
      <b val="1"/>
      <color rgb="00C00000"/>
      <sz val="7"/>
    </font>
    <font>
      <name val="Calibri"/>
      <b val="1"/>
      <color rgb="00823B0B"/>
      <sz val="7"/>
    </font>
    <font>
      <name val="Calibri"/>
      <b val="1"/>
      <color rgb="00002060"/>
      <sz val="7"/>
    </font>
    <font>
      <name val="Calibri"/>
      <b val="1"/>
      <color rgb="00C00000"/>
      <sz val="12"/>
    </font>
    <font>
      <name val="Calibri"/>
      <b val="1"/>
      <color rgb="000070C0"/>
      <sz val="18"/>
    </font>
    <font>
      <name val="Calibri"/>
      <i val="1"/>
      <color rgb="00808080"/>
      <sz val="11"/>
    </font>
    <font>
      <name val="Calibri"/>
      <b val="1"/>
      <color rgb="00FFFFFF"/>
      <sz val="13"/>
    </font>
    <font>
      <name val="Calibri"/>
      <b val="1"/>
      <color rgb="000070C0"/>
      <sz val="11"/>
    </font>
    <font>
      <name val="Calibri"/>
      <sz val="11"/>
    </font>
    <font>
      <name val="Calibri"/>
      <i val="1"/>
      <color rgb="00002060"/>
      <sz val="11"/>
    </font>
    <font>
      <name val="Calibri"/>
      <b val="1"/>
      <color rgb="00002060"/>
      <sz val="11"/>
    </font>
    <font>
      <name val="Calibri"/>
      <b val="1"/>
      <color rgb="00002060"/>
      <sz val="10"/>
    </font>
    <font>
      <name val="Calibri"/>
      <i val="1"/>
      <color rgb="00002060"/>
      <sz val="9"/>
    </font>
    <font>
      <name val="Calibri"/>
      <b val="1"/>
      <color rgb="00002060"/>
      <sz val="9"/>
    </font>
    <font>
      <name val="Calibri"/>
      <b val="1"/>
      <color rgb="000070C0"/>
      <sz val="10"/>
      <u val="single"/>
    </font>
    <font>
      <name val="Calibri"/>
      <b val="1"/>
      <color rgb="00002060"/>
      <sz val="12"/>
    </font>
    <font>
      <name val="Calibri"/>
      <i val="1"/>
      <color rgb="00000000"/>
      <sz val="10"/>
    </font>
    <font>
      <name val="Calibri"/>
      <b val="1"/>
      <color rgb="00002060"/>
      <sz val="14"/>
    </font>
    <font>
      <name val="Calibri"/>
      <b val="1"/>
      <color rgb="000070C0"/>
      <sz val="16"/>
    </font>
    <font>
      <name val="Calibri"/>
      <b val="1"/>
      <color rgb="00000000"/>
      <sz val="12"/>
    </font>
    <font>
      <name val="Calibri"/>
      <i val="1"/>
      <color rgb="00C00000"/>
      <sz val="10"/>
    </font>
    <font>
      <name val="Calibri"/>
      <b val="1"/>
      <color rgb="00FFFFFF"/>
      <sz val="14"/>
    </font>
    <font>
      <name val="Calibri"/>
      <b val="1"/>
      <color rgb="00548235"/>
      <sz val="10"/>
    </font>
    <font>
      <name val="Calibri"/>
      <b val="1"/>
      <color rgb="001F4E78"/>
      <sz val="10"/>
    </font>
    <font>
      <name val="Calibri"/>
      <color rgb="000070C0"/>
      <sz val="10"/>
    </font>
    <font>
      <name val="Calibri"/>
      <b val="1"/>
      <color rgb="00C00000"/>
      <sz val="10"/>
    </font>
    <font>
      <name val="Calibri"/>
      <color rgb="00262626"/>
      <sz val="10"/>
    </font>
  </fonts>
  <fills count="40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548235"/>
      </patternFill>
    </fill>
    <fill>
      <patternFill patternType="solid">
        <fgColor rgb="00FAFAFA"/>
      </patternFill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4B8B8"/>
      </patternFill>
    </fill>
    <fill>
      <patternFill patternType="solid">
        <fgColor rgb="00FFC7CE"/>
      </patternFill>
    </fill>
    <fill>
      <patternFill patternType="solid">
        <fgColor rgb="00DDEBD4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D5E3F0"/>
      </patternFill>
    </fill>
    <fill>
      <patternFill patternType="solid">
        <fgColor rgb="00FCE4E4"/>
      </patternFill>
    </fill>
    <fill>
      <patternFill patternType="solid">
        <fgColor rgb="00B4C7E7"/>
      </patternFill>
    </fill>
    <fill>
      <patternFill patternType="solid">
        <fgColor rgb="00F2F8FD"/>
      </patternFill>
    </fill>
    <fill>
      <patternFill patternType="solid">
        <fgColor rgb="00808080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0070C0"/>
        <bgColor rgb="000070C0"/>
      </patternFill>
    </fill>
    <fill>
      <patternFill patternType="solid">
        <fgColor rgb="00F2F2F2"/>
        <bgColor rgb="00F2F2F2"/>
      </patternFill>
    </fill>
    <fill>
      <patternFill patternType="solid">
        <fgColor rgb="00C6E0B4"/>
        <bgColor rgb="00C6E0B4"/>
      </patternFill>
    </fill>
    <fill>
      <patternFill patternType="solid">
        <fgColor rgb="00E2EFDA"/>
        <bgColor rgb="00E2EFDA"/>
      </patternFill>
    </fill>
    <fill>
      <patternFill patternType="solid">
        <fgColor rgb="00FFD966"/>
        <bgColor rgb="00FFD966"/>
      </patternFill>
    </fill>
    <fill>
      <patternFill patternType="solid">
        <fgColor rgb="00FFF2CC"/>
        <bgColor rgb="00FFF2CC"/>
      </patternFill>
    </fill>
    <fill>
      <patternFill patternType="solid">
        <fgColor rgb="00FFEB9C"/>
      </patternFill>
    </fill>
    <fill>
      <patternFill patternType="solid">
        <fgColor rgb="00FFF4CC"/>
        <bgColor rgb="00FFF4CC"/>
      </patternFill>
    </fill>
  </fills>
  <borders count="24">
    <border>
      <left/>
      <right/>
      <top/>
      <bottom/>
      <diagonal/>
    </border>
    <border>
      <top style="medium">
        <color rgb="000070C0"/>
      </top>
    </border>
    <border>
      <left style="medium">
        <color rgb="000070C0"/>
      </left>
      <right style="medium">
        <color rgb="000070C0"/>
      </right>
      <top style="medium">
        <color rgb="000070C0"/>
      </top>
      <bottom style="medium">
        <color rgb="000070C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0070C0"/>
      </left>
      <right style="thin">
        <color rgb="000070C0"/>
      </right>
      <top style="thin">
        <color rgb="000070C0"/>
      </top>
      <bottom style="thin">
        <color rgb="000070C0"/>
      </bottom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 style="medium">
        <color rgb="000070C0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 style="medium">
        <color rgb="000070C0"/>
      </bottom>
      <diagonal/>
    </border>
  </borders>
  <cellStyleXfs count="1">
    <xf numFmtId="0" fontId="0" fillId="0" borderId="0"/>
  </cellStyleXfs>
  <cellXfs count="6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9" fillId="4" borderId="2" applyAlignment="1" pivotButton="0" quotePrefix="0" xfId="0">
      <alignment horizontal="center"/>
    </xf>
    <xf numFmtId="0" fontId="10" fillId="4" borderId="2" applyAlignment="1" pivotButton="0" quotePrefix="0" xfId="0">
      <alignment horizontal="center" wrapText="1"/>
    </xf>
    <xf numFmtId="0" fontId="11" fillId="5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 indent="1"/>
    </xf>
    <xf numFmtId="0" fontId="14" fillId="7" borderId="0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indent="1"/>
    </xf>
    <xf numFmtId="0" fontId="1" fillId="3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indent="1"/>
    </xf>
    <xf numFmtId="164" fontId="1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wrapText="1" indent="1"/>
    </xf>
    <xf numFmtId="165" fontId="19" fillId="0" borderId="4" applyAlignment="1" pivotButton="0" quotePrefix="0" xfId="0">
      <alignment horizontal="right" vertical="center" indent="1"/>
    </xf>
    <xf numFmtId="3" fontId="19" fillId="0" borderId="4" applyAlignment="1" pivotButton="0" quotePrefix="0" xfId="0">
      <alignment horizontal="right" vertical="center" indent="1"/>
    </xf>
    <xf numFmtId="166" fontId="19" fillId="0" borderId="4" applyAlignment="1" pivotButton="0" quotePrefix="0" xfId="0">
      <alignment horizontal="right" vertical="center" indent="1"/>
    </xf>
    <xf numFmtId="167" fontId="19" fillId="0" borderId="4" applyAlignment="1" pivotButton="0" quotePrefix="0" xfId="0">
      <alignment horizontal="right" vertical="center" indent="1"/>
    </xf>
    <xf numFmtId="0" fontId="20" fillId="5" borderId="0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wrapText="1" indent="1"/>
    </xf>
    <xf numFmtId="0" fontId="5" fillId="7" borderId="4" applyAlignment="1" pivotButton="0" quotePrefix="0" xfId="0">
      <alignment horizontal="center" vertical="center"/>
    </xf>
    <xf numFmtId="0" fontId="20" fillId="5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indent="1"/>
    </xf>
    <xf numFmtId="0" fontId="24" fillId="5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3" fontId="19" fillId="0" borderId="4" applyAlignment="1" pivotButton="0" quotePrefix="0" xfId="0">
      <alignment horizontal="center" vertical="center"/>
    </xf>
    <xf numFmtId="168" fontId="19" fillId="0" borderId="4" applyAlignment="1" pivotButton="0" quotePrefix="0" xfId="0">
      <alignment horizontal="right" vertical="center" indent="1"/>
    </xf>
    <xf numFmtId="168" fontId="25" fillId="0" borderId="4" applyAlignment="1" pivotButton="0" quotePrefix="0" xfId="0">
      <alignment horizontal="right" vertical="center" indent="1"/>
    </xf>
    <xf numFmtId="168" fontId="26" fillId="7" borderId="4" applyAlignment="1" pivotButton="0" quotePrefix="0" xfId="0">
      <alignment horizontal="right" vertical="center" indent="1"/>
    </xf>
    <xf numFmtId="0" fontId="0" fillId="0" borderId="4" pivotButton="0" quotePrefix="0" xfId="0"/>
    <xf numFmtId="0" fontId="12" fillId="3" borderId="4" applyAlignment="1" pivotButton="0" quotePrefix="0" xfId="0">
      <alignment horizontal="left" vertical="center" indent="1"/>
    </xf>
    <xf numFmtId="3" fontId="12" fillId="3" borderId="4" applyAlignment="1" pivotButton="0" quotePrefix="0" xfId="0">
      <alignment horizontal="center" vertical="center" indent="1"/>
    </xf>
    <xf numFmtId="168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center" vertical="center"/>
    </xf>
    <xf numFmtId="3" fontId="25" fillId="0" borderId="4" applyAlignment="1" pivotButton="0" quotePrefix="0" xfId="0">
      <alignment horizontal="center" vertical="center"/>
    </xf>
    <xf numFmtId="168" fontId="18" fillId="0" borderId="4" applyAlignment="1" pivotButton="0" quotePrefix="0" xfId="0">
      <alignment horizontal="right" vertical="center" indent="1"/>
    </xf>
    <xf numFmtId="169" fontId="27" fillId="4" borderId="4" applyAlignment="1" pivotButton="0" quotePrefix="0" xfId="0">
      <alignment horizontal="right" vertical="center" indent="1"/>
    </xf>
    <xf numFmtId="169" fontId="5" fillId="0" borderId="4" applyAlignment="1" pivotButton="0" quotePrefix="0" xfId="0">
      <alignment horizontal="right" vertical="center" indent="1"/>
    </xf>
    <xf numFmtId="0" fontId="16" fillId="0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169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left" vertical="center" indent="1"/>
    </xf>
    <xf numFmtId="170" fontId="25" fillId="0" borderId="4" applyAlignment="1" pivotButton="0" quotePrefix="0" xfId="0">
      <alignment horizontal="center" vertical="center"/>
    </xf>
    <xf numFmtId="0" fontId="27" fillId="8" borderId="4" applyAlignment="1" pivotButton="0" quotePrefix="0" xfId="0">
      <alignment horizontal="center" vertical="center"/>
    </xf>
    <xf numFmtId="171" fontId="25" fillId="0" borderId="4" applyAlignment="1" pivotButton="0" quotePrefix="0" xfId="0">
      <alignment horizontal="right" vertical="center" indent="1"/>
    </xf>
    <xf numFmtId="171" fontId="26" fillId="4" borderId="4" applyAlignment="1" pivotButton="0" quotePrefix="0" xfId="0">
      <alignment horizontal="right" vertical="center" indent="1"/>
    </xf>
    <xf numFmtId="171" fontId="12" fillId="3" borderId="4" applyAlignment="1" pivotButton="0" quotePrefix="0" xfId="0">
      <alignment horizontal="right" vertical="center" indent="1"/>
    </xf>
    <xf numFmtId="171" fontId="28" fillId="0" borderId="4" applyAlignment="1" pivotButton="0" quotePrefix="0" xfId="0">
      <alignment horizontal="right" vertical="center" indent="1"/>
    </xf>
    <xf numFmtId="172" fontId="29" fillId="0" borderId="4" applyAlignment="1" pivotButton="0" quotePrefix="0" xfId="0">
      <alignment horizontal="right" vertical="center" indent="1"/>
    </xf>
    <xf numFmtId="173" fontId="29" fillId="0" borderId="4" applyAlignment="1" pivotButton="0" quotePrefix="0" xfId="0">
      <alignment horizontal="right" vertical="center" indent="1"/>
    </xf>
    <xf numFmtId="172" fontId="12" fillId="3" borderId="4" applyAlignment="1" pivotButton="0" quotePrefix="0" xfId="0">
      <alignment horizontal="right" vertical="center" indent="1"/>
    </xf>
    <xf numFmtId="173" fontId="12" fillId="3" borderId="4" applyAlignment="1" pivotButton="0" quotePrefix="0" xfId="0">
      <alignment horizontal="right" vertical="center" indent="1"/>
    </xf>
    <xf numFmtId="171" fontId="30" fillId="0" borderId="4" applyAlignment="1" pivotButton="0" quotePrefix="0" xfId="0">
      <alignment horizontal="right" vertical="center" indent="1"/>
    </xf>
    <xf numFmtId="169" fontId="26" fillId="4" borderId="4" applyAlignment="1" pivotButton="0" quotePrefix="0" xfId="0">
      <alignment horizontal="right" vertical="center" indent="1"/>
    </xf>
    <xf numFmtId="0" fontId="31" fillId="3" borderId="4" applyAlignment="1" pivotButton="0" quotePrefix="0" xfId="0">
      <alignment horizontal="left" vertical="center" indent="1"/>
    </xf>
    <xf numFmtId="169" fontId="31" fillId="3" borderId="4" applyAlignment="1" pivotButton="0" quotePrefix="0" xfId="0">
      <alignment horizontal="right" vertical="center" indent="1"/>
    </xf>
    <xf numFmtId="0" fontId="0" fillId="0" borderId="11" pivotButton="0" quotePrefix="0" xfId="0"/>
    <xf numFmtId="0" fontId="0" fillId="0" borderId="12" pivotButton="0" quotePrefix="0" xfId="0"/>
    <xf numFmtId="169" fontId="26" fillId="0" borderId="4" applyAlignment="1" pivotButton="0" quotePrefix="0" xfId="0">
      <alignment horizontal="right" vertical="center" indent="1"/>
    </xf>
    <xf numFmtId="164" fontId="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indent="1"/>
    </xf>
    <xf numFmtId="0" fontId="20" fillId="5" borderId="4" applyAlignment="1" pivotButton="0" quotePrefix="0" xfId="0">
      <alignment horizontal="left" vertical="center" indent="1"/>
    </xf>
    <xf numFmtId="169" fontId="20" fillId="5" borderId="4" applyAlignment="1" pivotButton="0" quotePrefix="0" xfId="0">
      <alignment horizontal="right" vertical="center" indent="1"/>
    </xf>
    <xf numFmtId="164" fontId="20" fillId="5" borderId="4" applyAlignment="1" pivotButton="0" quotePrefix="0" xfId="0">
      <alignment horizontal="right" vertical="center" indent="1"/>
    </xf>
    <xf numFmtId="0" fontId="32" fillId="5" borderId="4" applyAlignment="1" pivotButton="0" quotePrefix="0" xfId="0">
      <alignment horizontal="left" vertical="center" indent="1"/>
    </xf>
    <xf numFmtId="174" fontId="19" fillId="0" borderId="4" applyAlignment="1" pivotButton="0" quotePrefix="0" xfId="0">
      <alignment horizontal="right" vertical="center" indent="1"/>
    </xf>
    <xf numFmtId="164" fontId="19" fillId="0" borderId="4" applyAlignment="1" pivotButton="0" quotePrefix="0" xfId="0">
      <alignment horizontal="center" vertical="center"/>
    </xf>
    <xf numFmtId="4" fontId="25" fillId="0" borderId="4" applyAlignment="1" pivotButton="0" quotePrefix="0" xfId="0">
      <alignment horizontal="right" vertical="center" indent="1"/>
    </xf>
    <xf numFmtId="175" fontId="26" fillId="4" borderId="4" applyAlignment="1" pivotButton="0" quotePrefix="0" xfId="0">
      <alignment horizontal="right" vertical="center" indent="1"/>
    </xf>
    <xf numFmtId="173" fontId="33" fillId="0" borderId="4" applyAlignment="1" pivotButton="0" quotePrefix="0" xfId="0">
      <alignment horizontal="center" vertical="center"/>
    </xf>
    <xf numFmtId="164" fontId="31" fillId="3" borderId="4" applyAlignment="1" pivotButton="0" quotePrefix="0" xfId="0">
      <alignment horizontal="center" vertical="center"/>
    </xf>
    <xf numFmtId="175" fontId="31" fillId="3" borderId="4" applyAlignment="1" pivotButton="0" quotePrefix="0" xfId="0">
      <alignment horizontal="right" vertical="center" indent="1"/>
    </xf>
    <xf numFmtId="175" fontId="34" fillId="4" borderId="13" applyAlignment="1" pivotButton="0" quotePrefix="0" xfId="0">
      <alignment horizontal="right" vertical="center" indent="1"/>
    </xf>
    <xf numFmtId="173" fontId="31" fillId="3" borderId="4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 indent="1"/>
    </xf>
    <xf numFmtId="0" fontId="35" fillId="0" borderId="4" applyAlignment="1" pivotButton="0" quotePrefix="0" xfId="0">
      <alignment horizontal="left" vertical="center" indent="1"/>
    </xf>
    <xf numFmtId="176" fontId="36" fillId="0" borderId="4" applyAlignment="1" pivotButton="0" quotePrefix="0" xfId="0">
      <alignment horizontal="right" vertical="center" indent="1"/>
    </xf>
    <xf numFmtId="176" fontId="37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left" vertical="center" indent="1"/>
    </xf>
    <xf numFmtId="177" fontId="38" fillId="5" borderId="4" applyAlignment="1" pivotButton="0" quotePrefix="0" xfId="0">
      <alignment horizontal="right" vertical="center" indent="1"/>
    </xf>
    <xf numFmtId="0" fontId="5" fillId="7" borderId="4" applyAlignment="1" pivotButton="0" quotePrefix="0" xfId="0">
      <alignment horizontal="left" vertical="center" indent="1"/>
    </xf>
    <xf numFmtId="178" fontId="39" fillId="7" borderId="4" applyAlignment="1" pivotButton="0" quotePrefix="0" xfId="0">
      <alignment horizontal="center" vertical="center"/>
    </xf>
    <xf numFmtId="4" fontId="18" fillId="7" borderId="4" applyAlignment="1" pivotButton="0" quotePrefix="0" xfId="0">
      <alignment horizontal="right" vertical="center" indent="1"/>
    </xf>
    <xf numFmtId="3" fontId="18" fillId="7" borderId="4" applyAlignment="1" pivotButton="0" quotePrefix="0" xfId="0">
      <alignment horizontal="right" vertical="center" indent="1"/>
    </xf>
    <xf numFmtId="164" fontId="33" fillId="7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left" vertical="center" wrapText="1" indent="1"/>
    </xf>
    <xf numFmtId="0" fontId="21" fillId="4" borderId="4" applyAlignment="1" pivotButton="0" quotePrefix="0" xfId="0">
      <alignment horizontal="left" vertical="center" indent="1"/>
    </xf>
    <xf numFmtId="178" fontId="39" fillId="4" borderId="4" applyAlignment="1" pivotButton="0" quotePrefix="0" xfId="0">
      <alignment horizontal="center" vertical="center"/>
    </xf>
    <xf numFmtId="4" fontId="27" fillId="4" borderId="4" applyAlignment="1" pivotButton="0" quotePrefix="0" xfId="0">
      <alignment horizontal="right" vertical="center" indent="1"/>
    </xf>
    <xf numFmtId="3" fontId="27" fillId="4" borderId="4" applyAlignment="1" pivotButton="0" quotePrefix="0" xfId="0">
      <alignment horizontal="right" vertical="center" indent="1"/>
    </xf>
    <xf numFmtId="164" fontId="20" fillId="4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left" vertical="center" wrapText="1" indent="1"/>
    </xf>
    <xf numFmtId="0" fontId="7" fillId="0" borderId="4" applyAlignment="1" pivotButton="0" quotePrefix="0" xfId="0">
      <alignment horizontal="center" vertical="center"/>
    </xf>
    <xf numFmtId="0" fontId="39" fillId="0" borderId="4" applyAlignment="1" pivotButton="0" quotePrefix="0" xfId="0">
      <alignment horizontal="center" vertical="center"/>
    </xf>
    <xf numFmtId="174" fontId="25" fillId="0" borderId="4" applyAlignment="1" pivotButton="0" quotePrefix="0" xfId="0">
      <alignment horizontal="right" vertical="center" indent="1"/>
    </xf>
    <xf numFmtId="174" fontId="26" fillId="0" borderId="4" applyAlignment="1" pivotButton="0" quotePrefix="0" xfId="0">
      <alignment horizontal="right" vertical="center" indent="1"/>
    </xf>
    <xf numFmtId="3" fontId="19" fillId="4" borderId="4" applyAlignment="1" pivotButton="0" quotePrefix="0" xfId="0">
      <alignment horizontal="right" vertical="center" indent="1"/>
    </xf>
    <xf numFmtId="179" fontId="33" fillId="0" borderId="4" applyAlignment="1" pivotButton="0" quotePrefix="0" xfId="0">
      <alignment horizontal="center" vertical="center"/>
    </xf>
    <xf numFmtId="164" fontId="33" fillId="0" borderId="4" applyAlignment="1" pivotButton="0" quotePrefix="0" xfId="0">
      <alignment horizontal="center" vertical="center"/>
    </xf>
    <xf numFmtId="180" fontId="39" fillId="0" borderId="4" applyAlignment="1" pivotButton="0" quotePrefix="0" xfId="0">
      <alignment horizontal="center" vertical="center"/>
    </xf>
    <xf numFmtId="0" fontId="40" fillId="8" borderId="4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41" fillId="4" borderId="4" applyAlignment="1" pivotButton="0" quotePrefix="0" xfId="0">
      <alignment horizontal="center" vertical="center"/>
    </xf>
    <xf numFmtId="3" fontId="31" fillId="3" borderId="4" applyAlignment="1" pivotButton="0" quotePrefix="0" xfId="0">
      <alignment horizontal="right" vertical="center" indent="1"/>
    </xf>
    <xf numFmtId="174" fontId="31" fillId="3" borderId="4" applyAlignment="1" pivotButton="0" quotePrefix="0" xfId="0">
      <alignment horizontal="right" vertical="center" indent="1"/>
    </xf>
    <xf numFmtId="181" fontId="34" fillId="4" borderId="13" applyAlignment="1" pivotButton="0" quotePrefix="0" xfId="0">
      <alignment horizontal="right" vertical="center" indent="1"/>
    </xf>
    <xf numFmtId="179" fontId="31" fillId="3" borderId="4" applyAlignment="1" pivotButton="0" quotePrefix="0" xfId="0">
      <alignment horizontal="center" vertical="center"/>
    </xf>
    <xf numFmtId="180" fontId="31" fillId="3" borderId="4" applyAlignment="1" pivotButton="0" quotePrefix="0" xfId="0">
      <alignment horizontal="center" vertical="center"/>
    </xf>
    <xf numFmtId="0" fontId="31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right" vertical="center" indent="1"/>
    </xf>
    <xf numFmtId="4" fontId="19" fillId="0" borderId="4" applyAlignment="1" pivotButton="0" quotePrefix="0" xfId="0">
      <alignment horizontal="right" vertical="center" indent="1"/>
    </xf>
    <xf numFmtId="4" fontId="26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center" vertical="center"/>
    </xf>
    <xf numFmtId="182" fontId="18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 indent="1"/>
    </xf>
    <xf numFmtId="3" fontId="18" fillId="0" borderId="4" applyAlignment="1" pivotButton="0" quotePrefix="0" xfId="0">
      <alignment horizontal="right" vertical="center" indent="1"/>
    </xf>
    <xf numFmtId="0" fontId="43" fillId="3" borderId="14" applyAlignment="1" pivotButton="0" quotePrefix="0" xfId="0">
      <alignment horizontal="center" vertical="center" wrapText="1"/>
    </xf>
    <xf numFmtId="0" fontId="42" fillId="0" borderId="14" pivotButton="0" quotePrefix="0" xfId="0"/>
    <xf numFmtId="0" fontId="44" fillId="4" borderId="2" applyAlignment="1" pivotButton="0" quotePrefix="0" xfId="0">
      <alignment horizontal="center" vertical="center" wrapText="1"/>
    </xf>
    <xf numFmtId="0" fontId="44" fillId="5" borderId="2" applyAlignment="1" pivotButton="0" quotePrefix="0" xfId="0">
      <alignment horizontal="center" vertical="center" wrapText="1"/>
    </xf>
    <xf numFmtId="0" fontId="45" fillId="4" borderId="2" applyAlignment="1" pivotButton="0" quotePrefix="0" xfId="0">
      <alignment horizontal="center" vertical="center" wrapText="1"/>
    </xf>
    <xf numFmtId="0" fontId="45" fillId="5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6" fillId="5" borderId="2" applyAlignment="1" pivotButton="0" quotePrefix="0" xfId="0">
      <alignment horizontal="center" vertical="center" wrapText="1"/>
    </xf>
    <xf numFmtId="0" fontId="47" fillId="10" borderId="14" applyAlignment="1" pivotButton="0" quotePrefix="0" xfId="0">
      <alignment horizontal="left" vertical="top" wrapText="1"/>
    </xf>
    <xf numFmtId="0" fontId="43" fillId="11" borderId="14" applyAlignment="1" pivotButton="0" quotePrefix="0" xfId="0">
      <alignment horizontal="center" vertical="center" wrapText="1"/>
    </xf>
    <xf numFmtId="0" fontId="48" fillId="12" borderId="15" applyAlignment="1" pivotButton="0" quotePrefix="0" xfId="0">
      <alignment horizontal="center" vertical="center" wrapText="1"/>
    </xf>
    <xf numFmtId="0" fontId="48" fillId="4" borderId="15" applyAlignment="1" pivotButton="0" quotePrefix="0" xfId="0">
      <alignment horizontal="center" vertical="center" wrapText="1"/>
    </xf>
    <xf numFmtId="0" fontId="49" fillId="0" borderId="15" applyAlignment="1" pivotButton="0" quotePrefix="0" xfId="0">
      <alignment horizontal="left" vertical="center" wrapText="1"/>
    </xf>
    <xf numFmtId="0" fontId="49" fillId="0" borderId="15" applyAlignment="1" pivotButton="0" quotePrefix="0" xfId="0">
      <alignment horizontal="center" vertical="center" wrapText="1"/>
    </xf>
    <xf numFmtId="0" fontId="43" fillId="3" borderId="2" applyAlignment="1" pivotButton="0" quotePrefix="0" xfId="0">
      <alignment horizontal="center" vertical="center" wrapText="1"/>
    </xf>
    <xf numFmtId="0" fontId="47" fillId="10" borderId="0" applyAlignment="1" pivotButton="0" quotePrefix="0" xfId="0">
      <alignment horizontal="left" vertical="top" wrapText="1"/>
    </xf>
    <xf numFmtId="183" fontId="49" fillId="0" borderId="15" applyAlignment="1" pivotButton="0" quotePrefix="0" xfId="0">
      <alignment horizontal="right" vertical="center"/>
    </xf>
    <xf numFmtId="0" fontId="47" fillId="0" borderId="15" applyAlignment="1" pivotButton="0" quotePrefix="0" xfId="0">
      <alignment horizontal="left" vertical="center" wrapText="1"/>
    </xf>
    <xf numFmtId="0" fontId="50" fillId="4" borderId="15" applyAlignment="1" pivotButton="0" quotePrefix="0" xfId="0">
      <alignment horizontal="center" vertical="center" wrapText="1"/>
    </xf>
    <xf numFmtId="0" fontId="50" fillId="4" borderId="15" applyAlignment="1" pivotButton="0" quotePrefix="0" xfId="0">
      <alignment horizontal="left" vertical="center" wrapText="1"/>
    </xf>
    <xf numFmtId="183" fontId="50" fillId="4" borderId="15" applyAlignment="1" pivotButton="0" quotePrefix="0" xfId="0">
      <alignment horizontal="right" vertical="center"/>
    </xf>
    <xf numFmtId="0" fontId="47" fillId="4" borderId="15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3" fontId="51" fillId="0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left" vertical="center" wrapText="1"/>
    </xf>
    <xf numFmtId="174" fontId="51" fillId="0" borderId="15" applyAlignment="1" pivotButton="0" quotePrefix="0" xfId="0">
      <alignment horizontal="right" vertical="center"/>
    </xf>
    <xf numFmtId="0" fontId="51" fillId="0" borderId="15" applyAlignment="1" pivotButton="0" quotePrefix="0" xfId="0">
      <alignment horizontal="right" vertical="center"/>
    </xf>
    <xf numFmtId="0" fontId="54" fillId="11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left" vertical="center" wrapText="1"/>
    </xf>
    <xf numFmtId="0" fontId="56" fillId="3" borderId="15" applyAlignment="1" pivotButton="0" quotePrefix="0" xfId="0">
      <alignment horizontal="center" vertical="center" wrapText="1"/>
    </xf>
    <xf numFmtId="0" fontId="56" fillId="11" borderId="15" applyAlignment="1" pivotButton="0" quotePrefix="0" xfId="0">
      <alignment horizontal="center" vertical="center" wrapText="1"/>
    </xf>
    <xf numFmtId="0" fontId="57" fillId="11" borderId="15" applyAlignment="1" pivotButton="0" quotePrefix="0" xfId="0">
      <alignment horizontal="left" vertical="center" wrapText="1"/>
    </xf>
    <xf numFmtId="184" fontId="49" fillId="0" borderId="15" applyAlignment="1" pivotButton="0" quotePrefix="0" xfId="0">
      <alignment horizontal="right" vertical="center"/>
    </xf>
    <xf numFmtId="184" fontId="50" fillId="0" borderId="15" applyAlignment="1" pivotButton="0" quotePrefix="0" xfId="0">
      <alignment horizontal="right" vertical="center"/>
    </xf>
    <xf numFmtId="0" fontId="50" fillId="0" borderId="15" applyAlignment="1" pivotButton="0" quotePrefix="0" xfId="0">
      <alignment horizontal="left" vertical="center" wrapText="1"/>
    </xf>
    <xf numFmtId="184" fontId="50" fillId="13" borderId="15" applyAlignment="1" pivotButton="0" quotePrefix="0" xfId="0">
      <alignment horizontal="right" vertical="center"/>
    </xf>
    <xf numFmtId="184" fontId="50" fillId="4" borderId="15" applyAlignment="1" pivotButton="0" quotePrefix="0" xfId="0">
      <alignment horizontal="right" vertical="center"/>
    </xf>
    <xf numFmtId="0" fontId="48" fillId="0" borderId="15" applyAlignment="1" pivotButton="0" quotePrefix="0" xfId="0">
      <alignment horizontal="left" vertical="center" wrapText="1"/>
    </xf>
    <xf numFmtId="185" fontId="49" fillId="0" borderId="15" applyAlignment="1" pivotButton="0" quotePrefix="0" xfId="0">
      <alignment horizontal="right" vertical="center"/>
    </xf>
    <xf numFmtId="186" fontId="50" fillId="4" borderId="15" applyAlignment="1" pivotButton="0" quotePrefix="0" xfId="0">
      <alignment horizontal="right" vertical="center"/>
    </xf>
    <xf numFmtId="0" fontId="47" fillId="0" borderId="0" applyAlignment="1" pivotButton="0" quotePrefix="0" xfId="0">
      <alignment horizontal="left" vertical="top" wrapText="1"/>
    </xf>
    <xf numFmtId="0" fontId="48" fillId="12" borderId="15" applyAlignment="1" pivotButton="0" quotePrefix="0" xfId="0">
      <alignment horizontal="left" vertical="center" wrapText="1"/>
    </xf>
    <xf numFmtId="0" fontId="50" fillId="5" borderId="15" applyAlignment="1" pivotButton="0" quotePrefix="0" xfId="0">
      <alignment horizontal="center" vertical="center" wrapText="1"/>
    </xf>
    <xf numFmtId="0" fontId="50" fillId="5" borderId="15" applyAlignment="1" pivotButton="0" quotePrefix="0" xfId="0">
      <alignment horizontal="left" vertical="center" wrapText="1"/>
    </xf>
    <xf numFmtId="183" fontId="50" fillId="5" borderId="15" applyAlignment="1" pivotButton="0" quotePrefix="0" xfId="0">
      <alignment horizontal="right" vertical="center"/>
    </xf>
    <xf numFmtId="0" fontId="52" fillId="5" borderId="15" applyAlignment="1" pivotButton="0" quotePrefix="0" xfId="0">
      <alignment horizontal="left" vertical="center" wrapText="1"/>
    </xf>
    <xf numFmtId="0" fontId="52" fillId="4" borderId="15" applyAlignment="1" pivotButton="0" quotePrefix="0" xfId="0">
      <alignment horizontal="left" vertical="center" wrapText="1"/>
    </xf>
    <xf numFmtId="0" fontId="58" fillId="5" borderId="2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52" fillId="0" borderId="0" applyAlignment="1" pivotButton="0" quotePrefix="0" xfId="0">
      <alignment horizontal="center" vertical="center" wrapText="1"/>
    </xf>
    <xf numFmtId="0" fontId="56" fillId="3" borderId="15" applyAlignment="1" pivotButton="0" quotePrefix="0" xfId="0">
      <alignment horizontal="left" vertical="center" wrapText="1"/>
    </xf>
    <xf numFmtId="0" fontId="59" fillId="5" borderId="15" applyAlignment="1" pivotButton="0" quotePrefix="0" xfId="0">
      <alignment horizontal="center" vertical="center" wrapText="1"/>
    </xf>
    <xf numFmtId="0" fontId="59" fillId="5" borderId="15" applyAlignment="1" pivotButton="0" quotePrefix="0" xfId="0">
      <alignment horizontal="left" vertical="center" wrapText="1"/>
    </xf>
    <xf numFmtId="184" fontId="59" fillId="5" borderId="15" applyAlignment="1" pivotButton="0" quotePrefix="0" xfId="0">
      <alignment horizontal="right" vertical="center"/>
    </xf>
    <xf numFmtId="184" fontId="60" fillId="5" borderId="15" applyAlignment="1" pivotButton="0" quotePrefix="0" xfId="0">
      <alignment horizontal="right" vertical="center"/>
    </xf>
    <xf numFmtId="0" fontId="60" fillId="13" borderId="15" applyAlignment="1" pivotButton="0" quotePrefix="0" xfId="0">
      <alignment horizontal="center" vertical="center" wrapText="1"/>
    </xf>
    <xf numFmtId="0" fontId="60" fillId="13" borderId="15" applyAlignment="1" pivotButton="0" quotePrefix="0" xfId="0">
      <alignment horizontal="left" vertical="center" wrapText="1"/>
    </xf>
    <xf numFmtId="184" fontId="60" fillId="13" borderId="15" applyAlignment="1" pivotButton="0" quotePrefix="0" xfId="0">
      <alignment horizontal="right" vertical="center"/>
    </xf>
    <xf numFmtId="184" fontId="60" fillId="4" borderId="15" applyAlignment="1" pivotButton="0" quotePrefix="0" xfId="0">
      <alignment horizontal="right" vertical="center"/>
    </xf>
    <xf numFmtId="0" fontId="52" fillId="13" borderId="15" applyAlignment="1" pivotButton="0" quotePrefix="0" xfId="0">
      <alignment horizontal="left" vertical="center" wrapText="1"/>
    </xf>
    <xf numFmtId="0" fontId="59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left" vertical="center" wrapText="1"/>
    </xf>
    <xf numFmtId="184" fontId="59" fillId="14" borderId="15" applyAlignment="1" pivotButton="0" quotePrefix="0" xfId="0">
      <alignment horizontal="right" vertical="center"/>
    </xf>
    <xf numFmtId="184" fontId="60" fillId="14" borderId="15" applyAlignment="1" pivotButton="0" quotePrefix="0" xfId="0">
      <alignment horizontal="right" vertical="center"/>
    </xf>
    <xf numFmtId="0" fontId="52" fillId="14" borderId="15" applyAlignment="1" pivotButton="0" quotePrefix="0" xfId="0">
      <alignment horizontal="left" vertical="center" wrapText="1"/>
    </xf>
    <xf numFmtId="0" fontId="59" fillId="0" borderId="15" applyAlignment="1" pivotButton="0" quotePrefix="0" xfId="0">
      <alignment horizontal="center" vertical="center" wrapText="1"/>
    </xf>
    <xf numFmtId="0" fontId="59" fillId="0" borderId="15" applyAlignment="1" pivotButton="0" quotePrefix="0" xfId="0">
      <alignment horizontal="left" vertical="center" wrapText="1"/>
    </xf>
    <xf numFmtId="184" fontId="59" fillId="0" borderId="15" applyAlignment="1" pivotButton="0" quotePrefix="0" xfId="0">
      <alignment horizontal="right" vertical="center"/>
    </xf>
    <xf numFmtId="184" fontId="60" fillId="0" borderId="15" applyAlignment="1" pivotButton="0" quotePrefix="0" xfId="0">
      <alignment horizontal="right" vertical="center"/>
    </xf>
    <xf numFmtId="0" fontId="60" fillId="5" borderId="15" applyAlignment="1" pivotButton="0" quotePrefix="0" xfId="0">
      <alignment horizontal="center" vertical="center" wrapText="1"/>
    </xf>
    <xf numFmtId="0" fontId="60" fillId="5" borderId="15" applyAlignment="1" pivotButton="0" quotePrefix="0" xfId="0">
      <alignment horizontal="left" vertical="center" wrapText="1"/>
    </xf>
    <xf numFmtId="0" fontId="58" fillId="15" borderId="2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left" vertical="center" wrapText="1"/>
    </xf>
    <xf numFmtId="184" fontId="61" fillId="15" borderId="15" applyAlignment="1" pivotButton="0" quotePrefix="0" xfId="0">
      <alignment horizontal="right" vertical="center"/>
    </xf>
    <xf numFmtId="0" fontId="61" fillId="15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left" vertical="center" wrapText="1"/>
    </xf>
    <xf numFmtId="184" fontId="61" fillId="5" borderId="15" applyAlignment="1" pivotButton="0" quotePrefix="0" xfId="0">
      <alignment horizontal="right" vertical="center"/>
    </xf>
    <xf numFmtId="184" fontId="61" fillId="12" borderId="15" applyAlignment="1" pivotButton="0" quotePrefix="0" xfId="0">
      <alignment horizontal="right" vertical="center"/>
    </xf>
    <xf numFmtId="186" fontId="61" fillId="12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center" vertical="center" wrapText="1"/>
    </xf>
    <xf numFmtId="0" fontId="61" fillId="12" borderId="15" applyAlignment="1" pivotButton="0" quotePrefix="0" xfId="0">
      <alignment horizontal="center" vertical="center" wrapText="1"/>
    </xf>
    <xf numFmtId="184" fontId="59" fillId="12" borderId="15" applyAlignment="1" pivotButton="0" quotePrefix="0" xfId="0">
      <alignment horizontal="right" vertical="center"/>
    </xf>
    <xf numFmtId="0" fontId="59" fillId="12" borderId="15" applyAlignment="1" pivotButton="0" quotePrefix="0" xfId="0">
      <alignment horizontal="center" vertical="center" wrapText="1"/>
    </xf>
    <xf numFmtId="0" fontId="59" fillId="4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right" vertical="center"/>
    </xf>
    <xf numFmtId="186" fontId="59" fillId="0" borderId="15" applyAlignment="1" pivotButton="0" quotePrefix="0" xfId="0">
      <alignment horizontal="center" vertical="center" wrapText="1"/>
    </xf>
    <xf numFmtId="3" fontId="60" fillId="4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center" vertical="center" wrapText="1"/>
    </xf>
    <xf numFmtId="0" fontId="57" fillId="3" borderId="15" applyAlignment="1" pivotButton="0" quotePrefix="0" xfId="0">
      <alignment horizontal="left" vertical="center" wrapText="1"/>
    </xf>
    <xf numFmtId="184" fontId="59" fillId="4" borderId="15" applyAlignment="1" pivotButton="0" quotePrefix="0" xfId="0">
      <alignment horizontal="right" vertical="center"/>
    </xf>
    <xf numFmtId="186" fontId="59" fillId="12" borderId="15" applyAlignment="1" pivotButton="0" quotePrefix="0" xfId="0">
      <alignment horizontal="center" vertical="center" wrapText="1"/>
    </xf>
    <xf numFmtId="0" fontId="61" fillId="5" borderId="15" applyAlignment="1" pivotButton="0" quotePrefix="0" xfId="0">
      <alignment horizontal="center" vertical="center" wrapText="1"/>
    </xf>
    <xf numFmtId="0" fontId="54" fillId="3" borderId="0" applyAlignment="1" pivotButton="0" quotePrefix="0" xfId="0">
      <alignment horizontal="center" vertical="center" wrapText="1"/>
    </xf>
    <xf numFmtId="186" fontId="59" fillId="0" borderId="15" applyAlignment="1" pivotButton="0" quotePrefix="0" xfId="0">
      <alignment horizontal="right" vertical="center"/>
    </xf>
    <xf numFmtId="178" fontId="59" fillId="0" borderId="15" applyAlignment="1" pivotButton="0" quotePrefix="0" xfId="0">
      <alignment horizontal="right" vertical="center"/>
    </xf>
    <xf numFmtId="187" fontId="59" fillId="0" borderId="15" applyAlignment="1" pivotButton="0" quotePrefix="0" xfId="0">
      <alignment horizontal="right" vertical="center"/>
    </xf>
    <xf numFmtId="0" fontId="60" fillId="13" borderId="0" applyAlignment="1" pivotButton="0" quotePrefix="0" xfId="0">
      <alignment horizontal="left" vertical="center" wrapText="1"/>
    </xf>
    <xf numFmtId="0" fontId="60" fillId="13" borderId="15" applyAlignment="1" pivotButton="0" quotePrefix="0" xfId="0">
      <alignment horizontal="right" vertical="center"/>
    </xf>
    <xf numFmtId="186" fontId="60" fillId="13" borderId="15" applyAlignment="1" pivotButton="0" quotePrefix="0" xfId="0">
      <alignment horizontal="right" vertical="center"/>
    </xf>
    <xf numFmtId="178" fontId="60" fillId="13" borderId="15" applyAlignment="1" pivotButton="0" quotePrefix="0" xfId="0">
      <alignment horizontal="right" vertical="center"/>
    </xf>
    <xf numFmtId="187" fontId="60" fillId="13" borderId="15" applyAlignment="1" pivotButton="0" quotePrefix="0" xfId="0">
      <alignment horizontal="right" vertical="center"/>
    </xf>
    <xf numFmtId="0" fontId="57" fillId="3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4" borderId="15" applyAlignment="1" pivotButton="0" quotePrefix="0" xfId="0">
      <alignment horizontal="center" vertical="center" wrapText="1"/>
    </xf>
    <xf numFmtId="49" fontId="59" fillId="0" borderId="15" applyAlignment="1" pivotButton="0" quotePrefix="0" xfId="0">
      <alignment horizontal="right" vertical="center"/>
    </xf>
    <xf numFmtId="49" fontId="59" fillId="4" borderId="15" applyAlignment="1" pivotButton="0" quotePrefix="0" xfId="0">
      <alignment horizontal="right" vertical="center"/>
    </xf>
    <xf numFmtId="3" fontId="59" fillId="4" borderId="15" applyAlignment="1" pivotButton="0" quotePrefix="0" xfId="0">
      <alignment horizontal="right" vertical="center"/>
    </xf>
    <xf numFmtId="186" fontId="59" fillId="4" borderId="15" applyAlignment="1" pivotButton="0" quotePrefix="0" xfId="0">
      <alignment horizontal="right" vertical="center"/>
    </xf>
    <xf numFmtId="188" fontId="59" fillId="0" borderId="15" applyAlignment="1" pivotButton="0" quotePrefix="0" xfId="0">
      <alignment horizontal="right" vertical="center"/>
    </xf>
    <xf numFmtId="188" fontId="59" fillId="4" borderId="15" applyAlignment="1" pivotButton="0" quotePrefix="0" xfId="0">
      <alignment horizontal="right" vertical="center"/>
    </xf>
    <xf numFmtId="0" fontId="61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right" vertical="center"/>
    </xf>
    <xf numFmtId="0" fontId="59" fillId="5" borderId="15" applyAlignment="1" pivotButton="0" quotePrefix="0" xfId="0">
      <alignment horizontal="right" vertical="center"/>
    </xf>
    <xf numFmtId="0" fontId="52" fillId="0" borderId="0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right" vertical="center"/>
    </xf>
    <xf numFmtId="2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left" vertical="center" wrapText="1"/>
    </xf>
    <xf numFmtId="10" fontId="61" fillId="4" borderId="15" applyAlignment="1" pivotButton="0" quotePrefix="0" xfId="0">
      <alignment horizontal="right" vertical="center"/>
    </xf>
    <xf numFmtId="0" fontId="56" fillId="11" borderId="15" applyAlignment="1" pivotButton="0" quotePrefix="0" xfId="0">
      <alignment horizontal="left" vertical="center" wrapText="1"/>
    </xf>
    <xf numFmtId="184" fontId="61" fillId="13" borderId="15" applyAlignment="1" pivotButton="0" quotePrefix="0" xfId="0">
      <alignment horizontal="right" vertical="center"/>
    </xf>
    <xf numFmtId="0" fontId="59" fillId="0" borderId="0" applyAlignment="1" pivotButton="0" quotePrefix="0" xfId="0">
      <alignment horizontal="right" vertical="center"/>
    </xf>
    <xf numFmtId="178" fontId="59" fillId="0" borderId="15" applyAlignment="1" pivotButton="0" quotePrefix="0" xfId="0">
      <alignment horizontal="center" vertical="center" wrapText="1"/>
    </xf>
    <xf numFmtId="0" fontId="61" fillId="13" borderId="15" applyAlignment="1" pivotButton="0" quotePrefix="0" xfId="0">
      <alignment horizontal="left" vertical="center" wrapText="1"/>
    </xf>
    <xf numFmtId="178" fontId="61" fillId="13" borderId="15" applyAlignment="1" pivotButton="0" quotePrefix="0" xfId="0">
      <alignment horizontal="right" vertical="center"/>
    </xf>
    <xf numFmtId="0" fontId="61" fillId="13" borderId="15" applyAlignment="1" pivotButton="0" quotePrefix="0" xfId="0">
      <alignment horizontal="right" vertical="center"/>
    </xf>
    <xf numFmtId="184" fontId="61" fillId="4" borderId="15" applyAlignment="1" pivotButton="0" quotePrefix="0" xfId="0">
      <alignment horizontal="right" vertical="center"/>
    </xf>
    <xf numFmtId="184" fontId="50" fillId="5" borderId="15" applyAlignment="1" pivotButton="0" quotePrefix="0" xfId="0">
      <alignment horizontal="right" vertical="center"/>
    </xf>
    <xf numFmtId="0" fontId="50" fillId="13" borderId="15" applyAlignment="1" pivotButton="0" quotePrefix="0" xfId="0">
      <alignment horizontal="left" vertical="center" wrapText="1"/>
    </xf>
    <xf numFmtId="0" fontId="0" fillId="13" borderId="15" pivotButton="0" quotePrefix="0" xfId="0"/>
    <xf numFmtId="0" fontId="61" fillId="14" borderId="15" applyAlignment="1" pivotButton="0" quotePrefix="0" xfId="0">
      <alignment horizontal="left" vertical="center" wrapText="1"/>
    </xf>
    <xf numFmtId="186" fontId="61" fillId="4" borderId="15" applyAlignment="1" pivotButton="0" quotePrefix="0" xfId="0">
      <alignment horizontal="right" vertical="center"/>
    </xf>
    <xf numFmtId="178" fontId="61" fillId="4" borderId="15" applyAlignment="1" pivotButton="0" quotePrefix="0" xfId="0">
      <alignment horizontal="right" vertical="center"/>
    </xf>
    <xf numFmtId="0" fontId="61" fillId="5" borderId="15" applyAlignment="1" pivotButton="0" quotePrefix="0" xfId="0">
      <alignment horizontal="left" vertical="center" wrapText="1"/>
    </xf>
    <xf numFmtId="178" fontId="50" fillId="4" borderId="15" applyAlignment="1" pivotButton="0" quotePrefix="0" xfId="0">
      <alignment horizontal="right" vertical="center"/>
    </xf>
    <xf numFmtId="189" fontId="50" fillId="4" borderId="15" applyAlignment="1" pivotButton="0" quotePrefix="0" xfId="0">
      <alignment horizontal="right" vertical="center"/>
    </xf>
    <xf numFmtId="186" fontId="50" fillId="5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left" vertical="center" wrapText="1"/>
    </xf>
    <xf numFmtId="190" fontId="59" fillId="0" borderId="15" applyAlignment="1" pivotButton="0" quotePrefix="0" xfId="0">
      <alignment horizontal="center" vertical="center" wrapText="1"/>
    </xf>
    <xf numFmtId="0" fontId="50" fillId="13" borderId="15" applyAlignment="1" pivotButton="0" quotePrefix="0" xfId="0">
      <alignment horizontal="right" vertical="center"/>
    </xf>
    <xf numFmtId="190" fontId="50" fillId="13" borderId="15" applyAlignment="1" pivotButton="0" quotePrefix="0" xfId="0">
      <alignment horizontal="right" vertical="center"/>
    </xf>
    <xf numFmtId="0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right" vertical="center"/>
    </xf>
    <xf numFmtId="0" fontId="59" fillId="16" borderId="15" applyAlignment="1" pivotButton="0" quotePrefix="0" xfId="0">
      <alignment horizontal="left" vertical="center" wrapText="1"/>
    </xf>
    <xf numFmtId="184" fontId="59" fillId="17" borderId="15" applyAlignment="1" pivotButton="0" quotePrefix="0" xfId="0">
      <alignment horizontal="right" vertical="center"/>
    </xf>
    <xf numFmtId="184" fontId="59" fillId="15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center" vertical="center" wrapText="1"/>
    </xf>
    <xf numFmtId="191" fontId="59" fillId="0" borderId="15" applyAlignment="1" pivotButton="0" quotePrefix="0" xfId="0">
      <alignment horizontal="right" vertical="center"/>
    </xf>
    <xf numFmtId="184" fontId="59" fillId="16" borderId="15" applyAlignment="1" pivotButton="0" quotePrefix="0" xfId="0">
      <alignment horizontal="right" vertical="center"/>
    </xf>
    <xf numFmtId="184" fontId="59" fillId="18" borderId="15" applyAlignment="1" pivotButton="0" quotePrefix="0" xfId="0">
      <alignment horizontal="right" vertical="center"/>
    </xf>
    <xf numFmtId="186" fontId="59" fillId="16" borderId="15" applyAlignment="1" pivotButton="0" quotePrefix="0" xfId="0">
      <alignment horizontal="right" vertical="center"/>
    </xf>
    <xf numFmtId="186" fontId="59" fillId="14" borderId="15" applyAlignment="1" pivotButton="0" quotePrefix="0" xfId="0">
      <alignment horizontal="right" vertical="center"/>
    </xf>
    <xf numFmtId="186" fontId="59" fillId="18" borderId="15" applyAlignment="1" pivotButton="0" quotePrefix="0" xfId="0">
      <alignment horizontal="right" vertical="center"/>
    </xf>
    <xf numFmtId="186" fontId="59" fillId="5" borderId="15" applyAlignment="1" pivotButton="0" quotePrefix="0" xfId="0">
      <alignment horizontal="right" vertical="center"/>
    </xf>
    <xf numFmtId="182" fontId="59" fillId="16" borderId="15" applyAlignment="1" pivotButton="0" quotePrefix="0" xfId="0">
      <alignment horizontal="right" vertical="center"/>
    </xf>
    <xf numFmtId="182" fontId="59" fillId="14" borderId="15" applyAlignment="1" pivotButton="0" quotePrefix="0" xfId="0">
      <alignment horizontal="right" vertical="center"/>
    </xf>
    <xf numFmtId="182" fontId="61" fillId="4" borderId="15" applyAlignment="1" pivotButton="0" quotePrefix="0" xfId="0">
      <alignment horizontal="right" vertical="center"/>
    </xf>
    <xf numFmtId="182" fontId="59" fillId="18" borderId="15" applyAlignment="1" pivotButton="0" quotePrefix="0" xfId="0">
      <alignment horizontal="right" vertical="center"/>
    </xf>
    <xf numFmtId="182" fontId="59" fillId="5" borderId="15" applyAlignment="1" pivotButton="0" quotePrefix="0" xfId="0">
      <alignment horizontal="right" vertical="center"/>
    </xf>
    <xf numFmtId="182" fontId="59" fillId="0" borderId="15" applyAlignment="1" pivotButton="0" quotePrefix="0" xfId="0">
      <alignment horizontal="right" vertical="center"/>
    </xf>
    <xf numFmtId="178" fontId="59" fillId="16" borderId="15" applyAlignment="1" pivotButton="0" quotePrefix="0" xfId="0">
      <alignment horizontal="right" vertical="center"/>
    </xf>
    <xf numFmtId="178" fontId="59" fillId="14" borderId="15" applyAlignment="1" pivotButton="0" quotePrefix="0" xfId="0">
      <alignment horizontal="right" vertical="center"/>
    </xf>
    <xf numFmtId="178" fontId="59" fillId="18" borderId="15" applyAlignment="1" pivotButton="0" quotePrefix="0" xfId="0">
      <alignment horizontal="right" vertical="center"/>
    </xf>
    <xf numFmtId="178" fontId="59" fillId="5" borderId="15" applyAlignment="1" pivotButton="0" quotePrefix="0" xfId="0">
      <alignment horizontal="right" vertical="center"/>
    </xf>
    <xf numFmtId="190" fontId="59" fillId="16" borderId="15" applyAlignment="1" pivotButton="0" quotePrefix="0" xfId="0">
      <alignment horizontal="right" vertical="center"/>
    </xf>
    <xf numFmtId="190" fontId="59" fillId="14" borderId="15" applyAlignment="1" pivotButton="0" quotePrefix="0" xfId="0">
      <alignment horizontal="right" vertical="center"/>
    </xf>
    <xf numFmtId="190" fontId="61" fillId="4" borderId="15" applyAlignment="1" pivotButton="0" quotePrefix="0" xfId="0">
      <alignment horizontal="right" vertical="center"/>
    </xf>
    <xf numFmtId="190" fontId="59" fillId="18" borderId="15" applyAlignment="1" pivotButton="0" quotePrefix="0" xfId="0">
      <alignment horizontal="right" vertical="center"/>
    </xf>
    <xf numFmtId="190" fontId="59" fillId="5" borderId="15" applyAlignment="1" pivotButton="0" quotePrefix="0" xfId="0">
      <alignment horizontal="right" vertical="center"/>
    </xf>
    <xf numFmtId="190" fontId="59" fillId="0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left" vertical="center" wrapText="1"/>
    </xf>
    <xf numFmtId="0" fontId="61" fillId="18" borderId="15" applyAlignment="1" pivotButton="0" quotePrefix="0" xfId="0">
      <alignment horizontal="left" vertical="center" wrapText="1"/>
    </xf>
    <xf numFmtId="0" fontId="0" fillId="0" borderId="15" pivotButton="0" quotePrefix="0" xfId="0"/>
    <xf numFmtId="0" fontId="61" fillId="12" borderId="15" applyAlignment="1" pivotButton="0" quotePrefix="0" xfId="0">
      <alignment horizontal="left" vertical="center" wrapText="1"/>
    </xf>
    <xf numFmtId="0" fontId="62" fillId="0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55" fillId="2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left" vertical="center" wrapText="1"/>
    </xf>
    <xf numFmtId="0" fontId="66" fillId="19" borderId="15" applyAlignment="1" pivotButton="0" quotePrefix="0" xfId="0">
      <alignment horizontal="center" vertical="center" wrapText="1"/>
    </xf>
    <xf numFmtId="0" fontId="65" fillId="19" borderId="15" applyAlignment="1" pivotButton="0" quotePrefix="0" xfId="0">
      <alignment horizontal="center" vertical="center" wrapText="1"/>
    </xf>
    <xf numFmtId="0" fontId="66" fillId="20" borderId="15" applyAlignment="1" pivotButton="0" quotePrefix="0" xfId="0">
      <alignment horizontal="center" vertical="center" wrapText="1"/>
    </xf>
    <xf numFmtId="0" fontId="65" fillId="20" borderId="15" applyAlignment="1" pivotButton="0" quotePrefix="0" xfId="0">
      <alignment horizontal="center" vertical="center" wrapText="1"/>
    </xf>
    <xf numFmtId="0" fontId="66" fillId="4" borderId="15" applyAlignment="1" pivotButton="0" quotePrefix="0" xfId="0">
      <alignment horizontal="center" vertical="center" wrapText="1"/>
    </xf>
    <xf numFmtId="0" fontId="65" fillId="4" borderId="15" applyAlignment="1" pivotButton="0" quotePrefix="0" xfId="0">
      <alignment horizontal="center" vertical="center" wrapText="1"/>
    </xf>
    <xf numFmtId="0" fontId="66" fillId="21" borderId="15" applyAlignment="1" pivotButton="0" quotePrefix="0" xfId="0">
      <alignment horizontal="center" vertical="center" wrapText="1"/>
    </xf>
    <xf numFmtId="0" fontId="65" fillId="21" borderId="15" applyAlignment="1" pivotButton="0" quotePrefix="0" xfId="0">
      <alignment horizontal="center" vertical="center" wrapText="1"/>
    </xf>
    <xf numFmtId="0" fontId="67" fillId="7" borderId="15" pivotButton="0" quotePrefix="0" xfId="0"/>
    <xf numFmtId="0" fontId="55" fillId="2" borderId="15" applyAlignment="1" pivotButton="0" quotePrefix="0" xfId="0">
      <alignment horizontal="center" vertical="center"/>
    </xf>
    <xf numFmtId="0" fontId="68" fillId="4" borderId="15" applyAlignment="1" pivotButton="0" quotePrefix="0" xfId="0">
      <alignment horizontal="center" vertical="center" wrapText="1"/>
    </xf>
    <xf numFmtId="0" fontId="69" fillId="20" borderId="15" applyAlignment="1" pivotButton="0" quotePrefix="0" xfId="0">
      <alignment horizontal="center" vertical="center" wrapText="1"/>
    </xf>
    <xf numFmtId="0" fontId="69" fillId="19" borderId="15" applyAlignment="1" pivotButton="0" quotePrefix="0" xfId="0">
      <alignment horizontal="center" vertical="center" wrapText="1"/>
    </xf>
    <xf numFmtId="0" fontId="68" fillId="21" borderId="15" applyAlignment="1" pivotButton="0" quotePrefix="0" xfId="0">
      <alignment horizontal="center" vertical="center" wrapText="1"/>
    </xf>
    <xf numFmtId="0" fontId="68" fillId="5" borderId="15" applyAlignment="1" pivotButton="0" quotePrefix="0" xfId="0">
      <alignment horizontal="center" vertical="center" wrapText="1"/>
    </xf>
    <xf numFmtId="0" fontId="69" fillId="4" borderId="15" applyAlignment="1" pivotButton="0" quotePrefix="0" xfId="0">
      <alignment horizontal="center" vertical="center" wrapText="1"/>
    </xf>
    <xf numFmtId="0" fontId="69" fillId="21" borderId="15" applyAlignment="1" pivotButton="0" quotePrefix="0" xfId="0">
      <alignment horizontal="center" vertical="center" wrapText="1"/>
    </xf>
    <xf numFmtId="0" fontId="68" fillId="20" borderId="15" applyAlignment="1" pivotButton="0" quotePrefix="0" xfId="0">
      <alignment horizontal="center" vertical="center" wrapText="1"/>
    </xf>
    <xf numFmtId="0" fontId="67" fillId="0" borderId="0" pivotButton="0" quotePrefix="0" xfId="0"/>
    <xf numFmtId="0" fontId="65" fillId="5" borderId="15" applyAlignment="1" pivotButton="0" quotePrefix="0" xfId="0">
      <alignment horizontal="center" vertical="center"/>
    </xf>
    <xf numFmtId="0" fontId="65" fillId="4" borderId="15" applyAlignment="1" pivotButton="0" quotePrefix="0" xfId="0">
      <alignment horizontal="center" vertical="center"/>
    </xf>
    <xf numFmtId="0" fontId="65" fillId="20" borderId="15" applyAlignment="1" pivotButton="0" quotePrefix="0" xfId="0">
      <alignment horizontal="center" vertical="center"/>
    </xf>
    <xf numFmtId="0" fontId="65" fillId="19" borderId="15" applyAlignment="1" pivotButton="0" quotePrefix="0" xfId="0">
      <alignment horizontal="center" vertical="center"/>
    </xf>
    <xf numFmtId="0" fontId="65" fillId="21" borderId="15" applyAlignment="1" pivotButton="0" quotePrefix="0" xfId="0">
      <alignment horizontal="center" vertical="center"/>
    </xf>
    <xf numFmtId="0" fontId="68" fillId="0" borderId="15" applyAlignment="1" pivotButton="0" quotePrefix="0" xfId="0">
      <alignment horizontal="center" vertical="top" wrapText="1"/>
    </xf>
    <xf numFmtId="0" fontId="68" fillId="0" borderId="15" applyAlignment="1" pivotButton="0" quotePrefix="0" xfId="0">
      <alignment horizontal="left" vertical="top" wrapText="1"/>
    </xf>
    <xf numFmtId="0" fontId="66" fillId="21" borderId="15" applyAlignment="1" pivotButton="0" quotePrefix="0" xfId="0">
      <alignment horizontal="center" vertical="top" wrapText="1"/>
    </xf>
    <xf numFmtId="0" fontId="66" fillId="19" borderId="15" applyAlignment="1" pivotButton="0" quotePrefix="0" xfId="0">
      <alignment horizontal="center" vertical="top" wrapText="1"/>
    </xf>
    <xf numFmtId="0" fontId="66" fillId="2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center"/>
    </xf>
    <xf numFmtId="0" fontId="65" fillId="0" borderId="15" applyAlignment="1" pivotButton="0" quotePrefix="0" xfId="0">
      <alignment horizontal="center" vertical="center"/>
    </xf>
    <xf numFmtId="0" fontId="66" fillId="12" borderId="15" pivotButton="0" quotePrefix="0" xfId="0"/>
    <xf numFmtId="0" fontId="66" fillId="12" borderId="15" applyAlignment="1" pivotButton="0" quotePrefix="0" xfId="0">
      <alignment horizontal="center" vertical="center"/>
    </xf>
    <xf numFmtId="0" fontId="66" fillId="0" borderId="0" pivotButton="0" quotePrefix="0" xfId="0"/>
    <xf numFmtId="0" fontId="65" fillId="5" borderId="15" applyAlignment="1" pivotButton="0" quotePrefix="0" xfId="0">
      <alignment horizontal="left" vertical="center"/>
    </xf>
    <xf numFmtId="0" fontId="65" fillId="4" borderId="15" applyAlignment="1" pivotButton="0" quotePrefix="0" xfId="0">
      <alignment horizontal="left" vertical="center"/>
    </xf>
    <xf numFmtId="0" fontId="65" fillId="20" borderId="15" applyAlignment="1" pivotButton="0" quotePrefix="0" xfId="0">
      <alignment horizontal="left" vertical="center"/>
    </xf>
    <xf numFmtId="0" fontId="65" fillId="19" borderId="15" applyAlignment="1" pivotButton="0" quotePrefix="0" xfId="0">
      <alignment horizontal="left" vertical="center"/>
    </xf>
    <xf numFmtId="0" fontId="65" fillId="21" borderId="15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top" wrapText="1"/>
    </xf>
    <xf numFmtId="0" fontId="71" fillId="0" borderId="0" pivotButton="0" quotePrefix="0" xfId="0"/>
    <xf numFmtId="0" fontId="67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right" vertical="center" wrapText="1"/>
    </xf>
    <xf numFmtId="164" fontId="67" fillId="0" borderId="15" applyAlignment="1" pivotButton="0" quotePrefix="0" xfId="0">
      <alignment horizontal="right" vertical="center" wrapText="1"/>
    </xf>
    <xf numFmtId="0" fontId="67" fillId="5" borderId="15" applyAlignment="1" pivotButton="0" quotePrefix="0" xfId="0">
      <alignment horizontal="left" vertical="center" wrapText="1"/>
    </xf>
    <xf numFmtId="0" fontId="67" fillId="14" borderId="15" applyAlignment="1" pivotButton="0" quotePrefix="0" xfId="0">
      <alignment horizontal="left" vertical="center" wrapText="1"/>
    </xf>
    <xf numFmtId="0" fontId="67" fillId="4" borderId="15" applyAlignment="1" pivotButton="0" quotePrefix="0" xfId="0">
      <alignment horizontal="left" vertical="center" wrapText="1"/>
    </xf>
    <xf numFmtId="0" fontId="67" fillId="22" borderId="15" applyAlignment="1" pivotButton="0" quotePrefix="0" xfId="0">
      <alignment horizontal="left" vertical="center" wrapText="1"/>
    </xf>
    <xf numFmtId="0" fontId="66" fillId="12" borderId="15" applyAlignment="1" pivotButton="0" quotePrefix="0" xfId="0">
      <alignment horizontal="left" vertical="center" wrapText="1"/>
    </xf>
    <xf numFmtId="174" fontId="67" fillId="12" borderId="15" applyAlignment="1" pivotButton="0" quotePrefix="0" xfId="0">
      <alignment horizontal="right" vertical="center" wrapText="1"/>
    </xf>
    <xf numFmtId="164" fontId="67" fillId="12" borderId="15" applyAlignment="1" pivotButton="0" quotePrefix="0" xfId="0">
      <alignment horizontal="right" vertical="center" wrapText="1"/>
    </xf>
    <xf numFmtId="0" fontId="65" fillId="12" borderId="15" applyAlignment="1" pivotButton="0" quotePrefix="0" xfId="0">
      <alignment horizontal="left" vertical="center" wrapText="1"/>
    </xf>
    <xf numFmtId="174" fontId="65" fillId="12" borderId="15" applyAlignment="1" pivotButton="0" quotePrefix="0" xfId="0">
      <alignment horizontal="right" vertical="center" wrapText="1"/>
    </xf>
    <xf numFmtId="164" fontId="65" fillId="12" borderId="15" applyAlignment="1" pivotButton="0" quotePrefix="0" xfId="0">
      <alignment horizontal="right" vertical="center" wrapText="1"/>
    </xf>
    <xf numFmtId="0" fontId="65" fillId="5" borderId="15" applyAlignment="1" pivotButton="0" quotePrefix="0" xfId="0">
      <alignment horizontal="left" vertical="center" wrapText="1"/>
    </xf>
    <xf numFmtId="174" fontId="65" fillId="5" borderId="15" applyAlignment="1" pivotButton="0" quotePrefix="0" xfId="0">
      <alignment horizontal="right" vertical="center" wrapText="1"/>
    </xf>
    <xf numFmtId="164" fontId="65" fillId="5" borderId="15" applyAlignment="1" pivotButton="0" quotePrefix="0" xfId="0">
      <alignment horizontal="right" vertical="center" wrapText="1"/>
    </xf>
    <xf numFmtId="0" fontId="65" fillId="14" borderId="15" applyAlignment="1" pivotButton="0" quotePrefix="0" xfId="0">
      <alignment horizontal="left" vertical="center" wrapText="1"/>
    </xf>
    <xf numFmtId="174" fontId="65" fillId="14" borderId="15" applyAlignment="1" pivotButton="0" quotePrefix="0" xfId="0">
      <alignment horizontal="right" vertical="center" wrapText="1"/>
    </xf>
    <xf numFmtId="164" fontId="65" fillId="14" borderId="15" applyAlignment="1" pivotButton="0" quotePrefix="0" xfId="0">
      <alignment horizontal="right" vertical="center" wrapText="1"/>
    </xf>
    <xf numFmtId="0" fontId="65" fillId="4" borderId="15" applyAlignment="1" pivotButton="0" quotePrefix="0" xfId="0">
      <alignment horizontal="left" vertical="center" wrapText="1"/>
    </xf>
    <xf numFmtId="174" fontId="65" fillId="4" borderId="15" applyAlignment="1" pivotButton="0" quotePrefix="0" xfId="0">
      <alignment horizontal="right" vertical="center" wrapText="1"/>
    </xf>
    <xf numFmtId="164" fontId="65" fillId="4" borderId="15" applyAlignment="1" pivotButton="0" quotePrefix="0" xfId="0">
      <alignment horizontal="right" vertical="center" wrapText="1"/>
    </xf>
    <xf numFmtId="0" fontId="65" fillId="22" borderId="15" applyAlignment="1" pivotButton="0" quotePrefix="0" xfId="0">
      <alignment horizontal="left" vertical="center" wrapText="1"/>
    </xf>
    <xf numFmtId="174" fontId="65" fillId="22" borderId="15" applyAlignment="1" pivotButton="0" quotePrefix="0" xfId="0">
      <alignment horizontal="right" vertical="center" wrapText="1"/>
    </xf>
    <xf numFmtId="164" fontId="65" fillId="22" borderId="15" applyAlignment="1" pivotButton="0" quotePrefix="0" xfId="0">
      <alignment horizontal="right" vertical="center" wrapText="1"/>
    </xf>
    <xf numFmtId="171" fontId="65" fillId="12" borderId="15" applyAlignment="1" pivotButton="0" quotePrefix="0" xfId="0">
      <alignment horizontal="right" vertical="center" wrapText="1"/>
    </xf>
    <xf numFmtId="10" fontId="65" fillId="12" borderId="15" applyAlignment="1" pivotButton="0" quotePrefix="0" xfId="0">
      <alignment horizontal="right" vertical="center" wrapText="1"/>
    </xf>
    <xf numFmtId="171" fontId="65" fillId="5" borderId="15" applyAlignment="1" pivotButton="0" quotePrefix="0" xfId="0">
      <alignment horizontal="right" vertical="center" wrapText="1"/>
    </xf>
    <xf numFmtId="10" fontId="65" fillId="5" borderId="15" applyAlignment="1" pivotButton="0" quotePrefix="0" xfId="0">
      <alignment horizontal="right" vertical="center" wrapText="1"/>
    </xf>
    <xf numFmtId="171" fontId="65" fillId="14" borderId="15" applyAlignment="1" pivotButton="0" quotePrefix="0" xfId="0">
      <alignment horizontal="right" vertical="center" wrapText="1"/>
    </xf>
    <xf numFmtId="10" fontId="65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center" vertical="center" wrapText="1"/>
    </xf>
    <xf numFmtId="174" fontId="65" fillId="14" borderId="15" applyAlignment="1" pivotButton="0" quotePrefix="0" xfId="0">
      <alignment horizontal="center" vertical="center" wrapText="1"/>
    </xf>
    <xf numFmtId="0" fontId="65" fillId="14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center" wrapText="1"/>
    </xf>
    <xf numFmtId="0" fontId="72" fillId="0" borderId="0" pivotButton="0" quotePrefix="0" xfId="0"/>
    <xf numFmtId="0" fontId="65" fillId="12" borderId="15" applyAlignment="1" pivotButton="0" quotePrefix="0" xfId="0">
      <alignment horizontal="center" vertical="center" wrapText="1"/>
    </xf>
    <xf numFmtId="0" fontId="67" fillId="14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left" vertical="center" wrapText="1"/>
    </xf>
    <xf numFmtId="0" fontId="73" fillId="12" borderId="15" applyAlignment="1" pivotButton="0" quotePrefix="0" xfId="0">
      <alignment horizontal="left" vertical="center" wrapText="1"/>
    </xf>
    <xf numFmtId="0" fontId="74" fillId="12" borderId="15" applyAlignment="1" pivotButton="0" quotePrefix="0" xfId="0">
      <alignment horizontal="left" vertical="center" wrapText="1"/>
    </xf>
    <xf numFmtId="0" fontId="75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left" vertical="center" wrapText="1"/>
    </xf>
    <xf numFmtId="192" fontId="67" fillId="12" borderId="15" applyAlignment="1" pivotButton="0" quotePrefix="0" xfId="0">
      <alignment horizontal="center" vertical="center" wrapText="1"/>
    </xf>
    <xf numFmtId="3" fontId="65" fillId="12" borderId="15" applyAlignment="1" pivotButton="0" quotePrefix="0" xfId="0">
      <alignment horizontal="right" vertical="center" wrapText="1"/>
    </xf>
    <xf numFmtId="3" fontId="67" fillId="14" borderId="15" applyAlignment="1" pivotButton="0" quotePrefix="0" xfId="0">
      <alignment horizontal="right" vertical="center" wrapText="1"/>
    </xf>
    <xf numFmtId="0" fontId="66" fillId="0" borderId="15" applyAlignment="1" pivotButton="0" quotePrefix="0" xfId="0">
      <alignment horizontal="left" vertical="center" wrapText="1"/>
    </xf>
    <xf numFmtId="3" fontId="76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top" wrapText="1"/>
    </xf>
    <xf numFmtId="0" fontId="67" fillId="14" borderId="15" applyAlignment="1" pivotButton="0" quotePrefix="0" xfId="0">
      <alignment horizontal="center" vertical="top" wrapText="1"/>
    </xf>
    <xf numFmtId="0" fontId="66" fillId="12" borderId="15" applyAlignment="1" pivotButton="0" quotePrefix="0" xfId="0">
      <alignment horizontal="left" vertical="center"/>
    </xf>
    <xf numFmtId="0" fontId="77" fillId="12" borderId="15" applyAlignment="1" pivotButton="0" quotePrefix="0" xfId="0">
      <alignment horizontal="left" vertical="center" wrapText="1"/>
    </xf>
    <xf numFmtId="0" fontId="66" fillId="14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top" wrapText="1"/>
    </xf>
    <xf numFmtId="0" fontId="78" fillId="0" borderId="0" pivotButton="0" quotePrefix="0" xfId="0"/>
    <xf numFmtId="174" fontId="67" fillId="12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center" vertical="center" wrapText="1"/>
    </xf>
    <xf numFmtId="3" fontId="65" fillId="5" borderId="15" applyAlignment="1" pivotButton="0" quotePrefix="0" xfId="0">
      <alignment horizontal="center" vertical="center" wrapText="1"/>
    </xf>
    <xf numFmtId="164" fontId="65" fillId="0" borderId="15" applyAlignment="1" pivotButton="0" quotePrefix="0" xfId="0">
      <alignment horizontal="center" vertical="center" wrapText="1"/>
    </xf>
    <xf numFmtId="0" fontId="67" fillId="12" borderId="15" applyAlignment="1" pivotButton="0" quotePrefix="0" xfId="0">
      <alignment horizontal="center" vertical="center" wrapText="1"/>
    </xf>
    <xf numFmtId="3" fontId="67" fillId="12" borderId="15" applyAlignment="1" pivotButton="0" quotePrefix="0" xfId="0">
      <alignment horizontal="center" vertical="center" wrapText="1"/>
    </xf>
    <xf numFmtId="164" fontId="67" fillId="12" borderId="15" applyAlignment="1" pivotButton="0" quotePrefix="0" xfId="0">
      <alignment horizontal="center" vertical="center" wrapText="1"/>
    </xf>
    <xf numFmtId="0" fontId="65" fillId="5" borderId="15" applyAlignment="1" pivotButton="0" quotePrefix="0" xfId="0">
      <alignment horizontal="center" vertical="center" wrapText="1"/>
    </xf>
    <xf numFmtId="0" fontId="67" fillId="7" borderId="15" applyAlignment="1" pivotButton="0" quotePrefix="0" xfId="0">
      <alignment horizontal="left" vertical="center" wrapText="1"/>
    </xf>
    <xf numFmtId="174" fontId="65" fillId="7" borderId="15" applyAlignment="1" pivotButton="0" quotePrefix="0" xfId="0">
      <alignment horizontal="right" vertical="center" wrapText="1"/>
    </xf>
    <xf numFmtId="0" fontId="55" fillId="2" borderId="15" applyAlignment="1" pivotButton="0" quotePrefix="0" xfId="0">
      <alignment horizontal="left" vertical="center" wrapText="1"/>
    </xf>
    <xf numFmtId="174" fontId="57" fillId="2" borderId="15" applyAlignment="1" pivotButton="0" quotePrefix="0" xfId="0">
      <alignment horizontal="right" vertical="center" wrapText="1"/>
    </xf>
    <xf numFmtId="174" fontId="67" fillId="14" borderId="15" applyAlignment="1" pivotButton="0" quotePrefix="0" xfId="0">
      <alignment horizontal="right" vertical="center" wrapText="1"/>
    </xf>
    <xf numFmtId="174" fontId="55" fillId="2" borderId="15" applyAlignment="1" pivotButton="0" quotePrefix="0" xfId="0">
      <alignment horizontal="right" vertical="center" wrapText="1"/>
    </xf>
    <xf numFmtId="164" fontId="55" fillId="2" borderId="15" applyAlignment="1" pivotButton="0" quotePrefix="0" xfId="0">
      <alignment horizontal="right" vertical="center" wrapText="1"/>
    </xf>
    <xf numFmtId="0" fontId="79" fillId="23" borderId="15" applyAlignment="1" pivotButton="0" quotePrefix="0" xfId="0">
      <alignment horizontal="center" vertical="center"/>
    </xf>
    <xf numFmtId="0" fontId="79" fillId="14" borderId="15" applyAlignment="1" pivotButton="0" quotePrefix="0" xfId="0">
      <alignment horizontal="center" vertical="center"/>
    </xf>
    <xf numFmtId="0" fontId="80" fillId="5" borderId="15" applyAlignment="1" pivotButton="0" quotePrefix="0" xfId="0">
      <alignment horizontal="center" vertical="center"/>
    </xf>
    <xf numFmtId="0" fontId="79" fillId="7" borderId="15" applyAlignment="1" pivotButton="0" quotePrefix="0" xfId="0">
      <alignment horizontal="center" vertical="center"/>
    </xf>
    <xf numFmtId="0" fontId="79" fillId="0" borderId="15" applyAlignment="1" pivotButton="0" quotePrefix="0" xfId="0">
      <alignment horizontal="center" vertical="center"/>
    </xf>
    <xf numFmtId="0" fontId="79" fillId="4" borderId="15" applyAlignment="1" pivotButton="0" quotePrefix="0" xfId="0">
      <alignment horizontal="center" vertical="center"/>
    </xf>
    <xf numFmtId="0" fontId="69" fillId="23" borderId="15" applyAlignment="1" pivotButton="0" quotePrefix="0" xfId="0">
      <alignment horizontal="center" vertical="center"/>
    </xf>
    <xf numFmtId="0" fontId="69" fillId="14" borderId="15" applyAlignment="1" pivotButton="0" quotePrefix="0" xfId="0">
      <alignment horizontal="center" vertical="center"/>
    </xf>
    <xf numFmtId="0" fontId="69" fillId="4" borderId="15" applyAlignment="1" pivotButton="0" quotePrefix="0" xfId="0">
      <alignment horizontal="center" vertical="center"/>
    </xf>
    <xf numFmtId="0" fontId="69" fillId="5" borderId="15" applyAlignment="1" pivotButton="0" quotePrefix="0" xfId="0">
      <alignment horizontal="center" vertical="center"/>
    </xf>
    <xf numFmtId="0" fontId="69" fillId="7" borderId="15" applyAlignment="1" pivotButton="0" quotePrefix="0" xfId="0">
      <alignment horizontal="center" vertical="center"/>
    </xf>
    <xf numFmtId="0" fontId="69" fillId="0" borderId="15" applyAlignment="1" pivotButton="0" quotePrefix="0" xfId="0">
      <alignment horizontal="left" vertical="center" wrapText="1"/>
    </xf>
    <xf numFmtId="0" fontId="81" fillId="12" borderId="15" applyAlignment="1" pivotButton="0" quotePrefix="0" xfId="0">
      <alignment horizontal="center" vertical="center"/>
    </xf>
    <xf numFmtId="0" fontId="82" fillId="24" borderId="15" applyAlignment="1" pivotButton="0" quotePrefix="0" xfId="0">
      <alignment horizontal="center" vertical="center"/>
    </xf>
    <xf numFmtId="0" fontId="83" fillId="14" borderId="15" applyAlignment="1" pivotButton="0" quotePrefix="0" xfId="0">
      <alignment horizontal="center" vertical="center"/>
    </xf>
    <xf numFmtId="0" fontId="84" fillId="25" borderId="15" applyAlignment="1" pivotButton="0" quotePrefix="0" xfId="0">
      <alignment horizontal="center" vertical="center"/>
    </xf>
    <xf numFmtId="0" fontId="84" fillId="22" borderId="15" applyAlignment="1" pivotButton="0" quotePrefix="0" xfId="0">
      <alignment horizontal="center" vertical="center"/>
    </xf>
    <xf numFmtId="0" fontId="85" fillId="0" borderId="0" pivotButton="0" quotePrefix="0" xfId="0"/>
    <xf numFmtId="0" fontId="65" fillId="24" borderId="15" applyAlignment="1" pivotButton="0" quotePrefix="0" xfId="0">
      <alignment horizontal="center" vertical="center" wrapText="1"/>
    </xf>
    <xf numFmtId="0" fontId="86" fillId="0" borderId="0" applyAlignment="1" pivotButton="0" quotePrefix="0" xfId="0">
      <alignment horizontal="left" vertical="center"/>
    </xf>
    <xf numFmtId="0" fontId="87" fillId="0" borderId="0" pivotButton="0" quotePrefix="0" xfId="0"/>
    <xf numFmtId="0" fontId="88" fillId="2" borderId="0" applyAlignment="1" pivotButton="0" quotePrefix="0" xfId="0">
      <alignment horizontal="left" vertical="center" indent="1"/>
    </xf>
    <xf numFmtId="0" fontId="89" fillId="0" borderId="0" applyAlignment="1" pivotButton="0" quotePrefix="0" xfId="0">
      <alignment horizontal="center" vertical="top"/>
    </xf>
    <xf numFmtId="0" fontId="90" fillId="0" borderId="0" applyAlignment="1" pivotButton="0" quotePrefix="0" xfId="0">
      <alignment horizontal="left" vertical="top" wrapText="1"/>
    </xf>
    <xf numFmtId="0" fontId="70" fillId="26" borderId="15" applyAlignment="1" pivotButton="0" quotePrefix="0" xfId="0">
      <alignment horizontal="left" vertical="center" wrapText="1" indent="1"/>
    </xf>
    <xf numFmtId="0" fontId="0" fillId="26" borderId="15" pivotButton="0" quotePrefix="0" xfId="0"/>
    <xf numFmtId="0" fontId="0" fillId="4" borderId="15" pivotButton="0" quotePrefix="0" xfId="0"/>
    <xf numFmtId="0" fontId="70" fillId="26" borderId="15" applyAlignment="1" pivotButton="0" quotePrefix="0" xfId="0">
      <alignment horizontal="center" vertical="center" wrapText="1"/>
    </xf>
    <xf numFmtId="0" fontId="70" fillId="0" borderId="15" applyAlignment="1" pivotButton="0" quotePrefix="0" xfId="0">
      <alignment horizontal="left" vertical="center" wrapText="1"/>
    </xf>
    <xf numFmtId="0" fontId="88" fillId="3" borderId="0" applyAlignment="1" pivotButton="0" quotePrefix="0" xfId="0">
      <alignment horizontal="left" vertical="center" indent="1"/>
    </xf>
    <xf numFmtId="0" fontId="91" fillId="0" borderId="0" applyAlignment="1" pivotButton="0" quotePrefix="0" xfId="0">
      <alignment horizontal="left" vertical="top" wrapText="1"/>
    </xf>
    <xf numFmtId="0" fontId="55" fillId="2" borderId="15" applyAlignment="1" pivotButton="0" quotePrefix="0" xfId="0">
      <alignment horizontal="left" vertical="center" wrapText="1" indent="1"/>
    </xf>
    <xf numFmtId="0" fontId="0" fillId="2" borderId="15" pivotButton="0" quotePrefix="0" xfId="0"/>
    <xf numFmtId="0" fontId="92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top" wrapText="1" indent="1"/>
    </xf>
    <xf numFmtId="0" fontId="0" fillId="14" borderId="15" pivotButton="0" quotePrefix="0" xfId="0"/>
    <xf numFmtId="0" fontId="76" fillId="12" borderId="15" applyAlignment="1" pivotButton="0" quotePrefix="0" xfId="0">
      <alignment horizontal="center" vertical="center"/>
    </xf>
    <xf numFmtId="0" fontId="66" fillId="12" borderId="15" applyAlignment="1" pivotButton="0" quotePrefix="0" xfId="0">
      <alignment horizontal="left" vertical="center" wrapText="1" indent="1"/>
    </xf>
    <xf numFmtId="0" fontId="0" fillId="12" borderId="15" pivotButton="0" quotePrefix="0" xfId="0"/>
    <xf numFmtId="0" fontId="76" fillId="14" borderId="15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center" vertical="top" wrapText="1"/>
    </xf>
    <xf numFmtId="0" fontId="67" fillId="24" borderId="15" applyAlignment="1" pivotButton="0" quotePrefix="0" xfId="0">
      <alignment horizontal="center" vertical="top" wrapText="1"/>
    </xf>
    <xf numFmtId="0" fontId="78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center" wrapText="1" indent="1"/>
    </xf>
    <xf numFmtId="0" fontId="71" fillId="0" borderId="0" applyAlignment="1" pivotButton="0" quotePrefix="0" xfId="0">
      <alignment horizontal="left" vertical="top" wrapText="1"/>
    </xf>
    <xf numFmtId="0" fontId="57" fillId="2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top"/>
    </xf>
    <xf numFmtId="0" fontId="93" fillId="0" borderId="15" applyAlignment="1" pivotButton="0" quotePrefix="0" xfId="0">
      <alignment horizontal="left" vertical="top" wrapText="1" indent="1"/>
    </xf>
    <xf numFmtId="0" fontId="67" fillId="12" borderId="15" applyAlignment="1" pivotButton="0" quotePrefix="0" xfId="0">
      <alignment horizontal="center" vertical="center"/>
    </xf>
    <xf numFmtId="0" fontId="67" fillId="14" borderId="15" applyAlignment="1" pivotButton="0" quotePrefix="0" xfId="0">
      <alignment horizontal="center" vertical="center"/>
    </xf>
    <xf numFmtId="0" fontId="67" fillId="5" borderId="15" applyAlignment="1" pivotButton="0" quotePrefix="0" xfId="0">
      <alignment horizontal="center" vertical="center"/>
    </xf>
    <xf numFmtId="0" fontId="0" fillId="5" borderId="15" pivotButton="0" quotePrefix="0" xfId="0"/>
    <xf numFmtId="0" fontId="67" fillId="4" borderId="15" applyAlignment="1" pivotButton="0" quotePrefix="0" xfId="0">
      <alignment horizontal="center" vertical="center"/>
    </xf>
    <xf numFmtId="0" fontId="67" fillId="26" borderId="15" applyAlignment="1" pivotButton="0" quotePrefix="0" xfId="0">
      <alignment horizontal="center" vertical="center"/>
    </xf>
    <xf numFmtId="0" fontId="93" fillId="26" borderId="15" applyAlignment="1" pivotButton="0" quotePrefix="0" xfId="0">
      <alignment horizontal="left" vertical="top" wrapText="1" indent="1"/>
    </xf>
    <xf numFmtId="0" fontId="67" fillId="0" borderId="15" applyAlignment="1" pivotButton="0" quotePrefix="0" xfId="0">
      <alignment horizontal="left" vertical="top" wrapText="1" indent="1"/>
    </xf>
    <xf numFmtId="0" fontId="78" fillId="0" borderId="15" applyAlignment="1" pivotButton="0" quotePrefix="0" xfId="0">
      <alignment horizontal="left" vertical="center" indent="1"/>
    </xf>
    <xf numFmtId="0" fontId="94" fillId="0" borderId="0" applyAlignment="1" pivotButton="0" quotePrefix="0" xfId="0">
      <alignment horizontal="left" vertical="top" wrapText="1"/>
    </xf>
    <xf numFmtId="0" fontId="95" fillId="26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left" vertical="center" indent="1"/>
    </xf>
    <xf numFmtId="0" fontId="0" fillId="27" borderId="15" pivotButton="0" quotePrefix="0" xfId="0"/>
    <xf numFmtId="0" fontId="96" fillId="0" borderId="15" applyAlignment="1" pivotButton="0" quotePrefix="0" xfId="0">
      <alignment horizontal="left" vertical="center" indent="1"/>
    </xf>
    <xf numFmtId="0" fontId="88" fillId="28" borderId="0" applyAlignment="1" pivotButton="0" quotePrefix="0" xfId="0">
      <alignment horizontal="left" vertical="center" indent="1"/>
    </xf>
    <xf numFmtId="0" fontId="57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97" fillId="0" borderId="15" applyAlignment="1" pivotButton="0" quotePrefix="0" xfId="0">
      <alignment horizontal="center" vertical="center"/>
    </xf>
    <xf numFmtId="0" fontId="78" fillId="0" borderId="15" applyAlignment="1" pivotButton="0" quotePrefix="0" xfId="0">
      <alignment horizontal="left" vertical="center" wrapText="1" indent="1"/>
    </xf>
    <xf numFmtId="0" fontId="67" fillId="24" borderId="15" applyAlignment="1" pivotButton="0" quotePrefix="0" xfId="0">
      <alignment horizontal="center" vertical="center"/>
    </xf>
    <xf numFmtId="0" fontId="67" fillId="29" borderId="15" applyAlignment="1" pivotButton="0" quotePrefix="0" xfId="0">
      <alignment horizontal="center" vertical="center"/>
    </xf>
    <xf numFmtId="0" fontId="98" fillId="0" borderId="0" applyAlignment="1" pivotButton="0" quotePrefix="0" xfId="0">
      <alignment horizontal="left" vertical="top" wrapText="1"/>
    </xf>
    <xf numFmtId="0" fontId="67" fillId="0" borderId="15" applyAlignment="1" pivotButton="0" quotePrefix="0" xfId="0">
      <alignment horizontal="center" vertical="center"/>
    </xf>
    <xf numFmtId="0" fontId="95" fillId="0" borderId="15" applyAlignment="1" pivotButton="0" quotePrefix="0" xfId="0">
      <alignment horizontal="left" vertical="center" indent="1"/>
    </xf>
    <xf numFmtId="0" fontId="77" fillId="0" borderId="15" applyAlignment="1" pivotButton="0" quotePrefix="0" xfId="0">
      <alignment horizontal="center" vertical="center"/>
    </xf>
    <xf numFmtId="0" fontId="9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right"/>
    </xf>
    <xf numFmtId="0" fontId="100" fillId="0" borderId="0" applyAlignment="1" pivotButton="0" quotePrefix="0" xfId="0">
      <alignment horizontal="center" vertical="center"/>
    </xf>
    <xf numFmtId="0" fontId="101" fillId="0" borderId="0" applyAlignment="1" pivotButton="0" quotePrefix="0" xfId="0">
      <alignment horizontal="left" vertical="top" wrapText="1"/>
    </xf>
    <xf numFmtId="0" fontId="49" fillId="0" borderId="0" applyAlignment="1" pivotButton="0" quotePrefix="0" xfId="0">
      <alignment horizontal="left" vertical="top" wrapText="1"/>
    </xf>
    <xf numFmtId="0" fontId="76" fillId="0" borderId="0" applyAlignment="1" pivotButton="0" quotePrefix="0" xfId="0">
      <alignment horizontal="left"/>
    </xf>
    <xf numFmtId="0" fontId="92" fillId="0" borderId="0" applyAlignment="1" pivotButton="0" quotePrefix="0" xfId="0">
      <alignment horizontal="left"/>
    </xf>
    <xf numFmtId="0" fontId="90" fillId="0" borderId="0" applyAlignment="1" pivotButton="0" quotePrefix="0" xfId="0">
      <alignment horizontal="left"/>
    </xf>
    <xf numFmtId="0" fontId="71" fillId="0" borderId="0" applyAlignment="1" pivotButton="0" quotePrefix="0" xfId="0">
      <alignment horizontal="left"/>
    </xf>
    <xf numFmtId="0" fontId="93" fillId="0" borderId="0" applyAlignment="1" pivotButton="0" quotePrefix="0" xfId="0">
      <alignment horizontal="left"/>
    </xf>
    <xf numFmtId="0" fontId="85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02" fillId="0" borderId="0" applyAlignment="1" pivotButton="0" quotePrefix="0" xfId="0">
      <alignment horizontal="center"/>
    </xf>
    <xf numFmtId="192" fontId="59" fillId="0" borderId="15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left" vertical="center" wrapText="1"/>
    </xf>
    <xf numFmtId="1" fontId="59" fillId="0" borderId="15" applyAlignment="1" pivotButton="0" quotePrefix="0" xfId="0">
      <alignment horizontal="left" vertical="center" wrapText="1"/>
    </xf>
    <xf numFmtId="0" fontId="103" fillId="30" borderId="0" applyAlignment="1" pivotButton="0" quotePrefix="0" xfId="0">
      <alignment horizontal="center" vertical="center" wrapText="1"/>
    </xf>
    <xf numFmtId="0" fontId="50" fillId="31" borderId="0" applyAlignment="1" pivotButton="0" quotePrefix="0" xfId="0">
      <alignment horizontal="left" vertical="center" wrapText="1"/>
    </xf>
    <xf numFmtId="0" fontId="55" fillId="32" borderId="15" applyAlignment="1" pivotButton="0" quotePrefix="0" xfId="0">
      <alignment horizontal="center" vertical="center" wrapText="1"/>
    </xf>
    <xf numFmtId="174" fontId="59" fillId="0" borderId="15" applyAlignment="1" pivotButton="0" quotePrefix="0" xfId="0">
      <alignment horizontal="right" vertical="center" wrapText="1"/>
    </xf>
    <xf numFmtId="0" fontId="61" fillId="33" borderId="15" applyAlignment="1" pivotButton="0" quotePrefix="0" xfId="0">
      <alignment horizontal="center" vertical="center" wrapText="1"/>
    </xf>
    <xf numFmtId="0" fontId="61" fillId="33" borderId="15" applyAlignment="1" pivotButton="0" quotePrefix="0" xfId="0">
      <alignment horizontal="left" vertical="center" wrapText="1"/>
    </xf>
    <xf numFmtId="174" fontId="61" fillId="33" borderId="15" applyAlignment="1" pivotButton="0" quotePrefix="0" xfId="0">
      <alignment horizontal="right" vertical="center" wrapText="1"/>
    </xf>
    <xf numFmtId="0" fontId="59" fillId="0" borderId="15" applyAlignment="1" pivotButton="0" quotePrefix="0" xfId="0">
      <alignment horizontal="right" vertical="center" wrapText="1"/>
    </xf>
    <xf numFmtId="0" fontId="50" fillId="34" borderId="0" applyAlignment="1" pivotButton="0" quotePrefix="0" xfId="0">
      <alignment horizontal="left" vertical="center" wrapText="1"/>
    </xf>
    <xf numFmtId="0" fontId="61" fillId="35" borderId="15" applyAlignment="1" pivotButton="0" quotePrefix="0" xfId="0">
      <alignment horizontal="center" vertical="center" wrapText="1"/>
    </xf>
    <xf numFmtId="0" fontId="61" fillId="35" borderId="15" applyAlignment="1" pivotButton="0" quotePrefix="0" xfId="0">
      <alignment horizontal="left" vertical="center" wrapText="1"/>
    </xf>
    <xf numFmtId="174" fontId="61" fillId="35" borderId="15" applyAlignment="1" pivotButton="0" quotePrefix="0" xfId="0">
      <alignment horizontal="right" vertical="center" wrapText="1"/>
    </xf>
    <xf numFmtId="0" fontId="0" fillId="35" borderId="0" pivotButton="0" quotePrefix="0" xfId="0"/>
    <xf numFmtId="0" fontId="50" fillId="36" borderId="0" applyAlignment="1" pivotButton="0" quotePrefix="0" xfId="0">
      <alignment horizontal="left" vertical="center" wrapText="1"/>
    </xf>
    <xf numFmtId="193" fontId="59" fillId="0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left" vertical="center" wrapText="1"/>
    </xf>
    <xf numFmtId="174" fontId="104" fillId="35" borderId="15" applyAlignment="1" pivotButton="0" quotePrefix="0" xfId="0">
      <alignment horizontal="right" vertical="center" wrapText="1"/>
    </xf>
    <xf numFmtId="186" fontId="104" fillId="35" borderId="15" applyAlignment="1" pivotButton="0" quotePrefix="0" xfId="0">
      <alignment horizontal="center" vertical="center" wrapText="1"/>
    </xf>
    <xf numFmtId="193" fontId="104" fillId="35" borderId="15" applyAlignment="1" pivotButton="0" quotePrefix="0" xfId="0">
      <alignment horizontal="center" vertical="center" wrapText="1"/>
    </xf>
    <xf numFmtId="0" fontId="52" fillId="33" borderId="0" applyAlignment="1" pivotButton="0" quotePrefix="0" xfId="0">
      <alignment horizontal="center" vertical="center" wrapText="1"/>
    </xf>
    <xf numFmtId="174" fontId="59" fillId="5" borderId="15" applyAlignment="1" pivotButton="0" quotePrefix="0" xfId="0">
      <alignment horizontal="right" vertical="center"/>
    </xf>
    <xf numFmtId="3" fontId="61" fillId="33" borderId="15" applyAlignment="1" pivotButton="0" quotePrefix="0" xfId="0">
      <alignment horizontal="right" vertical="center"/>
    </xf>
    <xf numFmtId="194" fontId="59" fillId="0" borderId="15" applyAlignment="1" pivotButton="0" quotePrefix="0" xfId="0">
      <alignment horizontal="center" vertical="center" wrapText="1"/>
    </xf>
    <xf numFmtId="194" fontId="104" fillId="35" borderId="15" applyAlignment="1" pivotButton="0" quotePrefix="0" xfId="0">
      <alignment horizontal="center" vertical="center" wrapText="1"/>
    </xf>
    <xf numFmtId="194" fontId="61" fillId="37" borderId="15" applyAlignment="1" pivotButton="0" quotePrefix="0" xfId="0">
      <alignment horizontal="center" vertical="center" wrapText="1"/>
    </xf>
    <xf numFmtId="193" fontId="61" fillId="37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center" vertical="center" wrapText="1"/>
    </xf>
    <xf numFmtId="194" fontId="59" fillId="4" borderId="15" applyAlignment="1" pivotButton="0" quotePrefix="0" xfId="0">
      <alignment horizontal="center" vertical="center" wrapText="1"/>
    </xf>
    <xf numFmtId="193" fontId="59" fillId="4" borderId="15" applyAlignment="1" pivotButton="0" quotePrefix="0" xfId="0">
      <alignment horizontal="center" vertical="center" wrapText="1"/>
    </xf>
    <xf numFmtId="3" fontId="50" fillId="4" borderId="15" applyAlignment="1" pivotButton="0" quotePrefix="0" xfId="0">
      <alignment horizontal="right" vertical="center"/>
    </xf>
    <xf numFmtId="194" fontId="50" fillId="4" borderId="15" applyAlignment="1" pivotButton="0" quotePrefix="0" xfId="0">
      <alignment horizontal="right" vertical="center"/>
    </xf>
    <xf numFmtId="193" fontId="50" fillId="4" borderId="15" applyAlignment="1" pivotButton="0" quotePrefix="0" xfId="0">
      <alignment horizontal="right" vertical="center"/>
    </xf>
    <xf numFmtId="3" fontId="50" fillId="5" borderId="15" applyAlignment="1" pivotButton="0" quotePrefix="0" xfId="0">
      <alignment horizontal="right" vertical="center"/>
    </xf>
    <xf numFmtId="0" fontId="52" fillId="33" borderId="0" applyAlignment="1" pivotButton="0" quotePrefix="0" xfId="0">
      <alignment horizontal="left" vertical="center" wrapText="1"/>
    </xf>
    <xf numFmtId="0" fontId="76" fillId="0" borderId="0" pivotButton="0" quotePrefix="0" xfId="0"/>
    <xf numFmtId="0" fontId="105" fillId="5" borderId="0" applyAlignment="1" pivotButton="0" quotePrefix="0" xfId="0">
      <alignment horizontal="center" vertical="center"/>
    </xf>
    <xf numFmtId="183" fontId="59" fillId="0" borderId="15" applyAlignment="1" pivotButton="0" quotePrefix="0" xfId="0">
      <alignment horizontal="right" vertical="center"/>
    </xf>
    <xf numFmtId="0" fontId="70" fillId="4" borderId="15" applyAlignment="1" pivotButton="0" quotePrefix="0" xfId="0">
      <alignment horizontal="left" vertical="center" wrapText="1"/>
    </xf>
    <xf numFmtId="183" fontId="59" fillId="4" borderId="15" applyAlignment="1" pivotButton="0" quotePrefix="0" xfId="0">
      <alignment horizontal="right" vertical="center"/>
    </xf>
    <xf numFmtId="0" fontId="70" fillId="0" borderId="15" applyAlignment="1" pivotButton="0" quotePrefix="0" xfId="0">
      <alignment horizontal="right" vertical="center"/>
    </xf>
    <xf numFmtId="0" fontId="57" fillId="28" borderId="0" pivotButton="0" quotePrefix="0" xfId="0"/>
    <xf numFmtId="0" fontId="52" fillId="0" borderId="0" applyAlignment="1" pivotButton="0" quotePrefix="0" xfId="0">
      <alignment vertical="top" wrapText="1"/>
    </xf>
    <xf numFmtId="0" fontId="105" fillId="0" borderId="0" pivotButton="0" quotePrefix="0" xfId="0"/>
    <xf numFmtId="0" fontId="70" fillId="0" borderId="0" pivotButton="0" quotePrefix="0" xfId="0"/>
    <xf numFmtId="0" fontId="106" fillId="0" borderId="0" pivotButton="0" quotePrefix="0" xfId="0"/>
    <xf numFmtId="0" fontId="52" fillId="0" borderId="0" pivotButton="0" quotePrefix="0" xfId="0"/>
    <xf numFmtId="0" fontId="59" fillId="0" borderId="0" pivotButton="0" quotePrefix="0" xfId="0"/>
    <xf numFmtId="0" fontId="70" fillId="35" borderId="15" applyAlignment="1" pivotButton="0" quotePrefix="0" xfId="0">
      <alignment horizontal="left" vertical="center" wrapText="1"/>
    </xf>
    <xf numFmtId="0" fontId="57" fillId="28" borderId="0" applyAlignment="1" pivotButton="0" quotePrefix="0" xfId="0">
      <alignment horizontal="left" vertical="center" wrapText="1"/>
    </xf>
    <xf numFmtId="0" fontId="105" fillId="32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center" vertical="center" wrapText="1"/>
    </xf>
    <xf numFmtId="3" fontId="66" fillId="0" borderId="15" applyAlignment="1" pivotButton="0" quotePrefix="0" xfId="0">
      <alignment horizontal="center" vertical="center" wrapText="1"/>
    </xf>
    <xf numFmtId="3" fontId="66" fillId="4" borderId="15" applyAlignment="1" pivotButton="0" quotePrefix="0" xfId="0">
      <alignment horizontal="right" vertical="center"/>
    </xf>
    <xf numFmtId="194" fontId="66" fillId="4" borderId="15" applyAlignment="1" pivotButton="0" quotePrefix="0" xfId="0">
      <alignment horizontal="right" vertical="center"/>
    </xf>
    <xf numFmtId="193" fontId="66" fillId="4" borderId="15" applyAlignment="1" pivotButton="0" quotePrefix="0" xfId="0">
      <alignment horizontal="right" vertical="center"/>
    </xf>
    <xf numFmtId="189" fontId="66" fillId="4" borderId="15" applyAlignment="1" pivotButton="0" quotePrefix="0" xfId="0">
      <alignment horizontal="right" vertical="center"/>
    </xf>
    <xf numFmtId="0" fontId="57" fillId="6" borderId="0" pivotButton="0" quotePrefix="0" xfId="0"/>
    <xf numFmtId="0" fontId="107" fillId="0" borderId="0" pivotButton="0" quotePrefix="0" xfId="0"/>
    <xf numFmtId="0" fontId="108" fillId="0" borderId="0" applyAlignment="1" pivotButton="0" quotePrefix="0" xfId="0">
      <alignment vertical="top" wrapText="1"/>
    </xf>
    <xf numFmtId="0" fontId="0" fillId="38" borderId="0" pivotButton="0" quotePrefix="0" xfId="0"/>
    <xf numFmtId="0" fontId="66" fillId="38" borderId="0" pivotButton="0" quotePrefix="0" xfId="0"/>
    <xf numFmtId="186" fontId="107" fillId="17" borderId="15" applyAlignment="1" pivotButton="0" quotePrefix="0" xfId="0">
      <alignment horizontal="right" vertical="center"/>
    </xf>
    <xf numFmtId="0" fontId="107" fillId="0" borderId="0" applyAlignment="1" pivotButton="0" quotePrefix="0" xfId="0">
      <alignment vertical="top" wrapText="1"/>
    </xf>
    <xf numFmtId="0" fontId="76" fillId="38" borderId="0" pivotButton="0" quotePrefix="0" xfId="0"/>
    <xf numFmtId="0" fontId="61" fillId="38" borderId="15" applyAlignment="1" pivotButton="0" quotePrefix="0" xfId="0">
      <alignment horizontal="left" vertical="center" wrapText="1"/>
    </xf>
    <xf numFmtId="49" fontId="59" fillId="38" borderId="15" applyAlignment="1" pivotButton="0" quotePrefix="0" xfId="0">
      <alignment horizontal="right" vertical="center"/>
    </xf>
    <xf numFmtId="0" fontId="61" fillId="38" borderId="15" applyAlignment="1" pivotButton="0" quotePrefix="0" xfId="0">
      <alignment horizontal="center" vertical="center" wrapText="1"/>
    </xf>
    <xf numFmtId="0" fontId="21" fillId="39" borderId="0" applyAlignment="1" pivotButton="0" quotePrefix="0" xfId="0">
      <alignment vertical="top" wrapText="1"/>
    </xf>
    <xf numFmtId="0" fontId="18" fillId="39" borderId="0" applyAlignment="1" pivotButton="0" quotePrefix="0" xfId="0">
      <alignment vertical="top" wrapText="1"/>
    </xf>
    <xf numFmtId="0" fontId="20" fillId="39" borderId="0" applyAlignment="1" pivotButton="0" quotePrefix="0" xfId="0">
      <alignment vertical="top" wrapText="1"/>
    </xf>
    <xf numFmtId="0" fontId="43" fillId="2" borderId="2" applyAlignment="1" pivotButton="0" quotePrefix="0" xfId="0">
      <alignment horizontal="center" vertical="center" wrapText="1"/>
    </xf>
    <xf numFmtId="174" fontId="50" fillId="0" borderId="15" applyAlignment="1" pivotButton="0" quotePrefix="0" xfId="0">
      <alignment horizontal="right" vertical="center"/>
    </xf>
    <xf numFmtId="174" fontId="50" fillId="4" borderId="15" applyAlignment="1" pivotButton="0" quotePrefix="0" xfId="0">
      <alignment horizontal="right" vertical="center"/>
    </xf>
    <xf numFmtId="174" fontId="50" fillId="5" borderId="15" applyAlignment="1" pivotButton="0" quotePrefix="0" xfId="0">
      <alignment horizontal="right" vertical="center"/>
    </xf>
    <xf numFmtId="184" fontId="61" fillId="14" borderId="15" applyAlignment="1" pivotButton="0" quotePrefix="0" xfId="0">
      <alignment horizontal="right" vertical="center"/>
    </xf>
    <xf numFmtId="0" fontId="43" fillId="11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ns0:theme xmlns:ns0="http://schemas.openxmlformats.org/drawingml/2006/main" name="Office Theme">
  <ns0:themeElements>
    <ns0:clrScheme name="Office">
      <ns0:dk1>
        <ns0:sysClr val="windowText" lastClr="000000"/>
      </ns0:dk1>
      <ns0:lt1>
        <ns0:sysClr val="window" lastClr="FFFFFF"/>
      </ns0:lt1>
      <ns0:dk2>
        <ns0:srgbClr val="1F497D"/>
      </ns0:dk2>
      <ns0:lt2>
        <ns0:srgbClr val="EEECE1"/>
      </ns0:lt2>
      <ns0:accent1>
        <ns0:srgbClr val="4F81BD"/>
      </ns0:accent1>
      <ns0:accent2>
        <ns0:srgbClr val="C0504D"/>
      </ns0:accent2>
      <ns0:accent3>
        <ns0:srgbClr val="9BBB59"/>
      </ns0:accent3>
      <ns0:accent4>
        <ns0:srgbClr val="8064A2"/>
      </ns0:accent4>
      <ns0:accent5>
        <ns0:srgbClr val="4BACC6"/>
      </ns0:accent5>
      <ns0:accent6>
        <ns0:srgbClr val="F79646"/>
      </ns0:accent6>
      <ns0:hlink>
        <ns0:srgbClr val="0000FF"/>
      </ns0:hlink>
      <ns0:folHlink>
        <ns0:srgbClr val="800080"/>
      </ns0:folHlink>
    </ns0:clrScheme>
    <ns0:fontScheme name="Office">
      <ns0:majorFont>
        <ns0:latin typeface="Cambria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Times New Roman"/>
        <ns0:font script="Hebr" typeface="Times New Roman"/>
        <ns0:font script="Thai" typeface="Tahoma"/>
        <ns0:font script="Ethi" typeface="Nyala"/>
        <ns0:font script="Beng" typeface="Vrinda"/>
        <ns0:font script="Gujr" typeface="Shruti"/>
        <ns0:font script="Khmr" typeface="MoolBoran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Times New Roman"/>
        <ns0:font script="Uigh" typeface="Microsoft Uighur"/>
      </ns0:majorFont>
      <ns0:minorFont>
        <ns0:latin typeface="Calibri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Arial"/>
        <ns0:font script="Hebr" typeface="Arial"/>
        <ns0:font script="Thai" typeface="Tahoma"/>
        <ns0:font script="Ethi" typeface="Nyala"/>
        <ns0:font script="Beng" typeface="Vrinda"/>
        <ns0:font script="Gujr" typeface="Shruti"/>
        <ns0:font script="Khmr" typeface="DaunPenh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Arial"/>
        <ns0:font script="Uigh" typeface="Microsoft Uighur"/>
      </ns0:minorFont>
    </ns0:fontScheme>
    <ns0:fmtScheme name="Office">
      <ns0:fillStyleLst>
        <ns0:solidFill>
          <ns0:schemeClr val="phClr"/>
        </ns0:solidFill>
        <ns0:gradFill rotWithShape="1">
          <ns0:gsLst>
            <ns0:gs pos="0">
              <ns0:schemeClr val="phClr">
                <ns0:tint val="50000"/>
                <ns0:satMod val="300000"/>
              </ns0:schemeClr>
            </ns0:gs>
            <ns0:gs pos="35000">
              <ns0:schemeClr val="phClr">
                <ns0:tint val="37000"/>
                <ns0:satMod val="300000"/>
              </ns0:schemeClr>
            </ns0:gs>
            <ns0:gs pos="100000">
              <ns0:schemeClr val="phClr">
                <ns0:tint val="15000"/>
                <ns0:satMod val="350000"/>
              </ns0:schemeClr>
            </ns0:gs>
          </ns0:gsLst>
          <ns0:lin ang="16200000" scaled="1"/>
        </ns0:gradFill>
        <ns0:gradFill rotWithShape="1">
          <ns0:gsLst>
            <ns0:gs pos="0">
              <ns0:schemeClr val="phClr">
                <ns0:shade val="51000"/>
                <ns0:satMod val="130000"/>
              </ns0:schemeClr>
            </ns0:gs>
            <ns0:gs pos="80000">
              <ns0:schemeClr val="phClr">
                <ns0:shade val="93000"/>
                <ns0:satMod val="130000"/>
              </ns0:schemeClr>
            </ns0:gs>
            <ns0:gs pos="100000">
              <ns0:schemeClr val="phClr">
                <ns0:shade val="94000"/>
                <ns0:satMod val="135000"/>
              </ns0:schemeClr>
            </ns0:gs>
          </ns0:gsLst>
          <ns0:lin ang="16200000" scaled="0"/>
        </ns0:gradFill>
      </ns0:fillStyleLst>
      <ns0:lnStyleLst>
        <ns0:ln w="9525" cap="flat" cmpd="sng" algn="ctr">
          <ns0:solidFill>
            <ns0:schemeClr val="phClr">
              <ns0:shade val="95000"/>
              <ns0:satMod val="105000"/>
            </ns0:schemeClr>
          </ns0:solidFill>
          <ns0:prstDash val="solid"/>
        </ns0:ln>
        <ns0:ln w="25400" cap="flat" cmpd="sng" algn="ctr">
          <ns0:solidFill>
            <ns0:schemeClr val="phClr"/>
          </ns0:solidFill>
          <ns0:prstDash val="solid"/>
        </ns0:ln>
        <ns0:ln w="38100" cap="flat" cmpd="sng" algn="ctr">
          <ns0:solidFill>
            <ns0:schemeClr val="phClr"/>
          </ns0:solidFill>
          <ns0:prstDash val="solid"/>
        </ns0:ln>
      </ns0:lnStyleLst>
      <ns0:effectStyleLst>
        <ns0:effectStyle>
          <ns0:effectLst>
            <ns0:outerShdw blurRad="40000" dist="20000" dir="5400000" rotWithShape="0">
              <ns0:srgbClr val="000000">
                <ns0:alpha val="38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  <ns0:scene3d>
            <ns0:camera prst="orthographicFront">
              <ns0:rot lat="0" lon="0" rev="0"/>
            </ns0:camera>
            <ns0:lightRig rig="threePt" dir="t">
              <ns0:rot lat="0" lon="0" rev="1200000"/>
            </ns0:lightRig>
          </ns0:scene3d>
          <ns0:sp3d>
            <ns0:bevelT w="63500" h="25400"/>
          </ns0:sp3d>
        </ns0:effectStyle>
      </ns0:effectStyleLst>
      <ns0:bgFillStyleLst>
        <ns0:solidFill>
          <ns0:schemeClr val="phClr"/>
        </ns0:solidFill>
        <ns0:gradFill rotWithShape="1">
          <ns0:gsLst>
            <ns0:gs pos="0">
              <ns0:schemeClr val="phClr">
                <ns0:tint val="40000"/>
                <ns0:satMod val="350000"/>
              </ns0:schemeClr>
            </ns0:gs>
            <ns0:gs pos="40000">
              <ns0:schemeClr val="phClr">
                <ns0:tint val="45000"/>
                <ns0:shade val="99000"/>
                <ns0:satMod val="350000"/>
              </ns0:schemeClr>
            </ns0:gs>
            <ns0:gs pos="100000">
              <ns0:schemeClr val="phClr">
                <ns0:shade val="20000"/>
                <ns0:satMod val="255000"/>
              </ns0:schemeClr>
            </ns0:gs>
          </ns0:gsLst>
          <ns0:path path="circle">
            <ns0:fillToRect l="50000" t="-80000" r="50000" b="180000"/>
          </ns0:path>
        </ns0:gradFill>
        <ns0:gradFill rotWithShape="1">
          <ns0:gsLst>
            <ns0:gs pos="0">
              <ns0:schemeClr val="phClr">
                <ns0:tint val="80000"/>
                <ns0:satMod val="300000"/>
              </ns0:schemeClr>
            </ns0:gs>
            <ns0:gs pos="100000">
              <ns0:schemeClr val="phClr">
                <ns0:shade val="30000"/>
                <ns0:satMod val="200000"/>
              </ns0:schemeClr>
            </ns0:gs>
          </ns0:gsLst>
          <ns0:path path="circle">
            <ns0:fillToRect l="50000" t="50000" r="50000" b="50000"/>
          </ns0:path>
        </ns0:gradFill>
      </ns0:bgFillStyleLst>
    </ns0:fmtScheme>
  </ns0:themeElements>
  <ns0:objectDefaults/>
  <ns0:extraClrSchemeLst/>
</ns0:theme>
</file>

<file path=xl/worksheets/_rels/sheet35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Assumptions'!A1" TargetMode="External" Id="rId2"/><Relationship Type="http://schemas.openxmlformats.org/officeDocument/2006/relationships/hyperlink" Target="#'03_Change_Log'!A1" TargetMode="External" Id="rId3"/><Relationship Type="http://schemas.openxmlformats.org/officeDocument/2006/relationships/hyperlink" Target="#'04_FOT_Staff_A1'!A1" TargetMode="External" Id="rId4"/><Relationship Type="http://schemas.openxmlformats.org/officeDocument/2006/relationships/hyperlink" Target="#'05_FOT_Staff_A2'!A1" TargetMode="External" Id="rId5"/><Relationship Type="http://schemas.openxmlformats.org/officeDocument/2006/relationships/hyperlink" Target="#'06_Cost_Structure'!A1" TargetMode="External" Id="rId6"/><Relationship Type="http://schemas.openxmlformats.org/officeDocument/2006/relationships/hyperlink" Target="#'07_Revenue_Breakdown'!A1" TargetMode="External" Id="rId7"/><Relationship Type="http://schemas.openxmlformats.org/officeDocument/2006/relationships/hyperlink" Target="#'08_Content_Pipeline'!A1" TargetMode="External" Id="rId8"/><Relationship Type="http://schemas.openxmlformats.org/officeDocument/2006/relationships/hyperlink" Target="#'09_P&amp;L_Statement'!A1" TargetMode="External" Id="rId9"/><Relationship Type="http://schemas.openxmlformats.org/officeDocument/2006/relationships/hyperlink" Target="#'10_Cash_Flow'!A1" TargetMode="External" Id="rId10"/><Relationship Type="http://schemas.openxmlformats.org/officeDocument/2006/relationships/hyperlink" Target="#'11_Balance_Sheet'!A1" TargetMode="External" Id="rId11"/><Relationship Type="http://schemas.openxmlformats.org/officeDocument/2006/relationships/hyperlink" Target="#'12_Working_Capital'!A1" TargetMode="External" Id="rId12"/><Relationship Type="http://schemas.openxmlformats.org/officeDocument/2006/relationships/hyperlink" Target="#'13_Debt_Schedule'!A1" TargetMode="External" Id="rId13"/><Relationship Type="http://schemas.openxmlformats.org/officeDocument/2006/relationships/hyperlink" Target="#'14_Investment_Inflow'!A1" TargetMode="External" Id="rId14"/><Relationship Type="http://schemas.openxmlformats.org/officeDocument/2006/relationships/hyperlink" Target="#'15_Use_of_Funds'!A1" TargetMode="External" Id="rId15"/><Relationship Type="http://schemas.openxmlformats.org/officeDocument/2006/relationships/hyperlink" Target="#'16_CAPEX_Schedule'!A1" TargetMode="External" Id="rId16"/><Relationship Type="http://schemas.openxmlformats.org/officeDocument/2006/relationships/hyperlink" Target="#'17_Deal_Structures'!A1" TargetMode="External" Id="rId17"/><Relationship Type="http://schemas.openxmlformats.org/officeDocument/2006/relationships/hyperlink" Target="#'18_Cap_Table'!A1" TargetMode="External" Id="rId18"/><Relationship Type="http://schemas.openxmlformats.org/officeDocument/2006/relationships/hyperlink" Target="#'19_Waterfall'!A1" TargetMode="External" Id="rId19"/><Relationship Type="http://schemas.openxmlformats.org/officeDocument/2006/relationships/hyperlink" Target="#'20_Unit_Economics_per_Film'!A1" TargetMode="External" Id="rId20"/><Relationship Type="http://schemas.openxmlformats.org/officeDocument/2006/relationships/hyperlink" Target="#'21_KPI_Dashboard'!A1" TargetMode="External" Id="rId21"/><Relationship Type="http://schemas.openxmlformats.org/officeDocument/2006/relationships/hyperlink" Target="#'22_Valuation_DCF'!A1" TargetMode="External" Id="rId22"/><Relationship Type="http://schemas.openxmlformats.org/officeDocument/2006/relationships/hyperlink" Target="#'23_Valuation_Multiples'!A1" TargetMode="External" Id="rId23"/><Relationship Type="http://schemas.openxmlformats.org/officeDocument/2006/relationships/hyperlink" Target="#'24_Investor_Returns'!A1" TargetMode="External" Id="rId24"/><Relationship Type="http://schemas.openxmlformats.org/officeDocument/2006/relationships/hyperlink" Target="#'25_Exit_Scenarios'!A1" TargetMode="External" Id="rId25"/><Relationship Type="http://schemas.openxmlformats.org/officeDocument/2006/relationships/hyperlink" Target="#'26_Sensitivity'!A1" TargetMode="External" Id="rId26"/><Relationship Type="http://schemas.openxmlformats.org/officeDocument/2006/relationships/hyperlink" Target="#'27_Scenario_Analysis'!A1" TargetMode="External" Id="rId27"/><Relationship Type="http://schemas.openxmlformats.org/officeDocument/2006/relationships/hyperlink" Target="#'28_Monte_Carlo_Summary'!A1" TargetMode="External" Id="rId28"/><Relationship Type="http://schemas.openxmlformats.org/officeDocument/2006/relationships/hyperlink" Target="#'29_Risk_Register'!A1" TargetMode="External" Id="rId29"/><Relationship Type="http://schemas.openxmlformats.org/officeDocument/2006/relationships/hyperlink" Target="#'30_Market_Analysis'!A1" TargetMode="External" Id="rId30"/><Relationship Type="http://schemas.openxmlformats.org/officeDocument/2006/relationships/hyperlink" Target="#'31_Benchmarks'!A1" TargetMode="External" Id="rId31"/><Relationship Type="http://schemas.openxmlformats.org/officeDocument/2006/relationships/hyperlink" Target="#'32_Comparable_Transactions'!A1" TargetMode="External" Id="rId32"/><Relationship Type="http://schemas.openxmlformats.org/officeDocument/2006/relationships/hyperlink" Target="#'33_Gov_KPI'!A1" TargetMode="External" Id="rId33"/><Relationship Type="http://schemas.openxmlformats.org/officeDocument/2006/relationships/hyperlink" Target="#'34_Tax_Schedule'!A1" TargetMode="External" Id="rId34"/><Relationship Type="http://schemas.openxmlformats.org/officeDocument/2006/relationships/hyperlink" Target="#'35_Roadmap_2026_2032'!A1" TargetMode="External" Id="rId35"/><Relationship Type="http://schemas.openxmlformats.org/officeDocument/2006/relationships/hyperlink" Target="#'36_Executive_Summary'!A1" TargetMode="External" Id="rId36"/><Relationship Type="http://schemas.openxmlformats.org/officeDocument/2006/relationships/hyperlink" Target="#'37_Glossary'!A1" TargetMode="External" Id="rId37"/><Relationship Type="http://schemas.openxmlformats.org/officeDocument/2006/relationships/hyperlink" Target="#'38_Notes_and_Sources'!A1" TargetMode="External" Id="rId38"/><Relationship Type="http://schemas.openxmlformats.org/officeDocument/2006/relationships/hyperlink" Target="#'39_TOC'!A1" TargetMode="External" Id="rId39"/><Relationship Type="http://schemas.openxmlformats.org/officeDocument/2006/relationships/hyperlink" Target="#'40_Investor_Checklist'!A1" TargetMode="External" Id="rId40"/><Relationship Type="http://schemas.openxmlformats.org/officeDocument/2006/relationships/hyperlink" Target="#'41_Print_Setup'!A1" TargetMode="External" Id="rId41"/><Relationship Type="http://schemas.openxmlformats.org/officeDocument/2006/relationships/hyperlink" Target="#'42_Cover_Letter'!A1" TargetMode="External" Id="rId42"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2" ht="22" customHeight="1">
      <c r="B2" s="1" t="inlineStr">
        <is>
          <t>ТРЕНДСТУДИО</t>
        </is>
      </c>
    </row>
    <row r="4" ht="36" customHeight="1">
      <c r="B4" s="2" t="inlineStr">
        <is>
          <t>ИНВЕСТИЦИОННАЯ ФИНАНСОВАЯ МОДЕЛЬ</t>
        </is>
      </c>
    </row>
    <row r="5" ht="22" customHeight="1">
      <c r="B5" s="3" t="inlineStr">
        <is>
          <t>Холдинг кинопроизводства «ТрендСтудио»</t>
        </is>
      </c>
    </row>
    <row r="7" ht="24" customHeight="1">
      <c r="B7" s="135" t="inlineStr">
        <is>
          <t>КЛЮЧЕВЫЕ МЕТРИКИ  ·  2026–2028  ·  Dual-metric представление</t>
        </is>
      </c>
      <c r="L7" s="136" t="n"/>
    </row>
    <row r="8" ht="36" customHeight="1">
      <c r="B8" s="137" t="inlineStr">
        <is>
          <t>4 545</t>
        </is>
      </c>
      <c r="D8" s="137" t="inlineStr">
        <is>
          <t>2 152</t>
        </is>
      </c>
      <c r="F8" s="138" t="inlineStr">
        <is>
          <t>3 000</t>
        </is>
      </c>
      <c r="H8" s="137" t="inlineStr">
        <is>
          <t>1 710</t>
        </is>
      </c>
      <c r="J8" s="137" t="inlineStr">
        <is>
          <t>1 250</t>
        </is>
      </c>
      <c r="L8" s="136" t="n"/>
    </row>
    <row r="9" ht="20" customHeight="1">
      <c r="B9" s="139" t="inlineStr">
        <is>
          <t>Revenue  ·  Σ 2026–2028</t>
        </is>
      </c>
      <c r="D9" s="139" t="inlineStr">
        <is>
          <t xml:space="preserve">EBITDA (GAAP) </t>
        </is>
      </c>
      <c r="F9" s="140" t="inlineStr">
        <is>
          <t>NDP (Net Distrib. Proc.)</t>
        </is>
      </c>
      <c r="H9" s="139" t="inlineStr">
        <is>
          <t>Net Profit</t>
        </is>
      </c>
      <c r="J9" s="139" t="inlineStr">
        <is>
          <t>Investment  ·  T₁</t>
        </is>
      </c>
      <c r="L9" s="136" t="n"/>
    </row>
    <row r="10" ht="18" customHeight="1">
      <c r="B10" s="141" t="inlineStr">
        <is>
          <t>млн ₽</t>
        </is>
      </c>
      <c r="D10" s="141" t="inlineStr">
        <is>
          <t>млн ₽  ·  стандарт</t>
        </is>
      </c>
      <c r="F10" s="142" t="inlineStr">
        <is>
          <t>млн ₽  ·  legacy</t>
        </is>
      </c>
      <c r="H10" s="141" t="inlineStr">
        <is>
          <t>млн ₽  ·  после 20% налога</t>
        </is>
      </c>
      <c r="J10" s="141" t="inlineStr">
        <is>
          <t>млн ₽  ·  4 транша</t>
        </is>
      </c>
      <c r="L10" s="136" t="n"/>
    </row>
    <row r="11">
      <c r="B11" s="136" t="n"/>
      <c r="C11" s="136" t="n"/>
      <c r="D11" s="136" t="n"/>
      <c r="E11" s="136" t="n"/>
      <c r="F11" s="136" t="n"/>
      <c r="G11" s="136" t="n"/>
      <c r="H11" s="136" t="n"/>
      <c r="I11" s="136" t="n"/>
      <c r="J11" s="136" t="n"/>
      <c r="K11" s="136" t="n"/>
      <c r="L11" s="136" t="n"/>
    </row>
    <row r="12" ht="18" customHeight="1">
      <c r="B12" s="143" t="inlineStr">
        <is>
          <t>Dual-metric подход: EBITDA (GAAP 2 152 млн ₽) — стандартный бухгалтерский показатель для мультипликаторов и DCF.  NDP (3 000 млн ₽) — legacy-якорь v1.4.4, суммарные распределяемые денежные потоки к пайщикам JV (инвестор 2 215 + продюсер 785). Детальный мост EBITDA → NDP — на листе 09_P&amp;L_Statement.</t>
        </is>
      </c>
      <c r="L12" s="136" t="n"/>
    </row>
    <row r="13" ht="18" customHeight="1">
      <c r="L13" s="136" t="n"/>
    </row>
    <row r="14" ht="30" customHeight="1"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</row>
    <row r="15" ht="22" customHeight="1">
      <c r="B15" s="144" t="inlineStr">
        <is>
          <t>СЦЕНАРИИ  ·  Bear  /  Base  /  Bull</t>
        </is>
      </c>
      <c r="L15" s="136" t="n"/>
    </row>
    <row r="16">
      <c r="B16" s="145" t="inlineStr">
        <is>
          <t>Показатель</t>
        </is>
      </c>
      <c r="F16" s="145" t="inlineStr">
        <is>
          <t>Bear (0.70×)</t>
        </is>
      </c>
      <c r="H16" s="146" t="inlineStr">
        <is>
          <t>Base (1.00×)</t>
        </is>
      </c>
      <c r="J16" s="145" t="inlineStr">
        <is>
          <t>Bull (1.25×)</t>
        </is>
      </c>
      <c r="L16" s="136" t="n"/>
    </row>
    <row r="17" ht="18" customHeight="1">
      <c r="B17" s="147" t="inlineStr">
        <is>
          <t>Revenue Σ, млн ₽</t>
        </is>
      </c>
      <c r="F17" s="148" t="inlineStr">
        <is>
          <t>3 181</t>
        </is>
      </c>
      <c r="H17" s="146" t="inlineStr">
        <is>
          <t>4 545</t>
        </is>
      </c>
      <c r="J17" s="148" t="inlineStr">
        <is>
          <t>5 681</t>
        </is>
      </c>
      <c r="L17" s="136" t="n"/>
    </row>
    <row r="18" ht="18" customHeight="1">
      <c r="B18" s="147" t="inlineStr">
        <is>
          <t>EBITDA (GAAP), млн ₽</t>
        </is>
      </c>
      <c r="F18" s="148" t="inlineStr">
        <is>
          <t>1 506</t>
        </is>
      </c>
      <c r="H18" s="146" t="inlineStr">
        <is>
          <t>2 152</t>
        </is>
      </c>
      <c r="J18" s="148" t="inlineStr">
        <is>
          <t>2 690</t>
        </is>
      </c>
      <c r="L18" s="136" t="n"/>
    </row>
    <row r="19" ht="18" customHeight="1">
      <c r="B19" s="147" t="inlineStr">
        <is>
          <t>NDP Σ, млн ₽</t>
        </is>
      </c>
      <c r="F19" s="148" t="inlineStr">
        <is>
          <t>2 100</t>
        </is>
      </c>
      <c r="H19" s="146" t="inlineStr">
        <is>
          <t>3 000</t>
        </is>
      </c>
      <c r="J19" s="148" t="inlineStr">
        <is>
          <t>3 750</t>
        </is>
      </c>
      <c r="L19" s="136" t="n"/>
    </row>
    <row r="20" ht="18" customHeight="1">
      <c r="B20" s="147" t="inlineStr">
        <is>
          <t>Net Profit, млн ₽</t>
        </is>
      </c>
      <c r="F20" s="148" t="inlineStr">
        <is>
          <t>1 197</t>
        </is>
      </c>
      <c r="H20" s="146" t="inlineStr">
        <is>
          <t>1 710</t>
        </is>
      </c>
      <c r="J20" s="148" t="inlineStr">
        <is>
          <t>2 138</t>
        </is>
      </c>
      <c r="L20" s="136" t="n"/>
    </row>
    <row r="21" ht="18" customHeight="1">
      <c r="B21" s="147" t="inlineStr">
        <is>
          <t>IRR (5-year), %</t>
        </is>
      </c>
      <c r="F21" s="148" t="inlineStr">
        <is>
          <t>~14 %</t>
        </is>
      </c>
      <c r="H21" s="146" t="inlineStr">
        <is>
          <t>~22 %</t>
        </is>
      </c>
      <c r="J21" s="148" t="inlineStr">
        <is>
          <t>~31 %</t>
        </is>
      </c>
      <c r="L21" s="136" t="n"/>
    </row>
    <row r="22" ht="20" customHeight="1">
      <c r="B22" s="136" t="n"/>
      <c r="C22" s="136" t="n"/>
      <c r="D22" s="136" t="n"/>
      <c r="E22" s="136" t="n"/>
      <c r="F22" s="136" t="n"/>
      <c r="G22" s="136" t="n"/>
      <c r="H22" s="136" t="n"/>
      <c r="I22" s="136" t="n"/>
      <c r="J22" s="136" t="n"/>
      <c r="K22" s="136" t="n"/>
      <c r="L22" s="136" t="n"/>
    </row>
    <row r="23" ht="18" customHeight="1">
      <c r="B23" s="136" t="n"/>
      <c r="C23" s="136" t="n"/>
      <c r="D23" s="136" t="n"/>
      <c r="E23" s="136" t="n"/>
      <c r="F23" s="136" t="n"/>
      <c r="G23" s="136" t="n"/>
      <c r="H23" s="136" t="n"/>
      <c r="I23" s="136" t="n"/>
      <c r="J23" s="136" t="n"/>
      <c r="K23" s="136" t="n"/>
      <c r="L23" s="136" t="n"/>
    </row>
    <row r="24" ht="18" customHeight="1">
      <c r="B24" s="136" t="n"/>
      <c r="C24" s="136" t="n"/>
      <c r="D24" s="136" t="n"/>
      <c r="E24" s="136" t="n"/>
      <c r="F24" s="136" t="n"/>
      <c r="G24" s="136" t="n"/>
      <c r="H24" s="136" t="n"/>
      <c r="I24" s="136" t="n"/>
      <c r="J24" s="136" t="n"/>
      <c r="K24" s="136" t="n"/>
      <c r="L24" s="136" t="n"/>
    </row>
    <row r="25" ht="18" customHeight="1"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" customHeight="1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</row>
    <row r="27" ht="18" customHeight="1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</row>
    <row r="28" ht="18" customHeight="1">
      <c r="B28" s="15" t="inlineStr">
        <is>
          <t>Базовая дата расчётов:</t>
        </is>
      </c>
      <c r="C28" s="16" t="inlineStr">
        <is>
          <t>01.01.2026</t>
        </is>
      </c>
    </row>
    <row r="29" ht="18" customHeight="1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</row>
    <row r="30" ht="18" customHeight="1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</row>
    <row r="31" ht="18" customHeight="1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</row>
    <row r="32" ht="18" customHeight="1">
      <c r="B32" s="15" t="inlineStr">
        <is>
          <t>Верификация:</t>
        </is>
      </c>
      <c r="C32" s="16" t="inlineStr">
        <is>
          <t>П5 «Максимум» 32/32 механизма</t>
        </is>
      </c>
    </row>
    <row r="33" ht="18" customHeight="1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</row>
    <row r="35" ht="18" customHeight="1">
      <c r="B35" s="17" t="inlineStr">
        <is>
          <t>ДИСКЛЕЙМЕР</t>
        </is>
      </c>
    </row>
    <row r="36" ht="16" customHeight="1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/>
    <row r="38" ht="16" customHeight="1"/>
    <row r="39" ht="16" customHeight="1"/>
    <row r="41">
      <c r="B41" s="522" t="inlineStr">
        <is>
          <t>🔒 INTERNAL v3.0 — management use only</t>
        </is>
      </c>
    </row>
    <row r="42">
      <c r="B42" s="524" t="inlineStr">
        <is>
          <t>Internal v3.0 — 42 листа. Реструктуризация пайплайна: 7 проектов (5 фильмов + 2 сериала).</t>
        </is>
      </c>
    </row>
  </sheetData>
  <mergeCells count="57">
    <mergeCell ref="B4:F4"/>
    <mergeCell ref="H20:I20"/>
    <mergeCell ref="D10:E10"/>
    <mergeCell ref="F10:G10"/>
    <mergeCell ref="H10:I10"/>
    <mergeCell ref="F16:G16"/>
    <mergeCell ref="J10:K10"/>
    <mergeCell ref="F19:G19"/>
    <mergeCell ref="J19:K19"/>
    <mergeCell ref="B15:K15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F18:G18"/>
    <mergeCell ref="B16:E16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21:E21"/>
    <mergeCell ref="B10:C10"/>
    <mergeCell ref="C29:F29"/>
    <mergeCell ref="H19:I19"/>
    <mergeCell ref="B9:C9"/>
    <mergeCell ref="D9:E9"/>
    <mergeCell ref="F9:G9"/>
    <mergeCell ref="B42:N42"/>
    <mergeCell ref="D8:E8"/>
    <mergeCell ref="B17:E17"/>
    <mergeCell ref="H8:I8"/>
    <mergeCell ref="C31:F31"/>
    <mergeCell ref="J21:K21"/>
    <mergeCell ref="H18:I18"/>
    <mergeCell ref="B5:F5"/>
    <mergeCell ref="J18:K18"/>
    <mergeCell ref="B19:E19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2" customWidth="1" min="3" max="3"/>
    <col width="18" customWidth="1" min="4" max="4"/>
    <col width="10" customWidth="1" min="5" max="5"/>
    <col width="38" customWidth="1" min="6" max="6"/>
    <col width="2" customWidth="1" min="7" max="7"/>
  </cols>
  <sheetData>
    <row r="2" ht="30" customHeight="1">
      <c r="B2" s="19" t="inlineStr">
        <is>
          <t>ДОПУЩЕНИЯ МОДЕЛИ (Assumptions)</t>
        </is>
      </c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>
      <c r="B6" s="14" t="inlineStr">
        <is>
          <t>A. МАКРО-ДОПУЩЕНИЯ</t>
        </is>
      </c>
    </row>
    <row r="7" ht="18" customHeight="1">
      <c r="B7" s="22" t="n">
        <v>1</v>
      </c>
      <c r="C7" s="23" t="inlineStr">
        <is>
          <t>Инфляция РФ (CPI), годовая</t>
        </is>
      </c>
      <c r="D7" s="24" t="n">
        <v>0.065</v>
      </c>
      <c r="E7" s="22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>
      <c r="B8" s="22" t="n">
        <v>2</v>
      </c>
      <c r="C8" s="23" t="inlineStr">
        <is>
          <t>Ключевая ставка (среднегодовая)</t>
        </is>
      </c>
      <c r="D8" s="24" t="n">
        <v>0.14</v>
      </c>
      <c r="E8" s="22" t="inlineStr">
        <is>
          <t>%</t>
        </is>
      </c>
      <c r="F8" s="25" t="inlineStr">
        <is>
          <t>ЦБ РФ, Base (Базовый) 14% 2026</t>
        </is>
      </c>
    </row>
    <row r="9" ht="18" customHeight="1">
      <c r="B9" s="22" t="n">
        <v>3</v>
      </c>
      <c r="C9" s="23" t="inlineStr">
        <is>
          <t>WACC (средневзвешенная стоимость капитала) для DCF (дисконтированный денежный поток) (Russian media)</t>
        </is>
      </c>
      <c r="D9" s="24" t="n">
        <v>0.2</v>
      </c>
      <c r="E9" s="22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>
      <c r="B10" s="22" t="n">
        <v>4</v>
      </c>
      <c r="C10" s="23" t="inlineStr">
        <is>
          <t>Налог на прибыль РФ</t>
        </is>
      </c>
      <c r="D10" s="24" t="n">
        <v>0.2</v>
      </c>
      <c r="E10" s="22" t="inlineStr">
        <is>
          <t>%</t>
        </is>
      </c>
      <c r="F10" s="25" t="inlineStr">
        <is>
          <t>НК РФ, Глава 25</t>
        </is>
      </c>
    </row>
    <row r="11" ht="18" customHeight="1">
      <c r="B11" s="22" t="n">
        <v>5</v>
      </c>
      <c r="C11" s="23" t="inlineStr">
        <is>
          <t>Страховые взносы (работодатель)</t>
        </is>
      </c>
      <c r="D11" s="24" t="n">
        <v>0.3</v>
      </c>
      <c r="E11" s="22" t="inlineStr">
        <is>
          <t>%</t>
        </is>
      </c>
      <c r="F11" s="25" t="inlineStr">
        <is>
          <t>ПФР+ФОМС+ФСС, 30% + 0.2% НС (округл. 30%)</t>
        </is>
      </c>
    </row>
    <row r="12" ht="18" customHeight="1">
      <c r="B12" s="22" t="n">
        <v>6</v>
      </c>
      <c r="C12" s="23" t="inlineStr">
        <is>
          <t>Ставка дисконта для payback (номинальный)</t>
        </is>
      </c>
      <c r="D12" s="24" t="n">
        <v>0.15</v>
      </c>
      <c r="E12" s="22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>
      <c r="B13" s="22" t="n">
        <v>7</v>
      </c>
      <c r="C13" s="23" t="inlineStr">
        <is>
          <t>Terminal growth (Терминальный рост) (Gordon)</t>
        </is>
      </c>
      <c r="D13" s="24" t="n">
        <v>0.03</v>
      </c>
      <c r="E13" s="22" t="inlineStr">
        <is>
          <t>%</t>
        </is>
      </c>
      <c r="F13" s="25" t="inlineStr">
        <is>
          <t>Long-run GDP RF, Base (Базовый) 3%</t>
        </is>
      </c>
    </row>
    <row r="14" ht="18" customHeight="1">
      <c r="B14" s="22" t="n">
        <v>8</v>
      </c>
      <c r="C14" s="23" t="inlineStr">
        <is>
          <t>Курс USD/RUB</t>
        </is>
      </c>
      <c r="D14" s="26" t="n">
        <v>95</v>
      </c>
      <c r="E14" s="22" t="inlineStr">
        <is>
          <t>RUB</t>
        </is>
      </c>
      <c r="F14" s="25" t="inlineStr">
        <is>
          <t>Для международных продаж и лицензий</t>
        </is>
      </c>
    </row>
    <row r="16" ht="20" customHeight="1">
      <c r="B16" s="14" t="inlineStr">
        <is>
          <t>B. АНКЕТНЫЕ ЯКОРЯ (v1.4.4 + legacy (базовый вариант))</t>
        </is>
      </c>
    </row>
    <row r="17" ht="18" customHeight="1">
      <c r="B17" s="22" t="n">
        <v>9</v>
      </c>
      <c r="C17" s="23" t="inlineStr">
        <is>
          <t>Cumulative EBITDA (прибыль до вычетов) 2026–2028 Base (Базовый)</t>
        </is>
      </c>
      <c r="D17" s="26" t="n">
        <v>3000</v>
      </c>
      <c r="E17" s="22" t="inlineStr">
        <is>
          <t>млн ₽</t>
        </is>
      </c>
      <c r="F17" s="25" t="inlineStr">
        <is>
          <t>Якорь L4+N3, tolerance ±1%</t>
        </is>
      </c>
    </row>
    <row r="18" ht="18" customHeight="1">
      <c r="B18" s="22" t="n">
        <v>10</v>
      </c>
      <c r="C18" s="23" t="inlineStr">
        <is>
          <t>Total (Итого) investment</t>
        </is>
      </c>
      <c r="D18" s="26" t="n">
        <v>1250</v>
      </c>
      <c r="E18" s="22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>
      <c r="B19" s="22" t="n">
        <v>11</v>
      </c>
      <c r="C19" s="23" t="inlineStr">
        <is>
          <t>Total (Итого) content budget (бюджет) (5 фильмов + 2 сериала)</t>
        </is>
      </c>
      <c r="D19" s="26" t="n">
        <v>1850</v>
      </c>
      <c r="E19" s="22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>
      <c r="B20" s="22" t="n">
        <v>12</v>
      </c>
      <c r="C20" s="23" t="inlineStr">
        <is>
          <t>Target revenue 2026–2028 Base (Базовый)</t>
        </is>
      </c>
      <c r="D20" s="26" t="n">
        <v>4545</v>
      </c>
      <c r="E20" s="22" t="inlineStr">
        <is>
          <t>млн ₽</t>
        </is>
      </c>
      <c r="F20" s="25" t="inlineStr">
        <is>
          <t>7 проектов × 649.29 млн средняя</t>
        </is>
      </c>
    </row>
    <row r="21" ht="18" customHeight="1">
      <c r="B21" s="22" t="n">
        <v>13</v>
      </c>
      <c r="C21" s="23" t="inlineStr">
        <is>
          <t>Target Net Profit (Чистая прибыль) 2026–2028</t>
        </is>
      </c>
      <c r="D21" s="26" t="n">
        <v>2280</v>
      </c>
      <c r="E21" s="22" t="inlineStr">
        <is>
          <t>млн ₽</t>
        </is>
      </c>
      <c r="F21" s="25" t="inlineStr">
        <is>
          <t>после налога 20%</t>
        </is>
      </c>
    </row>
    <row r="22" ht="18" customHeight="1">
      <c r="B22" s="22" t="n">
        <v>14</v>
      </c>
      <c r="C22" s="23" t="inlineStr">
        <is>
          <t>Количество проектов в портфеле</t>
        </is>
      </c>
      <c r="D22" s="27" t="n">
        <v>7</v>
      </c>
      <c r="E22" s="22" t="inlineStr">
        <is>
          <t>шт</t>
        </is>
      </c>
      <c r="F22" s="25" t="inlineStr">
        <is>
          <t>Холдинг Кино.xlsx / модель</t>
        </is>
      </c>
    </row>
    <row r="23" ht="18" customHeight="1">
      <c r="B23" s="22" t="n">
        <v>15</v>
      </c>
      <c r="C23" s="23" t="inlineStr">
        <is>
          <t>Средний бюджет проекта</t>
        </is>
      </c>
      <c r="D23" s="26" t="n">
        <v>264.3</v>
      </c>
      <c r="E23" s="22" t="inlineStr">
        <is>
          <t>млн ₽</t>
        </is>
      </c>
      <c r="F23" s="25" t="inlineStr">
        <is>
          <t>1850 / 7</t>
        </is>
      </c>
    </row>
    <row r="25" ht="20" customHeight="1">
      <c r="B25" s="14" t="inlineStr">
        <is>
          <t>C. РАСПИСАНИЕ ТРАНШЕЙ (T₁ Legacy (Базовый вариант))</t>
        </is>
      </c>
    </row>
    <row r="26" ht="18" customHeight="1">
      <c r="B26" s="22" t="n">
        <v>16</v>
      </c>
      <c r="C26" s="23" t="inlineStr">
        <is>
          <t>Транш 1 (Q1 2026), % от total</t>
        </is>
      </c>
      <c r="D26" s="24" t="n">
        <v>0.2</v>
      </c>
      <c r="E26" s="22" t="inlineStr">
        <is>
          <t>%</t>
        </is>
      </c>
      <c r="F26" s="25" t="inlineStr">
        <is>
          <t>250 млн ₽</t>
        </is>
      </c>
    </row>
    <row r="27" ht="18" customHeight="1">
      <c r="B27" s="22" t="n">
        <v>17</v>
      </c>
      <c r="C27" s="23" t="inlineStr">
        <is>
          <t>Транш 2 (Q2 2026), % от total</t>
        </is>
      </c>
      <c r="D27" s="24" t="n">
        <v>0.28</v>
      </c>
      <c r="E27" s="22" t="inlineStr">
        <is>
          <t>%</t>
        </is>
      </c>
      <c r="F27" s="25" t="inlineStr">
        <is>
          <t>350 млн ₽</t>
        </is>
      </c>
    </row>
    <row r="28" ht="18" customHeight="1">
      <c r="B28" s="22" t="n">
        <v>18</v>
      </c>
      <c r="C28" s="23" t="inlineStr">
        <is>
          <t>Транш 3 (Q3 2026), % от total</t>
        </is>
      </c>
      <c r="D28" s="24" t="n">
        <v>0.28</v>
      </c>
      <c r="E28" s="22" t="inlineStr">
        <is>
          <t>%</t>
        </is>
      </c>
      <c r="F28" s="25" t="inlineStr">
        <is>
          <t>350 млн ₽</t>
        </is>
      </c>
    </row>
    <row r="29" ht="18" customHeight="1">
      <c r="B29" s="22" t="n">
        <v>19</v>
      </c>
      <c r="C29" s="23" t="inlineStr">
        <is>
          <t>Транш 4 (Q4 2026), % от total</t>
        </is>
      </c>
      <c r="D29" s="24" t="n">
        <v>0.24</v>
      </c>
      <c r="E29" s="22" t="inlineStr">
        <is>
          <t>%</t>
        </is>
      </c>
      <c r="F29" s="25" t="inlineStr">
        <is>
          <t>300 млн ₽</t>
        </is>
      </c>
    </row>
    <row r="31" ht="20" customHeight="1">
      <c r="B31" s="14" t="inlineStr">
        <is>
          <t>D. АЛЬТЕРНАТИВНЫЙ ТИКЕТ (T₂ New Deal)</t>
        </is>
      </c>
    </row>
    <row r="32" ht="18" customHeight="1">
      <c r="B32" s="22" t="n">
        <v>20</v>
      </c>
      <c r="C32" s="23" t="inlineStr">
        <is>
          <t>Базовый тикет (New)</t>
        </is>
      </c>
      <c r="D32" s="26" t="n">
        <v>500</v>
      </c>
      <c r="E32" s="22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>
      <c r="B33" s="22" t="n">
        <v>21</v>
      </c>
      <c r="C33" s="23" t="inlineStr">
        <is>
          <t>Базовая доля (New)</t>
        </is>
      </c>
      <c r="D33" s="24" t="n">
        <v>0.2</v>
      </c>
      <c r="E33" s="22" t="inlineStr">
        <is>
          <t>%</t>
        </is>
      </c>
      <c r="F33" s="25" t="inlineStr">
        <is>
          <t>20%, диапазон 10–30%</t>
        </is>
      </c>
    </row>
    <row r="34" ht="18" customHeight="1">
      <c r="B34" s="22" t="n">
        <v>22</v>
      </c>
      <c r="C34" s="23" t="inlineStr">
        <is>
          <t>Pre-money valuation (базовый)</t>
        </is>
      </c>
      <c r="D34" s="26" t="n">
        <v>2000</v>
      </c>
      <c r="E34" s="22" t="inlineStr">
        <is>
          <t>млн ₽</t>
        </is>
      </c>
      <c r="F34" s="25" t="inlineStr">
        <is>
          <t>500 / 20% - 500</t>
        </is>
      </c>
    </row>
    <row r="35" ht="18" customHeight="1">
      <c r="B35" s="22" t="n">
        <v>23</v>
      </c>
      <c r="C35" s="23" t="inlineStr">
        <is>
          <t>Post-money valuation (базовый)</t>
        </is>
      </c>
      <c r="D35" s="26" t="n">
        <v>2500</v>
      </c>
      <c r="E35" s="22" t="inlineStr">
        <is>
          <t>млн ₽</t>
        </is>
      </c>
      <c r="F35" s="25" t="inlineStr">
        <is>
          <t>pre-money (доинвестиц.) + 500</t>
        </is>
      </c>
    </row>
    <row r="36" ht="18" customHeight="1">
      <c r="B36" s="22" t="n">
        <v>24</v>
      </c>
      <c r="C36" s="23" t="inlineStr">
        <is>
          <t>Coupon (Купон)</t>
        </is>
      </c>
      <c r="D36" s="24" t="n">
        <v>0.08</v>
      </c>
      <c r="E36" s="22" t="inlineStr">
        <is>
          <t>%</t>
        </is>
      </c>
      <c r="F36" s="25" t="inlineStr">
        <is>
          <t>8% годовых</t>
        </is>
      </c>
    </row>
    <row r="38" ht="20" customHeight="1">
      <c r="B38" s="14" t="inlineStr">
        <is>
          <t>E. РАСПРЕДЕЛЕНИЕ ПРИБЫЛИ (Waterfall (Каскад) — 4 варианта)</t>
        </is>
      </c>
    </row>
    <row r="39" ht="18" customHeight="1">
      <c r="B39" s="22" t="n">
        <v>25</v>
      </c>
      <c r="C39" s="23" t="inlineStr">
        <is>
          <t>W₁ Инвестор фаза I</t>
        </is>
      </c>
      <c r="D39" s="24" t="n">
        <v>0.6</v>
      </c>
      <c r="E39" s="22" t="inlineStr">
        <is>
          <t>%</t>
        </is>
      </c>
      <c r="F39" s="25" t="inlineStr">
        <is>
          <t>Legacy (Базовый вариант) 60/40</t>
        </is>
      </c>
    </row>
    <row r="40" ht="18" customHeight="1">
      <c r="B40" s="22" t="n">
        <v>26</v>
      </c>
      <c r="C40" s="23" t="inlineStr">
        <is>
          <t>W₁ Продюсер фаза I</t>
        </is>
      </c>
      <c r="D40" s="24" t="n">
        <v>0.4</v>
      </c>
      <c r="E40" s="22" t="inlineStr">
        <is>
          <t>%</t>
        </is>
      </c>
      <c r="F40" s="25" t="inlineStr">
        <is>
          <t>Legacy (Базовый вариант) 60/40</t>
        </is>
      </c>
    </row>
    <row r="41" ht="18" customHeight="1">
      <c r="B41" s="22" t="n">
        <v>27</v>
      </c>
      <c r="C41" s="23" t="inlineStr">
        <is>
          <t>W₁ Инвестор фаза II</t>
        </is>
      </c>
      <c r="D41" s="24" t="n">
        <v>0.5</v>
      </c>
      <c r="E41" s="22" t="inlineStr">
        <is>
          <t>%</t>
        </is>
      </c>
      <c r="F41" s="25" t="inlineStr">
        <is>
          <t>Legacy (Базовый вариант) 50/50</t>
        </is>
      </c>
    </row>
    <row r="42" ht="18" customHeight="1">
      <c r="B42" s="22" t="n">
        <v>28</v>
      </c>
      <c r="C42" s="23" t="inlineStr">
        <is>
          <t>W₁ Продюсер фаза II</t>
        </is>
      </c>
      <c r="D42" s="24" t="n">
        <v>0.5</v>
      </c>
      <c r="E42" s="22" t="inlineStr">
        <is>
          <t>%</t>
        </is>
      </c>
      <c r="F42" s="25" t="inlineStr">
        <is>
          <t>Legacy (Базовый вариант) 50/50</t>
        </is>
      </c>
    </row>
    <row r="43" ht="18" customHeight="1">
      <c r="B43" s="22" t="n">
        <v>29</v>
      </c>
      <c r="C43" s="23" t="inlineStr">
        <is>
          <t>W₂ Pro-rata по долям</t>
        </is>
      </c>
      <c r="D43" s="24" t="n">
        <v>0.8</v>
      </c>
      <c r="E43" s="22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>
      <c r="B44" s="22" t="n">
        <v>30</v>
      </c>
      <c r="C44" s="23" t="inlineStr">
        <is>
          <t>W₃ 1× liquidation preference (ликвидационная привилегия)</t>
        </is>
      </c>
      <c r="D44" s="28" t="n">
        <v>1</v>
      </c>
      <c r="E44" s="22" t="inlineStr">
        <is>
          <t>×</t>
        </is>
      </c>
      <c r="F44" s="25" t="inlineStr">
        <is>
          <t>Возврат инвестиций первыми</t>
        </is>
      </c>
    </row>
    <row r="45" ht="18" customHeight="1">
      <c r="B45" s="22" t="n">
        <v>31</v>
      </c>
      <c r="C45" s="23" t="inlineStr">
        <is>
          <t>W₃ Доля участия</t>
        </is>
      </c>
      <c r="D45" s="28" t="n">
        <v>1</v>
      </c>
      <c r="E45" s="22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206" t="inlineStr">
        <is>
          <t>31a</t>
        </is>
      </c>
      <c r="C46" s="206" t="inlineStr">
        <is>
          <t>W₄ 1× liquidation preference (ликвидационная привилегия)</t>
        </is>
      </c>
      <c r="D46" s="525" t="n">
        <v>1</v>
      </c>
      <c r="E46" s="206" t="inlineStr">
        <is>
          <t>×</t>
        </is>
      </c>
      <c r="F46" s="159" t="inlineStr">
        <is>
          <t>Возврат инвестиций первыми</t>
        </is>
      </c>
    </row>
    <row r="47" ht="20" customHeight="1">
      <c r="B47" s="206" t="inlineStr">
        <is>
          <t>31b</t>
        </is>
      </c>
      <c r="C47" s="206" t="inlineStr">
        <is>
          <t>W₄ Preferred return (Привилегированная доходность) rate</t>
        </is>
      </c>
      <c r="D47" s="526" t="n">
        <v>0.12</v>
      </c>
      <c r="E47" s="206" t="inlineStr">
        <is>
          <t>%</t>
        </is>
      </c>
      <c r="F47" s="159" t="inlineStr">
        <is>
          <t>12% annual (годовой) × 5y cumulative</t>
        </is>
      </c>
    </row>
    <row r="48" ht="18" customHeight="1">
      <c r="B48" s="206" t="inlineStr">
        <is>
          <t>31c</t>
        </is>
      </c>
      <c r="C48" s="206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206" t="inlineStr">
        <is>
          <t>years (лет)</t>
        </is>
      </c>
      <c r="F48" s="159" t="inlineStr">
        <is>
          <t>Накопление купона до exit</t>
        </is>
      </c>
    </row>
    <row r="49" ht="18" customHeight="1">
      <c r="B49" s="206" t="inlineStr">
        <is>
          <t>31d</t>
        </is>
      </c>
      <c r="C49" s="206" t="inlineStr">
        <is>
          <t>W₄ Carry split (разделение) investor</t>
        </is>
      </c>
      <c r="D49" s="526" t="n">
        <v>0.65</v>
      </c>
      <c r="E49" s="206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>
      <c r="B50" s="206" t="inlineStr">
        <is>
          <t>31e</t>
        </is>
      </c>
      <c r="C50" s="206" t="inlineStr">
        <is>
          <t>W₄ Carry split (разделение) producer</t>
        </is>
      </c>
      <c r="D50" s="526" t="n">
        <v>0.35</v>
      </c>
      <c r="E50" s="206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>
      <c r="B51" s="206" t="inlineStr">
        <is>
          <t>31f</t>
        </is>
      </c>
      <c r="C51" s="206" t="inlineStr">
        <is>
          <t>W₄ Exit multiple (Мультипликатор выхода) (EV/EBITDA)</t>
        </is>
      </c>
      <c r="D51" s="525" t="n">
        <v>6</v>
      </c>
      <c r="E51" s="206" t="inlineStr">
        <is>
          <t>×</t>
        </is>
      </c>
      <c r="F51" s="159" t="inlineStr">
        <is>
          <t>Premium (Премия) к базовым 5×</t>
        </is>
      </c>
    </row>
    <row r="52" ht="18" customHeight="1">
      <c r="B52" s="206" t="inlineStr">
        <is>
          <t>31g</t>
        </is>
      </c>
      <c r="C52" s="206" t="inlineStr">
        <is>
          <t>W₄ LP (ограниченный партнёр) equity (доля в капитале) allocation</t>
        </is>
      </c>
      <c r="D52" s="526" t="n">
        <v>0.25</v>
      </c>
      <c r="E52" s="206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>
      <c r="B53" s="206" t="inlineStr">
        <is>
          <t>31h</t>
        </is>
      </c>
      <c r="C53" s="206" t="inlineStr">
        <is>
          <t>Target IRR (внутренняя норма доходности) W₄ Base (Базовый)</t>
        </is>
      </c>
      <c r="D53" s="526" t="n">
        <v>0.198</v>
      </c>
      <c r="E53" s="206" t="inlineStr">
        <is>
          <t>%</t>
        </is>
      </c>
      <c r="F53" s="159" t="inlineStr">
        <is>
          <t>~19.8% (расчёт в 24_Investor_Returns)</t>
        </is>
      </c>
    </row>
    <row r="54" ht="18" customHeight="1"/>
    <row r="55" ht="18" customHeight="1">
      <c r="B55" s="14" t="inlineStr">
        <is>
          <t>F. СТРУКТУРА ВЫРУЧКИ (% от average revenue)</t>
        </is>
      </c>
    </row>
    <row r="56">
      <c r="B56" s="22" t="n">
        <v>32</v>
      </c>
      <c r="C56" s="23" t="inlineStr">
        <is>
          <t>Box Office (Кассовые сборы)</t>
        </is>
      </c>
      <c r="D56" s="24" t="n">
        <v>0.38</v>
      </c>
      <c r="E56" s="22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>
      <c r="B57" s="22" t="n">
        <v>33</v>
      </c>
      <c r="C57" s="40" t="n"/>
      <c r="D57" s="40" t="n"/>
      <c r="E57" s="40" t="n"/>
      <c r="F57" s="41" t="n"/>
    </row>
    <row r="58" ht="18" customHeight="1">
      <c r="B58" s="22" t="n">
        <v>34</v>
      </c>
      <c r="C58" s="23" t="inlineStr">
        <is>
          <t>TV (телевидение) rights</t>
        </is>
      </c>
      <c r="D58" s="24" t="n">
        <v>0.12</v>
      </c>
      <c r="E58" s="22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>
      <c r="B59" s="22" t="n">
        <v>35</v>
      </c>
      <c r="C59" s="23" t="inlineStr">
        <is>
          <t>Международные продажи</t>
        </is>
      </c>
      <c r="D59" s="24" t="n">
        <v>0.1</v>
      </c>
      <c r="E59" s="22" t="inlineStr">
        <is>
          <t>%</t>
        </is>
      </c>
      <c r="F59" s="25" t="inlineStr">
        <is>
          <t>СНГ + BRICS, 30–500 млн</t>
        </is>
      </c>
    </row>
    <row r="60" ht="18" customHeight="1">
      <c r="B60" s="22" t="n">
        <v>36</v>
      </c>
      <c r="C60" s="23" t="inlineStr">
        <is>
          <t>VOD (транзакционный)</t>
        </is>
      </c>
      <c r="D60" s="24" t="n">
        <v>0.04</v>
      </c>
      <c r="E60" s="22" t="inlineStr">
        <is>
          <t>%</t>
        </is>
      </c>
      <c r="F60" s="25" t="inlineStr">
        <is>
          <t>20–100 млн</t>
        </is>
      </c>
    </row>
    <row r="61" ht="18" customHeight="1">
      <c r="B61" s="22" t="n">
        <v>37</v>
      </c>
      <c r="C61" s="23" t="inlineStr">
        <is>
          <t>Спонсорство / продакт-плейсмент (Спонсорство / продакт-плейсмент)</t>
        </is>
      </c>
      <c r="D61" s="24" t="n">
        <v>0.04</v>
      </c>
      <c r="E61" s="22" t="inlineStr">
        <is>
          <t>%</t>
        </is>
      </c>
      <c r="F61" s="25" t="inlineStr">
        <is>
          <t>15–120 млн</t>
        </is>
      </c>
    </row>
    <row r="62" ht="18" customHeight="1">
      <c r="B62" s="22" t="n">
        <v>38</v>
      </c>
      <c r="C62" s="23" t="inlineStr">
        <is>
          <t>Мерчандайзинг</t>
        </is>
      </c>
      <c r="D62" s="24" t="n">
        <v>0.01</v>
      </c>
      <c r="E62" s="22" t="inlineStr">
        <is>
          <t>%</t>
        </is>
      </c>
      <c r="F62" s="25" t="inlineStr">
        <is>
          <t>5–50 млн</t>
        </is>
      </c>
    </row>
    <row r="63" ht="18" customHeight="1">
      <c r="B63" s="22" t="n">
        <v>39</v>
      </c>
      <c r="C63" s="23" t="inlineStr">
        <is>
          <t>Господдержка (грант + невозвр.)</t>
        </is>
      </c>
      <c r="D63" s="24" t="n">
        <v>0.03</v>
      </c>
      <c r="E63" s="22" t="inlineStr">
        <is>
          <t>%</t>
        </is>
      </c>
      <c r="F63" s="25" t="inlineStr">
        <is>
          <t>Фонд кино + Минкульт, 25% бюджета</t>
        </is>
      </c>
    </row>
    <row r="64" ht="18" customHeight="1"/>
    <row r="65">
      <c r="B65" s="14" t="inlineStr">
        <is>
          <t>G. ГОСПОДДЕРЖКА (State Support, Base (Базовый))</t>
        </is>
      </c>
    </row>
    <row r="66" ht="20" customHeight="1">
      <c r="B66" s="22" t="n">
        <v>40</v>
      </c>
      <c r="C66" s="40" t="n"/>
      <c r="D66" s="40" t="n"/>
      <c r="E66" s="40" t="n"/>
      <c r="F66" s="41" t="n"/>
    </row>
    <row r="67" ht="18" customHeight="1">
      <c r="B67" s="22" t="n">
        <v>41</v>
      </c>
      <c r="C67" s="23" t="inlineStr">
        <is>
          <t>Доля господдержки (Min)</t>
        </is>
      </c>
      <c r="D67" s="24" t="n">
        <v>0</v>
      </c>
      <c r="E67" s="22" t="inlineStr">
        <is>
          <t>%</t>
        </is>
      </c>
      <c r="F67" s="25" t="inlineStr">
        <is>
          <t>Sensitivity (Чувствительность) lower bound</t>
        </is>
      </c>
    </row>
    <row r="68" ht="18" customHeight="1">
      <c r="B68" s="22" t="n">
        <v>42</v>
      </c>
      <c r="C68" s="23" t="inlineStr">
        <is>
          <t>Доля господдержки (Max)</t>
        </is>
      </c>
      <c r="D68" s="24" t="n">
        <v>0.35</v>
      </c>
      <c r="E68" s="22" t="inlineStr">
        <is>
          <t>%</t>
        </is>
      </c>
      <c r="F68" s="25" t="inlineStr">
        <is>
          <t>Sensitivity (Чувствительность) upper bound</t>
        </is>
      </c>
    </row>
    <row r="69" ht="18" customHeight="1">
      <c r="B69" s="22" t="n">
        <v>43</v>
      </c>
      <c r="C69" s="23" t="inlineStr">
        <is>
          <t>Из них: Фонд кино (%)</t>
        </is>
      </c>
      <c r="D69" s="24" t="n">
        <v>0.6</v>
      </c>
      <c r="E69" s="22" t="inlineStr">
        <is>
          <t>%</t>
        </is>
      </c>
      <c r="F69" s="25" t="inlineStr">
        <is>
          <t>Самый значимый источник</t>
        </is>
      </c>
    </row>
    <row r="70" ht="18" customHeight="1">
      <c r="B70" s="22" t="n">
        <v>44</v>
      </c>
      <c r="C70" s="23" t="inlineStr">
        <is>
          <t>Из них: Минкульт (%)</t>
        </is>
      </c>
      <c r="D70" s="24" t="n">
        <v>0.25</v>
      </c>
      <c r="E70" s="22" t="inlineStr">
        <is>
          <t>%</t>
        </is>
      </c>
      <c r="F70" s="25" t="inlineStr">
        <is>
          <t>Невозвратные гранты</t>
        </is>
      </c>
    </row>
    <row r="71" ht="18" customHeight="1">
      <c r="B71" s="22" t="n">
        <v>45</v>
      </c>
      <c r="C71" s="23" t="inlineStr">
        <is>
          <t>Из них: ИРИ (%)</t>
        </is>
      </c>
      <c r="D71" s="24" t="n">
        <v>0.15</v>
      </c>
      <c r="E71" s="22" t="inlineStr">
        <is>
          <t>%</t>
        </is>
      </c>
      <c r="F71" s="25" t="inlineStr">
        <is>
          <t>Интернет-контент/цифровизация</t>
        </is>
      </c>
    </row>
    <row r="72" ht="18" customHeight="1">
      <c r="B72" s="22" t="n">
        <v>46</v>
      </c>
      <c r="C72" s="23" t="inlineStr">
        <is>
          <t>Безвозвратная часть (% от господдержки)</t>
        </is>
      </c>
      <c r="D72" s="24" t="n">
        <v>0.7</v>
      </c>
      <c r="E72" s="22" t="inlineStr">
        <is>
          <t>%</t>
        </is>
      </c>
      <c r="F72" s="25" t="inlineStr">
        <is>
          <t>Грант или заём</t>
        </is>
      </c>
    </row>
    <row r="74" ht="20" customHeight="1">
      <c r="B74" s="14" t="inlineStr">
        <is>
          <t>H. FOT (фонд оплаты труда) / ШТАТ (Модель A₁ Fixed (Фиксированный), Холдинг Кино.xlsx)</t>
        </is>
      </c>
    </row>
    <row r="75" ht="18" customHeight="1">
      <c r="B75" s="22" t="n">
        <v>47</v>
      </c>
      <c r="C75" s="23" t="inlineStr">
        <is>
          <t>Штат (фиксированный)</t>
        </is>
      </c>
      <c r="D75" s="27" t="n">
        <v>50</v>
      </c>
      <c r="E75" s="22" t="inlineStr">
        <is>
          <t>чел</t>
        </is>
      </c>
      <c r="F75" s="25" t="inlineStr">
        <is>
          <t>Оригинальная структура</t>
        </is>
      </c>
    </row>
    <row r="76" ht="18" customHeight="1">
      <c r="B76" s="22" t="n">
        <v>48</v>
      </c>
      <c r="C76" s="23" t="inlineStr">
        <is>
          <t>ФОТ gross</t>
        </is>
      </c>
      <c r="D76" s="29" t="n">
        <v>4740000</v>
      </c>
      <c r="E76" s="22" t="inlineStr">
        <is>
          <t>₽/мес</t>
        </is>
      </c>
      <c r="F76" s="25" t="inlineStr">
        <is>
          <t>До страховых</t>
        </is>
      </c>
    </row>
    <row r="77" ht="18" customHeight="1">
      <c r="B77" s="22" t="n">
        <v>49</v>
      </c>
      <c r="C77" s="23" t="inlineStr">
        <is>
          <t>Страховые взносы (30%)</t>
        </is>
      </c>
      <c r="D77" s="29" t="n">
        <v>1422000</v>
      </c>
      <c r="E77" s="22" t="inlineStr">
        <is>
          <t>₽/мес</t>
        </is>
      </c>
      <c r="F77" s="25" t="inlineStr">
        <is>
          <t>ПФР+ФОМС+ФСС</t>
        </is>
      </c>
    </row>
    <row r="78" ht="18" customHeight="1">
      <c r="B78" s="22" t="n">
        <v>50</v>
      </c>
      <c r="C78" s="23" t="inlineStr">
        <is>
          <t>ФОТ с налогами (месячный)</t>
        </is>
      </c>
      <c r="D78" s="29" t="n">
        <v>6162000</v>
      </c>
      <c r="E78" s="22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>
      <c r="B79" s="22" t="n">
        <v>51</v>
      </c>
      <c r="C79" s="23" t="inlineStr">
        <is>
          <t>ФОТ годовой (A₁ fixed)</t>
        </is>
      </c>
      <c r="D79" s="26" t="n">
        <v>73.944</v>
      </c>
      <c r="E79" s="22" t="inlineStr">
        <is>
          <t>млн ₽</t>
        </is>
      </c>
      <c r="F79" s="25" t="inlineStr">
        <is>
          <t>× 12 мес</t>
        </is>
      </c>
    </row>
    <row r="80">
      <c r="B80" s="22" t="n">
        <v>52</v>
      </c>
      <c r="C80" s="23" t="inlineStr">
        <is>
          <t>ФОТ за 3 года (A₁ fixed)</t>
        </is>
      </c>
      <c r="D80" s="26" t="n">
        <v>221.832</v>
      </c>
      <c r="E80" s="22" t="inlineStr">
        <is>
          <t>млн ₽</t>
        </is>
      </c>
      <c r="F80" s="25" t="inlineStr">
        <is>
          <t>× 36 мес, без индексации</t>
        </is>
      </c>
    </row>
    <row r="81" ht="20" customHeight="1"/>
    <row r="82" ht="18" customHeight="1">
      <c r="B82" s="14" t="inlineStr">
        <is>
          <t>I. FOT (фонд оплаты труда) / ШТАТ (Модель A₂ Full Dynamic (Динамический))</t>
        </is>
      </c>
    </row>
    <row r="83" ht="18" customHeight="1">
      <c r="B83" s="22" t="n">
        <v>53</v>
      </c>
      <c r="C83" s="23" t="inlineStr">
        <is>
          <t>Штат 2026</t>
        </is>
      </c>
      <c r="D83" s="27" t="n">
        <v>50</v>
      </c>
      <c r="E83" s="22" t="inlineStr">
        <is>
          <t>чел</t>
        </is>
      </c>
      <c r="F83" s="25" t="inlineStr">
        <is>
          <t>Базовый</t>
        </is>
      </c>
    </row>
    <row r="84" ht="18" customHeight="1">
      <c r="B84" s="22" t="n">
        <v>54</v>
      </c>
      <c r="C84" s="23" t="inlineStr">
        <is>
          <t>Штат 2027</t>
        </is>
      </c>
      <c r="D84" s="27" t="n">
        <v>60</v>
      </c>
      <c r="E84" s="22" t="inlineStr">
        <is>
          <t>чел</t>
        </is>
      </c>
      <c r="F84" s="25" t="inlineStr">
        <is>
          <t>+10 (расширение)</t>
        </is>
      </c>
    </row>
    <row r="85" ht="18" customHeight="1">
      <c r="B85" s="22" t="n">
        <v>55</v>
      </c>
      <c r="C85" s="23" t="inlineStr">
        <is>
          <t>Штат 2028</t>
        </is>
      </c>
      <c r="D85" s="27" t="n">
        <v>70</v>
      </c>
      <c r="E85" s="22" t="inlineStr">
        <is>
          <t>чел</t>
        </is>
      </c>
      <c r="F85" s="25" t="inlineStr">
        <is>
          <t>+10 (пре-IPO команда)</t>
        </is>
      </c>
    </row>
    <row r="86" ht="18" customHeight="1">
      <c r="B86" s="22" t="n">
        <v>56</v>
      </c>
      <c r="C86" s="23" t="inlineStr">
        <is>
          <t>Индексация окладов (годовая)</t>
        </is>
      </c>
      <c r="D86" s="24" t="n">
        <v>0.07000000000000001</v>
      </c>
      <c r="E86" s="22" t="inlineStr">
        <is>
          <t>%</t>
        </is>
      </c>
      <c r="F86" s="25" t="inlineStr">
        <is>
          <t>CPI + премия, 7%</t>
        </is>
      </c>
    </row>
    <row r="87">
      <c r="B87" s="22" t="n">
        <v>57</v>
      </c>
      <c r="C87" s="23" t="inlineStr">
        <is>
          <t>Премиальный фонд (% от ФОТ)</t>
        </is>
      </c>
      <c r="D87" s="24" t="n">
        <v>0.15</v>
      </c>
      <c r="E87" s="22" t="inlineStr">
        <is>
          <t>%</t>
        </is>
      </c>
      <c r="F87" s="25" t="inlineStr">
        <is>
          <t>KPI (ключевые показатели)-bonus</t>
        </is>
      </c>
    </row>
    <row r="88" ht="20" customHeight="1"/>
    <row r="89" ht="18" customHeight="1">
      <c r="B89" s="14" t="inlineStr">
        <is>
          <t>J. OPEX (Операционные расходы)</t>
        </is>
      </c>
    </row>
    <row r="90" ht="18" customHeight="1">
      <c r="B90" s="22" t="n">
        <v>58</v>
      </c>
      <c r="C90" s="23" t="inlineStr">
        <is>
          <t>Аренда офиса (годовая)</t>
        </is>
      </c>
      <c r="D90" s="26" t="n">
        <v>8.25</v>
      </c>
      <c r="E90" s="22" t="inlineStr">
        <is>
          <t>млн ₽</t>
        </is>
      </c>
      <c r="F90" s="25" t="inlineStr">
        <is>
          <t>750 м² × 11000 × 12 / 12 мес</t>
        </is>
      </c>
    </row>
    <row r="91" ht="18" customHeight="1">
      <c r="B91" s="22" t="n">
        <v>59</v>
      </c>
      <c r="C91" s="23" t="inlineStr">
        <is>
          <t>Коммунальные платежи</t>
        </is>
      </c>
      <c r="D91" s="26" t="n">
        <v>0.396</v>
      </c>
      <c r="E91" s="22" t="inlineStr">
        <is>
          <t>млн ₽</t>
        </is>
      </c>
      <c r="F91" s="25" t="inlineStr">
        <is>
          <t>33 т.р./мес × 12</t>
        </is>
      </c>
    </row>
    <row r="92" ht="18" customHeight="1">
      <c r="B92" s="22" t="n">
        <v>60</v>
      </c>
      <c r="C92" s="23" t="inlineStr">
        <is>
          <t>Прочие OPEX (Операционные расходы)</t>
        </is>
      </c>
      <c r="D92" s="26" t="n">
        <v>5.916</v>
      </c>
      <c r="E92" s="22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>
      <c r="B93" s="22" t="n">
        <v>61</v>
      </c>
      <c r="C93" s="23" t="inlineStr">
        <is>
          <t>Итого OPEX (Операционные расходы) без ФОТ (годовой)</t>
        </is>
      </c>
      <c r="D93" s="26" t="n">
        <v>14.562</v>
      </c>
      <c r="E93" s="22" t="inlineStr">
        <is>
          <t>млн ₽</t>
        </is>
      </c>
      <c r="F93" s="25" t="inlineStr">
        <is>
          <t>Аренда + ком + прочие</t>
        </is>
      </c>
    </row>
    <row r="94">
      <c r="B94" s="22" t="n">
        <v>62</v>
      </c>
      <c r="C94" s="23" t="inlineStr">
        <is>
          <t>Итого OPEX (Операционные расходы) с ФОТ A₁ (годовой)</t>
        </is>
      </c>
      <c r="D94" s="26" t="n">
        <v>88.506</v>
      </c>
      <c r="E94" s="22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/>
    <row r="96" ht="18" customHeight="1">
      <c r="B96" s="14" t="inlineStr">
        <is>
          <t>K. COGS (себестоимость) / ПРОИЗВОДСТВО</t>
        </is>
      </c>
    </row>
    <row r="97" ht="18" customHeight="1">
      <c r="B97" s="22" t="n">
        <v>63</v>
      </c>
      <c r="C97" s="23" t="inlineStr">
        <is>
          <t>Total (Итого) content budget (бюджет)</t>
        </is>
      </c>
      <c r="D97" s="26" t="n">
        <v>1850</v>
      </c>
      <c r="E97" s="22" t="inlineStr">
        <is>
          <t>млн ₽</t>
        </is>
      </c>
      <c r="F97" s="25" t="inlineStr">
        <is>
          <t>Бюджет 5 фильмов + 2 сериалов</t>
        </is>
      </c>
    </row>
    <row r="98" ht="18" customHeight="1">
      <c r="B98" s="22" t="n">
        <v>64</v>
      </c>
      <c r="C98" s="23" t="inlineStr">
        <is>
          <t>Средний бюджет 1 проекта</t>
        </is>
      </c>
      <c r="D98" s="26" t="n">
        <v>264.3</v>
      </c>
      <c r="E98" s="22" t="inlineStr">
        <is>
          <t>млн ₽</t>
        </is>
      </c>
      <c r="F98" s="25" t="inlineStr">
        <is>
          <t>1850 / 7</t>
        </is>
      </c>
    </row>
    <row r="99" ht="18" customHeight="1">
      <c r="B99" s="22" t="n">
        <v>65</v>
      </c>
      <c r="C99" s="23" t="inlineStr">
        <is>
          <t>Производственный цикл (мес)</t>
        </is>
      </c>
      <c r="D99" s="27" t="n">
        <v>18</v>
      </c>
      <c r="E99" s="22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>
      <c r="B100" s="22" t="n">
        <v>66</v>
      </c>
      <c r="C100" s="23" t="inlineStr">
        <is>
          <t>Amortization (Амортизация) пленки (мес после релиза)</t>
        </is>
      </c>
      <c r="D100" s="27" t="n">
        <v>12</v>
      </c>
      <c r="E100" s="22" t="inlineStr">
        <is>
          <t>мес</t>
        </is>
      </c>
      <c r="F100" s="25" t="inlineStr">
        <is>
          <t>Линейная амортизация 12 мес</t>
        </is>
      </c>
    </row>
    <row r="101">
      <c r="B101" s="22" t="n">
        <v>67</v>
      </c>
      <c r="C101" s="23" t="inlineStr">
        <is>
          <t>Маркетинг P&amp;A (тиражирование и реклама) (% от бюджета)</t>
        </is>
      </c>
      <c r="D101" s="24" t="n">
        <v>0.15</v>
      </c>
      <c r="E101" s="22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/>
    <row r="103" ht="18" customHeight="1">
      <c r="B103" s="14" t="inlineStr">
        <is>
          <t>L. ОБОРОТНЫЙ КАПИТАЛ</t>
        </is>
      </c>
    </row>
    <row r="104" ht="18" customHeight="1">
      <c r="B104" s="22" t="n">
        <v>68</v>
      </c>
      <c r="C104" s="23" t="inlineStr">
        <is>
          <t>DSO (дни дебиторки)</t>
        </is>
      </c>
      <c r="D104" s="27" t="n">
        <v>45</v>
      </c>
      <c r="E104" s="22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>
      <c r="B105" s="22" t="n">
        <v>69</v>
      </c>
      <c r="C105" s="23" t="inlineStr">
        <is>
          <t>DPO (дни кредиторки)</t>
        </is>
      </c>
      <c r="D105" s="27" t="n">
        <v>30</v>
      </c>
      <c r="E105" s="22" t="inlineStr">
        <is>
          <t>дн</t>
        </is>
      </c>
      <c r="F105" s="25" t="inlineStr">
        <is>
          <t>Кредиторка поставщикам</t>
        </is>
      </c>
    </row>
    <row r="106" ht="18" customHeight="1">
      <c r="B106" s="22" t="n">
        <v>70</v>
      </c>
      <c r="C106" s="23" t="inlineStr">
        <is>
          <t>DIO (дни запасов)</t>
        </is>
      </c>
      <c r="D106" s="27" t="n">
        <v>60</v>
      </c>
      <c r="E106" s="22" t="inlineStr">
        <is>
          <t>дн</t>
        </is>
      </c>
      <c r="F106" s="25" t="inlineStr">
        <is>
          <t>Незавершённое производство</t>
        </is>
      </c>
    </row>
    <row r="107" ht="18" customHeight="1">
      <c r="B107" s="22" t="n">
        <v>71</v>
      </c>
      <c r="C107" s="23" t="inlineStr">
        <is>
          <t>Cash (Денежные средства) Conversion Cycle</t>
        </is>
      </c>
      <c r="D107" s="27" t="n">
        <v>75</v>
      </c>
      <c r="E107" s="22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>
      <c r="B108" s="22" t="n">
        <v>72</v>
      </c>
      <c r="C108" s="23" t="inlineStr">
        <is>
          <t>Минимальный кассовый остаток</t>
        </is>
      </c>
      <c r="D108" s="26" t="n">
        <v>50</v>
      </c>
      <c r="E108" s="22" t="inlineStr">
        <is>
          <t>млн ₽</t>
        </is>
      </c>
      <c r="F108" s="25" t="inlineStr">
        <is>
          <t>Подушка безопасности</t>
        </is>
      </c>
    </row>
    <row r="109" ht="18" customHeight="1"/>
    <row r="110" ht="18" customHeight="1">
      <c r="B110" s="14" t="inlineStr">
        <is>
          <t>M. ВЫХОД / ОЦЕНКА</t>
        </is>
      </c>
    </row>
    <row r="111">
      <c r="B111" s="22" t="n">
        <v>73</v>
      </c>
      <c r="C111" s="23" t="inlineStr">
        <is>
          <t>EV/EBITDA Bear (Пессимистичный)</t>
        </is>
      </c>
      <c r="D111" s="28" t="n">
        <v>3</v>
      </c>
      <c r="E111" s="22" t="inlineStr">
        <is>
          <t>×</t>
        </is>
      </c>
      <c r="F111" s="25" t="inlineStr">
        <is>
          <t>Нижняя граница рос. медиа</t>
        </is>
      </c>
    </row>
    <row r="112" ht="22" customHeight="1">
      <c r="B112" s="22" t="n">
        <v>74</v>
      </c>
      <c r="C112" s="40" t="n"/>
      <c r="D112" s="40" t="n"/>
      <c r="E112" s="40" t="n"/>
      <c r="F112" s="41" t="n"/>
    </row>
    <row r="113">
      <c r="B113" s="22" t="n">
        <v>75</v>
      </c>
      <c r="C113" s="23" t="inlineStr">
        <is>
          <t>EV/EBITDA Bull (Оптимистичный)</t>
        </is>
      </c>
      <c r="D113" s="28" t="n">
        <v>7</v>
      </c>
      <c r="E113" s="22" t="inlineStr">
        <is>
          <t>×</t>
        </is>
      </c>
      <c r="F113" s="25" t="inlineStr">
        <is>
          <t>Russian media upper bound / premium (премия)</t>
        </is>
      </c>
    </row>
    <row r="114" ht="22" customHeight="1">
      <c r="B114" s="22" t="n">
        <v>76</v>
      </c>
      <c r="C114" s="40" t="n"/>
      <c r="D114" s="40" t="n"/>
      <c r="E114" s="41" t="n"/>
      <c r="F114" s="25" t="inlineStr">
        <is>
          <t>Q4 2028</t>
        </is>
      </c>
    </row>
    <row r="115" ht="36" customHeight="1">
      <c r="B115" s="22" t="n">
        <v>77</v>
      </c>
      <c r="C115" s="40" t="n"/>
      <c r="D115" s="40" t="n"/>
      <c r="E115" s="41" t="n"/>
      <c r="F115" s="25" t="inlineStr">
        <is>
          <t>Q4 2030</t>
        </is>
      </c>
    </row>
    <row r="116">
      <c r="B116" s="22" t="n">
        <v>78</v>
      </c>
      <c r="C116" s="23" t="inlineStr">
        <is>
          <t>Горизонт выхода 3 (Y7)</t>
        </is>
      </c>
      <c r="D116" s="27" t="n">
        <v>2032</v>
      </c>
      <c r="E116" s="22" t="inlineStr">
        <is>
          <t>год</t>
        </is>
      </c>
      <c r="F116" s="25" t="inlineStr">
        <is>
          <t>Q4 2032</t>
        </is>
      </c>
    </row>
    <row r="117" ht="18" customHeight="1">
      <c r="B117" s="22" t="n">
        <v>79</v>
      </c>
      <c r="C117" s="23" t="inlineStr">
        <is>
          <t>Target IRR (внутренняя норма доходности)</t>
        </is>
      </c>
      <c r="D117" s="24" t="n">
        <v>0.3</v>
      </c>
      <c r="E117" s="22" t="inlineStr">
        <is>
          <t>%</t>
        </is>
      </c>
      <c r="F117" s="25" t="inlineStr">
        <is>
          <t>30% minimum hurdle (порог) rate</t>
        </is>
      </c>
    </row>
    <row r="118" ht="20" customHeight="1">
      <c r="B118" s="22" t="n">
        <v>80</v>
      </c>
      <c r="C118" s="23" t="inlineStr">
        <is>
          <t>Target MOIC (мультипликатор вложенного капитала)</t>
        </is>
      </c>
      <c r="D118" s="28" t="n">
        <v>2.5</v>
      </c>
      <c r="E118" s="22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/>
    <row r="120" ht="20" customHeight="1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/>
    <row r="122" ht="20" customHeight="1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185" t="n"/>
    </row>
    <row r="123" ht="20" customHeight="1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145" t="inlineStr">
        <is>
          <t>#</t>
        </is>
      </c>
      <c r="C125" s="186" t="n"/>
      <c r="D125" s="186" t="n"/>
      <c r="E125" s="187" t="n"/>
    </row>
    <row r="126" ht="18" customHeight="1">
      <c r="B126" s="148" t="inlineStr">
        <is>
          <t>1</t>
        </is>
      </c>
      <c r="C126" s="147" t="inlineStr">
        <is>
          <t>EBITDA (прибыль до вычетов) GAAP, standard Σ 2026–2028</t>
        </is>
      </c>
      <c r="D126" s="151" t="n">
        <v>2152</v>
      </c>
      <c r="E126" s="152" t="inlineStr">
        <is>
          <t>Revenue (Выручка) 4545 − COGS (себестоимость) 2127.5 − OpEx 265.5</t>
        </is>
      </c>
    </row>
    <row r="127" ht="18" customHeight="1">
      <c r="B127" s="148" t="inlineStr">
        <is>
          <t>2</t>
        </is>
      </c>
      <c r="C127" s="147" t="inlineStr">
        <is>
          <t>(+) Add-back: Producer equity contribution (вклад продюсера в капитал)</t>
        </is>
      </c>
      <c r="D127" s="151" t="n">
        <v>600</v>
      </c>
      <c r="E127" s="152" t="inlineStr">
        <is>
          <t>Участие продюсера (off-P&amp;L minority interest / JV (совместное предприятие) capital (капитал))</t>
        </is>
      </c>
    </row>
    <row r="128" ht="18" customHeight="1">
      <c r="B128" s="148" t="inlineStr">
        <is>
          <t>3</t>
        </is>
      </c>
      <c r="C128" s="147" t="inlineStr">
        <is>
          <t>(+) Add-back: Working capital (капитал) release &amp; gov credit timing</t>
        </is>
      </c>
      <c r="D128" s="151" t="n">
        <v>248</v>
      </c>
      <c r="E128" s="152" t="inlineStr">
        <is>
          <t>Высвобождение WC и налоговый кредит за периметром P&amp;L</t>
        </is>
      </c>
    </row>
    <row r="129" ht="18" customHeight="1">
      <c r="B129" s="153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155" t="n">
        <v>3000</v>
      </c>
      <c r="E129" s="156" t="inlineStr">
        <is>
          <t>Cумма распределяемых cash flows к пайщикам</t>
        </is>
      </c>
    </row>
    <row r="130" ht="18" customHeight="1">
      <c r="B130" s="148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>
      <c r="B131" s="153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183" t="inlineStr">
        <is>
          <t>Под W₅ V-D: 1250 (Liq Pref (Ликвидационная привилегия)) + 750 (Pref 12%×5y) + 402 (catch 70%) + 256 (carry 60%) ≈ 2657</t>
        </is>
      </c>
    </row>
    <row r="132" ht="18" customHeight="1"/>
    <row r="133" ht="18" customHeight="1">
      <c r="B133" s="157" t="inlineStr">
        <is>
          <t>Ключевые параметры JV (совместное предприятие)-интерпретации:</t>
        </is>
      </c>
    </row>
    <row r="134">
      <c r="B134" s="148" t="inlineStr">
        <is>
          <t>N.01</t>
        </is>
      </c>
      <c r="C134" s="147" t="inlineStr">
        <is>
          <t>Investor (Инвестор) funded production cost</t>
        </is>
      </c>
      <c r="D134" s="158" t="n">
        <v>1250</v>
      </c>
      <c r="E134" s="159" t="inlineStr">
        <is>
          <t>млн ₽  ·  T₁ Legacy (Базовый вариант), 4 транша 20/28/28/24%</t>
        </is>
      </c>
    </row>
    <row r="135">
      <c r="B135" s="148" t="inlineStr">
        <is>
          <t>N.02</t>
        </is>
      </c>
      <c r="C135" s="147" t="inlineStr">
        <is>
          <t>Producer equity contribution (вклад продюсера в капитал) (off-P&amp;L)</t>
        </is>
      </c>
      <c r="D135" s="15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148" t="inlineStr">
        <is>
          <t>N.03</t>
        </is>
      </c>
      <c r="C136" s="147" t="inlineStr">
        <is>
          <t>Total production budget (итого производственный бюджет) (consolidated COGS (себестоимость))</t>
        </is>
      </c>
      <c r="D136" s="158" t="n">
        <v>1850</v>
      </c>
      <c r="E136" s="159" t="inlineStr">
        <is>
          <t>млн ₽  ·  7 проектов, средний бюджет 264 млн</t>
        </is>
      </c>
    </row>
    <row r="137">
      <c r="B137" s="148" t="inlineStr">
        <is>
          <t>N.04</t>
        </is>
      </c>
      <c r="C137" s="147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148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568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148" t="inlineStr">
        <is>
          <t>N.06</t>
        </is>
      </c>
      <c r="C139" s="147" t="inlineStr">
        <is>
          <t>NDP (чистые распределяемые поступления) anchor (якорь) (legacy (базовый вариант) v1.4.4)</t>
        </is>
      </c>
      <c r="D139" s="158" t="n">
        <v>3000</v>
      </c>
      <c r="E139" s="159" t="inlineStr">
        <is>
          <t>млн ₽  ·  Инвариант, закреплено</t>
        </is>
      </c>
    </row>
    <row r="140">
      <c r="B140" s="148" t="inlineStr">
        <is>
          <t>N.07</t>
        </is>
      </c>
      <c r="C140" s="147" t="inlineStr">
        <is>
          <t>EBITDA (прибыль до вычетов) GAAP Σ 2026–2028</t>
        </is>
      </c>
      <c r="D140" s="158" t="n">
        <v>2152</v>
      </c>
      <c r="E140" s="159" t="inlineStr">
        <is>
          <t>млн ₽  ·  Расчёт по стандарту</t>
        </is>
      </c>
    </row>
    <row r="141">
      <c r="B141" s="148" t="inlineStr">
        <is>
          <t>N.08</t>
        </is>
      </c>
      <c r="C141" s="147" t="inlineStr">
        <is>
          <t>Net Profit (Чистая прибыль) Σ 2026–2028</t>
        </is>
      </c>
      <c r="D141" s="158" t="n">
        <v>1689</v>
      </c>
      <c r="E141" s="159" t="inlineStr">
        <is>
          <t>млн ₽  ·  После 20% налога на прибыль</t>
        </is>
      </c>
    </row>
    <row r="143">
      <c r="B143" s="569" t="inlineStr">
        <is>
          <t>E₂. WATERFALL (КАСКАД) W₅ V-D — РАСШИРЕНИЕ (Catch-up 70/30 + Carry 60/40, default (по умолчанию) v1.0.1)</t>
        </is>
      </c>
    </row>
    <row r="144" ht="36" customHeight="1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</row>
    <row r="145">
      <c r="B145" s="571" t="inlineStr">
        <is>
          <t>#</t>
        </is>
      </c>
      <c r="C145" s="571" t="inlineStr">
        <is>
          <t>Параметр</t>
        </is>
      </c>
      <c r="D145" s="571" t="inlineStr">
        <is>
          <t>Значение</t>
        </is>
      </c>
      <c r="E145" s="571" t="inlineStr">
        <is>
          <t>Ед.изм.</t>
        </is>
      </c>
      <c r="F145" s="571" t="inlineStr">
        <is>
          <t>Примечание / источник</t>
        </is>
      </c>
    </row>
    <row r="146">
      <c r="B146" s="572" t="inlineStr">
        <is>
          <t>31i</t>
        </is>
      </c>
      <c r="C146" s="572" t="inlineStr">
        <is>
          <t>W₅ 1× liquidation preference (ликвидационная привилегия)</t>
        </is>
      </c>
      <c r="D146" s="573" t="n">
        <v>1</v>
      </c>
      <c r="E146" s="572" t="inlineStr">
        <is>
          <t>×</t>
        </is>
      </c>
      <c r="F146" s="574" t="inlineStr">
        <is>
          <t>Tranche (Транш) 1: возврат инвестиций первыми (1250)</t>
        </is>
      </c>
    </row>
    <row r="147">
      <c r="B147" s="572" t="inlineStr">
        <is>
          <t>31j</t>
        </is>
      </c>
      <c r="C147" s="572" t="inlineStr">
        <is>
          <t>W₅ Preferred return (Привилегированная доходность) rate</t>
        </is>
      </c>
      <c r="D147" s="573" t="n">
        <v>0.12</v>
      </c>
      <c r="E147" s="572" t="inlineStr">
        <is>
          <t>%</t>
        </is>
      </c>
      <c r="F147" s="574" t="inlineStr">
        <is>
          <t>Tranche (Транш) 2: 12% annual (годовой) × 5y cumulative = 750</t>
        </is>
      </c>
    </row>
    <row r="148">
      <c r="B148" s="572" t="inlineStr">
        <is>
          <t>31k</t>
        </is>
      </c>
      <c r="C148" s="572" t="inlineStr">
        <is>
          <t>W₅ Preferred return (Привилегированная доходность) duration (Срок привилегированной доходности)</t>
        </is>
      </c>
      <c r="D148" s="573" t="n">
        <v>5</v>
      </c>
      <c r="E148" s="572" t="inlineStr">
        <is>
          <t>years (лет)</t>
        </is>
      </c>
      <c r="F148" s="574" t="inlineStr">
        <is>
          <t>Накопление купона до exit</t>
        </is>
      </c>
    </row>
    <row r="149">
      <c r="B149" s="572" t="inlineStr">
        <is>
          <t>31l</t>
        </is>
      </c>
      <c r="C149" s="572" t="inlineStr">
        <is>
          <t>W₅ Catch-up split (разделение) LP (ограниченный партнёр)</t>
        </is>
      </c>
      <c r="D149" s="573" t="n">
        <v>0.7</v>
      </c>
      <c r="E149" s="572" t="inlineStr">
        <is>
          <t>%</t>
        </is>
      </c>
      <c r="F149" s="574" t="inlineStr">
        <is>
          <t>Tranche (Транш) 3: 70% LP (ограниченный партнёр) / 30% Producer (Продюсер) до hurdle (порог) 2402</t>
        </is>
      </c>
    </row>
    <row r="150">
      <c r="B150" s="572" t="inlineStr">
        <is>
          <t>31m</t>
        </is>
      </c>
      <c r="C150" s="572" t="inlineStr">
        <is>
          <t>W₅ Catch-up split (разделение) Producer (Продюсер)</t>
        </is>
      </c>
      <c r="D150" s="573" t="n">
        <v>0.3</v>
      </c>
      <c r="E150" s="572" t="inlineStr">
        <is>
          <t>%</t>
        </is>
      </c>
      <c r="F150" s="574" t="inlineStr">
        <is>
          <t>30% Producer (Продюсер) в catch-up tranche (транш)</t>
        </is>
      </c>
    </row>
    <row r="151">
      <c r="B151" s="572" t="inlineStr">
        <is>
          <t>31n</t>
        </is>
      </c>
      <c r="C151" s="572" t="inlineStr">
        <is>
          <t>W₅ Carry split (разделение) LP (ограниченный партнёр) (residual (остаток))</t>
        </is>
      </c>
      <c r="D151" s="573" t="n">
        <v>0.6</v>
      </c>
      <c r="E151" s="572" t="inlineStr">
        <is>
          <t>%</t>
        </is>
      </c>
      <c r="F151" s="574" t="inlineStr">
        <is>
          <t>Tranche (Транш) 4: 60% LP (ограниченный партнёр) в carry residual (остаток) после hurdle (порог)</t>
        </is>
      </c>
    </row>
    <row r="152">
      <c r="B152" s="572" t="inlineStr">
        <is>
          <t>31o</t>
        </is>
      </c>
      <c r="C152" s="572" t="inlineStr">
        <is>
          <t>W₅ Carry split (разделение) Producer (Продюсер) (residual (остаток))</t>
        </is>
      </c>
      <c r="D152" s="573" t="n">
        <v>0.4</v>
      </c>
      <c r="E152" s="572" t="inlineStr">
        <is>
          <t>%</t>
        </is>
      </c>
      <c r="F152" s="574" t="inlineStr">
        <is>
          <t>40% Producer (Продюсер) в carry residual (остаток)</t>
        </is>
      </c>
    </row>
    <row r="153">
      <c r="B153" s="572" t="inlineStr">
        <is>
          <t>31p</t>
        </is>
      </c>
      <c r="C153" s="572" t="inlineStr">
        <is>
          <t>W₅ Hurdle (Порог) target IRR (внутренняя норма доходности)</t>
        </is>
      </c>
      <c r="D153" s="573" t="n">
        <v>0.18</v>
      </c>
      <c r="E153" s="572" t="inlineStr">
        <is>
          <t>%</t>
        </is>
      </c>
      <c r="F153" s="574" t="inlineStr">
        <is>
          <t>18% target LP (ограниченный партнёр) IRR (внутренняя норма доходности) под A+C pattern (паттерн)</t>
        </is>
      </c>
    </row>
    <row r="154">
      <c r="B154" s="572" t="inlineStr">
        <is>
          <t>31q</t>
        </is>
      </c>
      <c r="C154" s="572" t="inlineStr">
        <is>
          <t>W₅ Hurdle (Порог) target (LP (ограниченный партнёр) cumulative)</t>
        </is>
      </c>
      <c r="D154" s="573" t="n">
        <v>2402</v>
      </c>
      <c r="E154" s="572" t="inlineStr">
        <is>
          <t>млн ₽</t>
        </is>
      </c>
      <c r="F154" s="574" t="inlineStr">
        <is>
          <t>INVEST / Σ(pattern (паттерн)×discount) @ r=18%, A+C</t>
        </is>
      </c>
    </row>
    <row r="155">
      <c r="B155" s="572" t="inlineStr">
        <is>
          <t>31r</t>
        </is>
      </c>
      <c r="C155" s="572" t="inlineStr">
        <is>
          <t>Target IRR (внутренняя норма доходности) W₅ Base (Базовый) (LP (ограниченный партнёр))</t>
        </is>
      </c>
      <c r="D155" s="575" t="n">
        <v>0.209</v>
      </c>
      <c r="E155" s="572" t="inlineStr">
        <is>
          <t>%</t>
        </is>
      </c>
      <c r="F155" s="574" t="inlineStr">
        <is>
          <t>~20.9% base case @ NDP (чистые распределяемые поступления) 3000 (MC verified)</t>
        </is>
      </c>
    </row>
    <row r="158">
      <c r="B158" s="569" t="inlineStr">
        <is>
          <t>O.  NDP (чистые распределяемые поступления) DISTRIBUTION PATTERN — fast A+C (default (по умолчанию) под W₅)</t>
        </is>
      </c>
    </row>
    <row r="159" ht="48" customHeight="1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</row>
    <row r="161">
      <c r="B161" s="571" t="inlineStr">
        <is>
          <t>#</t>
        </is>
      </c>
      <c r="C161" s="571" t="inlineStr">
        <is>
          <t>Параметр</t>
        </is>
      </c>
      <c r="D161" s="571" t="inlineStr">
        <is>
          <t>Значение</t>
        </is>
      </c>
      <c r="E161" s="571" t="inlineStr">
        <is>
          <t>Ед.изм.</t>
        </is>
      </c>
      <c r="F161" s="571" t="inlineStr">
        <is>
          <t>Примечание / источник</t>
        </is>
      </c>
    </row>
    <row r="162">
      <c r="B162" s="572" t="inlineStr">
        <is>
          <t>O.01</t>
        </is>
      </c>
      <c r="C162" s="572" t="inlineStr">
        <is>
          <t>Domestic NDP (чистые распределяемые поступления) pool Σ 2029–2032</t>
        </is>
      </c>
      <c r="D162" s="573" t="n">
        <v>2700</v>
      </c>
      <c r="E162" s="572" t="inlineStr">
        <is>
          <t>млн ₽</t>
        </is>
      </c>
      <c r="F162" s="574" t="inlineStr">
        <is>
          <t>Основной пул из 7 проектов (5 фильмов + 2 сериала), стандартный release→distribution (распределение) lag</t>
        </is>
      </c>
    </row>
    <row r="163">
      <c r="B163" s="572" t="inlineStr">
        <is>
          <t>O.02</t>
        </is>
      </c>
      <c r="C163" s="572" t="inlineStr">
        <is>
          <t>SVoD presell advance (аванс предпродажи, 2 проекта × 30%)</t>
        </is>
      </c>
      <c r="D163" s="573" t="n">
        <v>270</v>
      </c>
      <c r="E163" s="572" t="inlineStr">
        <is>
          <t>млн ₽</t>
        </is>
      </c>
      <c r="F163" s="574" t="inlineStr">
        <is>
          <t>A: Кинопоиск/Иви/Окко pre-sale</t>
        </is>
      </c>
    </row>
    <row r="164">
      <c r="B164" s="572" t="inlineStr">
        <is>
          <t>O.03</t>
        </is>
      </c>
      <c r="C164" s="572" t="inlineStr">
        <is>
          <t>International package (международный пакет, 7 проектов)</t>
        </is>
      </c>
      <c r="D164" s="573" t="n">
        <v>300</v>
      </c>
      <c r="E164" s="572" t="inlineStr">
        <is>
          <t>млн ₽</t>
        </is>
      </c>
      <c r="F164" s="574" t="inlineStr">
        <is>
          <t>C: СНГ+BRICS, 60% оплаты 2029 + 40% 2032</t>
        </is>
      </c>
    </row>
    <row r="165">
      <c r="B165" s="572" t="inlineStr">
        <is>
          <t>O.04</t>
        </is>
      </c>
      <c r="C165" s="572" t="inlineStr">
        <is>
          <t>Domestic pattern (паттерн) 2029</t>
        </is>
      </c>
      <c r="D165" s="573" t="n">
        <v>0.2</v>
      </c>
      <c r="E165" s="572" t="inlineStr">
        <is>
          <t>%</t>
        </is>
      </c>
      <c r="F165" s="574" t="inlineStr">
        <is>
          <t>Legacy (Базовый вариант) 20/50/15/15 — без изменений</t>
        </is>
      </c>
    </row>
    <row r="166">
      <c r="B166" s="572" t="inlineStr">
        <is>
          <t>O.05</t>
        </is>
      </c>
      <c r="C166" s="572" t="inlineStr">
        <is>
          <t>Domestic pattern (паттерн) 2030</t>
        </is>
      </c>
      <c r="D166" s="573" t="n">
        <v>0.5</v>
      </c>
      <c r="E166" s="572" t="inlineStr">
        <is>
          <t>%</t>
        </is>
      </c>
      <c r="F166" s="574" t="n"/>
    </row>
    <row r="167">
      <c r="B167" s="572" t="inlineStr">
        <is>
          <t>O.06</t>
        </is>
      </c>
      <c r="C167" s="572" t="inlineStr">
        <is>
          <t>Domestic pattern (паттерн) 2031</t>
        </is>
      </c>
      <c r="D167" s="573" t="n">
        <v>0.15</v>
      </c>
      <c r="E167" s="572" t="inlineStr">
        <is>
          <t>%</t>
        </is>
      </c>
      <c r="F167" s="574" t="n"/>
    </row>
    <row r="168">
      <c r="B168" s="572" t="inlineStr">
        <is>
          <t>O.07</t>
        </is>
      </c>
      <c r="C168" s="572" t="inlineStr">
        <is>
          <t>Domestic pattern (паттерн) 2032</t>
        </is>
      </c>
      <c r="D168" s="573" t="n">
        <v>0.15</v>
      </c>
      <c r="E168" s="572" t="inlineStr">
        <is>
          <t>%</t>
        </is>
      </c>
      <c r="F168" s="574" t="n"/>
    </row>
    <row r="169">
      <c r="B169" s="572" t="inlineStr">
        <is>
          <t>O.08</t>
        </is>
      </c>
      <c r="C169" s="572" t="inlineStr">
        <is>
          <t>SVoD advance year (год аванса)</t>
        </is>
      </c>
      <c r="D169" s="573" t="n">
        <v>2029</v>
      </c>
      <c r="E169" s="572" t="inlineStr">
        <is>
          <t>год</t>
        </is>
      </c>
      <c r="F169" s="574" t="inlineStr">
        <is>
          <t>Сдвиг SVoD cashflow с 2031-32 на 2029 (−135/−135 → +270)</t>
        </is>
      </c>
    </row>
    <row r="170">
      <c r="B170" s="572" t="inlineStr">
        <is>
          <t>O.09</t>
        </is>
      </c>
      <c r="C170" s="572" t="inlineStr">
        <is>
          <t>International 2029 share (доля)</t>
        </is>
      </c>
      <c r="D170" s="573" t="n">
        <v>0.6</v>
      </c>
      <c r="E170" s="572" t="inlineStr">
        <is>
          <t>%</t>
        </is>
      </c>
      <c r="F170" s="574" t="inlineStr">
        <is>
          <t>60% × 300 = 180 в 2029</t>
        </is>
      </c>
    </row>
    <row r="171">
      <c r="B171" s="572" t="inlineStr">
        <is>
          <t>O.10</t>
        </is>
      </c>
      <c r="C171" s="572" t="inlineStr">
        <is>
          <t>International 2032 share (доля)</t>
        </is>
      </c>
      <c r="D171" s="573" t="n">
        <v>0.4</v>
      </c>
      <c r="E171" s="572" t="inlineStr">
        <is>
          <t>%</t>
        </is>
      </c>
      <c r="F171" s="574" t="inlineStr">
        <is>
          <t>40% × 300 = 120 в 2032</t>
        </is>
      </c>
    </row>
    <row r="172">
      <c r="B172" s="572" t="inlineStr">
        <is>
          <t>O.11</t>
        </is>
      </c>
      <c r="C172" s="572" t="inlineStr">
        <is>
          <t>Consolidated NDP (чистые распределяемые поступления) 2029</t>
        </is>
      </c>
      <c r="D172" s="575" t="n">
        <v>990</v>
      </c>
      <c r="E172" s="572" t="inlineStr">
        <is>
          <t>млн ₽</t>
        </is>
      </c>
      <c r="F172" s="574" t="inlineStr">
        <is>
          <t>= 2700×0.20 + 270 + 180</t>
        </is>
      </c>
    </row>
    <row r="173">
      <c r="B173" s="572" t="inlineStr">
        <is>
          <t>O.12</t>
        </is>
      </c>
      <c r="C173" s="572" t="inlineStr">
        <is>
          <t>Consolidated NDP (чистые распределяемые поступления) 2030</t>
        </is>
      </c>
      <c r="D173" s="575" t="n">
        <v>1350</v>
      </c>
      <c r="E173" s="572" t="inlineStr">
        <is>
          <t>млн ₽</t>
        </is>
      </c>
      <c r="F173" s="574" t="inlineStr">
        <is>
          <t>= 2700×0.50</t>
        </is>
      </c>
    </row>
    <row r="174">
      <c r="B174" s="572" t="inlineStr">
        <is>
          <t>O.13</t>
        </is>
      </c>
      <c r="C174" s="572" t="inlineStr">
        <is>
          <t>Consolidated NDP (чистые распределяемые поступления) 2031</t>
        </is>
      </c>
      <c r="D174" s="575" t="n">
        <v>270</v>
      </c>
      <c r="E174" s="572" t="inlineStr">
        <is>
          <t>млн ₽</t>
        </is>
      </c>
      <c r="F174" s="574" t="inlineStr">
        <is>
          <t>= 2700×0.15 − 135</t>
        </is>
      </c>
    </row>
    <row r="175">
      <c r="B175" s="572" t="inlineStr">
        <is>
          <t>O.14</t>
        </is>
      </c>
      <c r="C175" s="572" t="inlineStr">
        <is>
          <t>Consolidated NDP (чистые распределяемые поступления) 2032</t>
        </is>
      </c>
      <c r="D175" s="575" t="n">
        <v>390</v>
      </c>
      <c r="E175" s="572" t="inlineStr">
        <is>
          <t>млн ₽</t>
        </is>
      </c>
      <c r="F175" s="574" t="inlineStr">
        <is>
          <t>= 2700×0.15 − 135 + 120</t>
        </is>
      </c>
    </row>
    <row r="176">
      <c r="B176" s="572" t="inlineStr">
        <is>
          <t>O.15</t>
        </is>
      </c>
      <c r="C176" s="572" t="inlineStr">
        <is>
          <t>Σ Consolidated NDP (чистые распределяемые поступления)</t>
        </is>
      </c>
      <c r="D176" s="575" t="n">
        <v>3000</v>
      </c>
      <c r="E176" s="572" t="inlineStr">
        <is>
          <t>млн ₽</t>
        </is>
      </c>
      <c r="F176" s="574">
        <f> 990 + 1350 + 270 + 390 ✓ (якорь сохранён)</f>
        <v/>
      </c>
    </row>
    <row r="177">
      <c r="B177" s="572" t="inlineStr">
        <is>
          <t>O.16</t>
        </is>
      </c>
      <c r="C177" s="572" t="inlineStr">
        <is>
          <t>A+C pattern (паттерн) share (доля) 2029</t>
        </is>
      </c>
      <c r="D177" s="575" t="n">
        <v>0.33</v>
      </c>
      <c r="E177" s="572" t="inlineStr">
        <is>
          <t>%</t>
        </is>
      </c>
      <c r="F177" s="574" t="inlineStr">
        <is>
          <t>990 / 3000</t>
        </is>
      </c>
    </row>
    <row r="178">
      <c r="B178" s="572" t="inlineStr">
        <is>
          <t>O.17</t>
        </is>
      </c>
      <c r="C178" s="572" t="inlineStr">
        <is>
          <t>A+C pattern (паттерн) share (доля) 2030</t>
        </is>
      </c>
      <c r="D178" s="575" t="n">
        <v>0.45</v>
      </c>
      <c r="E178" s="572" t="inlineStr">
        <is>
          <t>%</t>
        </is>
      </c>
      <c r="F178" s="574" t="inlineStr">
        <is>
          <t>1350 / 3000</t>
        </is>
      </c>
    </row>
    <row r="179">
      <c r="B179" s="572" t="inlineStr">
        <is>
          <t>O.18</t>
        </is>
      </c>
      <c r="C179" s="572" t="inlineStr">
        <is>
          <t>A+C pattern (паттерн) share (доля) 2031</t>
        </is>
      </c>
      <c r="D179" s="575" t="n">
        <v>0.09</v>
      </c>
      <c r="E179" s="572" t="inlineStr">
        <is>
          <t>%</t>
        </is>
      </c>
      <c r="F179" s="574" t="inlineStr">
        <is>
          <t>270 / 3000</t>
        </is>
      </c>
    </row>
    <row r="180">
      <c r="B180" s="572" t="inlineStr">
        <is>
          <t>O.19</t>
        </is>
      </c>
      <c r="C180" s="572" t="inlineStr">
        <is>
          <t>A+C pattern (паттерн) share (доля) 2032</t>
        </is>
      </c>
      <c r="D180" s="575" t="n">
        <v>0.13</v>
      </c>
      <c r="E180" s="572" t="inlineStr">
        <is>
          <t>%</t>
        </is>
      </c>
      <c r="F180" s="574" t="inlineStr">
        <is>
          <t>390 / 3000</t>
        </is>
      </c>
    </row>
    <row r="181">
      <c r="B181" s="572" t="inlineStr">
        <is>
          <t>O.20</t>
        </is>
      </c>
      <c r="C181" s="572" t="inlineStr">
        <is>
          <t>Hurdle (Порог) target LP (ограниченный партнёр) under A+C @ 18%</t>
        </is>
      </c>
      <c r="D181" s="575" t="n">
        <v>2402</v>
      </c>
      <c r="E181" s="572" t="inlineStr">
        <is>
          <t>млн ₽</t>
        </is>
      </c>
      <c r="F181" s="574" t="inlineStr">
        <is>
          <t>INVEST / Σ(pattern (паттерн)×discount_3..6) — таргет catch-up</t>
        </is>
      </c>
    </row>
    <row r="182">
      <c r="B182" s="572" t="inlineStr">
        <is>
          <t>O.21</t>
        </is>
      </c>
      <c r="C182" s="572" t="inlineStr">
        <is>
          <t>Base (Базовый) case LP (ограниченный партнёр) total (W₅ V-D @ NDP (чистые распределяемые поступления)=3000)</t>
        </is>
      </c>
      <c r="D182" s="575" t="n">
        <v>2657</v>
      </c>
      <c r="E182" s="572" t="inlineStr">
        <is>
          <t>млн ₽</t>
        </is>
      </c>
      <c r="F182" s="574" t="inlineStr">
        <is>
          <t>1250 + 750 + 402 (догоняющий) + 256 (премия) — MC верифицировано</t>
        </is>
      </c>
    </row>
    <row r="183">
      <c r="B183" s="572" t="inlineStr">
        <is>
          <t>O.22</t>
        </is>
      </c>
      <c r="C183" s="572" t="inlineStr">
        <is>
          <t>Base (Базовый) case Producer (Продюсер) (W₅ V-D)</t>
        </is>
      </c>
      <c r="D183" s="575" t="n">
        <v>343</v>
      </c>
      <c r="E183" s="572" t="inlineStr">
        <is>
          <t>млн ₽</t>
        </is>
      </c>
      <c r="F183" s="574" t="inlineStr">
        <is>
          <t>172 (догоняющий 30%) + 170 (премия 40%)</t>
        </is>
      </c>
    </row>
    <row r="184">
      <c r="B184" s="572" t="inlineStr">
        <is>
          <t>O.23</t>
        </is>
      </c>
      <c r="C184" s="572" t="inlineStr">
        <is>
          <t>Base (Базовый) case LP (ограниченный партнёр) MOIC (мультипликатор вложенного капитала)</t>
        </is>
      </c>
      <c r="D184" s="575" t="n">
        <v>2.13</v>
      </c>
      <c r="E184" s="572" t="inlineStr">
        <is>
          <t>×</t>
        </is>
      </c>
      <c r="F184" s="574" t="inlineStr">
        <is>
          <t>2657 / 1250</t>
        </is>
      </c>
    </row>
    <row r="185">
      <c r="B185" s="572" t="inlineStr">
        <is>
          <t>O.24</t>
        </is>
      </c>
      <c r="C185" s="572" t="inlineStr">
        <is>
          <t>Base (Базовый) case LP (ограниченный партнёр) IRR (внутренняя норма доходности) (fast pattern (паттерн))</t>
        </is>
      </c>
      <c r="D185" s="575" t="n">
        <v>0.209</v>
      </c>
      <c r="E185" s="572" t="inlineStr">
        <is>
          <t>%</t>
        </is>
      </c>
      <c r="F185" s="574" t="inlineStr">
        <is>
          <t>20,9% — верифицировано MC seed=42, N=1000</t>
        </is>
      </c>
    </row>
    <row r="186">
      <c r="B186" s="572" t="inlineStr">
        <is>
          <t>O.25</t>
        </is>
      </c>
      <c r="C186" s="572" t="inlineStr">
        <is>
          <t>P(IRR (внутренняя норма доходности) &gt; 18% hurdle (порог))</t>
        </is>
      </c>
      <c r="D186" s="575" t="n">
        <v>0.747</v>
      </c>
      <c r="E186" s="572" t="inlineStr">
        <is>
          <t>%</t>
        </is>
      </c>
      <c r="F186" s="574" t="inlineStr">
        <is>
          <t>74.7% — MC L8+L4 V-D, +25.5 п.п. vs baseline 49.2%</t>
        </is>
      </c>
    </row>
    <row r="187">
      <c r="B187" s="572" t="inlineStr">
        <is>
          <t>O.26</t>
        </is>
      </c>
      <c r="C187" s="572" t="inlineStr">
        <is>
          <t>P(IRR (внутренняя норма доходности) &gt; 12% target)</t>
        </is>
      </c>
      <c r="D187" s="575" t="n">
        <v>0.971</v>
      </c>
      <c r="E187" s="572" t="inlineStr">
        <is>
          <t>%</t>
        </is>
      </c>
      <c r="F187" s="574" t="inlineStr">
        <is>
          <t>97,1% — стабильно выше цели</t>
        </is>
      </c>
    </row>
    <row r="189" ht="22" customHeight="1">
      <c r="B189" s="149" t="inlineStr">
        <is>
          <t>N.  NDP RECONCILIATION BRIDGE  ·  EBITDA (GAAP) → NDP (legacy)</t>
        </is>
      </c>
      <c r="C189" s="188" t="n"/>
      <c r="D189" s="188" t="n"/>
      <c r="E189" s="185" t="n"/>
    </row>
    <row r="190" ht="36" customHeight="1">
      <c r="B190" s="150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192" ht="18" customHeight="1">
      <c r="B192" s="145" t="inlineStr">
        <is>
          <t>#</t>
        </is>
      </c>
      <c r="C192" s="145" t="inlineStr">
        <is>
          <t>Компонент</t>
        </is>
      </c>
      <c r="D192" s="145" t="inlineStr">
        <is>
          <t>Значение, млн ₽</t>
        </is>
      </c>
      <c r="E192" s="145" t="inlineStr">
        <is>
          <t>Комментарий</t>
        </is>
      </c>
    </row>
    <row r="193" ht="20" customHeight="1">
      <c r="B193" s="148" t="inlineStr">
        <is>
          <t>1</t>
        </is>
      </c>
      <c r="C193" s="147" t="inlineStr">
        <is>
          <t>EBITDA (GAAP, standard) Σ 2026–2028</t>
        </is>
      </c>
      <c r="D193" s="151" t="n">
        <v>2152</v>
      </c>
      <c r="E193" s="152" t="inlineStr">
        <is>
          <t>Revenue 4545 − COGS 2127.5 − OpEx 265.5</t>
        </is>
      </c>
    </row>
    <row r="194" ht="20" customHeight="1">
      <c r="B194" s="148" t="inlineStr">
        <is>
          <t>2</t>
        </is>
      </c>
      <c r="C194" s="147" t="inlineStr">
        <is>
          <t>(+) Add-back: Producer equity contribution</t>
        </is>
      </c>
      <c r="D194" s="151" t="n">
        <v>600</v>
      </c>
      <c r="E194" s="152" t="inlineStr">
        <is>
          <t>Участие продюсера (off-P&amp;L minority interest / JV capital)</t>
        </is>
      </c>
    </row>
    <row r="195" ht="20" customHeight="1">
      <c r="B195" s="148" t="inlineStr">
        <is>
          <t>3</t>
        </is>
      </c>
      <c r="C195" s="147" t="inlineStr">
        <is>
          <t>(+) Add-back: Working capital release &amp; gov credit timing</t>
        </is>
      </c>
      <c r="D195" s="151" t="n">
        <v>248</v>
      </c>
      <c r="E195" s="152" t="inlineStr">
        <is>
          <t>Высвобождение WC и налоговый кредит за периметром P&amp;L</t>
        </is>
      </c>
    </row>
    <row r="196" ht="20" customHeight="1">
      <c r="B196" s="153" t="inlineStr">
        <is>
          <t>=</t>
        </is>
      </c>
      <c r="C196" s="154" t="inlineStr">
        <is>
          <t>NDP Σ (legacy v1.4.4 anchor)</t>
        </is>
      </c>
      <c r="D196" s="155" t="n">
        <v>3000</v>
      </c>
      <c r="E196" s="156" t="inlineStr">
        <is>
          <t>Cумма распределяемых cash flows к пайщикам</t>
        </is>
      </c>
    </row>
    <row r="197" ht="20" customHeight="1">
      <c r="B197" s="148" t="inlineStr">
        <is>
          <t>4</t>
        </is>
      </c>
      <c r="C197" s="147" t="inlineStr">
        <is>
          <t>(−) Producer share (60 / 40 waterfall W₁)</t>
        </is>
      </c>
      <c r="D197" s="151" t="n">
        <v>-785</v>
      </c>
      <c r="E197" s="152" t="inlineStr">
        <is>
          <t>Доля продюсера по дефолтной каскадной схеме</t>
        </is>
      </c>
    </row>
    <row r="198" ht="20" customHeight="1">
      <c r="B198" s="153" t="inlineStr">
        <is>
          <t>=</t>
        </is>
      </c>
      <c r="C198" s="154" t="inlineStr">
        <is>
          <t>Investor net distributable proceeds</t>
        </is>
      </c>
      <c r="D198" s="155" t="n">
        <v>2215</v>
      </c>
      <c r="E198" s="156" t="inlineStr">
        <is>
          <t>Чистые распределения инвестору (T₁ Legacy)</t>
        </is>
      </c>
    </row>
    <row r="200">
      <c r="B200" s="157" t="inlineStr">
        <is>
          <t>Ключевые параметры JV-интерпретации:</t>
        </is>
      </c>
    </row>
    <row r="201" ht="18" customHeight="1">
      <c r="B201" s="148" t="inlineStr">
        <is>
          <t>N.01</t>
        </is>
      </c>
      <c r="C201" s="147" t="inlineStr">
        <is>
          <t>Investor funded production cost</t>
        </is>
      </c>
      <c r="D201" s="158" t="n">
        <v>1250</v>
      </c>
      <c r="E201" s="159" t="inlineStr">
        <is>
          <t>млн ₽  ·  T₁ Legacy, 4 транша 20/28/28/24%</t>
        </is>
      </c>
    </row>
    <row r="202" ht="18" customHeight="1">
      <c r="B202" s="148" t="inlineStr">
        <is>
          <t>N.02</t>
        </is>
      </c>
      <c r="C202" s="147" t="inlineStr">
        <is>
          <t>Producer equity contribution (off-P&amp;L)</t>
        </is>
      </c>
      <c r="D202" s="158" t="n">
        <v>600</v>
      </c>
      <c r="E202" s="159" t="inlineStr">
        <is>
          <t>млн ₽  ·  Вклад продюсера в JV</t>
        </is>
      </c>
    </row>
    <row r="203" ht="18" customHeight="1">
      <c r="B203" s="148" t="inlineStr">
        <is>
          <t>N.03</t>
        </is>
      </c>
      <c r="C203" s="147" t="inlineStr">
        <is>
          <t>Total production budget (consolidated COGS)</t>
        </is>
      </c>
      <c r="D203" s="158" t="n">
        <v>1850</v>
      </c>
      <c r="E203" s="159" t="inlineStr">
        <is>
          <t>млн ₽  ·  12 фильмов, средний бюджет 154 млн</t>
        </is>
      </c>
    </row>
    <row r="204" ht="18" customHeight="1">
      <c r="B204" s="148" t="inlineStr">
        <is>
          <t>N.04</t>
        </is>
      </c>
      <c r="C204" s="147" t="inlineStr">
        <is>
          <t>P&amp;A (Prints &amp; Advertising)</t>
        </is>
      </c>
      <c r="D204" s="160" t="n">
        <v>277.5</v>
      </c>
      <c r="E204" s="159" t="inlineStr">
        <is>
          <t>млн ₽  ·  6.1% от выручки 4545</t>
        </is>
      </c>
    </row>
    <row r="205" ht="18" customHeight="1">
      <c r="B205" s="148" t="inlineStr">
        <is>
          <t>N.05</t>
        </is>
      </c>
      <c r="C205" s="147" t="inlineStr">
        <is>
          <t>Waterfall split (default W₁)</t>
        </is>
      </c>
      <c r="D205" s="161" t="inlineStr">
        <is>
          <t>60 / 40</t>
        </is>
      </c>
      <c r="E205" s="159" t="inlineStr">
        <is>
          <t>—  ·  Инвестор / Продюсер</t>
        </is>
      </c>
    </row>
    <row r="206" ht="18" customHeight="1">
      <c r="B206" s="148" t="inlineStr">
        <is>
          <t>N.06</t>
        </is>
      </c>
      <c r="C206" s="147" t="inlineStr">
        <is>
          <t>NDP anchor (legacy v1.4.4)</t>
        </is>
      </c>
      <c r="D206" s="158" t="n">
        <v>3000</v>
      </c>
      <c r="E206" s="159" t="inlineStr">
        <is>
          <t>млн ₽  ·  Инвариант, закреплено</t>
        </is>
      </c>
    </row>
    <row r="207" ht="18" customHeight="1">
      <c r="B207" s="148" t="inlineStr">
        <is>
          <t>N.07</t>
        </is>
      </c>
      <c r="C207" s="147" t="inlineStr">
        <is>
          <t>EBITDA (GAAP) Σ 2026–2028</t>
        </is>
      </c>
      <c r="D207" s="158" t="n">
        <v>2152</v>
      </c>
      <c r="E207" s="159" t="inlineStr">
        <is>
          <t>млн ₽  ·  Расчёт по стандарту</t>
        </is>
      </c>
    </row>
    <row r="208" ht="18" customHeight="1">
      <c r="B208" s="148" t="inlineStr">
        <is>
          <t>N.08</t>
        </is>
      </c>
      <c r="C208" s="147" t="inlineStr">
        <is>
          <t>Net Profit Σ 2026–2028</t>
        </is>
      </c>
      <c r="D208" s="158" t="n">
        <v>1710</v>
      </c>
      <c r="E208" s="159" t="inlineStr">
        <is>
          <t>млн ₽  ·  После 20% налога на прибыль</t>
        </is>
      </c>
    </row>
    <row r="210" ht="22" customHeight="1">
      <c r="B210" s="149" t="inlineStr">
        <is>
          <t>N.  NDP RECONCILIATION BRIDGE  ·  EBITDA (GAAP) → NDP (legacy)</t>
        </is>
      </c>
    </row>
    <row r="211" ht="36" customHeight="1">
      <c r="B211" s="150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213" ht="18" customHeight="1">
      <c r="B213" s="145" t="inlineStr">
        <is>
          <t>#</t>
        </is>
      </c>
      <c r="C213" s="145" t="inlineStr">
        <is>
          <t>Компонент</t>
        </is>
      </c>
      <c r="D213" s="145" t="inlineStr">
        <is>
          <t>Значение, млн ₽</t>
        </is>
      </c>
      <c r="E213" s="145" t="inlineStr">
        <is>
          <t>Комментарий</t>
        </is>
      </c>
    </row>
    <row r="214" ht="20" customHeight="1">
      <c r="B214" s="148" t="inlineStr">
        <is>
          <t>1</t>
        </is>
      </c>
      <c r="C214" s="147" t="inlineStr">
        <is>
          <t>EBITDA (GAAP, standard) Σ 2026–2028</t>
        </is>
      </c>
      <c r="D214" s="151" t="n">
        <v>2152</v>
      </c>
      <c r="E214" s="152" t="inlineStr">
        <is>
          <t>Revenue 4545 − COGS 2127.5 − OpEx 265.5</t>
        </is>
      </c>
    </row>
    <row r="215" ht="20" customHeight="1">
      <c r="B215" s="148" t="inlineStr">
        <is>
          <t>2</t>
        </is>
      </c>
      <c r="C215" s="147" t="inlineStr">
        <is>
          <t>(+) Add-back: Producer equity contribution</t>
        </is>
      </c>
      <c r="D215" s="151" t="n">
        <v>600</v>
      </c>
      <c r="E215" s="152" t="inlineStr">
        <is>
          <t>Участие продюсера (off-P&amp;L minority interest / JV capital)</t>
        </is>
      </c>
    </row>
    <row r="216" ht="20" customHeight="1">
      <c r="B216" s="148" t="inlineStr">
        <is>
          <t>3</t>
        </is>
      </c>
      <c r="C216" s="147" t="inlineStr">
        <is>
          <t>(+) Add-back: Working capital release &amp; gov credit timing</t>
        </is>
      </c>
      <c r="D216" s="151" t="n">
        <v>248</v>
      </c>
      <c r="E216" s="152" t="inlineStr">
        <is>
          <t>Высвобождение WC и налоговый кредит за периметром P&amp;L</t>
        </is>
      </c>
    </row>
    <row r="217" ht="20" customHeight="1">
      <c r="B217" s="153" t="inlineStr">
        <is>
          <t>=</t>
        </is>
      </c>
      <c r="C217" s="154" t="inlineStr">
        <is>
          <t>NDP Σ (legacy v1.4.4 anchor)</t>
        </is>
      </c>
      <c r="D217" s="155" t="n">
        <v>3000</v>
      </c>
      <c r="E217" s="156" t="inlineStr">
        <is>
          <t>Cумма распределяемых cash flows к пайщикам</t>
        </is>
      </c>
    </row>
    <row r="218" ht="20" customHeight="1">
      <c r="B218" s="148" t="inlineStr">
        <is>
          <t>4</t>
        </is>
      </c>
      <c r="C218" s="147" t="inlineStr">
        <is>
          <t>(−) Producer share (60 / 40 waterfall W₁)</t>
        </is>
      </c>
      <c r="D218" s="151" t="n">
        <v>-785</v>
      </c>
      <c r="E218" s="152" t="inlineStr">
        <is>
          <t>Доля продюсера по дефолтной каскадной схеме</t>
        </is>
      </c>
    </row>
    <row r="219" ht="20" customHeight="1">
      <c r="B219" s="153" t="inlineStr">
        <is>
          <t>=</t>
        </is>
      </c>
      <c r="C219" s="154" t="inlineStr">
        <is>
          <t>Investor net distributable proceeds</t>
        </is>
      </c>
      <c r="D219" s="155" t="n">
        <v>2215</v>
      </c>
      <c r="E219" s="156" t="inlineStr">
        <is>
          <t>Чистые распределения инвестору (T₁ Legacy)</t>
        </is>
      </c>
    </row>
    <row r="221">
      <c r="B221" s="157" t="inlineStr">
        <is>
          <t>Ключевые параметры JV-интерпретации:</t>
        </is>
      </c>
    </row>
    <row r="222" ht="18" customHeight="1">
      <c r="B222" s="148" t="inlineStr">
        <is>
          <t>N.01</t>
        </is>
      </c>
      <c r="C222" s="147" t="inlineStr">
        <is>
          <t>Investor funded production cost</t>
        </is>
      </c>
      <c r="D222" s="158" t="n">
        <v>1250</v>
      </c>
      <c r="E222" s="159" t="inlineStr">
        <is>
          <t>млн ₽  ·  T₁ Legacy, 4 транша 20/28/28/24%</t>
        </is>
      </c>
    </row>
    <row r="223" ht="18" customHeight="1">
      <c r="B223" s="148" t="inlineStr">
        <is>
          <t>N.02</t>
        </is>
      </c>
      <c r="C223" s="147" t="inlineStr">
        <is>
          <t>Producer equity contribution (off-P&amp;L)</t>
        </is>
      </c>
      <c r="D223" s="158" t="n">
        <v>600</v>
      </c>
      <c r="E223" s="159" t="inlineStr">
        <is>
          <t>млн ₽  ·  Вклад продюсера в JV</t>
        </is>
      </c>
    </row>
    <row r="224" ht="18" customHeight="1">
      <c r="B224" s="148" t="inlineStr">
        <is>
          <t>N.03</t>
        </is>
      </c>
      <c r="C224" s="147" t="inlineStr">
        <is>
          <t>Total production budget (consolidated COGS)</t>
        </is>
      </c>
      <c r="D224" s="158" t="n">
        <v>1850</v>
      </c>
      <c r="E224" s="159" t="inlineStr">
        <is>
          <t>млн ₽  ·  12 фильмов, средний бюджет 154 млн</t>
        </is>
      </c>
    </row>
    <row r="225" ht="18" customHeight="1">
      <c r="B225" s="148" t="inlineStr">
        <is>
          <t>N.04</t>
        </is>
      </c>
      <c r="C225" s="147" t="inlineStr">
        <is>
          <t>P&amp;A (Prints &amp; Advertising)</t>
        </is>
      </c>
      <c r="D225" s="160" t="n">
        <v>277.5</v>
      </c>
      <c r="E225" s="159" t="inlineStr">
        <is>
          <t>млн ₽  ·  6.1% от выручки 4545</t>
        </is>
      </c>
    </row>
    <row r="226" ht="18" customHeight="1">
      <c r="B226" s="148" t="inlineStr">
        <is>
          <t>N.05</t>
        </is>
      </c>
      <c r="C226" s="147" t="inlineStr">
        <is>
          <t>Waterfall split (default W₁)</t>
        </is>
      </c>
      <c r="D226" s="161" t="inlineStr">
        <is>
          <t>60 / 40</t>
        </is>
      </c>
      <c r="E226" s="159" t="inlineStr">
        <is>
          <t>—  ·  Инвестор / Продюсер</t>
        </is>
      </c>
    </row>
    <row r="227" ht="18" customHeight="1">
      <c r="B227" s="148" t="inlineStr">
        <is>
          <t>N.06</t>
        </is>
      </c>
      <c r="C227" s="147" t="inlineStr">
        <is>
          <t>NDP anchor (legacy v1.4.4)</t>
        </is>
      </c>
      <c r="D227" s="158" t="n">
        <v>3000</v>
      </c>
      <c r="E227" s="159" t="inlineStr">
        <is>
          <t>млн ₽  ·  Инвариант, закреплено</t>
        </is>
      </c>
    </row>
    <row r="228" ht="18" customHeight="1">
      <c r="B228" s="148" t="inlineStr">
        <is>
          <t>N.07</t>
        </is>
      </c>
      <c r="C228" s="147" t="inlineStr">
        <is>
          <t>EBITDA (GAAP) Σ 2026–2028</t>
        </is>
      </c>
      <c r="D228" s="158" t="n">
        <v>2152</v>
      </c>
      <c r="E228" s="159" t="inlineStr">
        <is>
          <t>млн ₽  ·  Расчёт по стандарту</t>
        </is>
      </c>
    </row>
    <row r="229" ht="18" customHeight="1">
      <c r="B229" s="148" t="inlineStr">
        <is>
          <t>N.08</t>
        </is>
      </c>
      <c r="C229" s="147" t="inlineStr">
        <is>
          <t>Net Profit Σ 2026–2028</t>
        </is>
      </c>
      <c r="D229" s="158" t="n">
        <v>1710</v>
      </c>
      <c r="E229" s="159" t="inlineStr">
        <is>
          <t>млн ₽  ·  После 20% налога на прибыль</t>
        </is>
      </c>
    </row>
  </sheetData>
  <mergeCells count="29">
    <mergeCell ref="B144:F144"/>
    <mergeCell ref="B211:E211"/>
    <mergeCell ref="B16:F16"/>
    <mergeCell ref="B81:F81"/>
    <mergeCell ref="B25:F25"/>
    <mergeCell ref="B3:F3"/>
    <mergeCell ref="B66:F66"/>
    <mergeCell ref="B31:F31"/>
    <mergeCell ref="B159:F159"/>
    <mergeCell ref="B189:E189"/>
    <mergeCell ref="B102:F102"/>
    <mergeCell ref="B114:E114"/>
    <mergeCell ref="B221:E221"/>
    <mergeCell ref="B2:F2"/>
    <mergeCell ref="B200:E200"/>
    <mergeCell ref="B125:E125"/>
    <mergeCell ref="B190:E190"/>
    <mergeCell ref="B115:E115"/>
    <mergeCell ref="B88:F88"/>
    <mergeCell ref="B57:F57"/>
    <mergeCell ref="B38:F38"/>
    <mergeCell ref="B112:F112"/>
    <mergeCell ref="B210:E210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22" customWidth="1" min="4" max="4"/>
    <col width="70" customWidth="1" min="5" max="5"/>
    <col width="18" customWidth="1" min="6" max="6"/>
    <col width="2" customWidth="1" min="7" max="7"/>
  </cols>
  <sheetData>
    <row r="2" ht="30" customHeight="1">
      <c r="B2" s="19" t="inlineStr">
        <is>
          <t>ЖУРНАЛ ИЗМЕНЕНИЙ (Change Log (Журнал изменений))</t>
        </is>
      </c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</row>
    <row r="5" ht="22" customHeight="1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>
      <c r="B6" s="31" t="inlineStr">
        <is>
          <t>v0.1</t>
        </is>
      </c>
      <c r="C6" s="32" t="inlineStr">
        <is>
          <t>05.04.2026</t>
        </is>
      </c>
      <c r="D6" s="23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>
      <c r="B7" s="31" t="inlineStr">
        <is>
          <t>v0.2</t>
        </is>
      </c>
      <c r="C7" s="32" t="inlineStr">
        <is>
          <t>06.04.2026</t>
        </is>
      </c>
      <c r="D7" s="23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>
      <c r="B8" s="31" t="inlineStr">
        <is>
          <t>v0.3</t>
        </is>
      </c>
      <c r="C8" s="32" t="inlineStr">
        <is>
          <t>07.04.2026</t>
        </is>
      </c>
      <c r="D8" s="23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>
      <c r="B9" s="31" t="inlineStr">
        <is>
          <t>v0.9</t>
        </is>
      </c>
      <c r="C9" s="32" t="inlineStr">
        <is>
          <t>09.04.2026</t>
        </is>
      </c>
      <c r="D9" s="23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>
      <c r="B10" s="31" t="inlineStr">
        <is>
          <t>v1.0.1</t>
        </is>
      </c>
      <c r="C10" s="32" t="inlineStr">
        <is>
          <t>11.04.2026</t>
        </is>
      </c>
      <c r="D10" s="23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</row>
    <row r="13" ht="20" customHeight="1">
      <c r="B13" s="14" t="inlineStr">
        <is>
          <t>ПЛАН СЛЕДУЮЩИХ ВЕРСИЙ (roadmap)</t>
        </is>
      </c>
    </row>
    <row r="14" ht="16" customHeight="1">
      <c r="B14" s="36" t="inlineStr">
        <is>
          <t>v1.0.1 А.1</t>
        </is>
      </c>
      <c r="C14" s="37" t="inlineStr">
        <is>
          <t>Cover + Assumptions + Change_Log</t>
        </is>
      </c>
      <c r="D14" s="40" t="n"/>
      <c r="E14" s="41" t="n"/>
      <c r="F14" s="38" t="inlineStr">
        <is>
          <t>Готово</t>
        </is>
      </c>
    </row>
    <row r="15" ht="16" customHeight="1">
      <c r="B15" s="36" t="inlineStr">
        <is>
          <t>v1.0.1 А.2</t>
        </is>
      </c>
      <c r="C15" s="37" t="inlineStr">
        <is>
          <t>FOT_Staff (A₁+A₂) + Cost_Structure</t>
        </is>
      </c>
      <c r="D15" s="40" t="n"/>
      <c r="E15" s="41" t="n"/>
      <c r="F15" s="38" t="inlineStr">
        <is>
          <t>Готово</t>
        </is>
      </c>
    </row>
    <row r="16" ht="16" customHeight="1">
      <c r="B16" s="36" t="inlineStr">
        <is>
          <t>v1.0.1 А.3</t>
        </is>
      </c>
      <c r="C16" s="37" t="inlineStr">
        <is>
          <t>Revenue_Breakdown + Content_Pipeline</t>
        </is>
      </c>
      <c r="D16" s="40" t="n"/>
      <c r="E16" s="41" t="n"/>
      <c r="F16" s="38" t="inlineStr">
        <is>
          <t>Готово</t>
        </is>
      </c>
    </row>
    <row r="17" ht="16" customHeight="1">
      <c r="B17" s="36" t="inlineStr">
        <is>
          <t>v1.0.1 А.4</t>
        </is>
      </c>
      <c r="C17" s="37" t="inlineStr">
        <is>
          <t>P&amp;L_Statements (12Q + 2029–2032)</t>
        </is>
      </c>
      <c r="D17" s="40" t="n"/>
      <c r="E17" s="41" t="n"/>
      <c r="F17" s="38" t="inlineStr">
        <is>
          <t>Готово</t>
        </is>
      </c>
    </row>
    <row r="18" ht="16" customHeight="1">
      <c r="B18" s="36" t="inlineStr">
        <is>
          <t>v1.0.1 А.5</t>
        </is>
      </c>
      <c r="C18" s="37" t="inlineStr">
        <is>
          <t>Cash_Flow_Statement + Balance_Sheet</t>
        </is>
      </c>
      <c r="D18" s="40" t="n"/>
      <c r="E18" s="41" t="n"/>
      <c r="F18" s="38" t="inlineStr">
        <is>
          <t>Готово</t>
        </is>
      </c>
    </row>
    <row r="19" ht="16" customHeight="1">
      <c r="B19" s="36" t="inlineStr">
        <is>
          <t>v1.0.1 А.6</t>
        </is>
      </c>
      <c r="C19" s="37" t="inlineStr">
        <is>
          <t>Working_Capital + Debt_Schedule</t>
        </is>
      </c>
      <c r="D19" s="40" t="n"/>
      <c r="E19" s="41" t="n"/>
      <c r="F19" s="38" t="inlineStr">
        <is>
          <t>Готово</t>
        </is>
      </c>
    </row>
    <row r="20" ht="16" customHeight="1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0" t="n"/>
      <c r="E20" s="41" t="n"/>
      <c r="F20" s="38" t="inlineStr">
        <is>
          <t>Готово</t>
        </is>
      </c>
    </row>
    <row r="21" ht="16" customHeight="1">
      <c r="B21" s="36" t="inlineStr">
        <is>
          <t>v1.0.1 А.8</t>
        </is>
      </c>
      <c r="C21" s="37" t="inlineStr">
        <is>
          <t>Deal_Structures + Cap_Table + Waterfall (Каскад)</t>
        </is>
      </c>
      <c r="D21" s="40" t="n"/>
      <c r="E21" s="41" t="n"/>
      <c r="F21" s="38" t="inlineStr">
        <is>
          <t>Готово</t>
        </is>
      </c>
    </row>
    <row r="22" ht="16" customHeight="1">
      <c r="B22" s="36" t="inlineStr">
        <is>
          <t>v1.0.1 А.9</t>
        </is>
      </c>
      <c r="C22" s="37" t="inlineStr">
        <is>
          <t>Unit_Economics + KPI_Dashboard</t>
        </is>
      </c>
      <c r="D22" s="40" t="n"/>
      <c r="E22" s="41" t="n"/>
      <c r="F22" s="38" t="inlineStr">
        <is>
          <t>Готово</t>
        </is>
      </c>
    </row>
    <row r="23" ht="16" customHeight="1">
      <c r="B23" s="36" t="inlineStr">
        <is>
          <t>v1.0.1 А.10</t>
        </is>
      </c>
      <c r="C23" s="37" t="inlineStr">
        <is>
          <t>Valuation_DCF + Valuation_Multiples</t>
        </is>
      </c>
      <c r="D23" s="40" t="n"/>
      <c r="E23" s="41" t="n"/>
      <c r="F23" s="38" t="inlineStr">
        <is>
          <t>Готово</t>
        </is>
      </c>
    </row>
    <row r="24" ht="16" customHeight="1">
      <c r="B24" s="36" t="inlineStr">
        <is>
          <t>v1.0.1 А.11</t>
        </is>
      </c>
      <c r="C24" s="37" t="inlineStr">
        <is>
          <t>Investor_Returns + Exit_Scenarios</t>
        </is>
      </c>
      <c r="D24" s="40" t="n"/>
      <c r="E24" s="41" t="n"/>
      <c r="F24" s="38" t="inlineStr">
        <is>
          <t>Готово</t>
        </is>
      </c>
    </row>
    <row r="25" ht="16" customHeight="1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0" t="n"/>
      <c r="E25" s="41" t="n"/>
      <c r="F25" s="38" t="inlineStr">
        <is>
          <t>Готово</t>
        </is>
      </c>
    </row>
    <row r="26" ht="16" customHeight="1">
      <c r="B26" s="36" t="inlineStr">
        <is>
          <t>v1.0.1 А.13</t>
        </is>
      </c>
      <c r="C26" s="37" t="inlineStr">
        <is>
          <t>Risk_Register</t>
        </is>
      </c>
      <c r="D26" s="40" t="n"/>
      <c r="E26" s="41" t="n"/>
      <c r="F26" s="38" t="inlineStr">
        <is>
          <t>Готово</t>
        </is>
      </c>
    </row>
    <row r="27" ht="16" customHeight="1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0" t="n"/>
      <c r="E27" s="41" t="n"/>
      <c r="F27" s="38" t="inlineStr">
        <is>
          <t>Готово</t>
        </is>
      </c>
    </row>
    <row r="28" ht="16" customHeight="1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0" t="n"/>
      <c r="E28" s="41" t="n"/>
      <c r="F28" s="38" t="inlineStr">
        <is>
          <t>Готово</t>
        </is>
      </c>
    </row>
    <row r="29" ht="16" customHeight="1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0" t="n"/>
      <c r="E29" s="41" t="n"/>
      <c r="F29" s="38" t="inlineStr">
        <is>
          <t>Готово</t>
        </is>
      </c>
    </row>
    <row r="30" ht="16" customHeight="1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0" t="n"/>
      <c r="E30" s="41" t="n"/>
      <c r="F30" s="38" t="inlineStr">
        <is>
          <t>Готово</t>
        </is>
      </c>
    </row>
    <row r="31" ht="16" customHeight="1">
      <c r="B31" s="36" t="inlineStr">
        <is>
          <t>v1.0.1 А.18</t>
        </is>
      </c>
      <c r="C31" s="37" t="inlineStr">
        <is>
          <t>П5 «Максимум» 32/32 верификация</t>
        </is>
      </c>
      <c r="D31" s="40" t="n"/>
      <c r="E31" s="41" t="n"/>
      <c r="F31" s="38" t="inlineStr">
        <is>
          <t>Готово</t>
        </is>
      </c>
    </row>
    <row r="32" ht="16" customHeight="1">
      <c r="B32" s="36" t="inlineStr">
        <is>
          <t>v1.0.1 А.19</t>
        </is>
      </c>
      <c r="C32" s="37" t="inlineStr">
        <is>
          <t>Финализация + computer:// ссылки</t>
        </is>
      </c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4" customWidth="1" min="3" max="3"/>
    <col width="1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" customWidth="1" min="10" max="10"/>
  </cols>
  <sheetData>
    <row r="2" ht="30" customHeight="1">
      <c r="B2" s="19" t="inlineStr">
        <is>
          <t>FOT (фонд оплаты труда) / Штат — Модель A₂ (Market-Based)</t>
        </is>
      </c>
    </row>
    <row r="3">
      <c r="B3" s="20" t="inlineStr">
        <is>
          <t>43 чел. Рыночные оклады P50 МСК. Индексация 8%/год.</t>
        </is>
      </c>
    </row>
    <row r="5" ht="32" customHeight="1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>
      <c r="B6" s="43" t="n">
        <v>1</v>
      </c>
      <c r="C6" s="23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>
      <c r="B7" s="43" t="n">
        <v>2</v>
      </c>
      <c r="C7" s="23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>
      <c r="B8" s="43" t="n">
        <v>3</v>
      </c>
      <c r="C8" s="23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>
      <c r="B9" s="43" t="n">
        <v>4</v>
      </c>
      <c r="C9" s="23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>
      <c r="B10" s="43" t="n">
        <v>5</v>
      </c>
      <c r="C10" s="23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>
      <c r="B11" s="43" t="n">
        <v>6</v>
      </c>
      <c r="C11" s="23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>
      <c r="B12" s="43" t="n">
        <v>7</v>
      </c>
      <c r="C12" s="23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>
      <c r="B13" s="43" t="n">
        <v>8</v>
      </c>
      <c r="C13" s="23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6" ht="20" customHeight="1">
      <c r="B16" s="14" t="inlineStr">
        <is>
          <t>ФОТ A₂ за 3 года (2026–2028), млн ₽</t>
        </is>
      </c>
    </row>
    <row r="17" ht="28" customHeight="1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>
      <c r="C18" s="52" t="n">
        <v>2026</v>
      </c>
      <c r="D18" s="53" t="n">
        <v>43</v>
      </c>
      <c r="E18" s="54" t="n">
        <v>6420000</v>
      </c>
      <c r="F18" s="54" t="n">
        <v>8346000</v>
      </c>
      <c r="G18" s="55" t="n">
        <v>100.152</v>
      </c>
      <c r="H18" s="56" t="n">
        <v>23.112</v>
      </c>
      <c r="I18" s="57" t="inlineStr">
        <is>
          <t>0.0%</t>
        </is>
      </c>
    </row>
    <row r="19" ht="20" customHeight="1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5">
        <f>G18*1.08</f>
        <v/>
      </c>
      <c r="H19" s="56">
        <f>H18*1.08</f>
        <v/>
      </c>
      <c r="I19" s="57" t="inlineStr">
        <is>
          <t>8.0%</t>
        </is>
      </c>
    </row>
    <row r="20" ht="20" customHeight="1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5">
        <f>G19*1.08</f>
        <v/>
      </c>
      <c r="H20" s="56">
        <f>H19*1.08</f>
        <v/>
      </c>
      <c r="I20" s="57" t="inlineStr">
        <is>
          <t>8.0%</t>
        </is>
      </c>
    </row>
    <row r="21" ht="24" customHeight="1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59">
        <f>SUM(G18:G20)</f>
        <v/>
      </c>
      <c r="H21" s="59">
        <f>SUM(H18:H20)</f>
        <v/>
      </c>
      <c r="I21" s="58" t="inlineStr">
        <is>
          <t>—</t>
        </is>
      </c>
    </row>
    <row r="23" ht="32" customHeight="1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" customWidth="1" min="11" max="11"/>
  </cols>
  <sheetData>
    <row r="2" ht="30" customHeight="1">
      <c r="B2" s="19" t="inlineStr">
        <is>
          <t>FOT (фонд оплаты труда) / Штат — Модель A₂ Dynamic (Динамический) (Market + 8% индексация)</t>
        </is>
      </c>
    </row>
    <row r="3">
      <c r="B3" s="20" t="inlineStr">
        <is>
          <t>Рост штата 43 (фиксированный core) + индексация 8%/год</t>
        </is>
      </c>
    </row>
    <row r="5" ht="20" customHeight="1">
      <c r="B5" s="14" t="inlineStr">
        <is>
          <t>ПАРАМЕТРЫ ДИНАМИКИ (ввод)</t>
        </is>
      </c>
    </row>
    <row r="6" ht="22" customHeight="1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>
      <c r="B8" s="23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>
      <c r="B9" s="23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>
      <c r="B10" s="23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>
      <c r="B12" s="49" t="inlineStr">
        <is>
          <t>ФОТ годовой (млн ₽)</t>
        </is>
      </c>
      <c r="C12" s="59">
        <f>C11*12/1000000</f>
        <v/>
      </c>
      <c r="D12" s="59">
        <f>D11*12/1000000</f>
        <v/>
      </c>
      <c r="E12" s="59">
        <f>E11*12/1000000</f>
        <v/>
      </c>
      <c r="F12" s="59">
        <f>F11*12/1000000</f>
        <v/>
      </c>
      <c r="G12" s="59">
        <f>G11*12/1000000</f>
        <v/>
      </c>
      <c r="H12" s="59">
        <f>H11*12/1000000</f>
        <v/>
      </c>
      <c r="I12" s="59">
        <f>I11*12/1000000</f>
        <v/>
      </c>
    </row>
    <row r="14" ht="20" customHeight="1">
      <c r="B14" s="14" t="inlineStr">
        <is>
          <t>ПОКВАРТАЛЬНАЯ РАЗБИВКА 2026–2028 (млн ₽)</t>
        </is>
      </c>
    </row>
    <row r="15" ht="22" customHeight="1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59">
        <f>SUM(G16:G18)</f>
        <v/>
      </c>
    </row>
    <row r="21" ht="20" customHeight="1">
      <c r="B21" s="14" t="inlineStr">
        <is>
          <t>СРАВНЕНИЕ A₁ Fixed (Фиксированный) vs A₂ Dynamic (Динамический)</t>
        </is>
      </c>
    </row>
    <row r="22" ht="22" customHeight="1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>
      <c r="B26" s="58" t="inlineStr">
        <is>
          <t>Σ 3 года</t>
        </is>
      </c>
      <c r="C26" s="59">
        <f>SUM(C23:C25)</f>
        <v/>
      </c>
      <c r="D26" s="59">
        <f>SUM(D23:D25)</f>
        <v/>
      </c>
      <c r="E26" s="69">
        <f>D26-C26</f>
        <v/>
      </c>
      <c r="F26" s="70">
        <f>(D26-C26)/C26</f>
        <v/>
      </c>
    </row>
    <row r="28" ht="50" customHeight="1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2" customWidth="1" min="9" max="9"/>
  </cols>
  <sheetData>
    <row r="2" ht="30" customHeight="1">
      <c r="B2" s="19" t="inlineStr">
        <is>
          <t>Структура OPEX (Операционные расходы) (Cost Structure (Структура затрат))</t>
        </is>
      </c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</row>
    <row r="5" ht="20" customHeight="1">
      <c r="B5" s="14" t="inlineStr">
        <is>
          <t>OPEX (Операционные расходы) ПО ГОДАМ (Base (Базовый), модель A₂ Market), млн ₽</t>
        </is>
      </c>
    </row>
    <row r="6" ht="22" customHeight="1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>
      <c r="B8" s="23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>
      <c r="B9" s="23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>
      <c r="B10" s="23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>
      <c r="B11" s="23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>
      <c r="B12" s="23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>
      <c r="B13" s="23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>
      <c r="B14" s="23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>
      <c r="B15" s="23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>
      <c r="B16" s="23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>
      <c r="B17" s="23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>
      <c r="B18" s="73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20" ht="20" customHeight="1">
      <c r="B20" s="14" t="inlineStr">
        <is>
          <t>СТРУКТУРА OPEX (Операционные расходы) 2026 (доли, %)</t>
        </is>
      </c>
    </row>
    <row r="21" ht="22" customHeight="1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75" t="n"/>
      <c r="G21" s="75" t="n"/>
      <c r="H21" s="76" t="n"/>
    </row>
    <row r="22" ht="20" customHeight="1">
      <c r="B22" s="23" t="inlineStr">
        <is>
          <t>ФОТ с налогами</t>
        </is>
      </c>
      <c r="C22" s="77">
        <f>C7</f>
        <v/>
      </c>
      <c r="D22" s="78">
        <f>C22/C18</f>
        <v/>
      </c>
      <c r="E22" s="79" t="inlineStr">
        <is>
          <t>ключевая статья (~87%)</t>
        </is>
      </c>
      <c r="F22" s="40" t="n"/>
      <c r="G22" s="40" t="n"/>
      <c r="H22" s="41" t="n"/>
    </row>
    <row r="23" ht="20" customHeight="1">
      <c r="B23" s="23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79" t="inlineStr">
        <is>
          <t>фиксированная аренда 750 м²</t>
        </is>
      </c>
      <c r="F23" s="40" t="n"/>
      <c r="G23" s="40" t="n"/>
      <c r="H23" s="41" t="n"/>
    </row>
    <row r="24" ht="20" customHeight="1">
      <c r="B24" s="23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79" t="inlineStr">
        <is>
          <t>рабочая инфраструктура</t>
        </is>
      </c>
      <c r="F24" s="40" t="n"/>
      <c r="G24" s="40" t="n"/>
      <c r="H24" s="41" t="n"/>
    </row>
    <row r="25" ht="20" customHeight="1">
      <c r="B25" s="23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79" t="inlineStr">
        <is>
          <t>продюсерская деятельность</t>
        </is>
      </c>
      <c r="F25" s="40" t="n"/>
      <c r="G25" s="40" t="n"/>
      <c r="H25" s="41" t="n"/>
    </row>
    <row r="26" ht="20" customHeight="1">
      <c r="B26" s="23" t="inlineStr">
        <is>
          <t>Консультанты (юр/аудит)</t>
        </is>
      </c>
      <c r="C26" s="77" t="n">
        <v>1.5</v>
      </c>
      <c r="D26" s="78">
        <f>C26/C18</f>
        <v/>
      </c>
      <c r="E26" s="79" t="inlineStr">
        <is>
          <t>внешние услуги</t>
        </is>
      </c>
      <c r="F26" s="40" t="n"/>
      <c r="G26" s="40" t="n"/>
      <c r="H26" s="41" t="n"/>
    </row>
    <row r="27" ht="20" customHeight="1">
      <c r="B27" s="23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79" t="inlineStr">
        <is>
          <t>финансовые и PR</t>
        </is>
      </c>
      <c r="F27" s="40" t="n"/>
      <c r="G27" s="40" t="n"/>
      <c r="H27" s="41" t="n"/>
    </row>
    <row r="28" ht="22" customHeight="1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0" t="n"/>
      <c r="G28" s="40" t="n"/>
      <c r="H28" s="41" t="n"/>
    </row>
    <row r="30" ht="20" customHeight="1">
      <c r="B30" s="14" t="inlineStr">
        <is>
          <t>COGS (себестоимость) / ПРОИЗВОДСТВО КОНТЕНТА (обзор)</t>
        </is>
      </c>
    </row>
    <row r="31" ht="22" customHeight="1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75" t="n"/>
      <c r="G31" s="75" t="n"/>
      <c r="H31" s="76" t="n"/>
    </row>
    <row r="32" ht="20" customHeight="1">
      <c r="B32" s="23" t="inlineStr">
        <is>
          <t>Total (Итого) content budget (бюджет)</t>
        </is>
      </c>
      <c r="C32" s="84" t="n">
        <v>1746.8</v>
      </c>
      <c r="D32" s="22" t="inlineStr">
        <is>
          <t>млн ₽</t>
        </is>
      </c>
      <c r="E32" s="79" t="inlineStr">
        <is>
          <t>7 проектов × 154.2</t>
        </is>
      </c>
      <c r="F32" s="40" t="n"/>
      <c r="G32" s="40" t="n"/>
      <c r="H32" s="41" t="n"/>
    </row>
    <row r="33" ht="20" customHeight="1">
      <c r="B33" s="23" t="inlineStr">
        <is>
          <t>Средний бюджет 1 фильма</t>
        </is>
      </c>
      <c r="C33" s="84" t="n">
        <v>145.6</v>
      </c>
      <c r="D33" s="22" t="inlineStr">
        <is>
          <t>млн ₽</t>
        </is>
      </c>
      <c r="E33" s="79" t="inlineStr">
        <is>
          <t>производство + постпрод</t>
        </is>
      </c>
      <c r="F33" s="40" t="n"/>
      <c r="G33" s="40" t="n"/>
      <c r="H33" s="41" t="n"/>
    </row>
    <row r="34" ht="20" customHeight="1">
      <c r="B34" s="23" t="inlineStr">
        <is>
          <t>Producer equity (капитал продюсера)</t>
        </is>
      </c>
      <c r="C34" s="84" t="n">
        <v>600</v>
      </c>
      <c r="D34" s="22" t="inlineStr">
        <is>
          <t>млн ₽</t>
        </is>
      </c>
      <c r="E34" s="79" t="inlineStr">
        <is>
          <t>600 / 1747 = 34.3%</t>
        </is>
      </c>
      <c r="F34" s="40" t="n"/>
      <c r="G34" s="40" t="n"/>
      <c r="H34" s="41" t="n"/>
    </row>
    <row r="35" ht="20" customHeight="1">
      <c r="B35" s="23" t="inlineStr">
        <is>
          <t>Investor (Инвестор) funding</t>
        </is>
      </c>
      <c r="C35" s="84" t="n">
        <v>1250</v>
      </c>
      <c r="D35" s="22" t="inlineStr">
        <is>
          <t>млн ₽</t>
        </is>
      </c>
      <c r="E35" s="79" t="inlineStr">
        <is>
          <t>1250 / 1747 = 71.6%</t>
        </is>
      </c>
      <c r="F35" s="40" t="n"/>
      <c r="G35" s="40" t="n"/>
      <c r="H35" s="41" t="n"/>
    </row>
    <row r="36" ht="20" customHeight="1">
      <c r="B36" s="23" t="inlineStr">
        <is>
          <t>Amortization (Амортизация)</t>
        </is>
      </c>
      <c r="C36" s="84" t="n">
        <v>12</v>
      </c>
      <c r="D36" s="22" t="inlineStr">
        <is>
          <t>млн ₽</t>
        </is>
      </c>
      <c r="E36" s="79" t="inlineStr">
        <is>
          <t>линейная</t>
        </is>
      </c>
      <c r="F36" s="40" t="n"/>
      <c r="G36" s="40" t="n"/>
      <c r="H36" s="41" t="n"/>
    </row>
    <row r="37" ht="20" customHeight="1">
      <c r="B37" s="23" t="inlineStr">
        <is>
          <t>P&amp;A (тиражирование и реклама) (Print &amp; Advertising (Тиражирование и реклама))</t>
        </is>
      </c>
      <c r="C37" s="24" t="n">
        <v>0.15</v>
      </c>
      <c r="D37" s="22" t="inlineStr">
        <is>
          <t>%</t>
        </is>
      </c>
      <c r="E37" s="79" t="inlineStr">
        <is>
          <t>15% от бюджета фильма</t>
        </is>
      </c>
      <c r="F37" s="40" t="n"/>
      <c r="G37" s="40" t="n"/>
      <c r="H37" s="41" t="n"/>
    </row>
    <row r="39" ht="45" customHeight="1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2" ht="30" customHeight="1">
      <c r="B2" s="19" t="inlineStr">
        <is>
          <t>Структура выручки (Revenue Breakdown (Структура выручки))</t>
        </is>
      </c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</row>
    <row r="5" ht="20" customHeight="1">
      <c r="B5" s="14" t="inlineStr">
        <is>
          <t>ВЫРУЧКА ПО ИСТОЧНИКАМ (млн ₽)</t>
        </is>
      </c>
    </row>
    <row r="6" ht="26" customHeight="1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>
      <c r="B7" s="23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>
      <c r="B8" s="23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>
      <c r="B9" s="23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>
      <c r="B10" s="23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>
      <c r="B11" s="23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>
      <c r="B12" s="23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>
      <c r="B13" s="23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>
      <c r="B14" s="23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>
      <c r="B15" s="73" t="inlineStr">
        <is>
          <t>ИТОГО ВЫРУЧКА</t>
        </is>
      </c>
      <c r="C15" s="89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91">
        <f>SUM(G7:G14)</f>
        <v/>
      </c>
      <c r="H15" s="92">
        <f>(F15/D15)^(1/2)-1</f>
        <v/>
      </c>
    </row>
    <row r="17" ht="20" customHeight="1">
      <c r="B17" s="93" t="inlineStr">
        <is>
          <t>ПРОВЕРКА ЯКОРЯ</t>
        </is>
      </c>
    </row>
    <row r="18" ht="22" customHeight="1">
      <c r="B18" s="94" t="inlineStr">
        <is>
          <t>Target Σ Revenue (Выручка) 2026–2028 (якорь)</t>
        </is>
      </c>
      <c r="C18" s="40" t="n"/>
      <c r="D18" s="41" t="n"/>
      <c r="E18" s="95" t="n">
        <v>4545</v>
      </c>
      <c r="F18" s="41" t="n"/>
      <c r="G18" s="79" t="inlineStr">
        <is>
          <t>7 проектов × 649.29 млн ср.</t>
        </is>
      </c>
      <c r="H18" s="41" t="n"/>
    </row>
    <row r="19" ht="22" customHeight="1">
      <c r="B19" s="94" t="inlineStr">
        <is>
          <t>Actual Σ Revenue (Выручка)</t>
        </is>
      </c>
      <c r="C19" s="40" t="n"/>
      <c r="D19" s="41" t="n"/>
      <c r="E19" s="96">
        <f>G15</f>
        <v/>
      </c>
      <c r="F19" s="41" t="n"/>
      <c r="G19" s="79" t="inlineStr">
        <is>
          <t>Sum-check (Контрольная сумма)</t>
        </is>
      </c>
      <c r="H19" s="41" t="n"/>
    </row>
    <row r="20" ht="22" customHeight="1">
      <c r="B20" s="97" t="inlineStr">
        <is>
          <t>Δ = Факт − План</t>
        </is>
      </c>
      <c r="C20" s="40" t="n"/>
      <c r="D20" s="41" t="n"/>
      <c r="E20" s="98">
        <f>G15-4545</f>
        <v/>
      </c>
      <c r="F20" s="41" t="n"/>
      <c r="G20" s="83" t="inlineStr">
        <is>
          <t>✓ должен быть 0.00 (±0.01 tolerance)</t>
        </is>
      </c>
      <c r="H20" s="41" t="n"/>
    </row>
    <row r="22" ht="20" customHeight="1">
      <c r="B22" s="14" t="inlineStr">
        <is>
          <t>СЦЕНАРНЫЙ РАЗБРОС (Bear (Пессимистичный) / Base (Базовый) / Bull (Оптимистичный)), Σ 2026–2028</t>
        </is>
      </c>
    </row>
    <row r="23" ht="26" customHeight="1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>
      <c r="B24" s="9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104" t="inlineStr">
        <is>
          <t>Провал 1-2 тентполов, CPI 8%, господдержка 0%</t>
        </is>
      </c>
    </row>
    <row r="25" ht="24" customHeight="1">
      <c r="B25" s="105" t="inlineStr">
        <is>
          <t>Base (Базовый)</t>
        </is>
      </c>
      <c r="C25" s="106" t="n">
        <v>1</v>
      </c>
      <c r="D25" s="107" t="n">
        <v>4545</v>
      </c>
      <c r="E25" s="108" t="n">
        <v>3000</v>
      </c>
      <c r="F25" s="108" t="n">
        <v>2280</v>
      </c>
      <c r="G25" s="109" t="n">
        <v>0.3</v>
      </c>
      <c r="H25" s="110" t="inlineStr">
        <is>
          <t>Якорь модели, согласован с Холдинг Кино.xlsx</t>
        </is>
      </c>
    </row>
    <row r="26" ht="24" customHeight="1">
      <c r="B26" s="9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104" t="inlineStr">
        <is>
          <t>Все релизы ≥ плана, int'l продажи, господдержка 35%</t>
        </is>
      </c>
    </row>
    <row r="28" ht="70" customHeight="1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</row>
    <row r="29" ht="15" customHeight="1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4" customWidth="1" min="3" max="3"/>
    <col width="2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2" customWidth="1" min="13" max="13"/>
  </cols>
  <sheetData>
    <row r="2" ht="30" customHeight="1">
      <c r="B2" s="19" t="inlineStr">
        <is>
          <t>Портфель контента — 7 проектов (Content Pipeline (Портфель контента))</t>
        </is>
      </c>
    </row>
    <row r="3">
      <c r="B3" s="20" t="inlineStr">
        <is>
          <t>Жанровое распределение, бюджеты, прогнозная выручка и ROI для 5 фильмов и 2 сериалов</t>
        </is>
      </c>
    </row>
    <row r="5" ht="20" customHeight="1">
      <c r="B5" s="14" t="inlineStr">
        <is>
          <t>ПОРТФЕЛЬ 5 ФИЛЬМОВ + 2 СЕРИАЛА (млн ₽)</t>
        </is>
      </c>
    </row>
    <row r="6" ht="32" customHeight="1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>
      <c r="B7" s="111" t="n">
        <v>1</v>
      </c>
      <c r="C7" s="60" t="inlineStr">
        <is>
          <t>Ночной патруль</t>
        </is>
      </c>
      <c r="D7" s="79" t="inlineStr">
        <is>
          <t>Боевик</t>
        </is>
      </c>
      <c r="E7" s="112" t="inlineStr">
        <is>
          <t>Q4 2026</t>
        </is>
      </c>
      <c r="F7" s="27" t="n">
        <v>250</v>
      </c>
      <c r="G7" s="113">
        <f>F7*0.15</f>
        <v/>
      </c>
      <c r="H7" s="114">
        <f>F7+G7</f>
        <v/>
      </c>
      <c r="I7" s="115" t="n">
        <v>570</v>
      </c>
      <c r="J7" s="116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>
      <c r="B8" s="111" t="n">
        <v>2</v>
      </c>
      <c r="C8" s="60" t="inlineStr">
        <is>
          <t>Тёмная сторона</t>
        </is>
      </c>
      <c r="D8" s="79" t="inlineStr">
        <is>
          <t>Сериал 8 эп. · Криминальный триллер</t>
        </is>
      </c>
      <c r="E8" s="112" t="inlineStr">
        <is>
          <t>Q2 2027</t>
        </is>
      </c>
      <c r="F8" s="27" t="n">
        <v>400</v>
      </c>
      <c r="G8" s="113">
        <f>F8*0.15</f>
        <v/>
      </c>
      <c r="H8" s="114">
        <f>F8+G8</f>
        <v/>
      </c>
      <c r="I8" s="115" t="n">
        <v>980</v>
      </c>
      <c r="J8" s="116">
        <f>(I8-H8)/H8</f>
        <v/>
      </c>
      <c r="K8" s="117">
        <f>(I8-H8)/I8</f>
        <v/>
      </c>
      <c r="L8" s="118" t="n">
        <v>18</v>
      </c>
      <c r="M8" s="120" t="inlineStr">
        <is>
          <t>A+</t>
        </is>
      </c>
    </row>
    <row r="9" ht="22" customHeight="1">
      <c r="B9" s="111" t="n">
        <v>3</v>
      </c>
      <c r="C9" s="60" t="inlineStr">
        <is>
          <t>Время героев</t>
        </is>
      </c>
      <c r="D9" s="79" t="inlineStr">
        <is>
          <t>Исторический эпос</t>
        </is>
      </c>
      <c r="E9" s="112" t="inlineStr">
        <is>
          <t>Q3 2027</t>
        </is>
      </c>
      <c r="F9" s="27" t="n">
        <v>280</v>
      </c>
      <c r="G9" s="113">
        <f>F9*0.15</f>
        <v/>
      </c>
      <c r="H9" s="114">
        <f>F9+G9</f>
        <v/>
      </c>
      <c r="I9" s="115" t="n">
        <v>700</v>
      </c>
      <c r="J9" s="116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>
      <c r="B10" s="111" t="n">
        <v>4</v>
      </c>
      <c r="C10" s="60" t="inlineStr">
        <is>
          <t>Наследие</t>
        </is>
      </c>
      <c r="D10" s="79" t="inlineStr">
        <is>
          <t>Сериал 10 эп. · Семейная сага</t>
        </is>
      </c>
      <c r="E10" s="112" t="inlineStr">
        <is>
          <t>Q4 2027</t>
        </is>
      </c>
      <c r="F10" s="27" t="n">
        <v>340</v>
      </c>
      <c r="G10" s="113">
        <f>F10*0.15</f>
        <v/>
      </c>
      <c r="H10" s="114">
        <f>F10+G10</f>
        <v/>
      </c>
      <c r="I10" s="115" t="n">
        <v>795</v>
      </c>
      <c r="J10" s="116">
        <f>(I10-H10)/H10</f>
        <v/>
      </c>
      <c r="K10" s="117">
        <f>(I10-H10)/I10</f>
        <v/>
      </c>
      <c r="L10" s="118" t="n">
        <v>20</v>
      </c>
      <c r="M10" s="120" t="inlineStr">
        <is>
          <t>A</t>
        </is>
      </c>
    </row>
    <row r="11" ht="22" customHeight="1">
      <c r="B11" s="111" t="n">
        <v>5</v>
      </c>
      <c r="C11" s="60" t="inlineStr">
        <is>
          <t>Сказка наяву</t>
        </is>
      </c>
      <c r="D11" s="79" t="inlineStr">
        <is>
          <t>Семейный фэнтези</t>
        </is>
      </c>
      <c r="E11" s="112" t="inlineStr">
        <is>
          <t>Q1 2028</t>
        </is>
      </c>
      <c r="F11" s="27" t="n">
        <v>200</v>
      </c>
      <c r="G11" s="113">
        <f>F11*0.15</f>
        <v/>
      </c>
      <c r="H11" s="114">
        <f>F11+G11</f>
        <v/>
      </c>
      <c r="I11" s="115" t="n">
        <v>520</v>
      </c>
      <c r="J11" s="116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>
      <c r="B12" s="111" t="n">
        <v>6</v>
      </c>
      <c r="C12" s="60" t="inlineStr">
        <is>
          <t>Северный ветер</t>
        </is>
      </c>
      <c r="D12" s="79" t="inlineStr">
        <is>
          <t>Приключенческий</t>
        </is>
      </c>
      <c r="E12" s="112" t="inlineStr">
        <is>
          <t>Q3 2028</t>
        </is>
      </c>
      <c r="F12" s="27" t="n">
        <v>200</v>
      </c>
      <c r="G12" s="113">
        <f>F12*0.15</f>
        <v/>
      </c>
      <c r="H12" s="114">
        <f>F12+G12</f>
        <v/>
      </c>
      <c r="I12" s="115" t="n">
        <v>530</v>
      </c>
      <c r="J12" s="116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>
      <c r="B13" s="111" t="n">
        <v>7</v>
      </c>
      <c r="C13" s="60" t="inlineStr">
        <is>
          <t>Горизонт событий</t>
        </is>
      </c>
      <c r="D13" s="79" t="inlineStr">
        <is>
          <t>Фантастика</t>
        </is>
      </c>
      <c r="E13" s="112" t="inlineStr">
        <is>
          <t>Q4 2028</t>
        </is>
      </c>
      <c r="F13" s="27" t="n">
        <v>180</v>
      </c>
      <c r="G13" s="113">
        <f>F13*0.15</f>
        <v/>
      </c>
      <c r="H13" s="114">
        <f>F13+G13</f>
        <v/>
      </c>
      <c r="I13" s="115" t="n">
        <v>450</v>
      </c>
      <c r="J13" s="116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>
      <c r="C14" s="60" t="n"/>
      <c r="D14" s="79" t="n"/>
      <c r="E14" s="112" t="n"/>
      <c r="F14" s="27" t="n"/>
      <c r="M14" s="121" t="n"/>
    </row>
    <row r="15" ht="22" customHeight="1">
      <c r="C15" s="60" t="n"/>
      <c r="D15" s="79" t="n"/>
      <c r="E15" s="112" t="n"/>
      <c r="F15" s="27" t="n"/>
      <c r="M15" s="120" t="n"/>
    </row>
    <row r="16" ht="22" customHeight="1">
      <c r="C16" s="60" t="n"/>
      <c r="D16" s="79" t="n"/>
      <c r="E16" s="112" t="n"/>
      <c r="F16" s="27" t="n"/>
      <c r="M16" s="119" t="n"/>
    </row>
    <row r="17" ht="22" customHeight="1">
      <c r="C17" s="60" t="n"/>
      <c r="D17" s="79" t="n"/>
      <c r="E17" s="112" t="n"/>
      <c r="F17" s="27" t="n"/>
      <c r="M17" s="121" t="n"/>
    </row>
    <row r="18" ht="22" customHeight="1">
      <c r="C18" s="60" t="n"/>
      <c r="D18" s="79" t="n"/>
      <c r="E18" s="112" t="n"/>
      <c r="F18" s="27" t="n"/>
      <c r="M18" s="119" t="n"/>
    </row>
    <row r="19" ht="28" customHeight="1">
      <c r="B19" s="73" t="inlineStr">
        <is>
          <t>ИТОГО ПОРТФЕЛЬ 5+2</t>
        </is>
      </c>
      <c r="C19" s="40" t="n"/>
      <c r="D19" s="40" t="n"/>
      <c r="E19" s="41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125">
        <f>(I19-H19)/H19</f>
        <v/>
      </c>
      <c r="K19" s="89">
        <f>(I19-H19)/I19</f>
        <v/>
      </c>
      <c r="L19" s="126">
        <f>AVERAGE(L7:L13)</f>
        <v/>
      </c>
      <c r="M19" s="127" t="inlineStr">
        <is>
          <t>—</t>
        </is>
      </c>
    </row>
    <row r="21" ht="20" customHeight="1">
      <c r="B21" s="93" t="inlineStr">
        <is>
          <t>ПРОВЕРКА ЯКОРЕЙ</t>
        </is>
      </c>
    </row>
    <row r="22" ht="20" customHeight="1">
      <c r="B22" s="23" t="inlineStr">
        <is>
          <t>Target Бюджет 1850 млн</t>
        </is>
      </c>
      <c r="C22" s="40" t="n"/>
      <c r="D22" s="40" t="n"/>
      <c r="E22" s="41" t="n"/>
      <c r="F22" s="128" t="inlineStr">
        <is>
          <t>План:</t>
        </is>
      </c>
      <c r="G22" s="129" t="n">
        <v>1850</v>
      </c>
      <c r="H22" s="128" t="inlineStr">
        <is>
          <t>Факт:</t>
        </is>
      </c>
      <c r="I22" s="130">
        <f>F19</f>
        <v/>
      </c>
      <c r="J22" s="131" t="inlineStr">
        <is>
          <t>✓</t>
        </is>
      </c>
      <c r="K22" s="40" t="n"/>
      <c r="L22" s="40" t="n"/>
      <c r="M22" s="41" t="n"/>
    </row>
    <row r="23" ht="20" customHeight="1">
      <c r="B23" s="23" t="inlineStr">
        <is>
          <t>Target Revenue (Выручка) 4545 млн</t>
        </is>
      </c>
      <c r="C23" s="40" t="n"/>
      <c r="D23" s="40" t="n"/>
      <c r="E23" s="41" t="n"/>
      <c r="F23" s="128" t="inlineStr">
        <is>
          <t>План:</t>
        </is>
      </c>
      <c r="G23" s="129" t="n">
        <v>4545</v>
      </c>
      <c r="H23" s="128" t="inlineStr">
        <is>
          <t>Факт:</t>
        </is>
      </c>
      <c r="I23" s="130">
        <f>I19</f>
        <v/>
      </c>
      <c r="J23" s="131" t="inlineStr">
        <is>
          <t>✓</t>
        </is>
      </c>
      <c r="K23" s="40" t="n"/>
      <c r="L23" s="40" t="n"/>
      <c r="M23" s="41" t="n"/>
    </row>
    <row r="24" ht="20" customHeight="1">
      <c r="B24" s="23" t="inlineStr">
        <is>
          <t>Средний бюджет / проект</t>
        </is>
      </c>
      <c r="C24" s="40" t="n"/>
      <c r="D24" s="40" t="n"/>
      <c r="E24" s="41" t="n"/>
      <c r="F24" s="128" t="inlineStr">
        <is>
          <t>План:</t>
        </is>
      </c>
      <c r="G24" s="129" t="n">
        <v>264.2857142857143</v>
      </c>
      <c r="H24" s="128" t="inlineStr">
        <is>
          <t>Факт:</t>
        </is>
      </c>
      <c r="I24" s="130">
        <f>F19/7</f>
        <v/>
      </c>
      <c r="J24" s="131" t="inlineStr">
        <is>
          <t>✓</t>
        </is>
      </c>
      <c r="K24" s="40" t="n"/>
      <c r="L24" s="40" t="n"/>
      <c r="M24" s="41" t="n"/>
    </row>
    <row r="25" ht="20" customHeight="1">
      <c r="B25" s="23" t="inlineStr">
        <is>
          <t>Средняя выручка / проект</t>
        </is>
      </c>
      <c r="C25" s="40" t="n"/>
      <c r="D25" s="40" t="n"/>
      <c r="E25" s="41" t="n"/>
      <c r="F25" s="128" t="inlineStr">
        <is>
          <t>План:</t>
        </is>
      </c>
      <c r="G25" s="129" t="n">
        <v>649.2857142857143</v>
      </c>
      <c r="H25" s="128" t="inlineStr">
        <is>
          <t>Факт:</t>
        </is>
      </c>
      <c r="I25" s="130">
        <f>I19/7</f>
        <v/>
      </c>
      <c r="J25" s="131" t="inlineStr">
        <is>
          <t>✓</t>
        </is>
      </c>
      <c r="K25" s="40" t="n"/>
      <c r="L25" s="40" t="n"/>
      <c r="M25" s="41" t="n"/>
    </row>
    <row r="26" ht="20" customHeight="1">
      <c r="B26" s="23" t="inlineStr">
        <is>
          <t>Средний Revenue (Выручка) множитель</t>
        </is>
      </c>
      <c r="C26" s="40" t="n"/>
      <c r="D26" s="40" t="n"/>
      <c r="E26" s="41" t="n"/>
      <c r="F26" s="128" t="inlineStr">
        <is>
          <t>План:</t>
        </is>
      </c>
      <c r="G26" s="129" t="n">
        <v>2.457</v>
      </c>
      <c r="H26" s="128" t="inlineStr">
        <is>
          <t>Факт:</t>
        </is>
      </c>
      <c r="I26" s="130">
        <f>I19/F19</f>
        <v/>
      </c>
      <c r="J26" s="131" t="inlineStr">
        <is>
          <t>✓</t>
        </is>
      </c>
      <c r="K26" s="40" t="n"/>
      <c r="L26" s="40" t="n"/>
      <c r="M26" s="41" t="n"/>
    </row>
    <row r="28" ht="20" customHeight="1">
      <c r="B28" s="14" t="inlineStr">
        <is>
          <t>РАСПИСАНИЕ РЕЛИЗОВ ПО КВАРТАЛАМ</t>
        </is>
      </c>
    </row>
    <row r="29" ht="24" customHeight="1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75" t="n"/>
      <c r="F29" s="75" t="n"/>
      <c r="G29" s="75" t="n"/>
      <c r="H29" s="76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75" t="n"/>
      <c r="M29" s="76" t="n"/>
    </row>
    <row r="30" ht="28" customHeight="1">
      <c r="B30" s="62" t="inlineStr">
        <is>
          <t>Q4 2026</t>
        </is>
      </c>
      <c r="C30" s="132" t="n">
        <v>1</v>
      </c>
      <c r="D30" s="133" t="inlineStr">
        <is>
          <t>Ночной патруль</t>
        </is>
      </c>
      <c r="E30" s="40" t="n"/>
      <c r="F30" s="40" t="n"/>
      <c r="G30" s="40" t="n"/>
      <c r="H30" s="41" t="n"/>
      <c r="I30" s="134" t="n">
        <v>250</v>
      </c>
      <c r="J30" s="108" t="n">
        <v>570</v>
      </c>
      <c r="K30" s="116" t="n">
        <v>0.9826086956521739</v>
      </c>
      <c r="L30" s="40" t="n"/>
      <c r="M30" s="41" t="n"/>
    </row>
    <row r="31" ht="28" customHeight="1">
      <c r="B31" s="62" t="inlineStr">
        <is>
          <t>Q2 2027</t>
        </is>
      </c>
      <c r="C31" s="132" t="n">
        <v>1</v>
      </c>
      <c r="D31" s="133" t="inlineStr">
        <is>
          <t>Тёмная сторона</t>
        </is>
      </c>
      <c r="E31" s="40" t="n"/>
      <c r="F31" s="40" t="n"/>
      <c r="G31" s="40" t="n"/>
      <c r="H31" s="41" t="n"/>
      <c r="I31" s="134" t="n">
        <v>400</v>
      </c>
      <c r="J31" s="108" t="n">
        <v>980</v>
      </c>
      <c r="K31" s="116" t="n">
        <v>1.130434782608696</v>
      </c>
      <c r="L31" s="40" t="n"/>
      <c r="M31" s="41" t="n"/>
    </row>
    <row r="32" ht="28" customHeight="1">
      <c r="B32" s="62" t="inlineStr">
        <is>
          <t>Q3 2027</t>
        </is>
      </c>
      <c r="C32" s="132" t="n">
        <v>1</v>
      </c>
      <c r="D32" s="133" t="inlineStr">
        <is>
          <t>Время героев</t>
        </is>
      </c>
      <c r="E32" s="40" t="n"/>
      <c r="F32" s="40" t="n"/>
      <c r="G32" s="40" t="n"/>
      <c r="H32" s="41" t="n"/>
      <c r="I32" s="134" t="n">
        <v>280</v>
      </c>
      <c r="J32" s="108" t="n">
        <v>700</v>
      </c>
      <c r="K32" s="116" t="n">
        <v>1.173913043478261</v>
      </c>
      <c r="L32" s="40" t="n"/>
      <c r="M32" s="41" t="n"/>
    </row>
    <row r="33" ht="28" customHeight="1">
      <c r="B33" s="62" t="inlineStr">
        <is>
          <t>Q4 2027</t>
        </is>
      </c>
      <c r="C33" s="132" t="n">
        <v>1</v>
      </c>
      <c r="D33" s="133" t="inlineStr">
        <is>
          <t>Наследие</t>
        </is>
      </c>
      <c r="E33" s="40" t="n"/>
      <c r="F33" s="40" t="n"/>
      <c r="G33" s="40" t="n"/>
      <c r="H33" s="41" t="n"/>
      <c r="I33" s="134" t="n">
        <v>340</v>
      </c>
      <c r="J33" s="108" t="n">
        <v>795</v>
      </c>
      <c r="K33" s="116" t="n">
        <v>1.033248081841432</v>
      </c>
      <c r="L33" s="40" t="n"/>
      <c r="M33" s="41" t="n"/>
    </row>
    <row r="34" ht="28" customHeight="1">
      <c r="B34" s="62" t="inlineStr">
        <is>
          <t>Q1 2028</t>
        </is>
      </c>
      <c r="C34" s="132" t="n">
        <v>1</v>
      </c>
      <c r="D34" s="133" t="inlineStr">
        <is>
          <t>Сказка наяву</t>
        </is>
      </c>
      <c r="E34" s="40" t="n"/>
      <c r="F34" s="40" t="n"/>
      <c r="G34" s="40" t="n"/>
      <c r="H34" s="41" t="n"/>
      <c r="I34" s="134" t="n">
        <v>200</v>
      </c>
      <c r="J34" s="108" t="n">
        <v>520</v>
      </c>
      <c r="K34" s="116" t="n">
        <v>1.260869565217391</v>
      </c>
      <c r="L34" s="40" t="n"/>
      <c r="M34" s="41" t="n"/>
    </row>
    <row r="35" ht="28" customHeight="1">
      <c r="B35" s="62" t="inlineStr">
        <is>
          <t>Q3 2028</t>
        </is>
      </c>
      <c r="C35" s="132" t="n">
        <v>1</v>
      </c>
      <c r="D35" s="133" t="inlineStr">
        <is>
          <t>Северный ветер</t>
        </is>
      </c>
      <c r="E35" s="40" t="n"/>
      <c r="F35" s="40" t="n"/>
      <c r="G35" s="40" t="n"/>
      <c r="H35" s="41" t="n"/>
      <c r="I35" s="134" t="n">
        <v>200</v>
      </c>
      <c r="J35" s="108" t="n">
        <v>530</v>
      </c>
      <c r="K35" s="116" t="n">
        <v>1.304347826086957</v>
      </c>
      <c r="L35" s="40" t="n"/>
      <c r="M35" s="41" t="n"/>
    </row>
    <row r="36" ht="28" customHeight="1">
      <c r="B36" s="62" t="inlineStr">
        <is>
          <t>Q4 2028</t>
        </is>
      </c>
      <c r="C36" s="132" t="n">
        <v>1</v>
      </c>
      <c r="D36" s="133" t="inlineStr">
        <is>
          <t>Горизонт событий</t>
        </is>
      </c>
      <c r="E36" s="40" t="n"/>
      <c r="F36" s="40" t="n"/>
      <c r="G36" s="40" t="n"/>
      <c r="H36" s="41" t="n"/>
      <c r="I36" s="134" t="n">
        <v>180</v>
      </c>
      <c r="J36" s="108" t="n">
        <v>450</v>
      </c>
      <c r="K36" s="116" t="n">
        <v>1.173913043478261</v>
      </c>
      <c r="L36" s="40" t="n"/>
      <c r="M36" s="41" t="n"/>
    </row>
    <row r="37" ht="28" customHeight="1">
      <c r="B37" s="62" t="n"/>
      <c r="D37" s="133" t="n"/>
      <c r="E37" s="40" t="n"/>
      <c r="F37" s="40" t="n"/>
      <c r="G37" s="40" t="n"/>
      <c r="H37" s="41" t="n"/>
      <c r="K37" s="116" t="n"/>
      <c r="L37" s="40" t="n"/>
      <c r="M37" s="41" t="n"/>
    </row>
    <row r="38" ht="28" customHeight="1">
      <c r="B38" s="62" t="n"/>
      <c r="D38" s="133" t="n"/>
      <c r="E38" s="40" t="n"/>
      <c r="F38" s="40" t="n"/>
      <c r="G38" s="40" t="n"/>
      <c r="H38" s="41" t="n"/>
      <c r="K38" s="116" t="n"/>
      <c r="L38" s="40" t="n"/>
      <c r="M38" s="41" t="n"/>
    </row>
    <row r="40" ht="60" customHeight="1">
      <c r="B40" s="18" t="inlineStr">
        <is>
          <t>⚫ 5 фильмов для кинотеатрального проката + 2 оригинальных сериала для SVOD/ТВ-платформ</t>
        </is>
      </c>
    </row>
    <row r="42">
      <c r="B42" s="569" t="inlineStr">
        <is>
          <t>NDP (чистые распределяемые поступления) DISTRIBUTION TIMING (fast A+C pattern (паттерн) под W₅)</t>
        </is>
      </c>
    </row>
    <row r="43" ht="32" customHeight="1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</row>
    <row r="45">
      <c r="B45" s="571" t="inlineStr">
        <is>
          <t>Год</t>
        </is>
      </c>
      <c r="C45" s="571" t="inlineStr">
        <is>
          <t>NDP (чистые распределяемые поступления), млн ₽</t>
        </is>
      </c>
      <c r="D45" s="571" t="inlineStr">
        <is>
          <t>Share (Доля)</t>
        </is>
      </c>
      <c r="E45" s="571" t="inlineStr">
        <is>
          <t>Декомпозиция</t>
        </is>
      </c>
    </row>
    <row r="46">
      <c r="B46" s="572" t="inlineStr">
        <is>
          <t>2029</t>
        </is>
      </c>
      <c r="C46" s="572" t="n">
        <v>990</v>
      </c>
      <c r="D46" s="572" t="n">
        <v>0.33</v>
      </c>
      <c r="E46" s="574" t="inlineStr">
        <is>
          <t>Domestic (Внутренний рынок) 540 + SVoD advance (аванс) 270 + Intl (Междунар.) 180</t>
        </is>
      </c>
    </row>
    <row r="47">
      <c r="B47" s="572" t="inlineStr">
        <is>
          <t>2030</t>
        </is>
      </c>
      <c r="C47" s="572" t="n">
        <v>1350</v>
      </c>
      <c r="D47" s="572" t="n">
        <v>0.45</v>
      </c>
      <c r="E47" s="574" t="inlineStr">
        <is>
          <t>Domestic (Внутренний рынок) 2700 × 50% — пик монетизации</t>
        </is>
      </c>
    </row>
    <row r="48">
      <c r="B48" s="572" t="inlineStr">
        <is>
          <t>2031</t>
        </is>
      </c>
      <c r="C48" s="572" t="n">
        <v>270</v>
      </c>
      <c r="D48" s="572" t="n">
        <v>0.09</v>
      </c>
      <c r="E48" s="574" t="inlineStr">
        <is>
          <t>Domestic (Внутренний рынок) 405 − 135 (SVoD аванс перенесён)</t>
        </is>
      </c>
    </row>
    <row r="49">
      <c r="B49" s="572" t="inlineStr">
        <is>
          <t>2032</t>
        </is>
      </c>
      <c r="C49" s="572" t="n">
        <v>390</v>
      </c>
      <c r="D49" s="572" t="n">
        <v>0.13</v>
      </c>
      <c r="E49" s="574" t="inlineStr">
        <is>
          <t>Domestic 270 + Intl tail (хвостовой период) 120 (exit year)</t>
        </is>
      </c>
    </row>
    <row r="50">
      <c r="B50" s="571" t="inlineStr">
        <is>
          <t>Σ</t>
        </is>
      </c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30" customWidth="1" min="21" max="21"/>
  </cols>
  <sheetData>
    <row r="2" ht="28" customHeight="1">
      <c r="B2" s="162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Комментарий</t>
        </is>
      </c>
    </row>
    <row r="6" ht="20" customHeight="1">
      <c r="B6" s="168" t="inlineStr">
        <is>
          <t>I.  ОБОРОТНЫЕ АКТИВЫ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191" t="inlineStr">
        <is>
          <t>1.1</t>
        </is>
      </c>
      <c r="C7" s="192" t="inlineStr">
        <is>
          <t>Дебиторская задолженность (25% квартальной выручки)</t>
        </is>
      </c>
      <c r="D7" s="193" t="n">
        <v>0</v>
      </c>
      <c r="E7" s="193" t="n">
        <v>0</v>
      </c>
      <c r="F7" s="193" t="n">
        <v>0</v>
      </c>
      <c r="G7" s="193" t="n">
        <v>142.5</v>
      </c>
      <c r="H7" s="193" t="n">
        <v>0</v>
      </c>
      <c r="I7" s="193" t="n">
        <v>245</v>
      </c>
      <c r="J7" s="193" t="n">
        <v>175</v>
      </c>
      <c r="K7" s="193" t="n">
        <v>198.75</v>
      </c>
      <c r="L7" s="193" t="n">
        <v>130</v>
      </c>
      <c r="M7" s="193" t="n">
        <v>0</v>
      </c>
      <c r="N7" s="193" t="n">
        <v>132.5</v>
      </c>
      <c r="O7" s="193" t="n">
        <v>112.5</v>
      </c>
      <c r="P7" s="193" t="n">
        <v>95</v>
      </c>
      <c r="Q7" s="193" t="n">
        <v>75</v>
      </c>
      <c r="R7" s="193" t="n">
        <v>55</v>
      </c>
      <c r="S7" s="193" t="n">
        <v>37.5</v>
      </c>
      <c r="T7" s="194" t="n">
        <v>1136.2</v>
      </c>
      <c r="U7" s="182" t="inlineStr">
        <is>
          <t>AR = 25% × Revenue (Выручка) квартала</t>
        </is>
      </c>
    </row>
    <row r="8" ht="18" customHeight="1">
      <c r="B8" s="191" t="inlineStr">
        <is>
          <t>1.2</t>
        </is>
      </c>
      <c r="C8" s="192" t="inlineStr">
        <is>
          <t>Prepaid expenses (Авансовые платежи) / Inventory</t>
        </is>
      </c>
      <c r="D8" s="193" t="n">
        <v>0</v>
      </c>
      <c r="E8" s="193" t="n">
        <v>0</v>
      </c>
      <c r="F8" s="193" t="n">
        <v>0</v>
      </c>
      <c r="G8" s="193" t="n">
        <v>28.5</v>
      </c>
      <c r="H8" s="193" t="n">
        <v>0</v>
      </c>
      <c r="I8" s="193" t="n">
        <v>49</v>
      </c>
      <c r="J8" s="193" t="n">
        <v>35</v>
      </c>
      <c r="K8" s="193" t="n">
        <v>39.75</v>
      </c>
      <c r="L8" s="193" t="n">
        <v>26</v>
      </c>
      <c r="M8" s="193" t="n">
        <v>0</v>
      </c>
      <c r="N8" s="193" t="n">
        <v>26.5</v>
      </c>
      <c r="O8" s="193" t="n">
        <v>22.5</v>
      </c>
      <c r="P8" s="193" t="n">
        <v>19</v>
      </c>
      <c r="Q8" s="193" t="n">
        <v>15</v>
      </c>
      <c r="R8" s="193" t="n">
        <v>11</v>
      </c>
      <c r="S8" s="193" t="n">
        <v>7.5</v>
      </c>
      <c r="T8" s="194" t="n">
        <v>227.2</v>
      </c>
      <c r="U8" s="182" t="inlineStr">
        <is>
          <t>5% × Revenue (Выручка)</t>
        </is>
      </c>
    </row>
    <row r="9" ht="20" customHeight="1">
      <c r="B9" s="168" t="inlineStr">
        <is>
          <t>II.  ОБОРОТНЫЕ ОБЯЗАТЕЛЬСТВА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204" t="inlineStr">
        <is>
          <t>AP = 30% × (OpEx + P&amp;A (тиражирование и реклама))</t>
        </is>
      </c>
    </row>
    <row r="11" ht="20" customHeight="1">
      <c r="B11" s="168" t="inlineStr">
        <is>
          <t>III.  ЧИСТЫЙ ОБОРОТНЫЙ КАПИТАЛ</t>
        </is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7" t="n"/>
    </row>
    <row r="12" ht="18" customHeight="1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183" t="inlineStr">
        <is>
          <t>Влияние на OCF: − при росте NWC (чистый оборотный капитал)</t>
        </is>
      </c>
    </row>
    <row r="16" ht="22" customHeight="1">
      <c r="B16" s="211" t="inlineStr">
        <is>
          <t>✓ NWC end Q4'28 = 117.4 млн ₽ | ΔNWC Σ = 117.4</t>
        </is>
      </c>
      <c r="C16" s="188" t="n"/>
      <c r="D16" s="188" t="n"/>
      <c r="E16" s="188" t="n"/>
      <c r="F16" s="188" t="n"/>
      <c r="G16" s="188" t="n"/>
      <c r="H16" s="188" t="n"/>
      <c r="I16" s="188" t="n"/>
      <c r="J16" s="188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188" t="n"/>
      <c r="T16" s="188" t="n"/>
      <c r="U16" s="185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28" customWidth="1" min="21" max="21"/>
  </cols>
  <sheetData>
    <row r="2" ht="28" customHeight="1">
      <c r="B2" s="162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</row>
    <row r="5" ht="20" customHeight="1">
      <c r="B5" s="166" t="inlineStr">
        <is>
          <t>#</t>
        </is>
      </c>
      <c r="C5" s="190" t="inlineStr">
        <is>
          <t>Позиция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2026–2032</t>
        </is>
      </c>
      <c r="U5" s="167" t="inlineStr">
        <is>
          <t>Комментарий</t>
        </is>
      </c>
    </row>
    <row r="6" ht="20" customHeight="1">
      <c r="B6" s="168" t="inlineStr">
        <is>
          <t>I.  ПРИВЛЕЧЕНИЕ СРЕДСТВ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205" t="inlineStr">
        <is>
          <t>1.1</t>
        </is>
      </c>
      <c r="C7" s="206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208" t="n">
        <v>0</v>
      </c>
      <c r="U7" s="159" t="inlineStr">
        <is>
          <t>Баланс принципала на начало</t>
        </is>
      </c>
    </row>
    <row r="8" ht="18" customHeight="1">
      <c r="B8" s="191" t="inlineStr">
        <is>
          <t>1.2</t>
        </is>
      </c>
      <c r="C8" s="192" t="inlineStr">
        <is>
          <t>(+) Draws (tranches (транши))</t>
        </is>
      </c>
      <c r="D8" s="193" t="n">
        <v>250</v>
      </c>
      <c r="E8" s="193" t="n">
        <v>0</v>
      </c>
      <c r="F8" s="193" t="n">
        <v>0</v>
      </c>
      <c r="G8" s="193" t="n">
        <v>350</v>
      </c>
      <c r="H8" s="193" t="n">
        <v>0</v>
      </c>
      <c r="I8" s="193" t="n">
        <v>0</v>
      </c>
      <c r="J8" s="193" t="n">
        <v>350</v>
      </c>
      <c r="K8" s="193" t="n">
        <v>0</v>
      </c>
      <c r="L8" s="193" t="n">
        <v>0</v>
      </c>
      <c r="M8" s="193" t="n">
        <v>300</v>
      </c>
      <c r="N8" s="193" t="n">
        <v>0</v>
      </c>
      <c r="O8" s="193" t="n">
        <v>0</v>
      </c>
      <c r="P8" s="193" t="n">
        <v>0</v>
      </c>
      <c r="Q8" s="193" t="n">
        <v>0</v>
      </c>
      <c r="R8" s="193" t="n">
        <v>0</v>
      </c>
      <c r="S8" s="193" t="n">
        <v>0</v>
      </c>
      <c r="T8" s="194" t="n">
        <v>1250</v>
      </c>
      <c r="U8" s="182" t="inlineStr">
        <is>
          <t>250/350/350/300 = 1 250</t>
        </is>
      </c>
    </row>
    <row r="9" ht="20" customHeight="1">
      <c r="B9" s="168" t="inlineStr">
        <is>
          <t>II.  INTEREST (ПРОЦЕНТНЫЕ РАСХОДЫ) (servicing cost)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204" t="inlineStr">
        <is>
          <t>Проценты начислены</t>
        </is>
      </c>
    </row>
    <row r="11" ht="18" customHeight="1">
      <c r="B11" s="200" t="inlineStr">
        <is>
          <t>2.2</t>
        </is>
      </c>
      <c r="C11" s="201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204" t="inlineStr">
        <is>
          <t>Платятся в том же периоде</t>
        </is>
      </c>
    </row>
    <row r="12" ht="20" customHeight="1">
      <c r="B12" s="168" t="inlineStr">
        <is>
          <t>III.  ПОГАШЕНИЕ ОСНОВНОГО ДОЛГА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7" t="n"/>
    </row>
    <row r="13" ht="18" customHeight="1">
      <c r="B13" s="200" t="inlineStr">
        <is>
          <t>3.1</t>
        </is>
      </c>
      <c r="C13" s="201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204" t="inlineStr">
        <is>
          <t>Из distributions 2029-2030</t>
        </is>
      </c>
    </row>
    <row r="14" ht="20" customHeight="1">
      <c r="B14" s="168" t="inlineStr">
        <is>
          <t>IV.  КОНЕЧНЫЙ ОСТАТОК</t>
        </is>
      </c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7" t="n"/>
    </row>
    <row r="15" ht="18" customHeight="1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>
      <c r="B16" s="168" t="inlineStr">
        <is>
          <t>V.  КУМУЛЯТИВ</t>
        </is>
      </c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7" t="n"/>
    </row>
    <row r="17" ht="18" customHeight="1">
      <c r="B17" s="205" t="inlineStr">
        <is>
          <t>5.1</t>
        </is>
      </c>
      <c r="C17" s="206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208" t="n">
        <v>1250</v>
      </c>
      <c r="U17" s="159" t="inlineStr">
        <is>
          <t>Должно ≤ 1 250</t>
        </is>
      </c>
    </row>
    <row r="18" ht="18" customHeight="1">
      <c r="B18" s="205" t="inlineStr">
        <is>
          <t>5.2</t>
        </is>
      </c>
      <c r="C18" s="206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208" t="n">
        <v>15</v>
      </c>
      <c r="U18" s="159" t="inlineStr">
        <is>
          <t>Должно = 15</t>
        </is>
      </c>
    </row>
    <row r="19" ht="18" customHeight="1">
      <c r="B19" s="205" t="inlineStr">
        <is>
          <t>5.3</t>
        </is>
      </c>
      <c r="C19" s="206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208" t="n">
        <v>1250</v>
      </c>
      <c r="U19" s="159" t="inlineStr">
        <is>
          <t>Должно = 1 250</t>
        </is>
      </c>
    </row>
    <row r="20" ht="20" customHeight="1">
      <c r="B20" s="168" t="inlineStr">
        <is>
          <t>VI.  ПОТЕНЦИАЛ РОСТА КАПИТАЛА (sharing profit component)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7" t="n"/>
    </row>
    <row r="21" ht="18" customHeight="1">
      <c r="B21" s="191" t="inlineStr">
        <is>
          <t>6.1</t>
        </is>
      </c>
      <c r="C21" s="192" t="inlineStr">
        <is>
          <t>Equity (Собственный капитал) upside distributed</t>
        </is>
      </c>
      <c r="D21" s="193" t="n">
        <v>0</v>
      </c>
      <c r="E21" s="193" t="n">
        <v>0</v>
      </c>
      <c r="F21" s="193" t="n">
        <v>0</v>
      </c>
      <c r="G21" s="193" t="n">
        <v>0</v>
      </c>
      <c r="H21" s="193" t="n">
        <v>0</v>
      </c>
      <c r="I21" s="193" t="n">
        <v>0</v>
      </c>
      <c r="J21" s="193" t="n">
        <v>0</v>
      </c>
      <c r="K21" s="193" t="n">
        <v>0</v>
      </c>
      <c r="L21" s="193" t="n">
        <v>0</v>
      </c>
      <c r="M21" s="193" t="n">
        <v>0</v>
      </c>
      <c r="N21" s="193" t="n">
        <v>0</v>
      </c>
      <c r="O21" s="193" t="n">
        <v>0</v>
      </c>
      <c r="P21" s="193" t="n">
        <v>0</v>
      </c>
      <c r="Q21" s="193" t="n">
        <v>301</v>
      </c>
      <c r="R21" s="193" t="n">
        <v>443</v>
      </c>
      <c r="S21" s="193" t="n">
        <v>221</v>
      </c>
      <c r="T21" s="194" t="n">
        <v>965</v>
      </c>
      <c r="U21" s="182" t="inlineStr">
        <is>
          <t>Доля в прибыли сверх принципала (= 965)</t>
        </is>
      </c>
    </row>
    <row r="22" ht="18" customHeight="1">
      <c r="B22" s="205" t="inlineStr">
        <is>
          <t>6.2</t>
        </is>
      </c>
      <c r="C22" s="206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208" t="n">
        <v>965</v>
      </c>
      <c r="U22" s="159" t="inlineStr">
        <is>
          <t>Должно = 965</t>
        </is>
      </c>
    </row>
    <row r="24" ht="24" customHeight="1">
      <c r="B24" s="211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188" t="n"/>
      <c r="D24" s="188" t="n"/>
      <c r="E24" s="188" t="n"/>
      <c r="F24" s="188" t="n"/>
      <c r="G24" s="188" t="n"/>
      <c r="H24" s="188" t="n"/>
      <c r="I24" s="188" t="n"/>
      <c r="J24" s="188" t="n"/>
      <c r="K24" s="188" t="n"/>
      <c r="L24" s="188" t="n"/>
      <c r="M24" s="188" t="n"/>
      <c r="N24" s="188" t="n"/>
      <c r="O24" s="188" t="n"/>
      <c r="P24" s="188" t="n"/>
      <c r="Q24" s="188" t="n"/>
      <c r="R24" s="188" t="n"/>
      <c r="S24" s="188" t="n"/>
      <c r="T24" s="188" t="n"/>
      <c r="U24" s="185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4" customWidth="1" min="16" max="16"/>
    <col width="30" customWidth="1" min="17" max="17"/>
  </cols>
  <sheetData>
    <row r="2" ht="28" customHeight="1">
      <c r="B2" s="162" t="inlineStr">
        <is>
          <t>14  ·  INVESTMENT (ИНВЕСТИЦИИ) INFLOW SCHEDULE  ·  T₁ Legacy (Базовый вариант) Tranche (Транш) Structure</t>
        </is>
      </c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2026–2028</t>
        </is>
      </c>
      <c r="Q5" s="167" t="inlineStr">
        <is>
          <t>Milestone / Комментарий</t>
        </is>
      </c>
    </row>
    <row r="6" ht="20" customHeight="1">
      <c r="B6" s="168" t="inlineStr">
        <is>
          <t>I.  ГРАФИК ТРАНШЕЙ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7" t="n"/>
    </row>
    <row r="7" ht="22" customHeight="1">
      <c r="B7" s="205" t="inlineStr">
        <is>
          <t>T₁.1</t>
        </is>
      </c>
      <c r="C7" s="206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4" t="n">
        <v>250</v>
      </c>
      <c r="Q7" s="159" t="inlineStr">
        <is>
          <t>Q1'26: запуск pre-production «Ночной патруль»</t>
        </is>
      </c>
    </row>
    <row r="8" ht="22" customHeight="1">
      <c r="B8" s="205" t="inlineStr">
        <is>
          <t>T₁.2</t>
        </is>
      </c>
      <c r="C8" s="206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4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>
      <c r="B9" s="205" t="inlineStr">
        <is>
          <t>T₁.3</t>
        </is>
      </c>
      <c r="C9" s="206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194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>
      <c r="B10" s="205" t="inlineStr">
        <is>
          <t>T₁.4</t>
        </is>
      </c>
      <c r="C10" s="206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194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3" ht="20" customHeight="1">
      <c r="B13" s="168" t="inlineStr">
        <is>
          <t>II.  CUMULATIVE INFLOW (КУМУЛЯТИВНЫЕ ПОСТУПЛЕНИЯ)  &amp;  COVERAGE %</t>
        </is>
      </c>
      <c r="C13" s="186" t="n"/>
      <c r="D13" s="186" t="n"/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6" t="n"/>
      <c r="O13" s="186" t="n"/>
      <c r="P13" s="186" t="n"/>
      <c r="Q13" s="187" t="n"/>
    </row>
    <row r="14" ht="18" customHeight="1">
      <c r="B14" s="205" t="inlineStr">
        <is>
          <t>2.1</t>
        </is>
      </c>
      <c r="C14" s="213" t="inlineStr">
        <is>
          <t>Σ Cumulative (Накопительный) inflow</t>
        </is>
      </c>
      <c r="D14" s="219" t="n">
        <v>250</v>
      </c>
      <c r="E14" s="219" t="n">
        <v>250</v>
      </c>
      <c r="F14" s="219" t="n">
        <v>250</v>
      </c>
      <c r="G14" s="219" t="n">
        <v>600</v>
      </c>
      <c r="H14" s="219" t="n">
        <v>600</v>
      </c>
      <c r="I14" s="219" t="n">
        <v>600</v>
      </c>
      <c r="J14" s="219" t="n">
        <v>950</v>
      </c>
      <c r="K14" s="219" t="n">
        <v>950</v>
      </c>
      <c r="L14" s="219" t="n">
        <v>950</v>
      </c>
      <c r="M14" s="219" t="n">
        <v>1250</v>
      </c>
      <c r="N14" s="219" t="n">
        <v>1250</v>
      </c>
      <c r="O14" s="219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>
      <c r="B15" s="205" t="inlineStr">
        <is>
          <t>2.2</t>
        </is>
      </c>
      <c r="C15" s="213" t="inlineStr">
        <is>
          <t>Покрытие % (привлечено / итого)</t>
        </is>
      </c>
      <c r="D15" s="220" t="n">
        <v>20</v>
      </c>
      <c r="E15" s="220" t="n">
        <v>20</v>
      </c>
      <c r="F15" s="220" t="n">
        <v>20</v>
      </c>
      <c r="G15" s="220" t="n">
        <v>48</v>
      </c>
      <c r="H15" s="220" t="n">
        <v>48</v>
      </c>
      <c r="I15" s="220" t="n">
        <v>48</v>
      </c>
      <c r="J15" s="220" t="n">
        <v>76</v>
      </c>
      <c r="K15" s="220" t="n">
        <v>76</v>
      </c>
      <c r="L15" s="220" t="n">
        <v>76</v>
      </c>
      <c r="M15" s="220" t="n">
        <v>100</v>
      </c>
      <c r="N15" s="220" t="n">
        <v>100</v>
      </c>
      <c r="O15" s="220" t="n">
        <v>100</v>
      </c>
      <c r="P15" s="221" t="n">
        <v>100</v>
      </c>
      <c r="Q15" s="159" t="inlineStr">
        <is>
          <t>Доля использованного тикета</t>
        </is>
      </c>
    </row>
    <row r="17" ht="20" customHeight="1">
      <c r="B17" s="168" t="inlineStr">
        <is>
          <t>III.  УПРАВЛЕНИЕ И УСЛОВИЯ</t>
        </is>
      </c>
      <c r="C17" s="186" t="n"/>
      <c r="D17" s="186" t="n"/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6" t="n"/>
      <c r="O17" s="186" t="n"/>
      <c r="P17" s="186" t="n"/>
      <c r="Q17" s="187" t="n"/>
    </row>
    <row r="18" ht="22" customHeight="1">
      <c r="B18" s="205" t="inlineStr">
        <is>
          <t>3.1</t>
        </is>
      </c>
      <c r="C18" s="213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7" t="n"/>
    </row>
    <row r="19" ht="22" customHeight="1">
      <c r="B19" s="205" t="inlineStr">
        <is>
          <t>3.2</t>
        </is>
      </c>
      <c r="C19" s="213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6" t="n"/>
      <c r="O19" s="186" t="n"/>
      <c r="P19" s="186" t="n"/>
      <c r="Q19" s="187" t="n"/>
    </row>
    <row r="20" ht="22" customHeight="1">
      <c r="B20" s="205" t="inlineStr">
        <is>
          <t>3.3</t>
        </is>
      </c>
      <c r="C20" s="213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7" t="n"/>
    </row>
    <row r="21" ht="22" customHeight="1">
      <c r="B21" s="205" t="inlineStr">
        <is>
          <t>3.4</t>
        </is>
      </c>
      <c r="C21" s="213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7" t="n"/>
    </row>
    <row r="22" ht="22" customHeight="1">
      <c r="B22" s="205" t="inlineStr">
        <is>
          <t>3.5</t>
        </is>
      </c>
      <c r="C22" s="213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7" t="n"/>
    </row>
    <row r="23" ht="22" customHeight="1">
      <c r="B23" s="205" t="inlineStr">
        <is>
          <t>3.6</t>
        </is>
      </c>
      <c r="C23" s="213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7" t="n"/>
    </row>
    <row r="24" ht="22" customHeight="1">
      <c r="B24" s="205" t="inlineStr">
        <is>
          <t>3.7</t>
        </is>
      </c>
      <c r="C24" s="213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7" t="n"/>
    </row>
    <row r="26" ht="22" customHeight="1">
      <c r="B26" s="211" t="inlineStr">
        <is>
          <t>✓ Σ Tranches = 1 250 млн ₽  (20% + 28% + 28% + 24% = 100%)  |  Matches T₁ Legacy (Базовый вариант) invariant &amp; 10_Cash_Flow 3.1</t>
        </is>
      </c>
      <c r="C26" s="188" t="n"/>
      <c r="D26" s="188" t="n"/>
      <c r="E26" s="188" t="n"/>
      <c r="F26" s="188" t="n"/>
      <c r="G26" s="188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5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2" ht="28" customHeight="1">
      <c r="B2" s="162" t="inlineStr">
        <is>
          <t>15  ·  ИСПОЛЬЗОВАНИЕ СРЕДСТВ  ·  Распределение 1 250 млн ₽ инвестиций</t>
        </is>
      </c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</row>
    <row r="5" ht="22" customHeight="1">
      <c r="B5" s="166" t="inlineStr">
        <is>
          <t>#</t>
        </is>
      </c>
      <c r="C5" s="166" t="inlineStr">
        <is>
          <t>Категория расхода</t>
        </is>
      </c>
      <c r="D5" s="166" t="inlineStr">
        <is>
          <t>% от T₁</t>
        </is>
      </c>
      <c r="E5" s="166" t="inlineStr">
        <is>
          <t>Сумма, млн ₽</t>
        </is>
      </c>
      <c r="F5" s="166" t="inlineStr">
        <is>
          <t>Мин (−10%)</t>
        </is>
      </c>
      <c r="G5" s="166" t="inlineStr">
        <is>
          <t>Макс (+10%)</t>
        </is>
      </c>
      <c r="H5" s="166" t="inlineStr">
        <is>
          <t>Allowance (Допуск)</t>
        </is>
      </c>
      <c r="I5" s="166" t="inlineStr">
        <is>
          <t>Описание</t>
        </is>
      </c>
    </row>
    <row r="6" ht="24" customHeight="1">
      <c r="B6" s="205" t="inlineStr">
        <is>
          <t>U.1</t>
        </is>
      </c>
      <c r="C6" s="206" t="inlineStr">
        <is>
          <t>Pre-production (Пре-продакшн)  (script, casting, location)</t>
        </is>
      </c>
      <c r="D6" s="220" t="n">
        <v>5</v>
      </c>
      <c r="E6" s="218" t="n">
        <v>62.5</v>
      </c>
      <c r="F6" s="207" t="n">
        <v>56.2</v>
      </c>
      <c r="G6" s="207" t="n">
        <v>68.8</v>
      </c>
      <c r="H6" s="222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>
      <c r="B7" s="205" t="inlineStr">
        <is>
          <t>U.2</t>
        </is>
      </c>
      <c r="C7" s="206" t="inlineStr">
        <is>
          <t>Principal photography (Основной съёмочный период)</t>
        </is>
      </c>
      <c r="D7" s="220" t="n">
        <v>65</v>
      </c>
      <c r="E7" s="218" t="n">
        <v>812.5</v>
      </c>
      <c r="F7" s="207" t="n">
        <v>731.2</v>
      </c>
      <c r="G7" s="207" t="n">
        <v>893.8</v>
      </c>
      <c r="H7" s="222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>
      <c r="B8" s="205" t="inlineStr">
        <is>
          <t>U.3</t>
        </is>
      </c>
      <c r="C8" s="206" t="inlineStr">
        <is>
          <t>Post-production  (VFX (визуальные эффекты), sound, editing)</t>
        </is>
      </c>
      <c r="D8" s="220" t="n">
        <v>20</v>
      </c>
      <c r="E8" s="218" t="n">
        <v>250</v>
      </c>
      <c r="F8" s="207" t="n">
        <v>225</v>
      </c>
      <c r="G8" s="207" t="n">
        <v>275</v>
      </c>
      <c r="H8" s="222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>
      <c r="B9" s="205" t="inlineStr">
        <is>
          <t>U.4</t>
        </is>
      </c>
      <c r="C9" s="206" t="inlineStr">
        <is>
          <t>Contingency reserve  (10% страховой резерв)</t>
        </is>
      </c>
      <c r="D9" s="220" t="n">
        <v>10</v>
      </c>
      <c r="E9" s="218" t="n">
        <v>125</v>
      </c>
      <c r="F9" s="207" t="n">
        <v>112.5</v>
      </c>
      <c r="G9" s="207" t="n">
        <v>137.5</v>
      </c>
      <c r="H9" s="222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2" ht="20" customHeight="1">
      <c r="B12" s="168" t="inlineStr">
        <is>
          <t>II.  МОСТ  ·  T₁ Legacy (Базовый вариант) (1 250) → Full Production Budget (Бюджет) (1 850)</t>
        </is>
      </c>
      <c r="C12" s="186" t="n"/>
      <c r="D12" s="186" t="n"/>
      <c r="E12" s="186" t="n"/>
      <c r="F12" s="186" t="n"/>
      <c r="G12" s="186" t="n"/>
      <c r="H12" s="186" t="n"/>
      <c r="I12" s="187" t="n"/>
    </row>
    <row r="13" ht="22" customHeight="1">
      <c r="B13" s="205" t="inlineStr">
        <is>
          <t>B.1</t>
        </is>
      </c>
      <c r="C13" s="206" t="inlineStr">
        <is>
          <t>T₁ Legacy (Базовый вариант) Investor (Инвестор) contribution</t>
        </is>
      </c>
      <c r="D13" s="187" t="n"/>
      <c r="E13" s="207" t="n">
        <v>1250</v>
      </c>
      <c r="F13" s="186" t="n"/>
      <c r="G13" s="187" t="n"/>
      <c r="H13" s="159" t="inlineStr">
        <is>
          <t>Основной тикет инвестора (67.6%)</t>
        </is>
      </c>
      <c r="I13" s="187" t="n"/>
    </row>
    <row r="14" ht="22" customHeight="1">
      <c r="B14" s="205" t="inlineStr">
        <is>
          <t>B.2</t>
        </is>
      </c>
      <c r="C14" s="206" t="inlineStr">
        <is>
          <t>(+) Producer equity (капитал продюсера) (JV (совместное предприятие) capital (капитал))</t>
        </is>
      </c>
      <c r="D14" s="187" t="n"/>
      <c r="E14" s="207" t="n">
        <v>600</v>
      </c>
      <c r="F14" s="186" t="n"/>
      <c r="G14" s="187" t="n"/>
      <c r="H14" s="159" t="inlineStr">
        <is>
          <t>Собственные средства продюсера (32.4%)</t>
        </is>
      </c>
      <c r="I14" s="187" t="n"/>
    </row>
    <row r="15" ht="22" customHeight="1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187" t="n"/>
      <c r="E15" s="198" t="n">
        <v>1850</v>
      </c>
      <c r="F15" s="186" t="n"/>
      <c r="G15" s="187" t="n"/>
      <c r="H15" s="183" t="inlineStr">
        <is>
          <t>★ Σ расходов на производство</t>
        </is>
      </c>
      <c r="I15" s="187" t="n"/>
    </row>
    <row r="16" ht="22" customHeight="1">
      <c r="B16" s="205" t="inlineStr">
        <is>
          <t>B.3</t>
        </is>
      </c>
      <c r="C16" s="206" t="inlineStr">
        <is>
          <t>(+) P&amp;A expenditure (Расходы на P&amp;A) (separate from CAPEX (Капзатраты))</t>
        </is>
      </c>
      <c r="D16" s="187" t="n"/>
      <c r="E16" s="207" t="n">
        <v>277.5</v>
      </c>
      <c r="F16" s="186" t="n"/>
      <c r="G16" s="187" t="n"/>
      <c r="H16" s="159" t="inlineStr">
        <is>
          <t>Prints &amp; Advertising (Тиражирование и реклама), финансируется из cashflow</t>
        </is>
      </c>
      <c r="I16" s="187" t="n"/>
    </row>
    <row r="17" ht="22" customHeight="1">
      <c r="B17" s="216" t="inlineStr">
        <is>
          <t>=</t>
        </is>
      </c>
      <c r="C17" s="217" t="inlineStr">
        <is>
          <t>Total (Итого) content-related costs</t>
        </is>
      </c>
      <c r="D17" s="187" t="n"/>
      <c r="E17" s="198" t="n">
        <v>2127.5</v>
      </c>
      <c r="F17" s="186" t="n"/>
      <c r="G17" s="187" t="n"/>
      <c r="H17" s="183">
        <f> COGS в P&amp;L</f>
        <v/>
      </c>
      <c r="I17" s="187" t="n"/>
    </row>
    <row r="19" ht="22" customHeight="1">
      <c r="B19" s="211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188" t="n"/>
      <c r="D19" s="188" t="n"/>
      <c r="E19" s="188" t="n"/>
      <c r="F19" s="188" t="n"/>
      <c r="G19" s="188" t="n"/>
      <c r="H19" s="188" t="n"/>
      <c r="I19" s="185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10" customWidth="1" min="18" max="18"/>
  </cols>
  <sheetData>
    <row r="2" ht="28" customHeight="1">
      <c r="B2" s="162" t="inlineStr">
        <is>
          <t>16  ·  CAPEX Schedule  ·  7 проектов (5 фильмов + 2 сериала)  ·  Σ 1 850 млн ₽</t>
        </is>
      </c>
    </row>
    <row r="3">
      <c r="B3" s="189" t="inlineStr">
        <is>
          <t>Распределение производственных затрат по 7 проектам: 5/45/35/15% (pre-prod/prod/post-prod/release)</t>
        </is>
      </c>
    </row>
    <row r="5" ht="22" customHeight="1">
      <c r="B5" s="166" t="inlineStr">
        <is>
          <t>#</t>
        </is>
      </c>
      <c r="C5" s="190" t="inlineStr">
        <is>
          <t>Film (Фильм)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CAPEX (Капзатраты)</t>
        </is>
      </c>
      <c r="Q5" s="167" t="inlineStr">
        <is>
          <t>Релиз</t>
        </is>
      </c>
      <c r="R5" s="167" t="inlineStr">
        <is>
          <t>Категория</t>
        </is>
      </c>
    </row>
    <row r="6" ht="20" customHeight="1">
      <c r="B6" s="212" t="inlineStr">
        <is>
          <t>P01</t>
        </is>
      </c>
      <c r="C6" s="206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205" t="inlineStr">
        <is>
          <t>Q4'26</t>
        </is>
      </c>
      <c r="R6" s="223" t="inlineStr">
        <is>
          <t>A+</t>
        </is>
      </c>
    </row>
    <row r="7" ht="20" customHeight="1">
      <c r="B7" s="212" t="inlineStr">
        <is>
          <t>P02</t>
        </is>
      </c>
      <c r="C7" s="206" t="inlineStr">
        <is>
          <t>Тёмная сторона</t>
        </is>
      </c>
      <c r="D7" s="224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205" t="inlineStr">
        <is>
          <t>Q2'27</t>
        </is>
      </c>
      <c r="R7" s="223" t="inlineStr">
        <is>
          <t>A+</t>
        </is>
      </c>
    </row>
    <row r="8" ht="20" customHeight="1">
      <c r="B8" s="212" t="inlineStr">
        <is>
          <t>P03</t>
        </is>
      </c>
      <c r="C8" s="206" t="inlineStr">
        <is>
          <t>Время героев</t>
        </is>
      </c>
      <c r="D8" s="224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205" t="inlineStr">
        <is>
          <t>Q3'27</t>
        </is>
      </c>
      <c r="R8" s="223" t="inlineStr">
        <is>
          <t>A+</t>
        </is>
      </c>
    </row>
    <row r="9" ht="20" customHeight="1">
      <c r="B9" s="212" t="inlineStr">
        <is>
          <t>P04</t>
        </is>
      </c>
      <c r="C9" s="206" t="inlineStr">
        <is>
          <t>Наследие</t>
        </is>
      </c>
      <c r="D9" s="224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205" t="inlineStr">
        <is>
          <t>Q4'27</t>
        </is>
      </c>
      <c r="R9" s="223" t="inlineStr">
        <is>
          <t>A</t>
        </is>
      </c>
    </row>
    <row r="10" ht="20" customHeight="1">
      <c r="B10" s="212" t="inlineStr">
        <is>
          <t>P05</t>
        </is>
      </c>
      <c r="C10" s="206" t="inlineStr">
        <is>
          <t>Сказка наяву</t>
        </is>
      </c>
      <c r="D10" s="224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205" t="inlineStr">
        <is>
          <t>Q1'28</t>
        </is>
      </c>
      <c r="R10" s="223" t="inlineStr">
        <is>
          <t>A</t>
        </is>
      </c>
    </row>
    <row r="11" ht="20" customHeight="1">
      <c r="B11" s="212" t="inlineStr">
        <is>
          <t>P06</t>
        </is>
      </c>
      <c r="C11" s="206" t="inlineStr">
        <is>
          <t>Северный ветер</t>
        </is>
      </c>
      <c r="D11" s="224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205" t="inlineStr">
        <is>
          <t>Q3'28</t>
        </is>
      </c>
      <c r="R11" s="223" t="inlineStr">
        <is>
          <t>A</t>
        </is>
      </c>
    </row>
    <row r="12" ht="20" customHeight="1">
      <c r="B12" s="212" t="inlineStr">
        <is>
          <t>P07</t>
        </is>
      </c>
      <c r="C12" s="206" t="inlineStr">
        <is>
          <t>Горизонт событий</t>
        </is>
      </c>
      <c r="D12" s="224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205" t="inlineStr">
        <is>
          <t>Q4'28</t>
        </is>
      </c>
      <c r="R12" s="223" t="inlineStr">
        <is>
          <t>A</t>
        </is>
      </c>
    </row>
    <row r="13" ht="20" customHeight="1">
      <c r="B13" s="212" t="inlineStr"/>
      <c r="C13" s="206" t="inlineStr"/>
      <c r="D13" s="224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205" t="inlineStr"/>
      <c r="R13" s="223" t="inlineStr"/>
    </row>
    <row r="14" ht="20" customHeight="1">
      <c r="B14" s="212" t="inlineStr"/>
      <c r="C14" s="206" t="inlineStr"/>
      <c r="D14" s="224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205" t="inlineStr"/>
      <c r="R14" s="223" t="inlineStr"/>
    </row>
    <row r="15" ht="20" customHeight="1">
      <c r="B15" s="212" t="inlineStr"/>
      <c r="C15" s="206" t="inlineStr"/>
      <c r="D15" s="224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205" t="inlineStr"/>
      <c r="R15" s="223" t="inlineStr"/>
    </row>
    <row r="16" ht="20" customHeight="1">
      <c r="B16" s="212" t="inlineStr"/>
      <c r="C16" s="206" t="inlineStr"/>
      <c r="D16" s="224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205" t="inlineStr"/>
      <c r="R16" s="223" t="inlineStr"/>
    </row>
    <row r="17" ht="20" customHeight="1">
      <c r="B17" s="212" t="inlineStr"/>
      <c r="C17" s="206" t="inlineStr"/>
      <c r="D17" s="224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205" t="inlineStr"/>
      <c r="R17" s="223" t="inlineStr"/>
    </row>
    <row r="18" ht="24" customHeight="1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20" ht="24" customHeight="1">
      <c r="B20" s="211" t="inlineStr">
        <is>
          <t>✓ Σ Production CAPEX = 1,850.0 млн ₽ (7 проектов: 5 фильмов + 2 сериала)</t>
        </is>
      </c>
      <c r="C20" s="188" t="n"/>
      <c r="D20" s="188" t="n"/>
      <c r="E20" s="188" t="n"/>
      <c r="F20" s="188" t="n"/>
      <c r="G20" s="188" t="n"/>
      <c r="H20" s="188" t="n"/>
      <c r="I20" s="188" t="n"/>
      <c r="J20" s="188" t="n"/>
      <c r="K20" s="188" t="n"/>
      <c r="L20" s="188" t="n"/>
      <c r="M20" s="188" t="n"/>
      <c r="N20" s="188" t="n"/>
      <c r="O20" s="188" t="n"/>
      <c r="P20" s="188" t="n"/>
      <c r="Q20" s="188" t="n"/>
      <c r="R20" s="185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28" customWidth="1" min="4" max="4"/>
    <col width="28" customWidth="1" min="5" max="5"/>
    <col width="30" customWidth="1" min="6" max="6"/>
  </cols>
  <sheetData>
    <row r="2" ht="28" customHeight="1">
      <c r="B2" s="162" t="inlineStr">
        <is>
          <t>17  ·  СТРУКТУРЫ СДЕЛОК  ·  T₁ Legacy (Базовый вариант)  &amp;  T₂ New</t>
        </is>
      </c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>
      <c r="B5" s="166" t="inlineStr">
        <is>
          <t>#</t>
        </is>
      </c>
      <c r="C5" s="190" t="inlineStr">
        <is>
          <t>Параметр</t>
        </is>
      </c>
      <c r="D5" s="167" t="inlineStr">
        <is>
          <t>T₁ — Legacy (Базовый вариант)</t>
        </is>
      </c>
      <c r="E5" s="167" t="inlineStr">
        <is>
          <t>T₂ — New</t>
        </is>
      </c>
      <c r="F5" s="166" t="inlineStr">
        <is>
          <t>Комментарий</t>
        </is>
      </c>
    </row>
    <row r="6" ht="20" customHeight="1">
      <c r="B6" s="168" t="inlineStr">
        <is>
          <t>I.  ФИНАНСОВЫЕ ПАРАМЕТРЫ</t>
        </is>
      </c>
      <c r="C6" s="186" t="n"/>
      <c r="D6" s="186" t="n"/>
      <c r="E6" s="186" t="n"/>
      <c r="F6" s="187" t="n"/>
    </row>
    <row r="7" ht="22" customHeight="1">
      <c r="B7" s="205" t="inlineStr">
        <is>
          <t>1.1</t>
        </is>
      </c>
      <c r="C7" s="213" t="inlineStr">
        <is>
          <t>Тикет, млн ₽</t>
        </is>
      </c>
      <c r="D7" s="225" t="inlineStr">
        <is>
          <t>1 250</t>
        </is>
      </c>
      <c r="E7" s="226" t="inlineStr">
        <is>
          <t>500</t>
        </is>
      </c>
      <c r="F7" s="159" t="inlineStr">
        <is>
          <t>T₁ — anchor (якорь); T₂ — follow-on</t>
        </is>
      </c>
    </row>
    <row r="8" ht="22" customHeight="1">
      <c r="B8" s="205" t="inlineStr">
        <is>
          <t>1.2</t>
        </is>
      </c>
      <c r="C8" s="213" t="inlineStr">
        <is>
          <t>Доля от полного бюджета</t>
        </is>
      </c>
      <c r="D8" s="225" t="inlineStr">
        <is>
          <t>67.6 %</t>
        </is>
      </c>
      <c r="E8" s="226" t="inlineStr">
        <is>
          <t>—</t>
        </is>
      </c>
      <c r="F8" s="159" t="inlineStr">
        <is>
          <t>T₁ ≈ 2/3 от 1 850 млн</t>
        </is>
      </c>
    </row>
    <row r="9" ht="22" customHeight="1">
      <c r="B9" s="205" t="inlineStr">
        <is>
          <t>1.3</t>
        </is>
      </c>
      <c r="C9" s="213" t="inlineStr">
        <is>
          <t>Equity (Собственный капитал) диапазон, %</t>
        </is>
      </c>
      <c r="D9" s="225" t="inlineStr">
        <is>
          <t>—</t>
        </is>
      </c>
      <c r="E9" s="226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>
      <c r="B10" s="205" t="inlineStr">
        <is>
          <t>1.4</t>
        </is>
      </c>
      <c r="C10" s="213" t="inlineStr">
        <is>
          <t>Seniority (Старшинство)</t>
        </is>
      </c>
      <c r="D10" s="225" t="inlineStr">
        <is>
          <t>Старший (1L)</t>
        </is>
      </c>
      <c r="E10" s="226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>
      <c r="B11" s="205" t="inlineStr">
        <is>
          <t>1.5</t>
        </is>
      </c>
      <c r="C11" s="213" t="inlineStr">
        <is>
          <t>Tranche (Транш) schedule</t>
        </is>
      </c>
      <c r="D11" s="225" t="inlineStr">
        <is>
          <t>4 × (20/28/28/24)%</t>
        </is>
      </c>
      <c r="E11" s="226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>
      <c r="B12" s="205" t="inlineStr">
        <is>
          <t>1.6</t>
        </is>
      </c>
      <c r="C12" s="213" t="inlineStr">
        <is>
          <t>Service fee / coupon (купон)</t>
        </is>
      </c>
      <c r="D12" s="225" t="inlineStr">
        <is>
          <t>Service fee 15 млн</t>
        </is>
      </c>
      <c r="E12" s="226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>
      <c r="B13" s="168" t="inlineStr">
        <is>
          <t>II.  ВОЗВРАТ И УПРАВЛЕНИЕ</t>
        </is>
      </c>
      <c r="C13" s="186" t="n"/>
      <c r="D13" s="186" t="n"/>
      <c r="E13" s="186" t="n"/>
      <c r="F13" s="187" t="n"/>
    </row>
    <row r="14" ht="22" customHeight="1">
      <c r="B14" s="205" t="inlineStr">
        <is>
          <t>2.1</t>
        </is>
      </c>
      <c r="C14" s="213" t="inlineStr">
        <is>
          <t>Приоритет возмещения</t>
        </is>
      </c>
      <c r="D14" s="225" t="inlineStr">
        <is>
          <t>1st cashflows до 1×</t>
        </is>
      </c>
      <c r="E14" s="226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>
      <c r="B15" s="205" t="inlineStr">
        <is>
          <t>2.2</t>
        </is>
      </c>
      <c r="C15" s="213" t="inlineStr">
        <is>
          <t>Preferred return (Привилегированная доходность)</t>
        </is>
      </c>
      <c r="D15" s="225" t="inlineStr">
        <is>
          <t>—</t>
        </is>
      </c>
      <c r="E15" s="226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>
      <c r="B16" s="205" t="inlineStr">
        <is>
          <t>2.3</t>
        </is>
      </c>
      <c r="C16" s="213" t="inlineStr">
        <is>
          <t>Waterfall split (разделение каскада)</t>
        </is>
      </c>
      <c r="D16" s="225" t="inlineStr">
        <is>
          <t>60 / 40 (Инвестор/Продюсер)</t>
        </is>
      </c>
      <c r="E16" s="226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>
      <c r="B17" s="205" t="inlineStr">
        <is>
          <t>2.4</t>
        </is>
      </c>
      <c r="C17" s="213" t="inlineStr">
        <is>
          <t>Триггер выхода</t>
        </is>
      </c>
      <c r="D17" s="225" t="inlineStr">
        <is>
          <t>2029-2032 tail (хвостовой период)</t>
        </is>
      </c>
      <c r="E17" s="226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>
      <c r="B18" s="205" t="inlineStr">
        <is>
          <t>2.5</t>
        </is>
      </c>
      <c r="C18" s="213" t="inlineStr">
        <is>
          <t>Механика конверсии</t>
        </is>
      </c>
      <c r="D18" s="225" t="inlineStr">
        <is>
          <t>Единовременное погашение</t>
        </is>
      </c>
      <c r="E18" s="226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>
      <c r="B19" s="168" t="inlineStr">
        <is>
          <t>III.  УПРАВЛЕНИЕ И ЗАЩИТА</t>
        </is>
      </c>
      <c r="C19" s="186" t="n"/>
      <c r="D19" s="186" t="n"/>
      <c r="E19" s="186" t="n"/>
      <c r="F19" s="187" t="n"/>
    </row>
    <row r="20" ht="22" customHeight="1">
      <c r="B20" s="205" t="inlineStr">
        <is>
          <t>3.1</t>
        </is>
      </c>
      <c r="C20" s="213" t="inlineStr">
        <is>
          <t>Reporting (Отчётность)</t>
        </is>
      </c>
      <c r="D20" s="225" t="inlineStr">
        <is>
          <t>Quarterly financial (Ежеквартальная фин. отчётность)</t>
        </is>
      </c>
      <c r="E20" s="226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>
      <c r="B21" s="205" t="inlineStr">
        <is>
          <t>3.2</t>
        </is>
      </c>
      <c r="C21" s="213" t="inlineStr">
        <is>
          <t>Права на информацию</t>
        </is>
      </c>
      <c r="D21" s="225" t="inlineStr">
        <is>
          <t>Read-only (Только чтение)</t>
        </is>
      </c>
      <c r="E21" s="226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>
      <c r="B22" s="205" t="inlineStr">
        <is>
          <t>3.3</t>
        </is>
      </c>
      <c r="C22" s="213" t="inlineStr">
        <is>
          <t>Drag-along (Право принудительной продажи) / Tag-along (Право присоединения к продаже)</t>
        </is>
      </c>
      <c r="D22" s="225" t="inlineStr">
        <is>
          <t>Standard (Стандартный)</t>
        </is>
      </c>
      <c r="E22" s="226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>
      <c r="B23" s="205" t="inlineStr">
        <is>
          <t>3.4</t>
        </is>
      </c>
      <c r="C23" s="213" t="inlineStr">
        <is>
          <t>Non-compete / ключ. сотрудники</t>
        </is>
      </c>
      <c r="D23" s="225" t="inlineStr">
        <is>
          <t>2 года</t>
        </is>
      </c>
      <c r="E23" s="226" t="inlineStr">
        <is>
          <t>3 года + key persons</t>
        </is>
      </c>
      <c r="F23" s="159" t="inlineStr">
        <is>
          <t>T₂ требует retention</t>
        </is>
      </c>
    </row>
    <row r="24" ht="22" customHeight="1">
      <c r="B24" s="205" t="inlineStr">
        <is>
          <t>3.5</t>
        </is>
      </c>
      <c r="C24" s="213" t="inlineStr">
        <is>
          <t>Расторжение</t>
        </is>
      </c>
      <c r="D24" s="225" t="inlineStr">
        <is>
          <t>Milestone default (по умолчанию)</t>
        </is>
      </c>
      <c r="E24" s="226" t="inlineStr">
        <is>
          <t>Существенное нарушение</t>
        </is>
      </c>
      <c r="F24" s="159" t="inlineStr">
        <is>
          <t>Разные триггеры</t>
        </is>
      </c>
    </row>
    <row r="26" ht="20" customHeight="1">
      <c r="B26" s="168" t="inlineStr">
        <is>
          <t>IV.  COMBINED INVESTMENT (ИНВЕСТИЦИИ) ENVELOPE (СОВОКУПНЫЙ ИНВЕСТИЦИОННЫЙ ПАКЕТ)</t>
        </is>
      </c>
      <c r="C26" s="186" t="n"/>
      <c r="D26" s="186" t="n"/>
      <c r="E26" s="186" t="n"/>
      <c r="F26" s="187" t="n"/>
    </row>
    <row r="27" ht="22" customHeight="1">
      <c r="B27" s="205" t="inlineStr">
        <is>
          <t>4.1</t>
        </is>
      </c>
      <c r="C27" s="206" t="inlineStr">
        <is>
          <t>T₁ Legacy (Базовый вариант) только</t>
        </is>
      </c>
      <c r="D27" s="205" t="inlineStr">
        <is>
          <t>1 250 млн ₽</t>
        </is>
      </c>
      <c r="E27" s="187" t="n"/>
      <c r="F27" s="159" t="inlineStr">
        <is>
          <t>Базовый сценарий</t>
        </is>
      </c>
    </row>
    <row r="28" ht="22" customHeight="1">
      <c r="B28" s="205" t="inlineStr">
        <is>
          <t>4.2</t>
        </is>
      </c>
      <c r="C28" s="206" t="inlineStr">
        <is>
          <t>T₁ + T₂ совместно</t>
        </is>
      </c>
      <c r="D28" s="205" t="inlineStr">
        <is>
          <t>1 750 млн ₽</t>
        </is>
      </c>
      <c r="E28" s="187" t="n"/>
      <c r="F28" s="159" t="inlineStr">
        <is>
          <t>Расширенный envelope (1 250 + 500)</t>
        </is>
      </c>
    </row>
    <row r="29" ht="22" customHeight="1">
      <c r="B29" s="205" t="inlineStr">
        <is>
          <t>4.3</t>
        </is>
      </c>
      <c r="C29" s="206" t="inlineStr">
        <is>
          <t>T₂ standalone (автономный)</t>
        </is>
      </c>
      <c r="D29" s="205" t="inlineStr">
        <is>
          <t>500 млн ₽</t>
        </is>
      </c>
      <c r="E29" s="187" t="n"/>
      <c r="F29" s="159" t="inlineStr">
        <is>
          <t>Если T₁ уже размещён ранее</t>
        </is>
      </c>
    </row>
    <row r="30" ht="22" customHeight="1">
      <c r="B30" s="205" t="inlineStr">
        <is>
          <t>4.4</t>
        </is>
      </c>
      <c r="C30" s="206" t="inlineStr">
        <is>
          <t>Producer equity (капитал продюсера) (off-P&amp;L)</t>
        </is>
      </c>
      <c r="D30" s="205" t="inlineStr">
        <is>
          <t>600 млн ₽</t>
        </is>
      </c>
      <c r="E30" s="187" t="n"/>
      <c r="F30" s="159" t="inlineStr">
        <is>
          <t>JV (совместное предприятие) capital (капитал) contribution, не входит в тикеты</t>
        </is>
      </c>
    </row>
    <row r="31" ht="22" customHeight="1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187" t="n"/>
      <c r="F31" s="183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</cols>
  <sheetData>
    <row r="2" ht="28" customHeight="1">
      <c r="B2" s="162" t="inlineStr">
        <is>
          <t>18  ·  ТАБЛИЦА КАПИТАЛИЗАЦИИ  ·  Ownership Structure (Структура собственности) (2 сценария)</t>
        </is>
      </c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>
      <c r="B5" s="168" t="inlineStr">
        <is>
          <t>СЦЕНАРИЙ A  ·  Только T₁ Legacy (Базовый вариант)</t>
        </is>
      </c>
      <c r="C5" s="186" t="n"/>
      <c r="D5" s="186" t="n"/>
      <c r="E5" s="186" t="n"/>
      <c r="F5" s="186" t="n"/>
      <c r="G5" s="186" t="n"/>
      <c r="H5" s="186" t="n"/>
      <c r="I5" s="186" t="n"/>
      <c r="J5" s="187" t="n"/>
    </row>
    <row r="6" ht="22" customHeight="1">
      <c r="B6" s="166" t="inlineStr">
        <is>
          <t>#</t>
        </is>
      </c>
      <c r="C6" s="190" t="inlineStr">
        <is>
          <t>Акционер</t>
        </is>
      </c>
      <c r="D6" s="166" t="inlineStr">
        <is>
          <t>Pre-money vkl, млн ₽</t>
        </is>
      </c>
      <c r="E6" s="166" t="inlineStr">
        <is>
          <t>Shares (Акции)</t>
        </is>
      </c>
      <c r="F6" s="166" t="inlineStr">
        <is>
          <t>Доля %</t>
        </is>
      </c>
      <c r="G6" s="187" t="n"/>
      <c r="H6" s="166" t="inlineStr">
        <is>
          <t>Post-money val, млн ₽</t>
        </is>
      </c>
      <c r="I6" s="187" t="n"/>
      <c r="J6" s="167" t="inlineStr">
        <is>
          <t>Comment (Комментарий)</t>
        </is>
      </c>
    </row>
    <row r="7" ht="22" customHeight="1">
      <c r="B7" s="205" t="inlineStr">
        <is>
          <t>A.1</t>
        </is>
      </c>
      <c r="C7" s="206" t="inlineStr">
        <is>
          <t>Founder / Producer (Продюсер)</t>
        </is>
      </c>
      <c r="D7" s="207" t="n">
        <v>2917</v>
      </c>
      <c r="E7" s="227" t="n">
        <v>7000</v>
      </c>
      <c r="F7" s="228" t="n">
        <v>70</v>
      </c>
      <c r="G7" s="187" t="n"/>
      <c r="H7" s="207" t="n">
        <v>2917</v>
      </c>
      <c r="I7" s="187" t="n"/>
      <c r="J7" s="159" t="inlineStr">
        <is>
          <t>Pre-money equity (доля в капитале)</t>
        </is>
      </c>
    </row>
    <row r="8" ht="22" customHeight="1">
      <c r="B8" s="205" t="inlineStr">
        <is>
          <t>A.2</t>
        </is>
      </c>
      <c r="C8" s="206" t="inlineStr">
        <is>
          <t>T₁ Legacy (Базовый вариант) Investor (Инвестор)</t>
        </is>
      </c>
      <c r="D8" s="207" t="n">
        <v>1250</v>
      </c>
      <c r="E8" s="227" t="n">
        <v>3000</v>
      </c>
      <c r="F8" s="228" t="n">
        <v>30</v>
      </c>
      <c r="G8" s="187" t="n"/>
      <c r="H8" s="207" t="n">
        <v>1250</v>
      </c>
      <c r="I8" s="187" t="n"/>
      <c r="J8" s="159" t="inlineStr">
        <is>
          <t>Новые деньги, 30% stake</t>
        </is>
      </c>
    </row>
    <row r="9" ht="22" customHeight="1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229" t="n">
        <v>10000</v>
      </c>
      <c r="F9" s="230" t="n">
        <v>100</v>
      </c>
      <c r="G9" s="187" t="n"/>
      <c r="H9" s="198" t="n">
        <v>4167</v>
      </c>
      <c r="I9" s="187" t="n"/>
      <c r="J9" s="183" t="inlineStr">
        <is>
          <t>★ Post-money 4 167 млн</t>
        </is>
      </c>
    </row>
    <row r="12" ht="22" customHeight="1">
      <c r="B12" s="168" t="inlineStr">
        <is>
          <t>СЦЕНАРИЙ B  ·  T₁ Legacy (Базовый вариант) + T₂ New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7" t="n"/>
    </row>
    <row r="13" ht="22" customHeight="1">
      <c r="B13" s="166" t="inlineStr">
        <is>
          <t>#</t>
        </is>
      </c>
      <c r="C13" s="190" t="inlineStr">
        <is>
          <t>Акционер</t>
        </is>
      </c>
      <c r="D13" s="166" t="inlineStr">
        <is>
          <t>Pre-money vkl, млн ₽</t>
        </is>
      </c>
      <c r="E13" s="166" t="inlineStr">
        <is>
          <t>Shares (Акции)</t>
        </is>
      </c>
      <c r="F13" s="166" t="inlineStr">
        <is>
          <t>Доля %</t>
        </is>
      </c>
      <c r="G13" s="187" t="n"/>
      <c r="H13" s="166" t="inlineStr">
        <is>
          <t>Post-money val, млн ₽</t>
        </is>
      </c>
      <c r="I13" s="187" t="n"/>
      <c r="J13" s="167" t="inlineStr">
        <is>
          <t>Comment (Комментарий)</t>
        </is>
      </c>
    </row>
    <row r="14" ht="22" customHeight="1">
      <c r="B14" s="205" t="inlineStr">
        <is>
          <t>B.1</t>
        </is>
      </c>
      <c r="C14" s="206" t="inlineStr">
        <is>
          <t>Founder / Producer (Продюсер)</t>
        </is>
      </c>
      <c r="D14" s="207" t="n">
        <v>1750</v>
      </c>
      <c r="E14" s="227" t="n">
        <v>5000</v>
      </c>
      <c r="F14" s="228" t="n">
        <v>50</v>
      </c>
      <c r="G14" s="187" t="n"/>
      <c r="H14" s="207" t="n">
        <v>1750</v>
      </c>
      <c r="I14" s="187" t="n"/>
      <c r="J14" s="159" t="inlineStr">
        <is>
          <t>Pre-money, 50% retained (Доинвестиц., 50% сохранено)</t>
        </is>
      </c>
    </row>
    <row r="15" ht="22" customHeight="1">
      <c r="B15" s="205" t="inlineStr">
        <is>
          <t>B.2</t>
        </is>
      </c>
      <c r="C15" s="206" t="inlineStr">
        <is>
          <t>T₁ Legacy (Базовый вариант) Investor (Инвестор)</t>
        </is>
      </c>
      <c r="D15" s="207" t="n">
        <v>1250</v>
      </c>
      <c r="E15" s="227" t="n">
        <v>3000</v>
      </c>
      <c r="F15" s="228" t="n">
        <v>30</v>
      </c>
      <c r="G15" s="187" t="n"/>
      <c r="H15" s="207" t="n">
        <v>1050</v>
      </c>
      <c r="I15" s="187" t="n"/>
      <c r="J15" s="159" t="inlineStr">
        <is>
          <t>Senior tranche (транш)</t>
        </is>
      </c>
    </row>
    <row r="16" ht="22" customHeight="1">
      <c r="B16" s="205" t="inlineStr">
        <is>
          <t>B.3</t>
        </is>
      </c>
      <c r="C16" s="206" t="inlineStr">
        <is>
          <t>T₂ New Investor (Инвестор)</t>
        </is>
      </c>
      <c r="D16" s="207" t="n">
        <v>500</v>
      </c>
      <c r="E16" s="227" t="n">
        <v>2000</v>
      </c>
      <c r="F16" s="228" t="n">
        <v>20</v>
      </c>
      <c r="G16" s="187" t="n"/>
      <c r="H16" s="207" t="n">
        <v>700</v>
      </c>
      <c r="I16" s="187" t="n"/>
      <c r="J16" s="159" t="inlineStr">
        <is>
          <t>Slider 20% equity (доля в капитале)</t>
        </is>
      </c>
    </row>
    <row r="17" ht="22" customHeight="1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229" t="n">
        <v>10000</v>
      </c>
      <c r="F17" s="230" t="n">
        <v>100</v>
      </c>
      <c r="G17" s="187" t="n"/>
      <c r="H17" s="198" t="n">
        <v>3500</v>
      </c>
      <c r="I17" s="187" t="n"/>
      <c r="J17" s="183" t="inlineStr">
        <is>
          <t>★ Post-money 3 500 млн</t>
        </is>
      </c>
    </row>
    <row r="20" ht="22" customHeight="1">
      <c r="B20" s="168" t="inlineStr">
        <is>
          <t>III.  FULLY DILUTED (Полное разводнение)  ·  Implied Exit Valuation (Подразумеваемая оценка при выходе)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7" t="n"/>
    </row>
    <row r="21" ht="20" customHeight="1">
      <c r="B21" s="205" t="inlineStr">
        <is>
          <t>3.1</t>
        </is>
      </c>
      <c r="C21" s="206" t="inlineStr">
        <is>
          <t>Exit EBITDA (прибыль до вычетов) GAAP, Y5 run-rate</t>
        </is>
      </c>
      <c r="D21" s="205" t="inlineStr">
        <is>
          <t>640 млн ₽</t>
        </is>
      </c>
      <c r="E21" s="186" t="n"/>
      <c r="F21" s="187" t="n"/>
      <c r="G21" s="159" t="inlineStr">
        <is>
          <t>Base case год 2030 (going-concern)</t>
        </is>
      </c>
      <c r="H21" s="186" t="n"/>
      <c r="I21" s="186" t="n"/>
      <c r="J21" s="187" t="n"/>
    </row>
    <row r="22" ht="20" customHeight="1">
      <c r="B22" s="205" t="inlineStr">
        <is>
          <t>3.2</t>
        </is>
      </c>
      <c r="C22" s="206" t="inlineStr">
        <is>
          <t>Base (Базовый) multiple (5×)</t>
        </is>
      </c>
      <c r="D22" s="205" t="inlineStr">
        <is>
          <t>5.0 ×</t>
        </is>
      </c>
      <c r="E22" s="186" t="n"/>
      <c r="F22" s="187" t="n"/>
      <c r="G22" s="159" t="inlineStr">
        <is>
          <t>Российский медиа-сектор</t>
        </is>
      </c>
      <c r="H22" s="186" t="n"/>
      <c r="I22" s="186" t="n"/>
      <c r="J22" s="187" t="n"/>
    </row>
    <row r="23" ht="20" customHeight="1">
      <c r="B23" s="205" t="inlineStr">
        <is>
          <t>3.3</t>
        </is>
      </c>
      <c r="C23" s="206" t="inlineStr">
        <is>
          <t>Implied Enterprise Value (Стоимость предприятия)</t>
        </is>
      </c>
      <c r="D23" s="205" t="inlineStr">
        <is>
          <t>3 200 млн ₽</t>
        </is>
      </c>
      <c r="E23" s="186" t="n"/>
      <c r="F23" s="187" t="n"/>
      <c r="G23" s="159" t="inlineStr">
        <is>
          <t>= EBITDA (прибыль до вычетов) × multiple</t>
        </is>
      </c>
      <c r="H23" s="186" t="n"/>
      <c r="I23" s="186" t="n"/>
      <c r="J23" s="187" t="n"/>
    </row>
    <row r="24" ht="20" customHeight="1">
      <c r="B24" s="205" t="inlineStr">
        <is>
          <t>3.4</t>
        </is>
      </c>
      <c r="C24" s="206" t="inlineStr">
        <is>
          <t>Less: Net Debt (Долг)</t>
        </is>
      </c>
      <c r="D24" s="205" t="inlineStr">
        <is>
          <t>0 млн ₽</t>
        </is>
      </c>
      <c r="E24" s="186" t="n"/>
      <c r="F24" s="187" t="n"/>
      <c r="G24" s="159" t="inlineStr">
        <is>
          <t>T₁ погашен к 2030</t>
        </is>
      </c>
      <c r="H24" s="186" t="n"/>
      <c r="I24" s="186" t="n"/>
      <c r="J24" s="187" t="n"/>
    </row>
    <row r="25" ht="20" customHeight="1">
      <c r="B25" s="205" t="inlineStr">
        <is>
          <t>3.5</t>
        </is>
      </c>
      <c r="C25" s="206" t="inlineStr">
        <is>
          <t>Equity (Собственный капитал) value</t>
        </is>
      </c>
      <c r="D25" s="205" t="inlineStr">
        <is>
          <t>3 200 млн ₽</t>
        </is>
      </c>
      <c r="E25" s="186" t="n"/>
      <c r="F25" s="187" t="n"/>
      <c r="G25" s="159" t="inlineStr">
        <is>
          <t>= EV (стоимость предприятия) − Net Debt (Долг)</t>
        </is>
      </c>
      <c r="H25" s="186" t="n"/>
      <c r="I25" s="186" t="n"/>
      <c r="J25" s="187" t="n"/>
    </row>
    <row r="26" ht="20" customHeight="1">
      <c r="B26" s="205" t="inlineStr">
        <is>
          <t>3.6</t>
        </is>
      </c>
      <c r="C26" s="206" t="inlineStr">
        <is>
          <t>+ NDP (чистые распределяемые поступления) tail (хвостовой период) distributions</t>
        </is>
      </c>
      <c r="D26" s="205" t="inlineStr">
        <is>
          <t>— млн ₽</t>
        </is>
      </c>
      <c r="E26" s="186" t="n"/>
      <c r="F26" s="187" t="n"/>
      <c r="G26" s="159" t="inlineStr">
        <is>
          <t>NDP anchor для waterfall — независимый от EV</t>
        </is>
      </c>
      <c r="H26" s="186" t="n"/>
      <c r="I26" s="186" t="n"/>
      <c r="J26" s="187" t="n"/>
    </row>
    <row r="27" ht="20" customHeight="1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186" t="n"/>
      <c r="F27" s="187" t="n"/>
      <c r="G27" s="183" t="inlineStr">
        <is>
          <t>★ Matches NDP (чистые распределяемые поступления) anchor (якорь)</t>
        </is>
      </c>
      <c r="H27" s="186" t="n"/>
      <c r="I27" s="186" t="n"/>
      <c r="J27" s="187" t="n"/>
    </row>
    <row r="29" ht="22" customHeight="1">
      <c r="B29" s="211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188" t="n"/>
      <c r="D29" s="188" t="n"/>
      <c r="E29" s="188" t="n"/>
      <c r="F29" s="188" t="n"/>
      <c r="G29" s="188" t="n"/>
      <c r="H29" s="188" t="n"/>
      <c r="I29" s="188" t="n"/>
      <c r="J29" s="185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47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8" customWidth="1" min="3" max="3"/>
    <col width="14" customWidth="1" min="4" max="4"/>
    <col width="14" customWidth="1" min="5" max="5"/>
    <col width="2" customWidth="1" min="6" max="6"/>
    <col width="14" customWidth="1" min="7" max="7"/>
    <col width="2" customWidth="1" min="8" max="8"/>
    <col width="32" customWidth="1" min="9" max="9"/>
    <col width="16" customWidth="1" min="10" max="10"/>
  </cols>
  <sheetData>
    <row r="2" ht="26" customHeight="1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</row>
    <row r="5" ht="22" customHeight="1">
      <c r="B5" s="529" t="inlineStr">
        <is>
          <t>W₁  ·  HURDLE SPLIT  ·  60 / 40 до break-even, затем 50 / 50</t>
        </is>
      </c>
    </row>
    <row r="6">
      <c r="B6" s="530" t="inlineStr">
        <is>
          <t>#</t>
        </is>
      </c>
      <c r="C6" s="530" t="inlineStr">
        <is>
          <t>Stage (Этап)</t>
        </is>
      </c>
      <c r="D6" s="530" t="inlineStr">
        <is>
          <t>Размер стадии</t>
        </is>
      </c>
      <c r="E6" s="530" t="inlineStr">
        <is>
          <t>Инвестор</t>
        </is>
      </c>
      <c r="G6" s="530" t="inlineStr">
        <is>
          <t>Продюсер</t>
        </is>
      </c>
      <c r="I6" s="530" t="inlineStr">
        <is>
          <t>Правило</t>
        </is>
      </c>
    </row>
    <row r="7">
      <c r="B7" s="205" t="n">
        <v>1</v>
      </c>
      <c r="C7" s="206" t="inlineStr">
        <is>
          <t>Stage (Этап) 1: 60/40 до recoupment T₁ (1 250)</t>
        </is>
      </c>
      <c r="D7" s="531" t="n">
        <v>2083.3</v>
      </c>
      <c r="E7" s="531" t="n">
        <v>1250</v>
      </c>
      <c r="G7" s="531" t="n">
        <v>833.3</v>
      </c>
      <c r="I7" s="206" t="inlineStr">
        <is>
          <t>60% до тех пор пока инвестор не получит 1 250</t>
        </is>
      </c>
    </row>
    <row r="8">
      <c r="B8" s="205" t="n">
        <v>2</v>
      </c>
      <c r="C8" s="206" t="inlineStr">
        <is>
          <t>Stage (Этап) 2: 50/50 на остаток</t>
        </is>
      </c>
      <c r="D8" s="531" t="n">
        <v>916.7</v>
      </c>
      <c r="E8" s="531" t="n">
        <v>458.3</v>
      </c>
      <c r="G8" s="531" t="n">
        <v>458.3</v>
      </c>
      <c r="I8" s="206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1" ht="22" customHeight="1">
      <c r="B11" s="529" t="inlineStr">
        <is>
          <t>W₂  ·  PRO-RATA  ·  По доле финансового вклада (67.6% / 32.4%)</t>
        </is>
      </c>
    </row>
    <row r="12">
      <c r="B12" s="530" t="inlineStr">
        <is>
          <t>#</t>
        </is>
      </c>
      <c r="C12" s="530" t="inlineStr">
        <is>
          <t>Stage (Этап)</t>
        </is>
      </c>
      <c r="D12" s="530" t="inlineStr">
        <is>
          <t>Размер стадии</t>
        </is>
      </c>
      <c r="E12" s="530" t="inlineStr">
        <is>
          <t>Инвестор</t>
        </is>
      </c>
      <c r="G12" s="530" t="inlineStr">
        <is>
          <t>Продюсер</t>
        </is>
      </c>
      <c r="I12" s="530" t="inlineStr">
        <is>
          <t>Правило</t>
        </is>
      </c>
    </row>
    <row r="13">
      <c r="B13" s="205" t="n">
        <v>1</v>
      </c>
      <c r="C13" s="206" t="inlineStr">
        <is>
          <t>Pro-rata (пропорц.) инвестор: 1 250 / 1 850 = 67,57%</t>
        </is>
      </c>
      <c r="D13" s="531" t="n">
        <v>2027</v>
      </c>
      <c r="E13" s="531" t="n">
        <v>2027</v>
      </c>
      <c r="G13" s="535" t="n"/>
      <c r="I13" s="206" t="inlineStr">
        <is>
          <t>Доля инвестора: 67.57%</t>
        </is>
      </c>
    </row>
    <row r="14">
      <c r="B14" s="205" t="n">
        <v>2</v>
      </c>
      <c r="C14" s="206" t="inlineStr">
        <is>
          <t>Pro-rata (пропорц.) продюсер: 600 / 1 850 = 32,43%</t>
        </is>
      </c>
      <c r="D14" s="531" t="n">
        <v>973</v>
      </c>
      <c r="E14" s="535" t="n"/>
      <c r="G14" s="531" t="n">
        <v>973</v>
      </c>
      <c r="I14" s="206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7" ht="22" customHeight="1">
      <c r="B17" s="536" t="inlineStr">
        <is>
          <t>W₃  ·  LIQ PREF  ·  1× + 8% coupon (купон) + 60/40 на остаток  (★ DEFAULT (ПО УМОЛЧАНИЮ) с v1.0.1)</t>
        </is>
      </c>
    </row>
    <row r="18">
      <c r="B18" s="530" t="inlineStr">
        <is>
          <t>#</t>
        </is>
      </c>
      <c r="C18" s="530" t="inlineStr">
        <is>
          <t>Stage (Этап)</t>
        </is>
      </c>
      <c r="D18" s="530" t="inlineStr">
        <is>
          <t>Размер стадии</t>
        </is>
      </c>
      <c r="E18" s="530" t="inlineStr">
        <is>
          <t>Инвестор</t>
        </is>
      </c>
      <c r="G18" s="530" t="inlineStr">
        <is>
          <t>Продюсер</t>
        </is>
      </c>
      <c r="I18" s="530" t="inlineStr">
        <is>
          <t>Правило</t>
        </is>
      </c>
    </row>
    <row r="19">
      <c r="B19" s="205" t="n">
        <v>1</v>
      </c>
      <c r="C19" s="206" t="inlineStr">
        <is>
          <t>Stage (Этап) 1: 1× Liquidation (Ликвидация) Preference (ликвидационная привилегия) (investor)</t>
        </is>
      </c>
      <c r="D19" s="531" t="n">
        <v>1250</v>
      </c>
      <c r="E19" s="531" t="n">
        <v>1250</v>
      </c>
      <c r="G19" s="531" t="n">
        <v>0</v>
      </c>
      <c r="I19" s="206" t="inlineStr">
        <is>
          <t>Investor (Инвестор) recoups 1 × principal = 1 250</t>
        </is>
      </c>
    </row>
    <row r="20">
      <c r="B20" s="205" t="n">
        <v>2</v>
      </c>
      <c r="C20" s="206" t="inlineStr">
        <is>
          <t>Stage (Этап) 2: 8% coupon (купон) cumulative × 5 лет</t>
        </is>
      </c>
      <c r="D20" s="531" t="n">
        <v>500</v>
      </c>
      <c r="E20" s="531" t="n">
        <v>500</v>
      </c>
      <c r="G20" s="531" t="n">
        <v>0</v>
      </c>
      <c r="I20" s="206" t="inlineStr">
        <is>
          <t>Preferred return (Привилегированная доходность): 1 250 × 8% × 5y = 500</t>
        </is>
      </c>
    </row>
    <row r="21">
      <c r="B21" s="205" t="n">
        <v>3</v>
      </c>
      <c r="C21" s="206" t="inlineStr">
        <is>
          <t>Stage (Этап) 3: 60/40 на остаток</t>
        </is>
      </c>
      <c r="D21" s="531" t="n">
        <v>1250</v>
      </c>
      <c r="E21" s="531" t="n">
        <v>750</v>
      </c>
      <c r="G21" s="531" t="n">
        <v>500</v>
      </c>
      <c r="I21" s="206" t="inlineStr">
        <is>
          <t>Carried interest (премия): 60% инвестор / 40% продюсер</t>
        </is>
      </c>
    </row>
    <row r="22">
      <c r="B22" s="537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4" ht="22" customHeight="1">
      <c r="B24" s="541" t="inlineStr">
        <is>
          <t>W₄  ·  PREMIUM  ·  1× + 12% preferred × 5y + 65/35 + exit 6× (premium (премия) negotiation)</t>
        </is>
      </c>
    </row>
    <row r="25">
      <c r="B25" s="530" t="inlineStr">
        <is>
          <t>#</t>
        </is>
      </c>
      <c r="C25" s="530" t="inlineStr">
        <is>
          <t>Stage (Этап)</t>
        </is>
      </c>
      <c r="D25" s="530" t="inlineStr">
        <is>
          <t>Размер стадии</t>
        </is>
      </c>
      <c r="E25" s="530" t="inlineStr">
        <is>
          <t>Инвестор</t>
        </is>
      </c>
      <c r="G25" s="530" t="inlineStr">
        <is>
          <t>Продюсер</t>
        </is>
      </c>
      <c r="I25" s="530" t="inlineStr">
        <is>
          <t>Правило</t>
        </is>
      </c>
    </row>
    <row r="26">
      <c r="B26" s="205" t="n">
        <v>1</v>
      </c>
      <c r="C26" s="206" t="inlineStr">
        <is>
          <t>Stage (Этап) 1: 1× Liquidation (Ликвидация) Preference (ликвидационная привилегия) (investor)</t>
        </is>
      </c>
      <c r="D26" s="531" t="n">
        <v>1250</v>
      </c>
      <c r="E26" s="531" t="n">
        <v>1250</v>
      </c>
      <c r="G26" s="531" t="n">
        <v>0</v>
      </c>
      <c r="I26" s="206" t="inlineStr">
        <is>
          <t>Investor (Инвестор) recoups 1 × principal = 1 250</t>
        </is>
      </c>
    </row>
    <row r="27">
      <c r="B27" s="205" t="n">
        <v>2</v>
      </c>
      <c r="C27" s="206" t="inlineStr">
        <is>
          <t>Stage (Этап) 2: 12% preferred return × 5 лет</t>
        </is>
      </c>
      <c r="D27" s="531" t="n">
        <v>750</v>
      </c>
      <c r="E27" s="531" t="n">
        <v>750</v>
      </c>
      <c r="G27" s="531" t="n">
        <v>0</v>
      </c>
      <c r="I27" s="206" t="inlineStr">
        <is>
          <t>Accrued preferred (Накопленный привилегированный доход): 1 250 × 12% × 5y = 750</t>
        </is>
      </c>
    </row>
    <row r="28">
      <c r="B28" s="205" t="n">
        <v>3</v>
      </c>
      <c r="C28" s="206" t="inlineStr">
        <is>
          <t>Stage (Этап) 3: 65/35 carry на остаток (1 000)</t>
        </is>
      </c>
      <c r="D28" s="531" t="n">
        <v>1000</v>
      </c>
      <c r="E28" s="531" t="n">
        <v>650</v>
      </c>
      <c r="G28" s="531" t="n">
        <v>350</v>
      </c>
      <c r="I28" s="206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1" ht="22" customHeight="1">
      <c r="B31" s="529" t="inlineStr">
        <is>
          <t>IV  ·  COMPARISON TABLE  ·  4 варианта (IRR (внутренняя норма доходности) — см. 24_Investor_Returns)</t>
        </is>
      </c>
    </row>
    <row r="32">
      <c r="B32" s="530" t="inlineStr">
        <is>
          <t>#</t>
        </is>
      </c>
      <c r="C32" s="530" t="inlineStr">
        <is>
          <t>Вариант</t>
        </is>
      </c>
      <c r="D32" s="530" t="inlineStr">
        <is>
          <t>Инвестор, млн ₽</t>
        </is>
      </c>
      <c r="E32" s="530" t="inlineStr">
        <is>
          <t>Инв %</t>
        </is>
      </c>
      <c r="F32" s="530" t="inlineStr">
        <is>
          <t>Продюсер, млн ₽</t>
        </is>
      </c>
      <c r="G32" s="530" t="inlineStr">
        <is>
          <t>Прод %</t>
        </is>
      </c>
      <c r="H32" s="530" t="inlineStr">
        <is>
          <t>MoIC</t>
        </is>
      </c>
      <c r="I32" s="530" t="inlineStr">
        <is>
          <t>Комментарий</t>
        </is>
      </c>
    </row>
    <row r="33">
      <c r="B33" s="205" t="inlineStr">
        <is>
          <t>W₁</t>
        </is>
      </c>
      <c r="C33" s="206" t="inlineStr">
        <is>
          <t>Hurdle (Порог) 60/40 → 50/50</t>
        </is>
      </c>
      <c r="D33" s="531" t="n">
        <v>1708.3</v>
      </c>
      <c r="E33" s="228" t="n">
        <v>56.9</v>
      </c>
      <c r="F33" s="531" t="n">
        <v>1291.7</v>
      </c>
      <c r="G33" s="228" t="n">
        <v>43.1</v>
      </c>
      <c r="H33" s="542" t="n">
        <v>1.367</v>
      </c>
      <c r="I33" s="206" t="inlineStr">
        <is>
          <t>Producer (Продюсер)-friendly, weakest for LP (ограниченный партнёр)</t>
        </is>
      </c>
    </row>
    <row r="34">
      <c r="B34" s="205" t="inlineStr">
        <is>
          <t>W₂</t>
        </is>
      </c>
      <c r="C34" s="206" t="inlineStr">
        <is>
          <t>Pro-rata по вкладу</t>
        </is>
      </c>
      <c r="D34" s="531" t="n">
        <v>2027</v>
      </c>
      <c r="E34" s="228" t="n">
        <v>67.59999999999999</v>
      </c>
      <c r="F34" s="531" t="n">
        <v>973</v>
      </c>
      <c r="G34" s="228" t="n">
        <v>32.4</v>
      </c>
      <c r="H34" s="542" t="n">
        <v>1.622</v>
      </c>
      <c r="I34" s="206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205" t="inlineStr">
        <is>
          <t>W₄</t>
        </is>
      </c>
      <c r="C36" s="206" t="inlineStr">
        <is>
          <t>1× Liq Pref (Ликвидационная привилегия) + 12% + 65/35</t>
        </is>
      </c>
      <c r="D36" s="531" t="n">
        <v>2650</v>
      </c>
      <c r="E36" s="228" t="n">
        <v>88.33333333333333</v>
      </c>
      <c r="F36" s="531" t="n">
        <v>350</v>
      </c>
      <c r="G36" s="228" t="n">
        <v>11.66666666666667</v>
      </c>
      <c r="H36" s="542" t="n">
        <v>2.12</v>
      </c>
      <c r="I36" s="206" t="inlineStr">
        <is>
          <t>Premium (Премия) negotiation option</t>
        </is>
      </c>
    </row>
    <row r="37">
      <c r="B37" s="357" t="inlineStr">
        <is>
          <t>W₅</t>
        </is>
      </c>
      <c r="C37" s="357" t="inlineStr">
        <is>
          <t>L8+L4 V-D · 1×+12%+70/30+60/40 ★</t>
        </is>
      </c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  <c r="I37" s="357" t="inlineStr">
        <is>
          <t>★ DEFAULT (ПО УМОЛЧАНИЮ) v1.0.1 — institutional-grade catch-up</t>
        </is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40">
      <c r="B40" s="569" t="inlineStr">
        <is>
          <t>W₅  ·  L8+L4 V-D  ·  1× + 12% × 5y + Catch-up 70/30 + Carry 60/40  ·  ★ DEFAULT (ПО УМОЛЧАНИЮ) v1.0.1</t>
        </is>
      </c>
    </row>
    <row r="41">
      <c r="B41" s="571" t="inlineStr">
        <is>
          <t>#</t>
        </is>
      </c>
      <c r="C41" s="571" t="inlineStr">
        <is>
          <t>Stage (Этап)</t>
        </is>
      </c>
      <c r="D41" s="571" t="inlineStr">
        <is>
          <t>Размер стадии</t>
        </is>
      </c>
      <c r="E41" s="571" t="inlineStr">
        <is>
          <t>Инвестор</t>
        </is>
      </c>
      <c r="G41" s="571" t="inlineStr">
        <is>
          <t>Продюсер</t>
        </is>
      </c>
      <c r="I41" s="571" t="inlineStr">
        <is>
          <t>Правило</t>
        </is>
      </c>
    </row>
    <row r="42">
      <c r="B42" s="572" t="inlineStr">
        <is>
          <t>1</t>
        </is>
      </c>
      <c r="C42" s="572" t="inlineStr">
        <is>
          <t>Stage (Этап) 1: 1× Liquidation (Ликвидация) Preference (ликвидационная привилегия)</t>
        </is>
      </c>
      <c r="D42" s="572" t="n">
        <v>1250</v>
      </c>
      <c r="E42" s="572" t="n">
        <v>1250</v>
      </c>
      <c r="G42" s="572" t="n">
        <v>0</v>
      </c>
      <c r="I42" s="574" t="inlineStr">
        <is>
          <t>Investor (Инвестор) recoups 1× principal = 1 250 (Tranche (Транш) 1, T₁)</t>
        </is>
      </c>
    </row>
    <row r="43">
      <c r="B43" s="572" t="inlineStr">
        <is>
          <t>2</t>
        </is>
      </c>
      <c r="C43" s="572" t="inlineStr">
        <is>
          <t>Stage (Этап) 2: 12% Preferred Return × 5y cumulative</t>
        </is>
      </c>
      <c r="D43" s="572" t="n">
        <v>750</v>
      </c>
      <c r="E43" s="572" t="n">
        <v>750</v>
      </c>
      <c r="G43" s="572" t="n">
        <v>0</v>
      </c>
      <c r="I43" s="574" t="inlineStr">
        <is>
          <t>Accrued preferred (Накопленный привилегированный доход): 1 250 × 12% × 5 ≈ 750 (Tranche (Транш) 2)</t>
        </is>
      </c>
    </row>
    <row r="44">
      <c r="B44" s="572" t="inlineStr">
        <is>
          <t>3</t>
        </is>
      </c>
      <c r="C44" s="572" t="inlineStr">
        <is>
          <t>Stage (Этап) 3: Catch-up 70/30 до hurdle (порог) 2402</t>
        </is>
      </c>
      <c r="D44" s="572" t="n">
        <v>574</v>
      </c>
      <c r="E44" s="572" t="n">
        <v>402</v>
      </c>
      <c r="G44" s="572" t="n">
        <v>172</v>
      </c>
      <c r="I44" s="574" t="inlineStr">
        <is>
          <t>Catch-up tranche (транш): pool 574 = 2402 − (1250+750+pre-hurdle (порог)), 70% LP (ограниченный партнёр) / 30% Producer (Продюсер) until LP IRR (внутренняя норма доходности) hits 18% hurdle (порог)</t>
        </is>
      </c>
    </row>
    <row r="45">
      <c r="B45" s="572" t="inlineStr">
        <is>
          <t>4</t>
        </is>
      </c>
      <c r="C45" s="572" t="inlineStr">
        <is>
          <t>Stage (Этап) 4: Carry 60/40 на residual (остаток)</t>
        </is>
      </c>
      <c r="D45" s="572" t="n">
        <v>426</v>
      </c>
      <c r="E45" s="572" t="n">
        <v>256</v>
      </c>
      <c r="G45" s="572" t="n">
        <v>170</v>
      </c>
      <c r="I45" s="574" t="inlineStr">
        <is>
          <t>Residual (Остаток): 3000 − 2402 = 426. Carry split (разделение) 60% LP (ограниченный партнёр) / 40% Producer (Продюсер)</t>
        </is>
      </c>
    </row>
    <row r="46">
      <c r="B46" s="357" t="inlineStr">
        <is>
          <t>Σ</t>
        </is>
      </c>
      <c r="C46" s="357" t="inlineStr">
        <is>
          <t>TOTAL (ИТОГО) W₅ ★ DEFAULT (ПО УМОЛЧАНИЮ) v1.0.1</t>
        </is>
      </c>
      <c r="D46" s="357" t="n">
        <v>3000</v>
      </c>
      <c r="E46" s="357" t="n">
        <v>2658</v>
      </c>
      <c r="G46" s="357" t="n">
        <v>342</v>
      </c>
      <c r="I46" s="357" t="inlineStr">
        <is>
          <t>Investor (Инвестор) 88.6% / Producer (Продюсер) 11.4% · LP (ограниченный партнёр) MoIC 2.13× · Hurdle (Порог) target 2402 hit</t>
        </is>
      </c>
    </row>
    <row r="47" ht="28" customHeight="1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0" customWidth="1" min="10" max="10"/>
    <col width="9" customWidth="1" min="11" max="11"/>
    <col width="11" customWidth="1" min="12" max="12"/>
    <col width="12" customWidth="1" min="13" max="13"/>
    <col width="12" customWidth="1" min="14" max="14"/>
    <col width="10" customWidth="1" min="15" max="15"/>
  </cols>
  <sheetData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B2" s="235" t="inlineStr">
        <is>
          <t>KPI (ключевые показатели) DASHBOARD — ИНВЕСТОРСКАЯ СВОДКА ПО ГОДАМ</t>
        </is>
      </c>
    </row>
    <row r="3"/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>
      <c r="B6" s="167" t="inlineStr">
        <is>
          <t>#</t>
        </is>
      </c>
      <c r="C6" s="167" t="inlineStr">
        <is>
          <t>Метрика</t>
        </is>
      </c>
      <c r="D6" s="167" t="inlineStr">
        <is>
          <t>2026</t>
        </is>
      </c>
      <c r="E6" s="167" t="inlineStr">
        <is>
          <t>2027</t>
        </is>
      </c>
      <c r="F6" s="167" t="inlineStr">
        <is>
          <t>2028</t>
        </is>
      </c>
      <c r="G6" s="167" t="inlineStr">
        <is>
          <t>Σ 3 года</t>
        </is>
      </c>
      <c r="H6" s="167" t="inlineStr">
        <is>
          <t>Tail (Хвостовой период) 29-32</t>
        </is>
      </c>
      <c r="I6" s="167" t="inlineStr">
        <is>
          <t>Σ Жизненный цикл</t>
        </is>
      </c>
      <c r="J6" s="167" t="inlineStr">
        <is>
          <t>Scenario (Сценарий)</t>
        </is>
      </c>
    </row>
    <row r="7">
      <c r="B7" s="244" t="inlineStr">
        <is>
          <t>I.  ВЫРУЧКА &amp; GROWTH</t>
        </is>
      </c>
    </row>
    <row r="8">
      <c r="B8" s="205" t="inlineStr">
        <is>
          <t>1.1</t>
        </is>
      </c>
      <c r="C8" s="213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232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205" t="inlineStr">
        <is>
          <t>1.2</t>
        </is>
      </c>
      <c r="C9" s="213" t="inlineStr">
        <is>
          <t>Revenue (Выручка) YoY growth</t>
        </is>
      </c>
      <c r="D9" s="248" t="inlineStr">
        <is>
          <t>—</t>
        </is>
      </c>
      <c r="E9" s="248" t="inlineStr">
        <is>
          <t>334%</t>
        </is>
      </c>
      <c r="F9" s="248" t="inlineStr">
        <is>
          <t>-39%</t>
        </is>
      </c>
      <c r="G9" s="249" t="inlineStr">
        <is>
          <t>CAGR 62%</t>
        </is>
      </c>
      <c r="H9" s="248" t="inlineStr">
        <is>
          <t>—</t>
        </is>
      </c>
      <c r="I9" s="248" t="inlineStr">
        <is>
          <t>—</t>
        </is>
      </c>
      <c r="J9" s="247" t="inlineStr">
        <is>
          <t>Base (Базовый)</t>
        </is>
      </c>
    </row>
    <row r="10">
      <c r="B10" s="205" t="inlineStr">
        <is>
          <t>1.3</t>
        </is>
      </c>
      <c r="C10" s="213" t="inlineStr">
        <is>
          <t>Выпущено фильмов</t>
        </is>
      </c>
      <c r="D10" s="227" t="n">
        <v>1</v>
      </c>
      <c r="E10" s="227" t="n">
        <v>3</v>
      </c>
      <c r="F10" s="227" t="n">
        <v>3</v>
      </c>
      <c r="G10" s="250" t="n">
        <v>7</v>
      </c>
      <c r="H10" s="227" t="n">
        <v>0</v>
      </c>
      <c r="I10" s="227" t="n">
        <v>7</v>
      </c>
      <c r="J10" s="247" t="inlineStr">
        <is>
          <t>Base (Базовый)</t>
        </is>
      </c>
    </row>
    <row r="11">
      <c r="B11" s="205" t="inlineStr">
        <is>
          <t>1.4</t>
        </is>
      </c>
      <c r="C11" s="213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232" t="n">
        <v>264.3</v>
      </c>
      <c r="H11" s="248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3">
      <c r="B13" s="244" t="inlineStr">
        <is>
          <t>II.  РЕНТАБЕЛЬНОСТЬ — Dual Metric (Метрика)</t>
        </is>
      </c>
    </row>
    <row r="14">
      <c r="B14" s="205" t="inlineStr">
        <is>
          <t>2.1</t>
        </is>
      </c>
      <c r="C14" s="213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232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205" t="inlineStr">
        <is>
          <t>2.2</t>
        </is>
      </c>
      <c r="C15" s="213" t="inlineStr">
        <is>
          <t>EBITDA (прибыль до вычетов) margin (маржа), %</t>
        </is>
      </c>
      <c r="D15" s="236" t="n">
        <v>35.67</v>
      </c>
      <c r="E15" s="236" t="n">
        <v>50.84</v>
      </c>
      <c r="F15" s="236" t="n">
        <v>40.96</v>
      </c>
      <c r="G15" s="251" t="n">
        <v>45.68</v>
      </c>
      <c r="H15" s="236" t="n">
        <v>-8.289999999999999</v>
      </c>
      <c r="I15" s="236" t="n">
        <v>35.55</v>
      </c>
      <c r="J15" s="247" t="inlineStr">
        <is>
          <t>Base (Базовый)</t>
        </is>
      </c>
    </row>
    <row r="16">
      <c r="B16" s="205" t="inlineStr">
        <is>
          <t>2.3</t>
        </is>
      </c>
      <c r="C16" s="213" t="inlineStr">
        <is>
          <t>NDP (чистые распределяемые поступления) (legacy (базовый вариант) anchor (якорь)), млн ₽</t>
        </is>
      </c>
      <c r="D16" s="248" t="inlineStr">
        <is>
          <t>—</t>
        </is>
      </c>
      <c r="E16" s="248" t="inlineStr">
        <is>
          <t>—</t>
        </is>
      </c>
      <c r="F16" s="248" t="inlineStr">
        <is>
          <t>—</t>
        </is>
      </c>
      <c r="G16" s="232" t="n">
        <v>3000</v>
      </c>
      <c r="H16" s="248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205" t="inlineStr">
        <is>
          <t>2.4</t>
        </is>
      </c>
      <c r="C17" s="213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232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205" t="inlineStr">
        <is>
          <t>2.5</t>
        </is>
      </c>
      <c r="C18" s="213" t="inlineStr">
        <is>
          <t>Net Profit (Чистая прибыль) margin (маржа), %</t>
        </is>
      </c>
      <c r="D18" s="236" t="n">
        <v>23.23</v>
      </c>
      <c r="E18" s="236" t="n">
        <v>39.59</v>
      </c>
      <c r="F18" s="236" t="n">
        <v>31.68</v>
      </c>
      <c r="G18" s="251" t="n">
        <v>34.93</v>
      </c>
      <c r="H18" s="236" t="n">
        <v>-11.03</v>
      </c>
      <c r="I18" s="236" t="n">
        <v>26.3</v>
      </c>
      <c r="J18" s="247" t="inlineStr">
        <is>
          <t>Base (Базовый)</t>
        </is>
      </c>
    </row>
    <row r="20">
      <c r="B20" s="244" t="inlineStr">
        <is>
          <t>III.  ДОХОДНОСТЬ И МУЛЬТИПЛИКАТОРЫ</t>
        </is>
      </c>
    </row>
    <row r="21">
      <c r="B21" s="205" t="inlineStr">
        <is>
          <t>3.1</t>
        </is>
      </c>
      <c r="C21" s="213" t="inlineStr">
        <is>
          <t>ROI (возврат на инвестиции) portfolio, %</t>
        </is>
      </c>
      <c r="D21" s="248" t="inlineStr">
        <is>
          <t>—</t>
        </is>
      </c>
      <c r="E21" s="248" t="inlineStr">
        <is>
          <t>—</t>
        </is>
      </c>
      <c r="F21" s="248" t="inlineStr">
        <is>
          <t>—</t>
        </is>
      </c>
      <c r="G21" s="249" t="inlineStr">
        <is>
          <t>57.9%</t>
        </is>
      </c>
      <c r="H21" s="248" t="inlineStr">
        <is>
          <t>—</t>
        </is>
      </c>
      <c r="I21" s="248" t="inlineStr">
        <is>
          <t>—</t>
        </is>
      </c>
      <c r="J21" s="247" t="inlineStr">
        <is>
          <t>Base (Базовый)</t>
        </is>
      </c>
    </row>
    <row r="22">
      <c r="B22" s="205" t="inlineStr">
        <is>
          <t>3.2</t>
        </is>
      </c>
      <c r="C22" s="213" t="inlineStr">
        <is>
          <t>Валовой мультипликатор</t>
        </is>
      </c>
      <c r="D22" s="248" t="inlineStr">
        <is>
          <t>—</t>
        </is>
      </c>
      <c r="E22" s="248" t="inlineStr">
        <is>
          <t>—</t>
        </is>
      </c>
      <c r="F22" s="248" t="inlineStr">
        <is>
          <t>—</t>
        </is>
      </c>
      <c r="G22" s="249" t="inlineStr">
        <is>
          <t>2.14×</t>
        </is>
      </c>
      <c r="H22" s="248" t="inlineStr">
        <is>
          <t>0.49×</t>
        </is>
      </c>
      <c r="I22" s="248" t="inlineStr">
        <is>
          <t>3.02×</t>
        </is>
      </c>
      <c r="J22" s="247" t="inlineStr">
        <is>
          <t>Base (Базовый)</t>
        </is>
      </c>
    </row>
    <row r="23">
      <c r="B23" s="205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205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205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205" t="inlineStr">
        <is>
          <t>3.6</t>
        </is>
      </c>
      <c r="C26" s="213" t="inlineStr">
        <is>
          <t>EV (стоимость предприятия)/EBITDA (прибыль до вычетов) exit (5×)</t>
        </is>
      </c>
      <c r="D26" s="248" t="inlineStr">
        <is>
          <t>—</t>
        </is>
      </c>
      <c r="E26" s="248" t="inlineStr">
        <is>
          <t>—</t>
        </is>
      </c>
      <c r="F26" s="248" t="inlineStr">
        <is>
          <t>—</t>
        </is>
      </c>
      <c r="G26" s="249" t="inlineStr">
        <is>
          <t>—</t>
        </is>
      </c>
      <c r="H26" s="248" t="inlineStr">
        <is>
          <t>—</t>
        </is>
      </c>
      <c r="I26" s="248" t="inlineStr">
        <is>
          <t>10 760 млн ₽</t>
        </is>
      </c>
      <c r="J26" s="234" t="inlineStr">
        <is>
          <t>Bull (Оптимистичный)</t>
        </is>
      </c>
    </row>
    <row r="28">
      <c r="B28" s="244" t="inlineStr">
        <is>
          <t>IV.  ДЕНЕЖНЫЕ СРЕДСТВА И ДОЛГ</t>
        </is>
      </c>
    </row>
    <row r="29">
      <c r="B29" s="205" t="inlineStr">
        <is>
          <t>4.1</t>
        </is>
      </c>
      <c r="C29" s="213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232" t="n">
        <v>1250</v>
      </c>
      <c r="H29" s="248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205" t="inlineStr">
        <is>
          <t>4.2</t>
        </is>
      </c>
      <c r="C30" s="213" t="inlineStr">
        <is>
          <t>Cash (Денежные средства) end period, млн ₽</t>
        </is>
      </c>
      <c r="D30" s="248" t="inlineStr">
        <is>
          <t>—</t>
        </is>
      </c>
      <c r="E30" s="248" t="inlineStr">
        <is>
          <t>—</t>
        </is>
      </c>
      <c r="F30" s="248" t="n">
        <v>3424.57</v>
      </c>
      <c r="G30" s="249" t="n">
        <v>3424.57</v>
      </c>
      <c r="H30" s="248" t="n">
        <v>770.54</v>
      </c>
      <c r="I30" s="248" t="n">
        <v>770.54</v>
      </c>
      <c r="J30" s="247" t="inlineStr">
        <is>
          <t>Base (Базовый)</t>
        </is>
      </c>
    </row>
    <row r="31">
      <c r="B31" s="205" t="inlineStr">
        <is>
          <t>4.3</t>
        </is>
      </c>
      <c r="C31" s="213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232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205" t="inlineStr">
        <is>
          <t>4.4</t>
        </is>
      </c>
      <c r="C32" s="213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248" t="inlineStr">
        <is>
          <t>—</t>
        </is>
      </c>
      <c r="I32" s="248" t="inlineStr">
        <is>
          <t>—</t>
        </is>
      </c>
      <c r="J32" s="247" t="inlineStr">
        <is>
          <t>Base (Базовый)</t>
        </is>
      </c>
    </row>
    <row r="33">
      <c r="B33" s="205" t="inlineStr">
        <is>
          <t>4.5</t>
        </is>
      </c>
      <c r="C33" s="213" t="inlineStr">
        <is>
          <t>Net Debt (Долг) / EBITDA (прибыль до вычетов)</t>
        </is>
      </c>
      <c r="D33" s="248" t="inlineStr">
        <is>
          <t>—</t>
        </is>
      </c>
      <c r="E33" s="248" t="inlineStr">
        <is>
          <t>—</t>
        </is>
      </c>
      <c r="F33" s="248" t="inlineStr">
        <is>
          <t>0.00×</t>
        </is>
      </c>
      <c r="G33" s="249" t="inlineStr">
        <is>
          <t>0.00×</t>
        </is>
      </c>
      <c r="H33" s="248" t="inlineStr">
        <is>
          <t>—</t>
        </is>
      </c>
      <c r="I33" s="248" t="inlineStr">
        <is>
          <t>—</t>
        </is>
      </c>
      <c r="J33" s="247" t="inlineStr">
        <is>
          <t>Base (Базовый)</t>
        </is>
      </c>
    </row>
    <row r="35">
      <c r="B35" s="244" t="inlineStr">
        <is>
          <t>V.  ОПЕРАЦИОННЫЕ</t>
        </is>
      </c>
    </row>
    <row r="36">
      <c r="B36" s="205" t="inlineStr">
        <is>
          <t>5.1</t>
        </is>
      </c>
      <c r="C36" s="213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232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205" t="inlineStr">
        <is>
          <t>5.2</t>
        </is>
      </c>
      <c r="C37" s="213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232" t="n">
        <v>262</v>
      </c>
      <c r="H37" s="248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205" t="inlineStr">
        <is>
          <t>5.3</t>
        </is>
      </c>
      <c r="C38" s="213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232" t="n">
        <v>325.1</v>
      </c>
      <c r="H38" s="248" t="n">
        <v>568.5</v>
      </c>
      <c r="I38" s="207" t="n">
        <v>893.6</v>
      </c>
      <c r="J38" s="247" t="inlineStr">
        <is>
          <t>Base (Базовый)</t>
        </is>
      </c>
    </row>
    <row r="39">
      <c r="B39" s="205" t="inlineStr">
        <is>
          <t>5.4</t>
        </is>
      </c>
      <c r="C39" s="213" t="inlineStr">
        <is>
          <t>Success rate (ROI (возврат на инвестиции)&gt;40%)</t>
        </is>
      </c>
      <c r="D39" s="248" t="inlineStr">
        <is>
          <t>—</t>
        </is>
      </c>
      <c r="E39" s="248" t="inlineStr">
        <is>
          <t>—</t>
        </is>
      </c>
      <c r="F39" s="248" t="inlineStr">
        <is>
          <t>—</t>
        </is>
      </c>
      <c r="G39" s="249" t="inlineStr">
        <is>
          <t>7/7</t>
        </is>
      </c>
      <c r="H39" s="248" t="inlineStr">
        <is>
          <t>—</t>
        </is>
      </c>
      <c r="I39" s="248" t="inlineStr">
        <is>
          <t>100%</t>
        </is>
      </c>
      <c r="J39" s="247" t="inlineStr">
        <is>
          <t>Base (Базовый)</t>
        </is>
      </c>
    </row>
    <row r="40">
      <c r="B40" s="205" t="inlineStr">
        <is>
          <t>5.5</t>
        </is>
      </c>
      <c r="C40" s="213" t="inlineStr">
        <is>
          <t>Высокорисковые фильмы (% of budget (бюджет))</t>
        </is>
      </c>
      <c r="D40" s="248" t="inlineStr">
        <is>
          <t>—</t>
        </is>
      </c>
      <c r="E40" s="248" t="inlineStr">
        <is>
          <t>—</t>
        </is>
      </c>
      <c r="F40" s="248" t="inlineStr">
        <is>
          <t>—</t>
        </is>
      </c>
      <c r="G40" s="249" t="inlineStr">
        <is>
          <t>29.7%</t>
        </is>
      </c>
      <c r="H40" s="248" t="inlineStr">
        <is>
          <t>—</t>
        </is>
      </c>
      <c r="I40" s="248" t="inlineStr">
        <is>
          <t>—</t>
        </is>
      </c>
      <c r="J40" s="247" t="inlineStr">
        <is>
          <t>Base (Базовый)</t>
        </is>
      </c>
    </row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>
      <c r="B44" s="167" t="inlineStr">
        <is>
          <t>Сценарий</t>
        </is>
      </c>
      <c r="C44" s="167" t="inlineStr">
        <is>
          <t>Revenue (Выручка) 2028</t>
        </is>
      </c>
      <c r="D44" s="167" t="inlineStr">
        <is>
          <t>EBITDA (прибыль до вычетов) 3Y</t>
        </is>
      </c>
      <c r="E44" s="167" t="inlineStr">
        <is>
          <t>NDP (чистые распределяемые поступления) 3Y</t>
        </is>
      </c>
      <c r="F44" s="167" t="inlineStr">
        <is>
          <t>Net Profit (Чистая прибыль) 3Y</t>
        </is>
      </c>
      <c r="G44" s="167" t="inlineStr">
        <is>
          <t>IRR (внутренняя норма доходности) T₁</t>
        </is>
      </c>
      <c r="H44" s="167" t="inlineStr">
        <is>
          <t>MOIC (мультипликатор вложенного капитала) T₁</t>
        </is>
      </c>
      <c r="I44" s="167" t="inlineStr">
        <is>
          <t>EV (стоимость предприятия)/Mult</t>
        </is>
      </c>
      <c r="J44" s="167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232" t="n">
        <v>1500</v>
      </c>
      <c r="D46" s="232" t="n">
        <v>2076.1</v>
      </c>
      <c r="E46" s="232" t="n">
        <v>3000</v>
      </c>
      <c r="F46" s="232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232" t="n">
        <v>10837</v>
      </c>
    </row>
    <row r="47">
      <c r="B47" s="234" t="inlineStr">
        <is>
          <t>Bull (Оптимистичный)</t>
        </is>
      </c>
      <c r="C47" s="193" t="n">
        <v>1875</v>
      </c>
      <c r="D47" s="193" t="n">
        <v>2709</v>
      </c>
      <c r="E47" s="193" t="n">
        <v>4200</v>
      </c>
      <c r="F47" s="193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193" t="n">
        <v>18963</v>
      </c>
    </row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>
      <c r="B2" s="235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244" t="inlineStr">
        <is>
          <t>I. ТОРГОВЫЕ МУЛЬТИПЛИКАТОРЫ — ГРУППА АНАЛОГОВ</t>
        </is>
      </c>
    </row>
    <row r="7">
      <c r="B7" s="167" t="inlineStr">
        <is>
          <t>#</t>
        </is>
      </c>
      <c r="C7" s="167" t="inlineStr">
        <is>
          <t>Компания</t>
        </is>
      </c>
      <c r="D7" s="167" t="inlineStr">
        <is>
          <t>Сегмент</t>
        </is>
      </c>
      <c r="E7" s="167" t="inlineStr">
        <is>
          <t>Revenue (Выручка)</t>
        </is>
      </c>
      <c r="F7" s="167" t="inlineStr">
        <is>
          <t>EBITDA (прибыль до вычетов)</t>
        </is>
      </c>
      <c r="G7" s="167" t="inlineStr">
        <is>
          <t>EV (стоимость предприятия)</t>
        </is>
      </c>
      <c r="H7" s="167" t="inlineStr">
        <is>
          <t>EV (стоимость предприятия)/Rev</t>
        </is>
      </c>
      <c r="I7" s="167" t="inlineStr">
        <is>
          <t>EV (стоимость предприятия)/EBITDA (прибыль до вычетов)</t>
        </is>
      </c>
      <c r="J7" s="167" t="inlineStr">
        <is>
          <t>EBITDA (прибыль до вычетов) M%</t>
        </is>
      </c>
      <c r="K7" s="167" t="inlineStr">
        <is>
          <t>Примечание</t>
        </is>
      </c>
    </row>
    <row r="8">
      <c r="B8" s="205" t="n">
        <v>1</v>
      </c>
      <c r="C8" s="206" t="inlineStr">
        <is>
          <t>Яндекс Кинопоиск</t>
        </is>
      </c>
      <c r="D8" s="206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228" t="n">
        <v>15</v>
      </c>
      <c r="K8" s="206" t="inlineStr">
        <is>
          <t>Базовый кейс</t>
        </is>
      </c>
    </row>
    <row r="9">
      <c r="B9" s="205" t="n">
        <v>2</v>
      </c>
      <c r="C9" s="206" t="inlineStr">
        <is>
          <t>Okko</t>
        </is>
      </c>
      <c r="D9" s="206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228" t="n">
        <v>14</v>
      </c>
      <c r="K9" s="206" t="inlineStr">
        <is>
          <t>Sber Entertainment (Сбер Развлечения)</t>
        </is>
      </c>
    </row>
    <row r="10">
      <c r="B10" s="205" t="n">
        <v>3</v>
      </c>
      <c r="C10" s="206" t="inlineStr">
        <is>
          <t>ivi</t>
        </is>
      </c>
      <c r="D10" s="206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228" t="n">
        <v>12</v>
      </c>
      <c r="K10" s="206" t="inlineStr">
        <is>
          <t>Private (Частный)</t>
        </is>
      </c>
    </row>
    <row r="11">
      <c r="B11" s="205" t="n">
        <v>4</v>
      </c>
      <c r="C11" s="206" t="inlineStr">
        <is>
          <t>START (СТАРТ)</t>
        </is>
      </c>
      <c r="D11" s="206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228" t="n">
        <v>14</v>
      </c>
      <c r="K11" s="206" t="inlineStr">
        <is>
          <t>Nexters</t>
        </is>
      </c>
    </row>
    <row r="12">
      <c r="B12" s="205" t="n">
        <v>5</v>
      </c>
      <c r="C12" s="206" t="inlineStr">
        <is>
          <t>Premier (Премьера)</t>
        </is>
      </c>
      <c r="D12" s="206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228" t="n">
        <v>13</v>
      </c>
      <c r="K12" s="206" t="inlineStr">
        <is>
          <t>ГПМ</t>
        </is>
      </c>
    </row>
    <row r="13">
      <c r="B13" s="205" t="n">
        <v>6</v>
      </c>
      <c r="C13" s="206" t="inlineStr">
        <is>
          <t>Мосфильм</t>
        </is>
      </c>
      <c r="D13" s="206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228" t="n">
        <v>22</v>
      </c>
      <c r="K13" s="206" t="inlineStr">
        <is>
          <t>Госкомпания</t>
        </is>
      </c>
    </row>
    <row r="14">
      <c r="C14" s="267" t="inlineStr">
        <is>
          <t>Peer group — Mean (Среднее)</t>
        </is>
      </c>
      <c r="D14" s="186" t="n"/>
      <c r="E14" s="186" t="n"/>
      <c r="F14" s="186" t="n"/>
      <c r="G14" s="187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186" t="n"/>
      <c r="E15" s="186" t="n"/>
      <c r="F15" s="186" t="n"/>
      <c r="G15" s="187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186" t="n"/>
      <c r="E16" s="186" t="n"/>
      <c r="F16" s="186" t="n"/>
      <c r="G16" s="187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186" t="n"/>
      <c r="E17" s="186" t="n"/>
      <c r="F17" s="186" t="n"/>
      <c r="G17" s="187" t="n"/>
      <c r="H17" s="268" t="n">
        <v>1.05</v>
      </c>
      <c r="I17" s="268" t="n">
        <v>6.67</v>
      </c>
      <c r="J17" s="269" t="n"/>
      <c r="K17" s="269" t="n"/>
    </row>
    <row r="20">
      <c r="B20" s="244" t="inlineStr">
        <is>
          <t>II. APPLY MULTIPLES TO ТРЕНДСТУДИО (Base EBITDA 2028 = 706 · Rev 2028 = 1500)</t>
        </is>
      </c>
    </row>
    <row r="21">
      <c r="B21" s="167" t="inlineStr">
        <is>
          <t>Метод</t>
        </is>
      </c>
      <c r="C21" s="186" t="n"/>
      <c r="D21" s="186" t="n"/>
      <c r="E21" s="186" t="n"/>
      <c r="F21" s="187" t="n"/>
      <c r="G21" s="167" t="inlineStr">
        <is>
          <t>Multiple (Мультипликатор)</t>
        </is>
      </c>
      <c r="H21" s="167" t="inlineStr">
        <is>
          <t>Base (Базовый)</t>
        </is>
      </c>
      <c r="I21" s="167" t="inlineStr">
        <is>
          <t>Implied EV (стоимость предприятия)</t>
        </is>
      </c>
      <c r="J21" s="186" t="n"/>
      <c r="K21" s="187" t="n"/>
    </row>
    <row r="22">
      <c r="B22" s="206" t="inlineStr">
        <is>
          <t>Peer Min × EBITDA (прибыль до вычетов) 2028</t>
        </is>
      </c>
      <c r="C22" s="186" t="n"/>
      <c r="D22" s="186" t="n"/>
      <c r="E22" s="186" t="n"/>
      <c r="F22" s="187" t="n"/>
      <c r="G22" s="237" t="n">
        <v>4.76</v>
      </c>
      <c r="H22" s="207" t="n">
        <v>706</v>
      </c>
      <c r="I22" s="270" t="n">
        <v>3358.85</v>
      </c>
      <c r="J22" s="186" t="n"/>
      <c r="K22" s="187" t="n"/>
    </row>
    <row r="23">
      <c r="B23" s="206" t="inlineStr">
        <is>
          <t>Peer Median × EBITDA (прибыль до вычетов) 2028</t>
        </is>
      </c>
      <c r="C23" s="186" t="n"/>
      <c r="D23" s="186" t="n"/>
      <c r="E23" s="186" t="n"/>
      <c r="F23" s="187" t="n"/>
      <c r="G23" s="237" t="n">
        <v>5.71</v>
      </c>
      <c r="H23" s="207" t="n">
        <v>706</v>
      </c>
      <c r="I23" s="270" t="n">
        <v>4029.2</v>
      </c>
      <c r="J23" s="186" t="n"/>
      <c r="K23" s="187" t="n"/>
    </row>
    <row r="24">
      <c r="B24" s="206" t="inlineStr">
        <is>
          <t>Peer Mean × EBITDA (прибыль до вычетов) 2028</t>
        </is>
      </c>
      <c r="C24" s="186" t="n"/>
      <c r="D24" s="186" t="n"/>
      <c r="E24" s="186" t="n"/>
      <c r="F24" s="187" t="n"/>
      <c r="G24" s="237" t="n">
        <v>5.736666666666667</v>
      </c>
      <c r="H24" s="207" t="n">
        <v>706</v>
      </c>
      <c r="I24" s="270" t="n">
        <v>4048.04</v>
      </c>
      <c r="J24" s="186" t="n"/>
      <c r="K24" s="187" t="n"/>
    </row>
    <row r="25">
      <c r="B25" s="206" t="inlineStr">
        <is>
          <t>Peer Max × EBITDA (прибыль до вычетов) 2028</t>
        </is>
      </c>
      <c r="C25" s="186" t="n"/>
      <c r="D25" s="186" t="n"/>
      <c r="E25" s="186" t="n"/>
      <c r="F25" s="187" t="n"/>
      <c r="G25" s="237" t="n">
        <v>6.67</v>
      </c>
      <c r="H25" s="207" t="n">
        <v>706</v>
      </c>
      <c r="I25" s="270" t="n">
        <v>4706.62</v>
      </c>
      <c r="J25" s="186" t="n"/>
      <c r="K25" s="187" t="n"/>
    </row>
    <row r="26">
      <c r="B26" s="206" t="inlineStr">
        <is>
          <t>Peer Min × Revenue (Выручка) 2028</t>
        </is>
      </c>
      <c r="C26" s="186" t="n"/>
      <c r="D26" s="186" t="n"/>
      <c r="E26" s="186" t="n"/>
      <c r="F26" s="187" t="n"/>
      <c r="G26" s="237" t="n">
        <v>0.8</v>
      </c>
      <c r="H26" s="207" t="n">
        <v>1500</v>
      </c>
      <c r="I26" s="270" t="n">
        <v>1200</v>
      </c>
      <c r="J26" s="186" t="n"/>
      <c r="K26" s="187" t="n"/>
    </row>
    <row r="27">
      <c r="B27" s="206" t="inlineStr">
        <is>
          <t>Peer Median × Revenue (Выручка) 2028</t>
        </is>
      </c>
      <c r="C27" s="186" t="n"/>
      <c r="D27" s="186" t="n"/>
      <c r="E27" s="186" t="n"/>
      <c r="F27" s="187" t="n"/>
      <c r="G27" s="237" t="n">
        <v>0.8</v>
      </c>
      <c r="H27" s="207" t="n">
        <v>1500</v>
      </c>
      <c r="I27" s="270" t="n">
        <v>1200</v>
      </c>
      <c r="J27" s="186" t="n"/>
      <c r="K27" s="187" t="n"/>
    </row>
    <row r="28">
      <c r="B28" s="206" t="inlineStr">
        <is>
          <t>Peer Mean × Revenue (Выручка) 2028</t>
        </is>
      </c>
      <c r="C28" s="186" t="n"/>
      <c r="D28" s="186" t="n"/>
      <c r="E28" s="186" t="n"/>
      <c r="F28" s="187" t="n"/>
      <c r="G28" s="237" t="n">
        <v>0.8433333333333333</v>
      </c>
      <c r="H28" s="207" t="n">
        <v>1500</v>
      </c>
      <c r="I28" s="270" t="n">
        <v>1264.95</v>
      </c>
      <c r="J28" s="186" t="n"/>
      <c r="K28" s="187" t="n"/>
    </row>
    <row r="29">
      <c r="B29" s="206" t="inlineStr">
        <is>
          <t>Peer Max × Revenue (Выручка) 2028</t>
        </is>
      </c>
      <c r="C29" s="186" t="n"/>
      <c r="D29" s="186" t="n"/>
      <c r="E29" s="186" t="n"/>
      <c r="F29" s="187" t="n"/>
      <c r="G29" s="237" t="n">
        <v>1.05</v>
      </c>
      <c r="H29" s="207" t="n">
        <v>1500</v>
      </c>
      <c r="I29" s="270" t="n">
        <v>1575</v>
      </c>
      <c r="J29" s="186" t="n"/>
      <c r="K29" s="187" t="n"/>
    </row>
    <row r="32">
      <c r="B32" s="244" t="inlineStr">
        <is>
          <t>III. PRECEDENT M&amp;A (слияния и поглощения) TRANSACTIONS</t>
        </is>
      </c>
    </row>
    <row r="33">
      <c r="B33" s="167" t="inlineStr">
        <is>
          <t>#</t>
        </is>
      </c>
      <c r="C33" s="167" t="inlineStr">
        <is>
          <t>Сделка</t>
        </is>
      </c>
      <c r="D33" s="187" t="n"/>
      <c r="E33" s="167" t="inlineStr">
        <is>
          <t>Год</t>
        </is>
      </c>
      <c r="F33" s="167" t="inlineStr">
        <is>
          <t>Target Rev (Целевая выручка)</t>
        </is>
      </c>
      <c r="G33" s="167" t="inlineStr">
        <is>
          <t>Deal EV (стоимость предприятия)</t>
        </is>
      </c>
      <c r="H33" s="167" t="inlineStr">
        <is>
          <t>EV (стоимость предприятия)/Rev</t>
        </is>
      </c>
      <c r="I33" s="167" t="inlineStr">
        <is>
          <t>EV (стоимость предприятия)/EBITDA (прибыль до вычетов)</t>
        </is>
      </c>
      <c r="J33" s="167" t="inlineStr">
        <is>
          <t>Комментарий</t>
        </is>
      </c>
      <c r="K33" s="187" t="n"/>
    </row>
    <row r="34">
      <c r="B34" s="205" t="n">
        <v>1</v>
      </c>
      <c r="C34" s="206" t="inlineStr">
        <is>
          <t>Сбер → Okko</t>
        </is>
      </c>
      <c r="D34" s="187" t="n"/>
      <c r="E34" s="205" t="n">
        <v>2023</v>
      </c>
      <c r="F34" s="207" t="n">
        <v>11200</v>
      </c>
      <c r="G34" s="207" t="n">
        <v>9520</v>
      </c>
      <c r="H34" s="237" t="n">
        <v>0.85</v>
      </c>
      <c r="I34" s="237" t="n">
        <v>5.6</v>
      </c>
      <c r="J34" s="206" t="inlineStr">
        <is>
          <t>Консолидация OTT (онлайн-платформа) в экосистеме</t>
        </is>
      </c>
      <c r="K34" s="187" t="n"/>
    </row>
    <row r="35">
      <c r="B35" s="205" t="n">
        <v>2</v>
      </c>
      <c r="C35" s="206" t="inlineStr">
        <is>
          <t>Газпром-Медиа → Premier (Премьера)</t>
        </is>
      </c>
      <c r="D35" s="187" t="n"/>
      <c r="E35" s="205" t="n">
        <v>2022</v>
      </c>
      <c r="F35" s="207" t="n">
        <v>3800</v>
      </c>
      <c r="G35" s="207" t="n">
        <v>3040</v>
      </c>
      <c r="H35" s="237" t="n">
        <v>0.8</v>
      </c>
      <c r="I35" s="237" t="n">
        <v>5.9</v>
      </c>
      <c r="J35" s="206" t="inlineStr">
        <is>
          <t>Stream-платформа Premier (Премьера)</t>
        </is>
      </c>
      <c r="K35" s="187" t="n"/>
    </row>
    <row r="36">
      <c r="B36" s="205" t="n">
        <v>3</v>
      </c>
      <c r="C36" s="206" t="inlineStr">
        <is>
          <t>ВК → zvook/Russkoe Radio медиа</t>
        </is>
      </c>
      <c r="D36" s="187" t="n"/>
      <c r="E36" s="205" t="n">
        <v>2024</v>
      </c>
      <c r="F36" s="207" t="n">
        <v>8600</v>
      </c>
      <c r="G36" s="207" t="n">
        <v>6880</v>
      </c>
      <c r="H36" s="237" t="n">
        <v>0.8</v>
      </c>
      <c r="I36" s="237" t="n">
        <v>6.4</v>
      </c>
      <c r="J36" s="206" t="inlineStr">
        <is>
          <t>Мультимедиа консолидация</t>
        </is>
      </c>
      <c r="K36" s="187" t="n"/>
    </row>
    <row r="39">
      <c r="B39" s="244" t="inlineStr">
        <is>
          <t>IV. FOOTBALL FIELD (ФУТБОЛЬНОЕ ПОЛЕ) — ИТОГОВЫЙ ДИАПАЗОН ОЦЕНКИ, млн ₽</t>
        </is>
      </c>
    </row>
    <row r="40">
      <c r="B40" s="167" t="inlineStr">
        <is>
          <t>Метод оценки</t>
        </is>
      </c>
      <c r="C40" s="186" t="n"/>
      <c r="D40" s="187" t="n"/>
      <c r="E40" s="167" t="inlineStr">
        <is>
          <t>Low</t>
        </is>
      </c>
      <c r="F40" s="167" t="inlineStr">
        <is>
          <t>Mid</t>
        </is>
      </c>
      <c r="G40" s="167" t="inlineStr">
        <is>
          <t>High (Высокий)</t>
        </is>
      </c>
      <c r="H40" s="167" t="inlineStr">
        <is>
          <t>Commentary (Комментарий)</t>
        </is>
      </c>
      <c r="I40" s="186" t="n"/>
      <c r="J40" s="186" t="n"/>
      <c r="K40" s="187" t="n"/>
    </row>
    <row r="41">
      <c r="B41" s="213" t="inlineStr">
        <is>
          <t>DCF (дисконтированный денежный поток) — Gordon Growth (Модель Гордона)</t>
        </is>
      </c>
      <c r="C41" s="186" t="n"/>
      <c r="D41" s="187" t="n"/>
      <c r="E41" s="207" t="n">
        <v>278.57</v>
      </c>
      <c r="F41" s="17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186" t="n"/>
      <c r="J41" s="186" t="n"/>
      <c r="K41" s="187" t="n"/>
    </row>
    <row r="42">
      <c r="B42" s="213" t="inlineStr">
        <is>
          <t>DCF (дисконтированный денежный поток) — Exit Multiple (Мультипликатор выхода)</t>
        </is>
      </c>
      <c r="C42" s="186" t="n"/>
      <c r="D42" s="187" t="n"/>
      <c r="E42" s="207" t="n">
        <v>1036.92</v>
      </c>
      <c r="F42" s="173" t="n">
        <v>1219.91</v>
      </c>
      <c r="G42" s="207" t="n">
        <v>1402.9</v>
      </c>
      <c r="H42" s="159" t="inlineStr">
        <is>
          <t>5× EBITDA2030, ±15% чувствительность</t>
        </is>
      </c>
      <c r="I42" s="186" t="n"/>
      <c r="J42" s="186" t="n"/>
      <c r="K42" s="187" t="n"/>
    </row>
    <row r="43">
      <c r="B43" s="213" t="inlineStr">
        <is>
          <t>Trading Multiples (Торговые мультипликаторы) — EV (стоимость предприятия)/EBITDA (прибыль до вычетов)</t>
        </is>
      </c>
      <c r="C43" s="186" t="n"/>
      <c r="D43" s="187" t="n"/>
      <c r="E43" s="207" t="n">
        <v>3358.85</v>
      </c>
      <c r="F43" s="173" t="n">
        <v>4029.2</v>
      </c>
      <c r="G43" s="207" t="n">
        <v>4706.62</v>
      </c>
      <c r="H43" s="159" t="inlineStr">
        <is>
          <t>Peer median 5.71× × EBITDA 2028</t>
        </is>
      </c>
      <c r="I43" s="186" t="n"/>
      <c r="J43" s="186" t="n"/>
      <c r="K43" s="187" t="n"/>
    </row>
    <row r="44">
      <c r="B44" s="213" t="inlineStr">
        <is>
          <t>Trading Multiples (Торговые мультипликаторы) — EV (стоимость предприятия)/Revenue (Выручка)</t>
        </is>
      </c>
      <c r="C44" s="186" t="n"/>
      <c r="D44" s="187" t="n"/>
      <c r="E44" s="207" t="n">
        <v>1200</v>
      </c>
      <c r="F44" s="173" t="n">
        <v>1200</v>
      </c>
      <c r="G44" s="207" t="n">
        <v>1575</v>
      </c>
      <c r="H44" s="159" t="inlineStr">
        <is>
          <t>Peer median 0,80× × Выручка 2028</t>
        </is>
      </c>
      <c r="I44" s="186" t="n"/>
      <c r="J44" s="186" t="n"/>
      <c r="K44" s="187" t="n"/>
    </row>
    <row r="45">
      <c r="B45" s="213" t="inlineStr">
        <is>
          <t>Прецедентные сделки</t>
        </is>
      </c>
      <c r="C45" s="186" t="n"/>
      <c r="D45" s="187" t="n"/>
      <c r="E45" s="207" t="n">
        <v>3538.78</v>
      </c>
      <c r="F45" s="17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186" t="n"/>
      <c r="J45" s="186" t="n"/>
      <c r="K45" s="187" t="n"/>
    </row>
    <row r="46">
      <c r="B46" s="213" t="inlineStr">
        <is>
          <t>Scenario (Сценарий) Base (Базовый) (internal)</t>
        </is>
      </c>
      <c r="C46" s="186" t="n"/>
      <c r="D46" s="187" t="n"/>
      <c r="E46" s="207" t="n">
        <v>6502</v>
      </c>
      <c r="F46" s="17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186" t="n"/>
      <c r="J46" s="186" t="n"/>
      <c r="K46" s="187" t="n"/>
    </row>
    <row r="48">
      <c r="B48" s="180" t="inlineStr">
        <is>
          <t>ИТОГО Football Field (Футбольное поле (сводка оценок))</t>
        </is>
      </c>
      <c r="C48" s="186" t="n"/>
      <c r="D48" s="187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186" t="n"/>
      <c r="J48" s="186" t="n"/>
      <c r="K48" s="187" t="n"/>
    </row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235" t="inlineStr">
        <is>
          <t>ИНВЕСТОР RETURNS — T₁ LEGACY 1 250 млн ₽  ·  3 Scenarios × 4 Waterfalls  ·  Base (Базовый) illustration = W₃ DEFAULT (ПО УМОЛЧАНИЮ)</t>
        </is>
      </c>
    </row>
    <row r="3"/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</row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</row>
    <row r="7">
      <c r="B7" s="167" t="inlineStr">
        <is>
          <t>#</t>
        </is>
      </c>
      <c r="C7" s="167" t="inlineStr">
        <is>
          <t>Период</t>
        </is>
      </c>
      <c r="D7" s="167" t="inlineStr">
        <is>
          <t>Действие</t>
        </is>
      </c>
      <c r="E7" s="167" t="inlineStr">
        <is>
          <t>Tranche (Транш)/Repay</t>
        </is>
      </c>
      <c r="F7" s="167" t="inlineStr">
        <is>
          <t>Interest (Проценты)</t>
        </is>
      </c>
      <c r="G7" s="167" t="inlineStr">
        <is>
          <t>Equity Upside (Верхний сценарий) (Потенциал роста капитала)</t>
        </is>
      </c>
      <c r="H7" s="167" t="inlineStr">
        <is>
          <t>Чистый ДП</t>
        </is>
      </c>
      <c r="I7" s="167" t="inlineStr">
        <is>
          <t>Кумулятив. ДП</t>
        </is>
      </c>
      <c r="J7" s="167" t="inlineStr">
        <is>
          <t>Peak Exposure (Максимальная экспозиция)</t>
        </is>
      </c>
      <c r="K7" s="167" t="inlineStr">
        <is>
          <t>Type (Тип)</t>
        </is>
      </c>
    </row>
    <row r="8">
      <c r="B8" s="200" t="n">
        <v>1</v>
      </c>
      <c r="C8" s="201" t="inlineStr">
        <is>
          <t>Q1 2026</t>
        </is>
      </c>
      <c r="D8" s="201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201" t="inlineStr">
        <is>
          <t>Q2 2026</t>
        </is>
      </c>
      <c r="D9" s="201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201" t="inlineStr">
        <is>
          <t>Q3 2026</t>
        </is>
      </c>
      <c r="D10" s="201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201" t="inlineStr">
        <is>
          <t>Q4 2026</t>
        </is>
      </c>
      <c r="D11" s="201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192" t="inlineStr">
        <is>
          <t>2029</t>
        </is>
      </c>
      <c r="D12" s="192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192" t="inlineStr">
        <is>
          <t>2030</t>
        </is>
      </c>
      <c r="D13" s="192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192" t="inlineStr">
        <is>
          <t>2031</t>
        </is>
      </c>
      <c r="D14" s="192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192" t="inlineStr">
        <is>
          <t>2032</t>
        </is>
      </c>
      <c r="D15" s="192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186" t="n"/>
      <c r="D16" s="187" t="n"/>
      <c r="E16" s="550" t="n">
        <v>260</v>
      </c>
      <c r="F16" s="550" t="n">
        <v>750</v>
      </c>
      <c r="G16" s="550" t="n">
        <v>658</v>
      </c>
      <c r="H16" s="550" t="n">
        <v>2657</v>
      </c>
      <c r="I16" s="273" t="n"/>
      <c r="J16" s="273" t="n"/>
      <c r="K16" s="273" t="n"/>
    </row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</row>
    <row r="19">
      <c r="B19" s="530" t="inlineStr">
        <is>
          <t>#</t>
        </is>
      </c>
      <c r="C19" s="530" t="inlineStr">
        <is>
          <t>Сценарий</t>
        </is>
      </c>
      <c r="D19" s="530" t="inlineStr">
        <is>
          <t>W₁ IRR (внутренняя норма доходности)</t>
        </is>
      </c>
      <c r="E19" s="530" t="inlineStr">
        <is>
          <t>W₁ MOIC (мультипликатор вложенного капитала)</t>
        </is>
      </c>
      <c r="F19" s="530" t="inlineStr">
        <is>
          <t>W₂ IRR (внутренняя норма доходности)</t>
        </is>
      </c>
      <c r="G19" s="530" t="inlineStr">
        <is>
          <t>W₂ MOIC (мультипликатор вложенного капитала)</t>
        </is>
      </c>
      <c r="H19" s="530" t="inlineStr">
        <is>
          <t>W₃ IRR (внутренняя норма доходности)</t>
        </is>
      </c>
      <c r="I19" s="530" t="inlineStr">
        <is>
          <t>W₃ MOIC (мультипликатор вложенного капитала)</t>
        </is>
      </c>
      <c r="J19" s="530" t="inlineStr">
        <is>
          <t>W₄ IRR (внутренняя норма доходности)</t>
        </is>
      </c>
      <c r="K19" s="530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  <c r="N19" s="571" t="inlineStr">
        <is>
          <t>Best (Лучший)</t>
        </is>
      </c>
      <c r="O19" s="571" t="inlineStr">
        <is>
          <t>NDP (чистые распределяемые поступления)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579" t="n">
        <v>17.12</v>
      </c>
      <c r="M20" s="580" t="n">
        <v>1.74</v>
      </c>
      <c r="N20" s="357" t="inlineStr">
        <is>
          <t>W₅</t>
        </is>
      </c>
      <c r="O20" s="572" t="n">
        <v>2250</v>
      </c>
    </row>
    <row r="21">
      <c r="B21" s="226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579" t="n">
        <v>24.75</v>
      </c>
      <c r="M21" s="580" t="n">
        <v>2.13</v>
      </c>
      <c r="N21" s="357" t="inlineStr">
        <is>
          <t>W₅</t>
        </is>
      </c>
      <c r="O21" s="572" t="n">
        <v>3000</v>
      </c>
    </row>
    <row r="22">
      <c r="B22" s="191" t="n">
        <v>3</v>
      </c>
      <c r="C22" s="234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579" t="n">
        <v>30.99</v>
      </c>
      <c r="M22" s="580" t="n">
        <v>2.49</v>
      </c>
      <c r="N22" s="357" t="inlineStr">
        <is>
          <t>W₄</t>
        </is>
      </c>
      <c r="O22" s="572" t="n">
        <v>3750</v>
      </c>
    </row>
    <row r="25">
      <c r="B25" s="577" t="inlineStr">
        <is>
          <t>III. CASH-ON-CASH METRICS (Base (Базовый) case · W₅ V-D ★ DEFAULT (ПО УМОЛЧАНИЮ) v1.0.1)</t>
        </is>
      </c>
    </row>
    <row r="26">
      <c r="B26" s="213" t="inlineStr">
        <is>
          <t>Валовые инвестиции (4 tranches (транши))</t>
        </is>
      </c>
      <c r="C26" s="186" t="n"/>
      <c r="D26" s="186" t="n"/>
      <c r="E26" s="186" t="n"/>
      <c r="F26" s="187" t="n"/>
      <c r="G26" s="558" t="n">
        <v>1250</v>
      </c>
      <c r="H26" s="187" t="n"/>
      <c r="I26" s="159" t="inlineStr">
        <is>
          <t>Σ outflow T₁ (отток)</t>
        </is>
      </c>
      <c r="J26" s="186" t="n"/>
      <c r="K26" s="187" t="n"/>
    </row>
    <row r="27">
      <c r="B27" s="213" t="inlineStr">
        <is>
          <t>Валовые поступления (principal + interest + upside)</t>
        </is>
      </c>
      <c r="C27" s="186" t="n"/>
      <c r="D27" s="186" t="n"/>
      <c r="E27" s="186" t="n"/>
      <c r="F27" s="187" t="n"/>
      <c r="G27" s="581" t="n">
        <v>2657</v>
      </c>
      <c r="H27" s="187" t="n"/>
      <c r="I27" s="159" t="inlineStr">
        <is>
          <t>W₅ V-D: 1250 LP (ограниченный партнёр)+750 Pref+402 Cu+256 Carry ≈ 2657</t>
        </is>
      </c>
      <c r="J27" s="186" t="n"/>
      <c r="K27" s="187" t="n"/>
    </row>
    <row r="28">
      <c r="B28" s="213" t="inlineStr">
        <is>
          <t>Net Gain (Чистая прибыль от выхода)</t>
        </is>
      </c>
      <c r="C28" s="186" t="n"/>
      <c r="D28" s="186" t="n"/>
      <c r="E28" s="186" t="n"/>
      <c r="F28" s="187" t="n"/>
      <c r="G28" s="581" t="n">
        <v>1407</v>
      </c>
      <c r="H28" s="187" t="n"/>
      <c r="I28" s="159" t="inlineStr">
        <is>
          <t>Net gain (Чистая прибыль) = 2657 − 1250 = 1407 (W₅ V-D)</t>
        </is>
      </c>
      <c r="J28" s="186" t="n"/>
      <c r="K28" s="187" t="n"/>
    </row>
    <row r="29">
      <c r="B29" s="213" t="inlineStr">
        <is>
          <t>Net Gain (Чистая прибыль от выхода) %</t>
        </is>
      </c>
      <c r="C29" s="186" t="n"/>
      <c r="D29" s="186" t="n"/>
      <c r="E29" s="186" t="n"/>
      <c r="F29" s="187" t="n"/>
      <c r="G29" s="582" t="n">
        <v>112.6</v>
      </c>
      <c r="H29" s="187" t="n"/>
      <c r="I29" s="159" t="inlineStr">
        <is>
          <t>Total (Итого) return % (net gain / invest) — W₅ V-D</t>
        </is>
      </c>
      <c r="J29" s="186" t="n"/>
      <c r="K29" s="187" t="n"/>
    </row>
    <row r="30">
      <c r="B30" s="213" t="inlineStr">
        <is>
          <t>MOIC (мультипликатор вложенного капитала) (Multiple (Мультипликатор) on Invested Capital (Капитал))</t>
        </is>
      </c>
      <c r="C30" s="186" t="n"/>
      <c r="D30" s="186" t="n"/>
      <c r="E30" s="186" t="n"/>
      <c r="F30" s="187" t="n"/>
      <c r="G30" s="583" t="n">
        <v>2.13</v>
      </c>
      <c r="H30" s="187" t="n"/>
      <c r="I30" s="159" t="inlineStr">
        <is>
          <t>MOIC (мультипликатор вложенного капитала) = 2657/1250 ≈ 2.13× (W₅ V-D institutional)</t>
        </is>
      </c>
      <c r="J30" s="186" t="n"/>
      <c r="K30" s="187" t="n"/>
    </row>
    <row r="31">
      <c r="B31" s="213" t="inlineStr">
        <is>
          <t>DPI (распределения к вложенному) (Distributions / Paid-in)</t>
        </is>
      </c>
      <c r="C31" s="186" t="n"/>
      <c r="D31" s="186" t="n"/>
      <c r="E31" s="186" t="n"/>
      <c r="F31" s="187" t="n"/>
      <c r="G31" s="583" t="n">
        <v>2.13</v>
      </c>
      <c r="H31" s="187" t="n"/>
      <c r="I31" s="159" t="inlineStr">
        <is>
          <t>DPI (распределения к вложенному) fully realized to 2032 (W₅ V-D)</t>
        </is>
      </c>
      <c r="J31" s="186" t="n"/>
      <c r="K31" s="187" t="n"/>
    </row>
    <row r="32">
      <c r="B32" s="213" t="inlineStr">
        <is>
          <t>TVPI (общая стоимость к вложенному) (Total (Итого) Value / Paid-in)</t>
        </is>
      </c>
      <c r="C32" s="186" t="n"/>
      <c r="D32" s="186" t="n"/>
      <c r="E32" s="186" t="n"/>
      <c r="F32" s="187" t="n"/>
      <c r="G32" s="583" t="n">
        <v>2.13</v>
      </c>
      <c r="H32" s="187" t="n"/>
      <c r="I32" s="159" t="inlineStr">
        <is>
          <t>= DPI (распределения к вложенному) (no NAV residual (остаток))</t>
        </is>
      </c>
      <c r="J32" s="186" t="n"/>
      <c r="K32" s="187" t="n"/>
    </row>
    <row r="33">
      <c r="B33" s="213" t="inlineStr">
        <is>
          <t>IRR (внутренняя норма доходности) (fractional period)</t>
        </is>
      </c>
      <c r="C33" s="186" t="n"/>
      <c r="D33" s="186" t="n"/>
      <c r="E33" s="186" t="n"/>
      <c r="F33" s="187" t="n"/>
      <c r="G33" s="582" t="n">
        <v>24.75</v>
      </c>
      <c r="H33" s="187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186" t="n"/>
      <c r="K33" s="187" t="n"/>
    </row>
    <row r="34">
      <c r="B34" s="213" t="inlineStr">
        <is>
          <t>Peak Exposure (Максимальная экспозиция) (max drawdown)</t>
        </is>
      </c>
      <c r="C34" s="186" t="n"/>
      <c r="D34" s="186" t="n"/>
      <c r="E34" s="186" t="n"/>
      <c r="F34" s="187" t="n"/>
      <c r="G34" s="581" t="n">
        <v>1250</v>
      </c>
      <c r="H34" s="187" t="n"/>
      <c r="I34" s="159" t="inlineStr">
        <is>
          <t>Q4'26 полное освоение 1 250 (без изменений)</t>
        </is>
      </c>
      <c r="J34" s="186" t="n"/>
      <c r="K34" s="187" t="n"/>
    </row>
    <row r="35">
      <c r="B35" s="213" t="inlineStr">
        <is>
          <t>Payback (Окупаемость) period (Срок окупаемости)</t>
        </is>
      </c>
      <c r="C35" s="186" t="n"/>
      <c r="D35" s="186" t="n"/>
      <c r="E35" s="186" t="n"/>
      <c r="F35" s="187" t="n"/>
      <c r="G35" s="584" t="n">
        <v>3.21</v>
      </c>
      <c r="H35" s="187" t="n"/>
      <c r="I35" s="159" t="inlineStr">
        <is>
          <t>Payback (Окупаемость) ~Q1'30 — A+C pattern (паттерн) accelerates recovery vs W₃ 3.75y</t>
        </is>
      </c>
      <c r="J35" s="186" t="n"/>
      <c r="K35" s="187" t="n"/>
    </row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</row>
    <row r="39">
      <c r="B39" s="167" t="inlineStr">
        <is>
          <t>#</t>
        </is>
      </c>
      <c r="C39" s="167" t="inlineStr">
        <is>
          <t>Компонент</t>
        </is>
      </c>
      <c r="D39" s="186" t="n"/>
      <c r="E39" s="186" t="n"/>
      <c r="F39" s="186" t="n"/>
      <c r="G39" s="187" t="n"/>
      <c r="H39" s="167" t="inlineStr">
        <is>
          <t>млн ₽</t>
        </is>
      </c>
      <c r="I39" s="167" t="inlineStr">
        <is>
          <t>% of Σ</t>
        </is>
      </c>
      <c r="J39" s="167" t="inlineStr">
        <is>
          <t>Комментарий</t>
        </is>
      </c>
      <c r="K39" s="187" t="n"/>
    </row>
    <row r="40">
      <c r="B40" s="205" t="n">
        <v>1</v>
      </c>
      <c r="C40" s="206" t="inlineStr">
        <is>
          <t>Return of Principal (W₅ T1 — Liq Pref (Ликвидационная привилегия) 1×)</t>
        </is>
      </c>
      <c r="D40" s="186" t="n"/>
      <c r="E40" s="186" t="n"/>
      <c r="F40" s="186" t="n"/>
      <c r="G40" s="187" t="n"/>
      <c r="H40" s="227" t="n">
        <v>1250</v>
      </c>
      <c r="I40" s="236" t="n">
        <v>47</v>
      </c>
      <c r="J40" s="206" t="inlineStr">
        <is>
          <t>W₅ T1: senior recovery (старший возврат) 1× = 1 250</t>
        </is>
      </c>
      <c r="K40" s="187" t="n"/>
    </row>
    <row r="41">
      <c r="B41" s="205" t="n">
        <v>2</v>
      </c>
      <c r="C41" s="206" t="inlineStr">
        <is>
          <t>Preferred Return Coupon (Купон) (W₅ T2 — 12% × 5y cumulative)</t>
        </is>
      </c>
      <c r="D41" s="186" t="n"/>
      <c r="E41" s="186" t="n"/>
      <c r="F41" s="186" t="n"/>
      <c r="G41" s="187" t="n"/>
      <c r="H41" s="227" t="n">
        <v>750</v>
      </c>
      <c r="I41" s="236" t="n">
        <v>28.2</v>
      </c>
      <c r="J41" s="206" t="inlineStr">
        <is>
          <t>W₅ T2: 1 250 × 12% × 5y = 750 (vs W₃ 8%×5y=500)</t>
        </is>
      </c>
      <c r="K41" s="187" t="n"/>
    </row>
    <row r="42">
      <c r="B42" s="205" t="n">
        <v>3</v>
      </c>
      <c r="C42" s="206" t="inlineStr">
        <is>
          <t>Catch-up Tranche (Транш) (W₅ T3 — 70% LP (ограниченный партнёр) / 30% Producer (Продюсер) to hurdle (порог) 2402)</t>
        </is>
      </c>
      <c r="D42" s="186" t="n"/>
      <c r="E42" s="186" t="n"/>
      <c r="F42" s="186" t="n"/>
      <c r="G42" s="187" t="n"/>
      <c r="H42" s="227" t="n">
        <v>402</v>
      </c>
      <c r="I42" s="236" t="n">
        <v>15.1</v>
      </c>
      <c r="J42" s="206" t="inlineStr">
        <is>
          <t>W₅ T3: 574 catch-up × 70% LP (ограниченный партнёр) = 402; aligns IRR (внутренняя норма доходности) to 18% hurdle (порог)</t>
        </is>
      </c>
      <c r="K42" s="187" t="n"/>
    </row>
    <row r="43">
      <c r="B43" s="179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186" t="n"/>
      <c r="E43" s="186" t="n"/>
      <c r="F43" s="186" t="n"/>
      <c r="G43" s="187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187" t="n"/>
    </row>
    <row r="44">
      <c r="B44" s="357" t="inlineStr">
        <is>
          <t>Σ</t>
        </is>
      </c>
      <c r="C44" s="357" t="inlineStr">
        <is>
          <t>ИТОГО ROI (возврат на инвестиции) (W₅ V-D ★ DEFAULT (ПО УМОЛЧАНИЮ) v1.0.1)</t>
        </is>
      </c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</row>
    <row r="46">
      <c r="B46" s="585" t="inlineStr">
        <is>
          <t>V. STRUCTURAL DISCLAIMERS (ОТКАЗ ОТ ОТВЕТСТВЕННОСТИ) — W₅ V-D LIMITATIONS &amp; DESIGN CHOICES (v1.0.1)</t>
        </is>
      </c>
    </row>
    <row r="47" ht="45" customHeight="1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</row>
    <row r="48" ht="45" customHeight="1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</row>
    <row r="49" ht="45" customHeight="1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</row>
    <row r="50" ht="45" customHeight="1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</row>
    <row r="51">
      <c r="B51" s="574" t="inlineStr">
        <is>
          <t>*</t>
        </is>
      </c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2">
      <c r="B2" s="235" t="inlineStr">
        <is>
          <t>EXIT SCENARIOS (СЦЕНАРИИ ВЫХОДА) — 4 ROUTES × 3 TIMING (2028 / 2030 / 2032)</t>
        </is>
      </c>
    </row>
    <row r="3"/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167" t="inlineStr">
        <is>
          <t>#</t>
        </is>
      </c>
      <c r="C7" s="167" t="inlineStr">
        <is>
          <t>Маршрут выхода</t>
        </is>
      </c>
      <c r="D7" s="167" t="inlineStr">
        <is>
          <t>Timing (Сроки)</t>
        </is>
      </c>
      <c r="E7" s="167" t="inlineStr">
        <is>
          <t>EBITDA (прибыль до вычетов) base</t>
        </is>
      </c>
      <c r="F7" s="167" t="inlineStr">
        <is>
          <t>Multiple (Мультипликатор)</t>
        </is>
      </c>
      <c r="G7" s="167" t="inlineStr">
        <is>
          <t>EV (стоимость предприятия) млн ₽</t>
        </is>
      </c>
      <c r="H7" s="167" t="inlineStr">
        <is>
          <t>Net Debt (Долг)</t>
        </is>
      </c>
      <c r="I7" s="167" t="inlineStr">
        <is>
          <t>Equity (Собственный капитал)</t>
        </is>
      </c>
      <c r="J7" s="167" t="inlineStr">
        <is>
          <t>T₁ proceeds (поступления)</t>
        </is>
      </c>
      <c r="K7" s="167" t="inlineStr">
        <is>
          <t>Вер. %</t>
        </is>
      </c>
    </row>
    <row r="8">
      <c r="B8" s="205" t="n">
        <v>1</v>
      </c>
      <c r="C8" s="281" t="inlineStr">
        <is>
          <t>Strategic (Стратегический) Sale (Стратегическая продажа)</t>
        </is>
      </c>
      <c r="D8" s="205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205" t="n">
        <v>2</v>
      </c>
      <c r="C9" s="281" t="inlineStr">
        <is>
          <t>Strategic (Стратегический) Sale (Стратегическая продажа)</t>
        </is>
      </c>
      <c r="D9" s="205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205" t="n">
        <v>3</v>
      </c>
      <c r="C10" s="192" t="inlineStr">
        <is>
          <t>IPO (первичное размещение)</t>
        </is>
      </c>
      <c r="D10" s="205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205" t="n">
        <v>4</v>
      </c>
      <c r="C11" s="192" t="inlineStr">
        <is>
          <t>IPO (первичное размещение)</t>
        </is>
      </c>
      <c r="D11" s="205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205" t="n">
        <v>5</v>
      </c>
      <c r="C12" s="281" t="inlineStr">
        <is>
          <t>Secondary (Вторичный)/Recap</t>
        </is>
      </c>
      <c r="D12" s="205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205" t="n">
        <v>6</v>
      </c>
      <c r="C13" s="281" t="inlineStr">
        <is>
          <t>Secondary (Вторичный)/Recap</t>
        </is>
      </c>
      <c r="D13" s="205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205" t="n">
        <v>7</v>
      </c>
      <c r="C14" s="201" t="inlineStr">
        <is>
          <t>Liquidation (Ликвидация)</t>
        </is>
      </c>
      <c r="D14" s="205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186" t="n"/>
      <c r="D15" s="186" t="n"/>
      <c r="E15" s="186" t="n"/>
      <c r="F15" s="187" t="n"/>
      <c r="G15" s="172" t="n">
        <v>3650</v>
      </c>
      <c r="H15" s="283" t="n"/>
      <c r="I15" s="283" t="n"/>
      <c r="J15" s="172" t="n">
        <v>1839.3</v>
      </c>
      <c r="K15" s="284" t="n">
        <v>100</v>
      </c>
    </row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</row>
    <row r="19">
      <c r="B19" s="206" t="inlineStr">
        <is>
          <t>EBITDA (прибыль до вычетов) 2030 (LTM)</t>
        </is>
      </c>
      <c r="C19" s="186" t="n"/>
      <c r="D19" s="186" t="n"/>
      <c r="E19" s="186" t="n"/>
      <c r="F19" s="187" t="n"/>
      <c r="G19" s="207" t="n">
        <v>640</v>
      </c>
      <c r="H19" s="187" t="n"/>
      <c r="I19" s="159" t="inlineStr">
        <is>
          <t>Стабильный конвейер проектов</t>
        </is>
      </c>
      <c r="J19" s="186" t="n"/>
      <c r="K19" s="187" t="n"/>
    </row>
    <row r="20">
      <c r="B20" s="206" t="inlineStr">
        <is>
          <t>× Exit Multiple (Мультипликатор выхода)</t>
        </is>
      </c>
      <c r="C20" s="186" t="n"/>
      <c r="D20" s="186" t="n"/>
      <c r="E20" s="186" t="n"/>
      <c r="F20" s="187" t="n"/>
      <c r="G20" s="237" t="n">
        <v>5.5</v>
      </c>
      <c r="H20" s="187" t="n"/>
      <c r="I20" s="159" t="inlineStr">
        <is>
          <t>Strategic (Стратегический) buyer premium (премия)</t>
        </is>
      </c>
      <c r="J20" s="186" t="n"/>
      <c r="K20" s="187" t="n"/>
    </row>
    <row r="21">
      <c r="B21" s="154" t="inlineStr">
        <is>
          <t>= Enterprise Value (Стоимость предприятия)</t>
        </is>
      </c>
      <c r="C21" s="186" t="n"/>
      <c r="D21" s="186" t="n"/>
      <c r="E21" s="186" t="n"/>
      <c r="F21" s="187" t="n"/>
      <c r="G21" s="173" t="n">
        <v>3520</v>
      </c>
      <c r="H21" s="187" t="n"/>
      <c r="I21" s="159" t="inlineStr">
        <is>
          <t>Before capital (капитал) structure</t>
        </is>
      </c>
      <c r="J21" s="186" t="n"/>
      <c r="K21" s="187" t="n"/>
    </row>
    <row r="22">
      <c r="B22" s="206" t="inlineStr">
        <is>
          <t>(−) Net Debt (Долг)</t>
        </is>
      </c>
      <c r="C22" s="186" t="n"/>
      <c r="D22" s="186" t="n"/>
      <c r="E22" s="186" t="n"/>
      <c r="F22" s="187" t="n"/>
      <c r="G22" s="207" t="n">
        <v>0</v>
      </c>
      <c r="H22" s="187" t="n"/>
      <c r="I22" s="159" t="inlineStr">
        <is>
          <t>T₁ repaid in 2029-2030 (Возврат T₁ в 2029–2030)</t>
        </is>
      </c>
      <c r="J22" s="186" t="n"/>
      <c r="K22" s="187" t="n"/>
    </row>
    <row r="23">
      <c r="B23" s="206" t="inlineStr">
        <is>
          <t>(+) Cash (Денежные средства) &amp; equivalents</t>
        </is>
      </c>
      <c r="C23" s="186" t="n"/>
      <c r="D23" s="186" t="n"/>
      <c r="E23" s="186" t="n"/>
      <c r="F23" s="187" t="n"/>
      <c r="G23" s="207" t="n">
        <v>0</v>
      </c>
      <c r="H23" s="187" t="n"/>
      <c r="I23" s="159" t="inlineStr">
        <is>
          <t>Distributed to holders (Распределено держателям)</t>
        </is>
      </c>
      <c r="J23" s="186" t="n"/>
      <c r="K23" s="187" t="n"/>
    </row>
    <row r="24">
      <c r="B24" s="154" t="inlineStr">
        <is>
          <t>= Equity (Собственный капитал) Value</t>
        </is>
      </c>
      <c r="C24" s="186" t="n"/>
      <c r="D24" s="186" t="n"/>
      <c r="E24" s="186" t="n"/>
      <c r="F24" s="187" t="n"/>
      <c r="G24" s="173" t="n">
        <v>3520</v>
      </c>
      <c r="H24" s="187" t="n"/>
      <c r="I24" s="159" t="inlineStr">
        <is>
          <t>For distribution (распределение)</t>
        </is>
      </c>
      <c r="J24" s="186" t="n"/>
      <c r="K24" s="187" t="n"/>
    </row>
    <row r="25">
      <c r="B25" s="206" t="inlineStr">
        <is>
          <t>(−) Транзакционные издержки (2%)</t>
        </is>
      </c>
      <c r="C25" s="186" t="n"/>
      <c r="D25" s="186" t="n"/>
      <c r="E25" s="186" t="n"/>
      <c r="F25" s="187" t="n"/>
      <c r="G25" s="207" t="n">
        <v>-70.40000000000001</v>
      </c>
      <c r="H25" s="187" t="n"/>
      <c r="I25" s="159" t="inlineStr">
        <is>
          <t>Консультации, legal</t>
        </is>
      </c>
      <c r="J25" s="186" t="n"/>
      <c r="K25" s="187" t="n"/>
    </row>
    <row r="26">
      <c r="B26" s="154" t="inlineStr">
        <is>
          <t>= Net Equity (Собственный капитал) Proceeds</t>
        </is>
      </c>
      <c r="C26" s="186" t="n"/>
      <c r="D26" s="186" t="n"/>
      <c r="E26" s="186" t="n"/>
      <c r="F26" s="187" t="n"/>
      <c r="G26" s="173" t="n">
        <v>3449.6</v>
      </c>
      <c r="H26" s="187" t="n"/>
      <c r="I26" s="159" t="inlineStr">
        <is>
          <t>Available for waterfall (Доступно для каскада)</t>
        </is>
      </c>
      <c r="J26" s="186" t="n"/>
      <c r="K26" s="187" t="n"/>
    </row>
    <row r="29">
      <c r="B29" s="244" t="inlineStr">
        <is>
          <t>III. WATERFALL (КАСКАД) AT EXIT — PROCEEDS DISTRIBUTION (Scenario (Сценарий) B: 50/30/20)</t>
        </is>
      </c>
    </row>
    <row r="30">
      <c r="B30" s="167" t="inlineStr">
        <is>
          <t>#</t>
        </is>
      </c>
      <c r="C30" s="167" t="inlineStr">
        <is>
          <t>Level (Уровень)</t>
        </is>
      </c>
      <c r="D30" s="186" t="n"/>
      <c r="E30" s="186" t="n"/>
      <c r="F30" s="186" t="n"/>
      <c r="G30" s="187" t="n"/>
      <c r="H30" s="167" t="inlineStr">
        <is>
          <t>млн ₽</t>
        </is>
      </c>
      <c r="I30" s="167" t="inlineStr">
        <is>
          <t>%</t>
        </is>
      </c>
      <c r="J30" s="167" t="inlineStr">
        <is>
          <t>Комментарий</t>
        </is>
      </c>
      <c r="K30" s="187" t="n"/>
    </row>
    <row r="31">
      <c r="B31" s="205" t="n">
        <v>1</v>
      </c>
      <c r="C31" s="206" t="inlineStr">
        <is>
          <t>Net Equity (Собственный капитал) Proceeds</t>
        </is>
      </c>
      <c r="D31" s="186" t="n"/>
      <c r="E31" s="186" t="n"/>
      <c r="F31" s="186" t="n"/>
      <c r="G31" s="187" t="n"/>
      <c r="H31" s="207" t="n">
        <v>6036.8</v>
      </c>
      <c r="I31" s="228" t="n">
        <v>100</v>
      </c>
      <c r="J31" s="206" t="inlineStr">
        <is>
          <t>100% доступно</t>
        </is>
      </c>
      <c r="K31" s="187" t="n"/>
    </row>
    <row r="33">
      <c r="B33" s="205" t="n">
        <v>2</v>
      </c>
      <c r="C33" s="206" t="inlineStr">
        <is>
          <t>Step 1. T₁ Return of Capital (Капитал) (1 250)</t>
        </is>
      </c>
      <c r="D33" s="186" t="n"/>
      <c r="E33" s="186" t="n"/>
      <c r="F33" s="186" t="n"/>
      <c r="G33" s="187" t="n"/>
      <c r="H33" s="207" t="n">
        <v>1250</v>
      </c>
      <c r="I33" s="228" t="n">
        <v>20.70633448184469</v>
      </c>
      <c r="J33" s="206" t="inlineStr">
        <is>
          <t>Senior recovery (Старшее погашение)</t>
        </is>
      </c>
      <c r="K33" s="187" t="n"/>
    </row>
    <row r="34">
      <c r="B34" s="205" t="n">
        <v>3</v>
      </c>
      <c r="C34" s="206" t="inlineStr">
        <is>
          <t>Step 2. T₂ Return of Capital (Капитал) (500)</t>
        </is>
      </c>
      <c r="D34" s="186" t="n"/>
      <c r="E34" s="186" t="n"/>
      <c r="F34" s="186" t="n"/>
      <c r="G34" s="187" t="n"/>
      <c r="H34" s="207" t="n">
        <v>500</v>
      </c>
      <c r="I34" s="228" t="n">
        <v>8.282533792737874</v>
      </c>
      <c r="J34" s="206" t="inlineStr">
        <is>
          <t>Pari-passu (Паритетное (pari-passu)) recovery (Паритетное погашение)</t>
        </is>
      </c>
      <c r="K34" s="187" t="n"/>
    </row>
    <row r="35">
      <c r="B35" s="205" t="n">
        <v>4</v>
      </c>
      <c r="C35" s="206" t="inlineStr">
        <is>
          <t>Step 3. Residual (Остаток) after RoC</t>
        </is>
      </c>
      <c r="D35" s="186" t="n"/>
      <c r="E35" s="186" t="n"/>
      <c r="F35" s="186" t="n"/>
      <c r="G35" s="187" t="n"/>
      <c r="H35" s="207" t="n">
        <v>4286.8</v>
      </c>
      <c r="I35" s="228" t="n">
        <v>71.01113172541744</v>
      </c>
      <c r="J35" s="206" t="inlineStr">
        <is>
          <t>Available for hurdle (порог)</t>
        </is>
      </c>
      <c r="K35" s="187" t="n"/>
    </row>
    <row r="37">
      <c r="B37" s="205" t="n"/>
      <c r="C37" s="206" t="inlineStr">
        <is>
          <t>Step 4. Hurdle (Порог) split (разделение) 50/50 on residual (остаток)</t>
        </is>
      </c>
      <c r="D37" s="186" t="n"/>
      <c r="E37" s="186" t="n"/>
      <c r="F37" s="186" t="n"/>
      <c r="G37" s="187" t="n"/>
      <c r="H37" s="285" t="n"/>
      <c r="I37" s="205" t="n"/>
      <c r="J37" s="206" t="n"/>
      <c r="K37" s="187" t="n"/>
    </row>
    <row r="38">
      <c r="B38" s="205" t="n">
        <v>6</v>
      </c>
      <c r="C38" s="206" t="inlineStr">
        <is>
          <t xml:space="preserve">  → Founder 50% of residual (остаток)</t>
        </is>
      </c>
      <c r="D38" s="186" t="n"/>
      <c r="E38" s="186" t="n"/>
      <c r="F38" s="186" t="n"/>
      <c r="G38" s="187" t="n"/>
      <c r="H38" s="207" t="n">
        <v>2143.4</v>
      </c>
      <c r="I38" s="205" t="n"/>
      <c r="J38" s="206" t="inlineStr">
        <is>
          <t>Growth equity (доля в капитале)</t>
        </is>
      </c>
      <c r="K38" s="187" t="n"/>
    </row>
    <row r="39">
      <c r="B39" s="205" t="n">
        <v>7</v>
      </c>
      <c r="C39" s="206" t="inlineStr">
        <is>
          <t xml:space="preserve">  → T₁/T₂ pro-rata 50% of residual (остаток)</t>
        </is>
      </c>
      <c r="D39" s="186" t="n"/>
      <c r="E39" s="186" t="n"/>
      <c r="F39" s="186" t="n"/>
      <c r="G39" s="187" t="n"/>
      <c r="H39" s="207" t="n">
        <v>2143.4</v>
      </c>
      <c r="I39" s="205" t="n"/>
      <c r="J39" s="206" t="inlineStr">
        <is>
          <t>Investor (Инвестор) upside</t>
        </is>
      </c>
      <c r="K39" s="187" t="n"/>
    </row>
    <row r="41">
      <c r="B41" s="247" t="n"/>
      <c r="C41" s="261" t="inlineStr">
        <is>
          <t>Final Distribution (Распределение):</t>
        </is>
      </c>
      <c r="D41" s="186" t="n"/>
      <c r="E41" s="186" t="n"/>
      <c r="F41" s="186" t="n"/>
      <c r="G41" s="187" t="n"/>
      <c r="H41" s="286" t="n"/>
      <c r="I41" s="247" t="n"/>
      <c r="J41" s="261" t="n"/>
      <c r="K41" s="187" t="n"/>
    </row>
    <row r="42">
      <c r="B42" s="247" t="n">
        <v>9</v>
      </c>
      <c r="C42" s="261" t="inlineStr">
        <is>
          <t xml:space="preserve">  Founder Total (Итого)</t>
        </is>
      </c>
      <c r="D42" s="186" t="n"/>
      <c r="E42" s="186" t="n"/>
      <c r="F42" s="186" t="n"/>
      <c r="G42" s="187" t="n"/>
      <c r="H42" s="270" t="n">
        <v>2143.4</v>
      </c>
      <c r="I42" s="247" t="n"/>
      <c r="J42" s="261" t="inlineStr">
        <is>
          <t>Growth share (доля)</t>
        </is>
      </c>
      <c r="K42" s="187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186" t="n"/>
      <c r="E43" s="186" t="n"/>
      <c r="F43" s="186" t="n"/>
      <c r="G43" s="187" t="n"/>
      <c r="H43" s="270" t="n">
        <v>2781</v>
      </c>
      <c r="I43" s="247" t="n"/>
      <c r="J43" s="261" t="inlineStr">
        <is>
          <t>30% размещение</t>
        </is>
      </c>
      <c r="K43" s="187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186" t="n"/>
      <c r="E44" s="186" t="n"/>
      <c r="F44" s="186" t="n"/>
      <c r="G44" s="187" t="n"/>
      <c r="H44" s="270" t="n">
        <v>1112.4</v>
      </c>
      <c r="I44" s="247" t="n"/>
      <c r="J44" s="261" t="inlineStr">
        <is>
          <t>20% размещение</t>
        </is>
      </c>
      <c r="K44" s="187" t="n"/>
    </row>
    <row r="47">
      <c r="B47" s="244" t="inlineStr">
        <is>
          <t>IV. EXPECTED VALUE (ОЖИДАЕМАЯ СТОИМОСТЬ) SUMMARY</t>
        </is>
      </c>
    </row>
    <row r="48">
      <c r="B48" s="213" t="inlineStr">
        <is>
          <t>Probability-weighted EV (стоимость предприятия)</t>
        </is>
      </c>
      <c r="C48" s="186" t="n"/>
      <c r="D48" s="186" t="n"/>
      <c r="E48" s="186" t="n"/>
      <c r="F48" s="187" t="n"/>
      <c r="G48" s="173" t="n">
        <v>3592.5</v>
      </c>
      <c r="H48" s="187" t="n"/>
      <c r="I48" s="159" t="inlineStr">
        <is>
          <t>Across 7 exit routes (По 7 вариантам выхода)</t>
        </is>
      </c>
      <c r="J48" s="186" t="n"/>
      <c r="K48" s="187" t="n"/>
    </row>
    <row r="49">
      <c r="B49" s="213" t="inlineStr">
        <is>
          <t>Probability-weighted T₁ proceeds (Поступления T₁ с учётом вероятностей)</t>
        </is>
      </c>
      <c r="C49" s="186" t="n"/>
      <c r="D49" s="186" t="n"/>
      <c r="E49" s="186" t="n"/>
      <c r="F49" s="187" t="n"/>
      <c r="G49" s="173" t="n">
        <v>1818.8</v>
      </c>
      <c r="H49" s="187" t="n"/>
      <c r="I49" s="159" t="inlineStr">
        <is>
          <t>50/30/20 exit split (разделение)</t>
        </is>
      </c>
      <c r="J49" s="186" t="n"/>
      <c r="K49" s="187" t="n"/>
    </row>
    <row r="50">
      <c r="B50" s="213" t="inlineStr">
        <is>
          <t>Most likely exit (Наиб. вероятный выход, 20%)</t>
        </is>
      </c>
      <c r="C50" s="186" t="n"/>
      <c r="D50" s="186" t="n"/>
      <c r="E50" s="186" t="n"/>
      <c r="F50" s="187" t="n"/>
      <c r="G50" s="154" t="inlineStr">
        <is>
          <t>Strategic (Стратегический) Sale (Стратегическая продажа) 2030</t>
        </is>
      </c>
      <c r="H50" s="187" t="n"/>
      <c r="I50" s="159" t="inlineStr">
        <is>
          <t>EV 3 520 млн ₽</t>
        </is>
      </c>
      <c r="J50" s="186" t="n"/>
      <c r="K50" s="187" t="n"/>
    </row>
    <row r="51">
      <c r="B51" s="213" t="inlineStr">
        <is>
          <t>Highest EV (стоимость предприятия) exit (10% prob)</t>
        </is>
      </c>
      <c r="C51" s="186" t="n"/>
      <c r="D51" s="186" t="n"/>
      <c r="E51" s="186" t="n"/>
      <c r="F51" s="187" t="n"/>
      <c r="G51" s="154" t="inlineStr">
        <is>
          <t>IPO (первичное размещение) 2030</t>
        </is>
      </c>
      <c r="H51" s="187" t="n"/>
      <c r="I51" s="159" t="inlineStr">
        <is>
          <t>EV 6,552 млн ₽</t>
        </is>
      </c>
      <c r="J51" s="186" t="n"/>
      <c r="K51" s="187" t="n"/>
    </row>
    <row r="52">
      <c r="B52" s="213" t="inlineStr">
        <is>
          <t>Worst case exit (Худший сценарий выхода)</t>
        </is>
      </c>
      <c r="C52" s="186" t="n"/>
      <c r="D52" s="186" t="n"/>
      <c r="E52" s="186" t="n"/>
      <c r="F52" s="187" t="n"/>
      <c r="G52" s="154" t="inlineStr">
        <is>
          <t>Liquidation (Ликвидация) 2032</t>
        </is>
      </c>
      <c r="H52" s="187" t="n"/>
      <c r="I52" s="159" t="inlineStr">
        <is>
          <t>EV 1 750 млн ₽</t>
        </is>
      </c>
      <c r="J52" s="186" t="n"/>
      <c r="K52" s="187" t="n"/>
    </row>
    <row r="53">
      <c r="B53" s="213" t="inlineStr">
        <is>
          <t>Expected T₁ MOIC (мультипликатор вложенного капитала) (prob-weighted через 50/30/20)</t>
        </is>
      </c>
      <c r="C53" s="186" t="n"/>
      <c r="D53" s="186" t="n"/>
      <c r="E53" s="186" t="n"/>
      <c r="F53" s="187" t="n"/>
      <c r="G53" s="278" t="n">
        <v>1.455</v>
      </c>
      <c r="H53" s="187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186" t="n"/>
      <c r="K53" s="187" t="n"/>
    </row>
    <row r="55" ht="42" customHeight="1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235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</row>
    <row r="3"/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</row>
    <row r="6">
      <c r="B6" s="244" t="inlineStr">
        <is>
          <t>I.  БАЗОВЫЕ ПАРАМЕТРЫ</t>
        </is>
      </c>
    </row>
    <row r="7">
      <c r="B7" s="205" t="n">
        <v>1</v>
      </c>
      <c r="C7" s="213" t="inlineStr">
        <is>
          <t>Revenue (Выручка) 3Y (2026-2028)</t>
        </is>
      </c>
      <c r="D7" s="186" t="n"/>
      <c r="E7" s="186" t="n"/>
      <c r="F7" s="186" t="n"/>
      <c r="G7" s="187" t="n"/>
      <c r="H7" s="173" t="n">
        <v>4545</v>
      </c>
      <c r="I7" s="187" t="n"/>
      <c r="J7" s="159" t="inlineStr">
        <is>
          <t>млн ₽</t>
        </is>
      </c>
      <c r="K7" s="187" t="n"/>
    </row>
    <row r="8">
      <c r="B8" s="205" t="n">
        <v>2</v>
      </c>
      <c r="C8" s="213" t="inlineStr">
        <is>
          <t>EBITDA (прибыль до вычетов) margin (маржа)</t>
        </is>
      </c>
      <c r="D8" s="186" t="n"/>
      <c r="E8" s="186" t="n"/>
      <c r="F8" s="186" t="n"/>
      <c r="G8" s="187" t="n"/>
      <c r="H8" s="176" t="n">
        <v>47.69</v>
      </c>
      <c r="I8" s="187" t="n"/>
      <c r="J8" s="159" t="inlineStr">
        <is>
          <t>%</t>
        </is>
      </c>
      <c r="K8" s="187" t="n"/>
    </row>
    <row r="9">
      <c r="B9" s="205" t="n">
        <v>3</v>
      </c>
      <c r="C9" s="213" t="inlineStr">
        <is>
          <t>Production CAPEX (Капзатраты)</t>
        </is>
      </c>
      <c r="D9" s="186" t="n"/>
      <c r="E9" s="186" t="n"/>
      <c r="F9" s="186" t="n"/>
      <c r="G9" s="187" t="n"/>
      <c r="H9" s="173" t="n">
        <v>1850</v>
      </c>
      <c r="I9" s="187" t="n"/>
      <c r="J9" s="159" t="inlineStr">
        <is>
          <t>млн ₽</t>
        </is>
      </c>
      <c r="K9" s="187" t="n"/>
    </row>
    <row r="10">
      <c r="B10" s="205" t="n">
        <v>4</v>
      </c>
      <c r="C10" s="213" t="inlineStr">
        <is>
          <t>P&amp;A ratio (Коэффициент P&amp;A) to budget (бюджет)</t>
        </is>
      </c>
      <c r="D10" s="186" t="n"/>
      <c r="E10" s="186" t="n"/>
      <c r="F10" s="186" t="n"/>
      <c r="G10" s="187" t="n"/>
      <c r="H10" s="176" t="n">
        <v>15</v>
      </c>
      <c r="I10" s="187" t="n"/>
      <c r="J10" s="159" t="inlineStr">
        <is>
          <t>% of budget (бюджет)</t>
        </is>
      </c>
      <c r="K10" s="187" t="n"/>
    </row>
    <row r="11">
      <c r="B11" s="205" t="n">
        <v>5</v>
      </c>
      <c r="C11" s="213" t="inlineStr">
        <is>
          <t>OpEx 3Y (FOT (фонд оплаты труда) + other)</t>
        </is>
      </c>
      <c r="D11" s="186" t="n"/>
      <c r="E11" s="186" t="n"/>
      <c r="F11" s="186" t="n"/>
      <c r="G11" s="187" t="n"/>
      <c r="H11" s="173" t="n">
        <v>265.5</v>
      </c>
      <c r="I11" s="187" t="n"/>
      <c r="J11" s="159" t="inlineStr">
        <is>
          <t>млн ₽</t>
        </is>
      </c>
      <c r="K11" s="187" t="n"/>
    </row>
    <row r="12">
      <c r="B12" s="205" t="n">
        <v>6</v>
      </c>
      <c r="C12" s="213" t="inlineStr">
        <is>
          <t>Interest (Проценты) expense</t>
        </is>
      </c>
      <c r="D12" s="186" t="n"/>
      <c r="E12" s="186" t="n"/>
      <c r="F12" s="186" t="n"/>
      <c r="G12" s="187" t="n"/>
      <c r="H12" s="173" t="n">
        <v>15</v>
      </c>
      <c r="I12" s="187" t="n"/>
      <c r="J12" s="159" t="inlineStr">
        <is>
          <t>млн ₽</t>
        </is>
      </c>
      <c r="K12" s="187" t="n"/>
    </row>
    <row r="13">
      <c r="B13" s="205" t="n">
        <v>7</v>
      </c>
      <c r="C13" s="213" t="inlineStr">
        <is>
          <t>Exit Multiple (Мультипликатор выхода)</t>
        </is>
      </c>
      <c r="D13" s="186" t="n"/>
      <c r="E13" s="186" t="n"/>
      <c r="F13" s="186" t="n"/>
      <c r="G13" s="187" t="n"/>
      <c r="H13" s="278" t="n">
        <v>5</v>
      </c>
      <c r="I13" s="187" t="n"/>
      <c r="J13" s="159" t="inlineStr">
        <is>
          <t>× EBITDA (прибыль до вычетов)</t>
        </is>
      </c>
      <c r="K13" s="187" t="n"/>
    </row>
    <row r="14">
      <c r="B14" s="205" t="n">
        <v>8</v>
      </c>
      <c r="C14" s="213" t="inlineStr">
        <is>
          <t>Attendance (Посещаемость) (relative, 100%)</t>
        </is>
      </c>
      <c r="D14" s="186" t="n"/>
      <c r="E14" s="186" t="n"/>
      <c r="F14" s="186" t="n"/>
      <c r="G14" s="187" t="n"/>
      <c r="H14" s="176" t="n">
        <v>100</v>
      </c>
      <c r="I14" s="187" t="n"/>
      <c r="J14" s="159" t="inlineStr">
        <is>
          <t>базовая посещаемость</t>
        </is>
      </c>
      <c r="K14" s="187" t="n"/>
    </row>
    <row r="17">
      <c r="B17" s="244" t="inlineStr">
        <is>
          <t>II. TORNADO — IMPACT ON EBITDA (прибыль до вычетов) 3Y (base 2 152 млн ₽)</t>
        </is>
      </c>
    </row>
    <row r="18">
      <c r="B18" s="167" t="inlineStr">
        <is>
          <t>#</t>
        </is>
      </c>
      <c r="C18" s="167" t="inlineStr">
        <is>
          <t>Driver (Драйвер)</t>
        </is>
      </c>
      <c r="D18" s="167" t="inlineStr">
        <is>
          <t>−20%</t>
        </is>
      </c>
      <c r="E18" s="167" t="inlineStr">
        <is>
          <t>Base (Базовый)</t>
        </is>
      </c>
      <c r="F18" s="167" t="inlineStr">
        <is>
          <t>+20%</t>
        </is>
      </c>
      <c r="G18" s="167" t="inlineStr">
        <is>
          <t>Δ Low</t>
        </is>
      </c>
      <c r="H18" s="167" t="inlineStr">
        <is>
          <t>Δ Макс.</t>
        </is>
      </c>
      <c r="I18" s="167" t="inlineStr">
        <is>
          <t>Range (Диапазон)</t>
        </is>
      </c>
      <c r="J18" s="167" t="inlineStr">
        <is>
          <t>Elasticity (Эластичность)</t>
        </is>
      </c>
      <c r="K18" s="167" t="inlineStr">
        <is>
          <t>Rank (Ранг)</t>
        </is>
      </c>
    </row>
    <row r="19">
      <c r="B19" s="205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236" t="n">
        <v>20</v>
      </c>
      <c r="K19" s="290" t="n">
        <v>1</v>
      </c>
    </row>
    <row r="20">
      <c r="B20" s="205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236" t="n">
        <v>19.99999999999999</v>
      </c>
      <c r="K20" s="247" t="n">
        <v>3</v>
      </c>
    </row>
    <row r="21">
      <c r="B21" s="205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236" t="n">
        <v>11.17565055762082</v>
      </c>
      <c r="K21" s="247" t="n">
        <v>4</v>
      </c>
    </row>
    <row r="22">
      <c r="B22" s="205" t="n">
        <v>4</v>
      </c>
      <c r="C22" s="206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236" t="n">
        <v>2.578996282527881</v>
      </c>
      <c r="K22" s="212" t="n">
        <v>5</v>
      </c>
    </row>
    <row r="23">
      <c r="B23" s="205" t="n">
        <v>5</v>
      </c>
      <c r="C23" s="206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236" t="n">
        <v>2.467472118959104</v>
      </c>
      <c r="K23" s="212" t="n">
        <v>6</v>
      </c>
    </row>
    <row r="24">
      <c r="B24" s="205" t="n">
        <v>6</v>
      </c>
      <c r="C24" s="206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236" t="n">
        <v>0</v>
      </c>
      <c r="K24" s="212" t="n">
        <v>7</v>
      </c>
    </row>
    <row r="25">
      <c r="B25" s="205" t="n">
        <v>7</v>
      </c>
      <c r="C25" s="206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236" t="n">
        <v>0</v>
      </c>
      <c r="K25" s="212" t="n">
        <v>8</v>
      </c>
    </row>
    <row r="26">
      <c r="B26" s="205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236" t="n">
        <v>20</v>
      </c>
      <c r="K26" s="290" t="n">
        <v>2</v>
      </c>
    </row>
    <row r="29">
      <c r="B29" s="244" t="inlineStr">
        <is>
          <t>III. TORNADO — IMPACT ON IRR (внутренняя норма доходности) T₁ W₅ V-D ★ (база 24.75%)</t>
        </is>
      </c>
    </row>
    <row r="30">
      <c r="B30" s="167" t="inlineStr">
        <is>
          <t>#</t>
        </is>
      </c>
      <c r="C30" s="167" t="inlineStr">
        <is>
          <t>Driver (Драйвер)</t>
        </is>
      </c>
      <c r="D30" s="167" t="inlineStr">
        <is>
          <t>−20%</t>
        </is>
      </c>
      <c r="E30" s="167" t="inlineStr">
        <is>
          <t>Base (Базовый)</t>
        </is>
      </c>
      <c r="F30" s="167" t="inlineStr">
        <is>
          <t>+20%</t>
        </is>
      </c>
      <c r="G30" s="167" t="inlineStr">
        <is>
          <t>Δ Мин. п.п.</t>
        </is>
      </c>
      <c r="H30" s="167" t="inlineStr">
        <is>
          <t>Δ Макс. п.п.</t>
        </is>
      </c>
      <c r="I30" s="167" t="inlineStr">
        <is>
          <t>Range pp (Диапазон п.п.)</t>
        </is>
      </c>
      <c r="J30" s="167" t="inlineStr">
        <is>
          <t>Elasticity (Эластичность)</t>
        </is>
      </c>
      <c r="K30" s="167" t="inlineStr">
        <is>
          <t>Rank (Ранг)</t>
        </is>
      </c>
    </row>
    <row r="31">
      <c r="B31" s="205" t="n">
        <v>1</v>
      </c>
      <c r="C31" s="287" t="inlineStr">
        <is>
          <t>Revenue (Выручка)</t>
        </is>
      </c>
      <c r="D31" s="236" t="n">
        <v>18.87</v>
      </c>
      <c r="E31" s="236" t="n">
        <v>24.75</v>
      </c>
      <c r="F31" s="236" t="n">
        <v>29.8</v>
      </c>
      <c r="G31" s="291" t="n">
        <v>-5.88</v>
      </c>
      <c r="H31" s="291" t="n">
        <v>5.05</v>
      </c>
      <c r="I31" s="291" t="n">
        <v>10.93</v>
      </c>
      <c r="J31" s="236" t="n">
        <v>110.4</v>
      </c>
      <c r="K31" s="290" t="n">
        <v>1</v>
      </c>
    </row>
    <row r="32">
      <c r="B32" s="205" t="n">
        <v>2</v>
      </c>
      <c r="C32" s="206" t="inlineStr">
        <is>
          <t>EBITDA (прибыль до вычетов) margin (маржа)</t>
        </is>
      </c>
      <c r="D32" s="236" t="n">
        <v>18.87</v>
      </c>
      <c r="E32" s="236" t="n">
        <v>24.75</v>
      </c>
      <c r="F32" s="236" t="n">
        <v>29.8</v>
      </c>
      <c r="G32" s="291" t="n">
        <v>-5.88</v>
      </c>
      <c r="H32" s="291" t="n">
        <v>5.05</v>
      </c>
      <c r="I32" s="291" t="n">
        <v>10.93</v>
      </c>
      <c r="J32" s="236" t="n">
        <v>110.4</v>
      </c>
      <c r="K32" s="212" t="n">
        <v>2</v>
      </c>
    </row>
    <row r="33">
      <c r="B33" s="205" t="n">
        <v>3</v>
      </c>
      <c r="C33" s="206" t="inlineStr">
        <is>
          <t>Production CAPEX (Капзатраты)</t>
        </is>
      </c>
      <c r="D33" s="236" t="n">
        <v>26.84</v>
      </c>
      <c r="E33" s="236" t="n">
        <v>24.75</v>
      </c>
      <c r="F33" s="236" t="n">
        <v>22.56</v>
      </c>
      <c r="G33" s="291" t="n">
        <v>2.09</v>
      </c>
      <c r="H33" s="291" t="n">
        <v>-2.19</v>
      </c>
      <c r="I33" s="291" t="n">
        <v>4.28</v>
      </c>
      <c r="J33" s="236" t="n">
        <v>43.21</v>
      </c>
      <c r="K33" s="212" t="n">
        <v>4</v>
      </c>
    </row>
    <row r="34">
      <c r="B34" s="205" t="n">
        <v>4</v>
      </c>
      <c r="C34" s="206" t="inlineStr">
        <is>
          <t>P&amp;A ratio (Коэффициент P&amp;A)</t>
        </is>
      </c>
      <c r="D34" s="236" t="n">
        <v>25.49</v>
      </c>
      <c r="E34" s="236" t="n">
        <v>24.75</v>
      </c>
      <c r="F34" s="236" t="n">
        <v>24</v>
      </c>
      <c r="G34" s="291" t="n">
        <v>0.74</v>
      </c>
      <c r="H34" s="291" t="n">
        <v>-0.75</v>
      </c>
      <c r="I34" s="291" t="n">
        <v>1.49</v>
      </c>
      <c r="J34" s="236" t="n">
        <v>15.07</v>
      </c>
      <c r="K34" s="212" t="n">
        <v>5</v>
      </c>
    </row>
    <row r="35">
      <c r="B35" s="205" t="n">
        <v>5</v>
      </c>
      <c r="C35" s="206" t="inlineStr">
        <is>
          <t>OpEx</t>
        </is>
      </c>
      <c r="D35" s="236" t="n">
        <v>25.22</v>
      </c>
      <c r="E35" s="236" t="n">
        <v>24.75</v>
      </c>
      <c r="F35" s="236" t="n">
        <v>24.27</v>
      </c>
      <c r="G35" s="291" t="n">
        <v>0.48</v>
      </c>
      <c r="H35" s="291" t="n">
        <v>-0.48</v>
      </c>
      <c r="I35" s="291" t="n">
        <v>0.96</v>
      </c>
      <c r="J35" s="236" t="n">
        <v>9.66</v>
      </c>
      <c r="K35" s="212" t="n">
        <v>6</v>
      </c>
    </row>
    <row r="36">
      <c r="B36" s="205" t="n">
        <v>6</v>
      </c>
      <c r="C36" s="206" t="inlineStr">
        <is>
          <t>Interest (Проценты)</t>
        </is>
      </c>
      <c r="D36" s="236" t="n">
        <v>24.8</v>
      </c>
      <c r="E36" s="236" t="n">
        <v>24.75</v>
      </c>
      <c r="F36" s="236" t="n">
        <v>24.7</v>
      </c>
      <c r="G36" s="291" t="n">
        <v>0.05</v>
      </c>
      <c r="H36" s="291" t="n">
        <v>-0.05</v>
      </c>
      <c r="I36" s="291" t="n">
        <v>0.11</v>
      </c>
      <c r="J36" s="236" t="n">
        <v>1.07</v>
      </c>
      <c r="K36" s="212" t="n">
        <v>7</v>
      </c>
    </row>
    <row r="37">
      <c r="B37" s="205" t="n">
        <v>7</v>
      </c>
      <c r="C37" s="206" t="inlineStr">
        <is>
          <t>Exit Multiple (Мультипликатор выхода)</t>
        </is>
      </c>
      <c r="D37" s="236" t="n">
        <v>24.75</v>
      </c>
      <c r="E37" s="236" t="n">
        <v>24.75</v>
      </c>
      <c r="F37" s="236" t="n">
        <v>24.75</v>
      </c>
      <c r="G37" s="291" t="n">
        <v>0</v>
      </c>
      <c r="H37" s="291" t="n">
        <v>0</v>
      </c>
      <c r="I37" s="291" t="n">
        <v>0</v>
      </c>
      <c r="J37" s="236" t="n">
        <v>0</v>
      </c>
      <c r="K37" s="212" t="n">
        <v>8</v>
      </c>
    </row>
    <row r="38">
      <c r="B38" s="205" t="n">
        <v>8</v>
      </c>
      <c r="C38" s="287" t="inlineStr">
        <is>
          <t>Attendance (Посещаемость)</t>
        </is>
      </c>
      <c r="D38" s="236" t="n">
        <v>18.87</v>
      </c>
      <c r="E38" s="236" t="n">
        <v>24.75</v>
      </c>
      <c r="F38" s="236" t="n">
        <v>29.8</v>
      </c>
      <c r="G38" s="291" t="n">
        <v>-5.88</v>
      </c>
      <c r="H38" s="291" t="n">
        <v>5.05</v>
      </c>
      <c r="I38" s="291" t="n">
        <v>10.93</v>
      </c>
      <c r="J38" s="236" t="n">
        <v>110.4</v>
      </c>
      <c r="K38" s="290" t="n">
        <v>3</v>
      </c>
    </row>
    <row r="41">
      <c r="B41" s="244" t="inlineStr">
        <is>
          <t>IV. ЗАКЛЮЧЕНИЯ</t>
        </is>
      </c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235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</row>
    <row r="3"/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</row>
    <row r="6">
      <c r="B6" s="244" t="inlineStr">
        <is>
          <t>I. МАТРИЦА МЕТРИК СЦЕНАРИЕВ</t>
        </is>
      </c>
    </row>
    <row r="7">
      <c r="B7" s="167" t="inlineStr">
        <is>
          <t>#</t>
        </is>
      </c>
      <c r="C7" s="167" t="inlineStr">
        <is>
          <t>Метрика</t>
        </is>
      </c>
      <c r="D7" s="167" t="inlineStr">
        <is>
          <t>Stress Bear (Стресс-пессимистичный)</t>
        </is>
      </c>
      <c r="E7" s="167" t="inlineStr">
        <is>
          <t>Downside (Нижний сценарий)</t>
        </is>
      </c>
      <c r="F7" s="167" t="inlineStr">
        <is>
          <t>Base Case (Базовый сценарий)</t>
        </is>
      </c>
      <c r="G7" s="167" t="inlineStr">
        <is>
          <t>Upside (Верхний сценарий)</t>
        </is>
      </c>
      <c r="H7" s="167" t="inlineStr">
        <is>
          <t>Bull Case (Оптимистичный)</t>
        </is>
      </c>
      <c r="I7" s="167" t="inlineStr">
        <is>
          <t>Range (Диапазон)</t>
        </is>
      </c>
    </row>
    <row r="8">
      <c r="B8" s="205" t="n">
        <v>1</v>
      </c>
      <c r="C8" s="213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193" t="n">
        <v>6363</v>
      </c>
      <c r="I8" s="207" t="n">
        <v>3636</v>
      </c>
    </row>
    <row r="9">
      <c r="B9" s="205" t="n">
        <v>2</v>
      </c>
      <c r="C9" s="213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193" t="n">
        <v>3034.2</v>
      </c>
      <c r="I9" s="207" t="n">
        <v>1733.8</v>
      </c>
    </row>
    <row r="10">
      <c r="B10" s="205" t="n">
        <v>3</v>
      </c>
      <c r="C10" s="213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236" t="n">
        <v>0</v>
      </c>
    </row>
    <row r="11">
      <c r="B11" s="205" t="n">
        <v>4</v>
      </c>
      <c r="C11" s="213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193" t="n">
        <v>2357.7</v>
      </c>
      <c r="I11" s="207" t="n">
        <v>1347.2</v>
      </c>
    </row>
    <row r="12">
      <c r="B12" s="205" t="n">
        <v>5</v>
      </c>
      <c r="C12" s="213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193" t="n">
        <v>4200</v>
      </c>
      <c r="I12" s="207" t="n">
        <v>2400</v>
      </c>
    </row>
    <row r="13">
      <c r="B13" s="205" t="n">
        <v>6</v>
      </c>
      <c r="C13" s="213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193" t="n">
        <v>2035</v>
      </c>
      <c r="I13" s="207" t="n">
        <v>370</v>
      </c>
    </row>
    <row r="14">
      <c r="B14" s="205" t="n">
        <v>7</v>
      </c>
      <c r="C14" s="213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205" t="n">
        <v>8</v>
      </c>
      <c r="C15" s="213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236" t="n">
        <v>23.75</v>
      </c>
    </row>
    <row r="16">
      <c r="B16" s="205" t="n">
        <v>9</v>
      </c>
      <c r="C16" s="213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237" t="n">
        <v>1.26</v>
      </c>
    </row>
    <row r="17">
      <c r="B17" s="205" t="n">
        <v>10</v>
      </c>
      <c r="C17" s="213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193" t="n">
        <v>15171</v>
      </c>
      <c r="I17" s="207" t="n">
        <v>8669</v>
      </c>
    </row>
    <row r="18">
      <c r="B18" s="205" t="n">
        <v>11</v>
      </c>
      <c r="C18" s="213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193" t="n">
        <v>3377</v>
      </c>
      <c r="I18" s="207" t="n">
        <v>1577</v>
      </c>
    </row>
    <row r="19">
      <c r="B19" s="205" t="n">
        <v>12</v>
      </c>
      <c r="C19" s="213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236" t="n">
        <v>25</v>
      </c>
    </row>
    <row r="20">
      <c r="B20" s="205" t="n">
        <v>13</v>
      </c>
      <c r="C20" s="213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3">
      <c r="B23" s="244" t="inlineStr">
        <is>
          <t>II. SCENARIO NARRATIVES (ОПИСАНИЯ СЦЕНАРИЕВ) &amp; TRIGGERS</t>
        </is>
      </c>
    </row>
    <row r="24" ht="48" customHeight="1">
      <c r="B24" s="314" t="inlineStr">
        <is>
          <t>Stress Bear (Стресс-пессимистичный) (5% prob)</t>
        </is>
      </c>
      <c r="C24" s="187" t="n"/>
      <c r="D24" s="206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186" t="n"/>
      <c r="F24" s="186" t="n"/>
      <c r="G24" s="186" t="n"/>
      <c r="H24" s="186" t="n"/>
      <c r="I24" s="187" t="n"/>
    </row>
    <row r="25" ht="48" customHeight="1">
      <c r="B25" s="274" t="inlineStr">
        <is>
          <t>Downside (Нижний сценарий) (15% prob)</t>
        </is>
      </c>
      <c r="C25" s="187" t="n"/>
      <c r="D25" s="206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186" t="n"/>
      <c r="F25" s="186" t="n"/>
      <c r="G25" s="186" t="n"/>
      <c r="H25" s="186" t="n"/>
      <c r="I25" s="187" t="n"/>
    </row>
    <row r="26" ht="48" customHeight="1">
      <c r="B26" s="261" t="inlineStr">
        <is>
          <t>Base Case (Базовый сценарий) (50% prob)</t>
        </is>
      </c>
      <c r="C26" s="187" t="n"/>
      <c r="D26" s="206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186" t="n"/>
      <c r="F26" s="186" t="n"/>
      <c r="G26" s="186" t="n"/>
      <c r="H26" s="186" t="n"/>
      <c r="I26" s="187" t="n"/>
    </row>
    <row r="27" ht="48" customHeight="1">
      <c r="B27" s="315" t="inlineStr">
        <is>
          <t>Upside (Верхний сценарий) (20% prob)</t>
        </is>
      </c>
      <c r="C27" s="187" t="n"/>
      <c r="D27" s="206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186" t="n"/>
      <c r="F27" s="186" t="n"/>
      <c r="G27" s="186" t="n"/>
      <c r="H27" s="186" t="n"/>
      <c r="I27" s="187" t="n"/>
    </row>
    <row r="28" ht="48" customHeight="1">
      <c r="B28" s="277" t="inlineStr">
        <is>
          <t>Bull Case (Оптимистичный) (10% prob)</t>
        </is>
      </c>
      <c r="C28" s="187" t="n"/>
      <c r="D28" s="206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186" t="n"/>
      <c r="F28" s="186" t="n"/>
      <c r="G28" s="186" t="n"/>
      <c r="H28" s="186" t="n"/>
      <c r="I28" s="187" t="n"/>
    </row>
    <row r="31">
      <c r="B31" s="244" t="inlineStr">
        <is>
          <t>III. PROBABILITY-WEIGHTED (ВЗВЕШЕННЫЙ ПО ВЕРОЯТНОСТИ) EXPECTED VALUE (ОЖИДАЕМАЯ СТОИМОСТЬ)</t>
        </is>
      </c>
    </row>
    <row r="32">
      <c r="B32" s="213" t="inlineStr">
        <is>
          <t>Expected Revenue (Выручка) 3Y</t>
        </is>
      </c>
      <c r="C32" s="186" t="n"/>
      <c r="D32" s="186" t="n"/>
      <c r="E32" s="186" t="n"/>
      <c r="F32" s="187" t="n"/>
      <c r="G32" s="173" t="n">
        <v>4681.35</v>
      </c>
      <c r="H32" s="187" t="n"/>
      <c r="I32" s="159" t="inlineStr">
        <is>
          <t>млн ₽</t>
        </is>
      </c>
    </row>
    <row r="33">
      <c r="B33" s="213" t="inlineStr">
        <is>
          <t>Expected EBITDA (прибыль до вычетов) 3Y</t>
        </is>
      </c>
      <c r="C33" s="186" t="n"/>
      <c r="D33" s="186" t="n"/>
      <c r="E33" s="186" t="n"/>
      <c r="F33" s="187" t="n"/>
      <c r="G33" s="173" t="n">
        <v>2232.33</v>
      </c>
      <c r="H33" s="187" t="n"/>
      <c r="I33" s="159" t="inlineStr">
        <is>
          <t>млн ₽</t>
        </is>
      </c>
    </row>
    <row r="34">
      <c r="B34" s="213" t="inlineStr">
        <is>
          <t>Expected Net Profit (Чистая прибыль) 3Y</t>
        </is>
      </c>
      <c r="C34" s="186" t="n"/>
      <c r="D34" s="186" t="n"/>
      <c r="E34" s="186" t="n"/>
      <c r="F34" s="187" t="n"/>
      <c r="G34" s="173" t="n">
        <v>1734.56</v>
      </c>
      <c r="H34" s="187" t="n"/>
      <c r="I34" s="159" t="inlineStr">
        <is>
          <t>млн ₽</t>
        </is>
      </c>
    </row>
    <row r="35">
      <c r="B35" s="213" t="inlineStr">
        <is>
          <t>Expected NDP (чистые распределяемые поступления)</t>
        </is>
      </c>
      <c r="C35" s="186" t="n"/>
      <c r="D35" s="186" t="n"/>
      <c r="E35" s="186" t="n"/>
      <c r="F35" s="187" t="n"/>
      <c r="G35" s="173" t="n">
        <v>3090</v>
      </c>
      <c r="H35" s="187" t="n"/>
      <c r="I35" s="159" t="inlineStr">
        <is>
          <t>млн ₽</t>
        </is>
      </c>
    </row>
    <row r="36">
      <c r="B36" s="213" t="inlineStr">
        <is>
          <t>Expected EV (стоимость предприятия) (5× exit)</t>
        </is>
      </c>
      <c r="C36" s="186" t="n"/>
      <c r="D36" s="186" t="n"/>
      <c r="E36" s="186" t="n"/>
      <c r="F36" s="187" t="n"/>
      <c r="G36" s="173" t="n">
        <v>11161.65</v>
      </c>
      <c r="H36" s="187" t="n"/>
      <c r="I36" s="159" t="inlineStr">
        <is>
          <t>млн ₽</t>
        </is>
      </c>
    </row>
    <row r="37">
      <c r="B37" s="213" t="inlineStr">
        <is>
          <t>Expected IRR (внутренняя норма доходности) T₁ W₅ V-D</t>
        </is>
      </c>
      <c r="C37" s="186" t="n"/>
      <c r="D37" s="186" t="n"/>
      <c r="E37" s="186" t="n"/>
      <c r="F37" s="187" t="n"/>
      <c r="G37" s="176" t="n">
        <v>25.14</v>
      </c>
      <c r="H37" s="187" t="n"/>
      <c r="I37" s="159" t="inlineStr">
        <is>
          <t>%</t>
        </is>
      </c>
    </row>
    <row r="39" ht="50" customHeight="1">
      <c r="B39" s="591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L8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235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</row>
    <row r="3"/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</row>
    <row r="6">
      <c r="B6" s="244" t="inlineStr">
        <is>
          <t>I.  СТОХАСТИЧЕСКИЕ ПЕРЕМЕННЫЕ (PDFs)</t>
        </is>
      </c>
    </row>
    <row r="7">
      <c r="B7" s="167" t="inlineStr">
        <is>
          <t>#</t>
        </is>
      </c>
      <c r="C7" s="167" t="inlineStr">
        <is>
          <t>Variable (Переменная)</t>
        </is>
      </c>
      <c r="D7" s="167" t="inlineStr">
        <is>
          <t>Distribution (Распределение)</t>
        </is>
      </c>
      <c r="E7" s="167" t="inlineStr">
        <is>
          <t>Param (Параметр) 1</t>
        </is>
      </c>
      <c r="F7" s="167" t="inlineStr">
        <is>
          <t>Param (Параметр) 2</t>
        </is>
      </c>
      <c r="G7" s="167" t="inlineStr">
        <is>
          <t>Param (Параметр) 3</t>
        </is>
      </c>
      <c r="H7" s="167" t="inlineStr">
        <is>
          <t>Description (Описание)</t>
        </is>
      </c>
      <c r="I7" s="187" t="n"/>
    </row>
    <row r="8">
      <c r="B8" s="205" t="n">
        <v>1</v>
      </c>
      <c r="C8" s="206" t="inlineStr">
        <is>
          <t>Revenue (Выручка) multiplier</t>
        </is>
      </c>
      <c r="D8" s="206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206" t="inlineStr">
        <is>
          <t>мин/мода/макс</t>
        </is>
      </c>
      <c r="I8" s="187" t="n"/>
    </row>
    <row r="9">
      <c r="B9" s="205" t="n">
        <v>2</v>
      </c>
      <c r="C9" s="206" t="inlineStr">
        <is>
          <t>EBITDA (прибыль до вычетов) margin (маржа) shock</t>
        </is>
      </c>
      <c r="D9" s="206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206" t="inlineStr">
        <is>
          <t>μ=0, σ=4pp</t>
        </is>
      </c>
      <c r="I9" s="187" t="n"/>
    </row>
    <row r="10">
      <c r="B10" s="205" t="n">
        <v>3</v>
      </c>
      <c r="C10" s="206" t="inlineStr">
        <is>
          <t>CAPEX (Капзатраты) overrun</t>
        </is>
      </c>
      <c r="D10" s="206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206" t="inlineStr">
        <is>
          <t>σ=10%, base=1.00</t>
        </is>
      </c>
      <c r="I10" s="187" t="n"/>
    </row>
    <row r="11">
      <c r="B11" s="205" t="n">
        <v>4</v>
      </c>
      <c r="C11" s="206" t="inlineStr">
        <is>
          <t>Exit multiple (Мультипликатор выхода)</t>
        </is>
      </c>
      <c r="D11" s="206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206" t="inlineStr">
        <is>
          <t>мин/мода/макс</t>
        </is>
      </c>
      <c r="I11" s="187" t="n"/>
    </row>
    <row r="12">
      <c r="B12" s="205" t="n">
        <v>5</v>
      </c>
      <c r="C12" s="206" t="inlineStr">
        <is>
          <t>Film hit rate (Доля успешных фильмов)</t>
        </is>
      </c>
      <c r="D12" s="206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206" t="inlineStr">
        <is>
          <t>p=0,70, 7 проектов</t>
        </is>
      </c>
      <c r="I12" s="187" t="n"/>
    </row>
    <row r="15">
      <c r="B15" s="244" t="inlineStr">
        <is>
          <t>II.  ИТОГИ РАСПРЕДЕЛЕНИЯ — 5 000 simulations</t>
        </is>
      </c>
    </row>
    <row r="16">
      <c r="B16" s="167" t="inlineStr">
        <is>
          <t>Metric (Метрика)</t>
        </is>
      </c>
      <c r="C16" s="187" t="n"/>
      <c r="D16" s="167" t="inlineStr">
        <is>
          <t>Mean (Среднее)</t>
        </is>
      </c>
      <c r="E16" s="167" t="inlineStr">
        <is>
          <t>StDev (Ст.откл.)</t>
        </is>
      </c>
      <c r="F16" s="167" t="inlineStr">
        <is>
          <t>P5</t>
        </is>
      </c>
      <c r="G16" s="167" t="inlineStr">
        <is>
          <t>P10</t>
        </is>
      </c>
      <c r="H16" s="167" t="inlineStr">
        <is>
          <t>P25</t>
        </is>
      </c>
      <c r="I16" s="167" t="inlineStr">
        <is>
          <t>P50</t>
        </is>
      </c>
      <c r="J16" s="167" t="inlineStr">
        <is>
          <t>P75</t>
        </is>
      </c>
      <c r="K16" s="167" t="inlineStr">
        <is>
          <t>P90</t>
        </is>
      </c>
      <c r="L16" s="167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187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187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187" t="n"/>
      <c r="D19" s="236" t="n">
        <v>13.95</v>
      </c>
      <c r="E19" s="236" t="n">
        <v>8.050000000000001</v>
      </c>
      <c r="F19" s="236" t="n">
        <v>-0.46</v>
      </c>
      <c r="G19" s="236" t="n">
        <v>2.81</v>
      </c>
      <c r="H19" s="236" t="n">
        <v>8.869999999999999</v>
      </c>
      <c r="I19" s="275" t="n">
        <v>14.8</v>
      </c>
      <c r="J19" s="236" t="n">
        <v>19.64</v>
      </c>
      <c r="K19" s="236" t="n">
        <v>23.59</v>
      </c>
      <c r="L19" s="236" t="n">
        <v>25.89</v>
      </c>
    </row>
    <row r="20">
      <c r="B20" s="317" t="inlineStr">
        <is>
          <t>MOIC (мультипликатор вложенного капитала) (W₅ V-D)</t>
        </is>
      </c>
      <c r="C20" s="187" t="n"/>
      <c r="D20" s="237" t="n">
        <v>1.61</v>
      </c>
      <c r="E20" s="237" t="n">
        <v>0.37</v>
      </c>
      <c r="F20" s="237" t="n">
        <v>0.98</v>
      </c>
      <c r="G20" s="237" t="n">
        <v>1.11</v>
      </c>
      <c r="H20" s="237" t="n">
        <v>1.36</v>
      </c>
      <c r="I20" s="276" t="n">
        <v>1.63</v>
      </c>
      <c r="J20" s="237" t="n">
        <v>1.86</v>
      </c>
      <c r="K20" s="237" t="n">
        <v>2.06</v>
      </c>
      <c r="L20" s="237" t="n">
        <v>2.19</v>
      </c>
    </row>
    <row r="21">
      <c r="B21" s="317" t="inlineStr">
        <is>
          <t>EV (стоимость предприятия)</t>
        </is>
      </c>
      <c r="C21" s="187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4">
      <c r="B24" s="244" t="inlineStr">
        <is>
          <t>III.  МЕТРИКИ ВЕРОЯТНОСТИ И РИСКОВ</t>
        </is>
      </c>
    </row>
    <row r="25">
      <c r="B25" s="213" t="inlineStr">
        <is>
          <t>P(IRR (внутренняя норма доходности) &gt; 18% hurdle (порог))</t>
        </is>
      </c>
      <c r="C25" s="186" t="n"/>
      <c r="D25" s="186" t="n"/>
      <c r="E25" s="186" t="n"/>
      <c r="F25" s="187" t="n"/>
      <c r="G25" s="176" t="n">
        <v>32.7</v>
      </c>
      <c r="H25" s="186" t="n"/>
      <c r="I25" s="187" t="n"/>
    </row>
    <row r="26">
      <c r="B26" s="213" t="inlineStr">
        <is>
          <t>P(IRR (внутренняя норма доходности) &gt; 12% target)</t>
        </is>
      </c>
      <c r="C26" s="186" t="n"/>
      <c r="D26" s="186" t="n"/>
      <c r="E26" s="186" t="n"/>
      <c r="F26" s="187" t="n"/>
      <c r="G26" s="176" t="n">
        <v>63.2</v>
      </c>
      <c r="H26" s="186" t="n"/>
      <c r="I26" s="187" t="n"/>
    </row>
    <row r="27">
      <c r="B27" s="213" t="inlineStr">
        <is>
          <t>P(IRR (внутренняя норма доходности) &gt; 8% floor)</t>
        </is>
      </c>
      <c r="C27" s="186" t="n"/>
      <c r="D27" s="186" t="n"/>
      <c r="E27" s="186" t="n"/>
      <c r="F27" s="187" t="n"/>
      <c r="G27" s="176" t="n">
        <v>77.59999999999999</v>
      </c>
      <c r="H27" s="186" t="n"/>
      <c r="I27" s="187" t="n"/>
    </row>
    <row r="28">
      <c r="B28" s="213" t="inlineStr">
        <is>
          <t>P(Loss — IRR (внутренняя норма доходности) &lt; 0)</t>
        </is>
      </c>
      <c r="C28" s="186" t="n"/>
      <c r="D28" s="186" t="n"/>
      <c r="E28" s="186" t="n"/>
      <c r="F28" s="187" t="n"/>
      <c r="G28" s="176" t="n">
        <v>5.5</v>
      </c>
      <c r="H28" s="186" t="n"/>
      <c r="I28" s="187" t="n"/>
    </row>
    <row r="29">
      <c r="B29" s="213" t="inlineStr">
        <is>
          <t>P(MOIC (мультипликатор вложенного капитала) &gt; 2.0×)</t>
        </is>
      </c>
      <c r="C29" s="186" t="n"/>
      <c r="D29" s="186" t="n"/>
      <c r="E29" s="186" t="n"/>
      <c r="F29" s="187" t="n"/>
      <c r="G29" s="176" t="n">
        <v>13.6</v>
      </c>
      <c r="H29" s="186" t="n"/>
      <c r="I29" s="187" t="n"/>
    </row>
    <row r="30">
      <c r="B30" s="213" t="inlineStr">
        <is>
          <t>VaR 95% (NDP (чистые распределяемые поступления) shortfall vs base)</t>
        </is>
      </c>
      <c r="C30" s="186" t="n"/>
      <c r="D30" s="186" t="n"/>
      <c r="E30" s="186" t="n"/>
      <c r="F30" s="187" t="n"/>
      <c r="G30" s="173" t="n">
        <v>1770.7</v>
      </c>
      <c r="H30" s="186" t="n"/>
      <c r="I30" s="187" t="n"/>
    </row>
    <row r="31">
      <c r="B31" s="213" t="inlineStr">
        <is>
          <t>CVaR (условный VaR) 95% (expected shortfall)</t>
        </is>
      </c>
      <c r="C31" s="186" t="n"/>
      <c r="D31" s="186" t="n"/>
      <c r="E31" s="186" t="n"/>
      <c r="F31" s="187" t="n"/>
      <c r="G31" s="173" t="n">
        <v>1930.1</v>
      </c>
      <c r="H31" s="186" t="n"/>
      <c r="I31" s="187" t="n"/>
    </row>
    <row r="32">
      <c r="B32" s="213" t="inlineStr">
        <is>
          <t>Expected NDP (чистые распределяемые поступления)</t>
        </is>
      </c>
      <c r="C32" s="186" t="n"/>
      <c r="D32" s="186" t="n"/>
      <c r="E32" s="186" t="n"/>
      <c r="F32" s="187" t="n"/>
      <c r="G32" s="173" t="n">
        <v>2104</v>
      </c>
      <c r="H32" s="186" t="n"/>
      <c r="I32" s="187" t="n"/>
    </row>
    <row r="33">
      <c r="B33" s="213" t="inlineStr">
        <is>
          <t>Expected MOIC (мультипликатор вложенного капитала) T₁</t>
        </is>
      </c>
      <c r="C33" s="186" t="n"/>
      <c r="D33" s="186" t="n"/>
      <c r="E33" s="186" t="n"/>
      <c r="F33" s="187" t="n"/>
      <c r="G33" s="278" t="n">
        <v>1.609</v>
      </c>
      <c r="H33" s="186" t="n"/>
      <c r="I33" s="187" t="n"/>
    </row>
    <row r="34">
      <c r="B34" s="213" t="inlineStr">
        <is>
          <t>Median EV (стоимость предприятия) (P50)</t>
        </is>
      </c>
      <c r="C34" s="186" t="n"/>
      <c r="D34" s="186" t="n"/>
      <c r="E34" s="186" t="n"/>
      <c r="F34" s="187" t="n"/>
      <c r="G34" s="173" t="n">
        <v>7327</v>
      </c>
      <c r="H34" s="186" t="n"/>
      <c r="I34" s="187" t="n"/>
    </row>
    <row r="37">
      <c r="B37" s="244" t="inlineStr">
        <is>
          <t>IV. NDP (чистые распределяемые поступления) DISTRIBUTION HISTOGRAM (5 000 sims, 10 bins)</t>
        </is>
      </c>
    </row>
    <row r="38">
      <c r="B38" s="167" t="inlineStr">
        <is>
          <t>#</t>
        </is>
      </c>
      <c r="C38" s="167" t="inlineStr">
        <is>
          <t>Range (Диапазон)</t>
        </is>
      </c>
      <c r="D38" s="187" t="n"/>
      <c r="E38" s="167" t="inlineStr">
        <is>
          <t>Count (Количество)</t>
        </is>
      </c>
      <c r="F38" s="167" t="inlineStr">
        <is>
          <t>%</t>
        </is>
      </c>
      <c r="G38" s="167" t="inlineStr">
        <is>
          <t>Bar</t>
        </is>
      </c>
      <c r="H38" s="186" t="n"/>
      <c r="I38" s="187" t="n"/>
    </row>
    <row r="39">
      <c r="B39" s="205" t="n">
        <v>1</v>
      </c>
      <c r="C39" s="206" t="inlineStr">
        <is>
          <t>527 − 955</t>
        </is>
      </c>
      <c r="D39" s="187" t="n"/>
      <c r="E39" s="205" t="n">
        <v>45</v>
      </c>
      <c r="F39" s="236" t="n">
        <v>0.9</v>
      </c>
      <c r="G39" s="206" t="inlineStr">
        <is>
          <t>█</t>
        </is>
      </c>
      <c r="H39" s="186" t="n"/>
      <c r="I39" s="187" t="n"/>
    </row>
    <row r="40">
      <c r="B40" s="205" t="n">
        <v>2</v>
      </c>
      <c r="C40" s="206" t="inlineStr">
        <is>
          <t>955 − 1383</t>
        </is>
      </c>
      <c r="D40" s="187" t="n"/>
      <c r="E40" s="205" t="n">
        <v>458</v>
      </c>
      <c r="F40" s="236" t="n">
        <v>9.199999999999999</v>
      </c>
      <c r="G40" s="206" t="inlineStr">
        <is>
          <t>█████████</t>
        </is>
      </c>
      <c r="H40" s="186" t="n"/>
      <c r="I40" s="187" t="n"/>
    </row>
    <row r="41">
      <c r="B41" s="205" t="n">
        <v>3</v>
      </c>
      <c r="C41" s="206" t="inlineStr">
        <is>
          <t>1383 − 1811</t>
        </is>
      </c>
      <c r="D41" s="187" t="n"/>
      <c r="E41" s="205" t="n">
        <v>1120</v>
      </c>
      <c r="F41" s="236" t="n">
        <v>22.4</v>
      </c>
      <c r="G41" s="206" t="inlineStr">
        <is>
          <t>██████████████████████</t>
        </is>
      </c>
      <c r="H41" s="186" t="n"/>
      <c r="I41" s="187" t="n"/>
    </row>
    <row r="42">
      <c r="B42" s="205" t="n">
        <v>4</v>
      </c>
      <c r="C42" s="206" t="inlineStr">
        <is>
          <t>1811 − 2239</t>
        </is>
      </c>
      <c r="D42" s="187" t="n"/>
      <c r="E42" s="205" t="n">
        <v>1474</v>
      </c>
      <c r="F42" s="236" t="n">
        <v>29.5</v>
      </c>
      <c r="G42" s="206" t="inlineStr">
        <is>
          <t>█████████████████████████████</t>
        </is>
      </c>
      <c r="H42" s="186" t="n"/>
      <c r="I42" s="187" t="n"/>
    </row>
    <row r="43">
      <c r="B43" s="226" t="n">
        <v>5</v>
      </c>
      <c r="C43" s="281" t="inlineStr">
        <is>
          <t>2239 − 2667</t>
        </is>
      </c>
      <c r="D43" s="187" t="n"/>
      <c r="E43" s="226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186" t="n"/>
      <c r="I43" s="187" t="n"/>
    </row>
    <row r="44">
      <c r="B44" s="205" t="n">
        <v>6</v>
      </c>
      <c r="C44" s="206" t="inlineStr">
        <is>
          <t>2667 − 3095</t>
        </is>
      </c>
      <c r="D44" s="187" t="n"/>
      <c r="E44" s="205" t="n">
        <v>522</v>
      </c>
      <c r="F44" s="236" t="n">
        <v>10.4</v>
      </c>
      <c r="G44" s="206" t="inlineStr">
        <is>
          <t>██████████</t>
        </is>
      </c>
      <c r="H44" s="186" t="n"/>
      <c r="I44" s="187" t="n"/>
    </row>
    <row r="45">
      <c r="B45" s="205" t="n">
        <v>7</v>
      </c>
      <c r="C45" s="206" t="inlineStr">
        <is>
          <t>3095 − 3523</t>
        </is>
      </c>
      <c r="D45" s="187" t="n"/>
      <c r="E45" s="205" t="n">
        <v>200</v>
      </c>
      <c r="F45" s="236" t="n">
        <v>4</v>
      </c>
      <c r="G45" s="206" t="inlineStr">
        <is>
          <t>████</t>
        </is>
      </c>
      <c r="H45" s="186" t="n"/>
      <c r="I45" s="187" t="n"/>
    </row>
    <row r="46">
      <c r="B46" s="205" t="n">
        <v>8</v>
      </c>
      <c r="C46" s="206" t="inlineStr">
        <is>
          <t>3523 − 3952</t>
        </is>
      </c>
      <c r="D46" s="187" t="n"/>
      <c r="E46" s="205" t="n">
        <v>58</v>
      </c>
      <c r="F46" s="236" t="n">
        <v>1.2</v>
      </c>
      <c r="G46" s="206" t="inlineStr">
        <is>
          <t>█</t>
        </is>
      </c>
      <c r="H46" s="186" t="n"/>
      <c r="I46" s="187" t="n"/>
    </row>
    <row r="47">
      <c r="B47" s="205" t="n">
        <v>9</v>
      </c>
      <c r="C47" s="206" t="inlineStr">
        <is>
          <t>3952 − 4380</t>
        </is>
      </c>
      <c r="D47" s="187" t="n"/>
      <c r="E47" s="205" t="n">
        <v>11</v>
      </c>
      <c r="F47" s="236" t="n">
        <v>0.2</v>
      </c>
      <c r="G47" s="206" t="inlineStr">
        <is>
          <t>█</t>
        </is>
      </c>
      <c r="H47" s="186" t="n"/>
      <c r="I47" s="187" t="n"/>
    </row>
    <row r="48">
      <c r="B48" s="205" t="n">
        <v>10</v>
      </c>
      <c r="C48" s="206" t="inlineStr">
        <is>
          <t>4380 − 4808</t>
        </is>
      </c>
      <c r="D48" s="187" t="n"/>
      <c r="E48" s="205" t="n">
        <v>5</v>
      </c>
      <c r="F48" s="236" t="n">
        <v>0.1</v>
      </c>
      <c r="G48" s="206" t="inlineStr">
        <is>
          <t>█</t>
        </is>
      </c>
      <c r="H48" s="186" t="n"/>
      <c r="I48" s="187" t="n"/>
    </row>
    <row r="51">
      <c r="B51" s="577" t="inlineStr">
        <is>
          <t>V. СЕТКА ЧУВСТВИТЕЛЬНОСТИ — ВАРИАЦИИ A+C (W₅ V-D фикс.)</t>
        </is>
      </c>
    </row>
    <row r="53">
      <c r="B53" s="571" t="inlineStr">
        <is>
          <t>#</t>
        </is>
      </c>
      <c r="C53" s="571" t="inlineStr">
        <is>
          <t>Pattern (Паттерн)</t>
        </is>
      </c>
      <c r="E53" s="571" t="inlineStr">
        <is>
          <t>Y2029</t>
        </is>
      </c>
      <c r="F53" s="571" t="inlineStr">
        <is>
          <t>Y2030</t>
        </is>
      </c>
      <c r="G53" s="571" t="inlineStr">
        <is>
          <t>Y2031</t>
        </is>
      </c>
      <c r="H53" s="571" t="inlineStr">
        <is>
          <t>Y2032</t>
        </is>
      </c>
      <c r="I53" s="571" t="inlineStr">
        <is>
          <t>LP (ограниченный партнёр) IRR (внутренняя норма доходности) %</t>
        </is>
      </c>
      <c r="J53" s="571" t="inlineStr">
        <is>
          <t>LP (ограниченный партнёр) MoIC</t>
        </is>
      </c>
      <c r="K53" s="571" t="inlineStr">
        <is>
          <t>vs Base (Базовый)</t>
        </is>
      </c>
    </row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C56" s="588" t="inlineStr">
        <is>
          <t>Base (Базовый) A+C (33/45/9/13) ★</t>
        </is>
      </c>
      <c r="D56" s="588" t="n"/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  <c r="K56" s="588" t="inlineStr">
        <is>
          <t>+0.00пп</t>
        </is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60">
      <c r="B60" s="571" t="inlineStr">
        <is>
          <t>V.b W₅ PARAMS GRID (catch-up × carry, base NDP (чистые распределяемые поступления)=3000)</t>
        </is>
      </c>
    </row>
    <row r="61">
      <c r="B61" s="571" t="inlineStr">
        <is>
          <t>Catch-up LP (ограниченный партнёр) %↓</t>
        </is>
      </c>
      <c r="C61" s="571" t="inlineStr">
        <is>
          <t>Carry LP (ограниченный партнёр) % →</t>
        </is>
      </c>
      <c r="D61" s="571" t="inlineStr">
        <is>
          <t>50%</t>
        </is>
      </c>
      <c r="E61" s="571" t="inlineStr">
        <is>
          <t>55%</t>
        </is>
      </c>
      <c r="F61" s="571" t="inlineStr">
        <is>
          <t>60%</t>
        </is>
      </c>
      <c r="G61" s="571" t="inlineStr">
        <is>
          <t>65%</t>
        </is>
      </c>
      <c r="H61" s="571" t="inlineStr">
        <is>
          <t>70%</t>
        </is>
      </c>
    </row>
    <row r="62">
      <c r="B62" s="571" t="inlineStr">
        <is>
          <t>60%</t>
        </is>
      </c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B63" s="571" t="inlineStr">
        <is>
          <t>65%</t>
        </is>
      </c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B64" s="571" t="inlineStr">
        <is>
          <t>70%</t>
        </is>
      </c>
      <c r="D64" t="inlineStr">
        <is>
          <t>24.4% / 2.09×</t>
        </is>
      </c>
      <c r="E64" t="inlineStr">
        <is>
          <t>24.6% / 2.11×</t>
        </is>
      </c>
      <c r="F64" s="589" t="inlineStr">
        <is>
          <t>24.7% / 2.13×</t>
        </is>
      </c>
      <c r="G64" t="inlineStr">
        <is>
          <t>24.9% / 2.14×</t>
        </is>
      </c>
      <c r="H64" t="inlineStr">
        <is>
          <t>25.1% / 2.16×</t>
        </is>
      </c>
    </row>
    <row r="65">
      <c r="B65" s="571" t="inlineStr">
        <is>
          <t>75%</t>
        </is>
      </c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B66" s="571" t="inlineStr">
        <is>
          <t>80%</t>
        </is>
      </c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8">
      <c r="B68" s="569" t="inlineStr">
        <is>
          <t>VI. СТАТИСТИКА W₅ V-D — уверенность и калибровка</t>
        </is>
      </c>
    </row>
    <row r="70">
      <c r="B70" s="357" t="inlineStr">
        <is>
          <t>P(LP (ограниченный партнёр) IRR (внутренняя норма доходности) &gt; 18% hurdle (порог))</t>
        </is>
      </c>
      <c r="G70" s="357" t="inlineStr">
        <is>
          <t>32.7%</t>
        </is>
      </c>
      <c r="I70" s="574" t="inlineStr">
        <is>
          <t>Под W₃ было ~49%, под W₅ V-D</t>
        </is>
      </c>
    </row>
    <row r="71">
      <c r="B71" s="357" t="inlineStr">
        <is>
          <t>P(LP (ограниченный партнёр) IRR (внутренняя норма доходности) &gt; 24.75% base)</t>
        </is>
      </c>
      <c r="G71" s="357" t="inlineStr">
        <is>
          <t>7.0%</t>
        </is>
      </c>
      <c r="I71" s="574" t="inlineStr">
        <is>
          <t>Probability of beating Base (Базовый) case</t>
        </is>
      </c>
    </row>
    <row r="72">
      <c r="B72" s="357" t="inlineStr">
        <is>
          <t>P(LP (ограниченный партнёр) MoIC &gt; 2.13× base)</t>
        </is>
      </c>
      <c r="G72" s="357" t="inlineStr">
        <is>
          <t>6.8%</t>
        </is>
      </c>
      <c r="I72" s="574" t="inlineStr">
        <is>
          <t>Probability of beating Base (Базовый) MoIC</t>
        </is>
      </c>
    </row>
    <row r="73">
      <c r="B73" s="357" t="inlineStr">
        <is>
          <t>P(LP (ограниченный партнёр) MoIC &gt; 2.5× upside)</t>
        </is>
      </c>
      <c r="G73" s="357" t="inlineStr">
        <is>
          <t>0.6%</t>
        </is>
      </c>
      <c r="I73" s="574" t="inlineStr">
        <is>
          <t>Bull (Оптимистичный)-case probability</t>
        </is>
      </c>
    </row>
    <row r="74">
      <c r="B74" s="357" t="inlineStr">
        <is>
          <t>Median LP (ограниченный партнёр) IRR (внутренняя норма доходности)</t>
        </is>
      </c>
      <c r="G74" s="357" t="inlineStr">
        <is>
          <t>14.80%</t>
        </is>
      </c>
      <c r="I74" s="574" t="inlineStr">
        <is>
          <t>P50 percentile (перцентиль)</t>
        </is>
      </c>
    </row>
    <row r="75">
      <c r="B75" s="357" t="inlineStr">
        <is>
          <t>Mean LP (ограниченный партнёр) IRR (внутренняя норма доходности) (computed)</t>
        </is>
      </c>
      <c r="G75" s="357" t="inlineStr">
        <is>
          <t>13.95%</t>
        </is>
      </c>
      <c r="I75" s="574" t="inlineStr">
        <is>
          <t>vs deterministic (детерминированный) 24,75%</t>
        </is>
      </c>
    </row>
    <row r="76">
      <c r="B76" s="357" t="inlineStr">
        <is>
          <t>LP (ограниченный партнёр) IRR (внутренняя норма доходности) StDev</t>
        </is>
      </c>
      <c r="G76" s="357" t="inlineStr">
        <is>
          <t>8.05%</t>
        </is>
      </c>
      <c r="I76" s="574" t="inlineStr">
        <is>
          <t>Risk (Риск) dispersion</t>
        </is>
      </c>
    </row>
    <row r="77">
      <c r="B77" s="357" t="inlineStr">
        <is>
          <t>Producer (Продюсер) Mean Share (Доля)</t>
        </is>
      </c>
      <c r="G77" s="357" t="inlineStr">
        <is>
          <t>93 млн ₽</t>
        </is>
      </c>
      <c r="I77" s="574" t="inlineStr">
        <is>
          <t>Avg producer payout (Ср. выплата продюсеру)</t>
        </is>
      </c>
    </row>
    <row r="78">
      <c r="B78" s="571" t="inlineStr">
        <is>
          <t>ПОЯСНЕНИЕ: разница MC mean (13.95%) vs Base (Базовый) deterministic (24.75%)</t>
        </is>
      </c>
    </row>
    <row r="79" ht="60" customHeight="1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</row>
    <row r="80">
      <c r="B80" s="574" t="inlineStr">
        <is>
          <t>Симуляция: numpy seed=42, N=5000 итераций, 5 стохастических переменных, W₅ V-D allocator (vectorized), A+C pattern (паттерн) 33/45/9/13. Valid: 5000/5000. Generated: 2026-04-13 v1.0.1</t>
        </is>
      </c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2" max="2"/>
    <col width="14" customWidth="1" min="3" max="3"/>
    <col width="50" customWidth="1" min="4" max="4"/>
    <col width="8" customWidth="1" min="5" max="5"/>
    <col width="8" customWidth="1" min="6" max="6"/>
    <col width="8" customWidth="1" min="7" max="7"/>
    <col width="11" customWidth="1" min="8" max="8"/>
    <col width="50" customWidth="1" min="9" max="9"/>
    <col width="16" customWidth="1" min="10" max="10"/>
    <col width="10" customWidth="1" min="11" max="11"/>
  </cols>
  <sheetData>
    <row r="2">
      <c r="B2" s="318" t="inlineStr">
        <is>
          <t>РЕЕСТР РИСКОВ — 30 РИСКОВ В 5 КАТЕГОРИЯХ</t>
        </is>
      </c>
    </row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324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324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324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324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324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40">
      <c r="B40" s="320" t="inlineStr">
        <is>
          <t>II.  ТЕПЛОВАЯ КАРТА 5×5 (Severity (Серьёзность) × Likelihood (Вероятность))</t>
        </is>
      </c>
    </row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9">
      <c r="B49" s="342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1">
      <c r="B51" s="320" t="inlineStr">
        <is>
          <t>III. TOP-10 КРИТИЧЕСКИХ РИСКОВ — ДЕТАЛЬНОЕ ОПИСАНИЕ</t>
        </is>
      </c>
    </row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6">
      <c r="B66" s="320" t="inlineStr">
        <is>
          <t>IV.  СВОДНАЯ СТАТИСТИКА</t>
        </is>
      </c>
    </row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4">
      <c r="B84" s="320" t="inlineStr">
        <is>
          <t>V. KEY TAKEAWAYS ДЛЯ ИНВЕСТОРА</t>
        </is>
      </c>
    </row>
    <row r="85" ht="22" customHeight="1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>
      <c r="B87" s="363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>
      <c r="B88" s="363" t="inlineStr">
        <is>
          <t>4. Operational (Операционный) риски (R07, R08) — купируются 10% contingency + completion bond в каждом бюджете.</t>
        </is>
      </c>
    </row>
    <row r="89" ht="22" customHeight="1">
      <c r="B89" s="363" t="inlineStr">
        <is>
          <t>5. Residual (Остаток) risk после mitigation в среднем снижается на 30-40% → система защит работает.</t>
        </is>
      </c>
    </row>
    <row r="90" ht="22" customHeight="1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>
      <c r="B91" s="363" t="inlineStr">
        <is>
          <t>7. Execution (Исполнение) риски покрыты процессами: daily reports, weekly reviews, monthly boards, quarterly covenant testing.</t>
        </is>
      </c>
    </row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8" customWidth="1" min="3" max="3"/>
    <col width="70" customWidth="1" min="4" max="4"/>
    <col width="12" customWidth="1" min="5" max="5"/>
    <col width="30" customWidth="1" min="6" max="6"/>
    <col width="30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1" customWidth="1" min="16" max="16"/>
  </cols>
  <sheetData>
    <row r="2">
      <c r="B2" s="318" t="inlineStr">
        <is>
          <t>АНАЛИЗ РЫНКА — РЫНОК КИНОИНДУСТРИИ РФ 2020–2032</t>
        </is>
      </c>
    </row>
    <row r="4">
      <c r="B4" s="319" t="inlineStr">
        <is>
          <t>Объём рынка, сегменты, прогноз, конкуренты, TAM/SAM/SOM, мотиваторы роста</t>
        </is>
      </c>
    </row>
    <row r="6">
      <c r="B6" s="320" t="inlineStr">
        <is>
          <t>I. ОБЪЁМ РЫНКА КИНОИНДУСТРИИ РФ (млрд ₽, оценка на базе АЕК/Фонд кино/НМГ)</t>
        </is>
      </c>
    </row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369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372" t="inlineStr">
        <is>
          <t>ИТОГО РЫНОК (TAM)</t>
        </is>
      </c>
      <c r="C14" s="373" t="n">
        <v>60.1</v>
      </c>
      <c r="D14" s="373" t="n">
        <v>107.9</v>
      </c>
      <c r="E14" s="373" t="n">
        <v>113.3</v>
      </c>
      <c r="F14" s="373" t="n">
        <v>161.5</v>
      </c>
      <c r="G14" s="373" t="n">
        <v>187</v>
      </c>
      <c r="H14" s="373" t="n">
        <v>211.1</v>
      </c>
      <c r="I14" s="373" t="n">
        <v>237.3</v>
      </c>
      <c r="J14" s="373" t="n">
        <v>263.5</v>
      </c>
      <c r="K14" s="373" t="n">
        <v>289.8</v>
      </c>
      <c r="L14" s="373" t="n">
        <v>313</v>
      </c>
      <c r="M14" s="373" t="n">
        <v>335.3</v>
      </c>
      <c r="N14" s="373" t="n">
        <v>357.6</v>
      </c>
      <c r="O14" s="373" t="n">
        <v>381</v>
      </c>
      <c r="P14" s="374" t="n">
        <v>0.08210949116095656</v>
      </c>
    </row>
    <row r="16">
      <c r="B16" s="320" t="inlineStr">
        <is>
          <t>II. СТРУКТУРА РЫНКА 2028 (прогноз)</t>
        </is>
      </c>
    </row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375" t="inlineStr">
        <is>
          <t>Box-office (кассовые сборы)</t>
        </is>
      </c>
      <c r="C19" s="376" t="n">
        <v>56</v>
      </c>
      <c r="D19" s="377" t="n">
        <v>0.1932367149758454</v>
      </c>
      <c r="E19" s="377" t="n">
        <v>0.06991319393366302</v>
      </c>
      <c r="F19" s="37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379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386" t="n">
        <v>0.04485852311939268</v>
      </c>
      <c r="E22" s="38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373" t="n">
        <v>289.8</v>
      </c>
      <c r="D24" s="374" t="n">
        <v>1</v>
      </c>
      <c r="E24" s="374" t="n">
        <v>0.08210949116095656</v>
      </c>
      <c r="F24" s="375" t="n"/>
    </row>
    <row r="26">
      <c r="B26" s="320" t="inlineStr">
        <is>
          <t>III. TAM / SAM / SOM для ТрендСтудио</t>
        </is>
      </c>
    </row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375" t="inlineStr">
        <is>
          <t>TAM (Total (Итого) Addressable Market)</t>
        </is>
      </c>
      <c r="C29" s="390" t="n">
        <v>289.8</v>
      </c>
      <c r="D29" s="391" t="n">
        <v>1</v>
      </c>
      <c r="E29" s="37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4">
      <c r="B34" s="320" t="inlineStr">
        <is>
          <t>IV. КОНКУРЕНТНЫЙ ЛАНДШАФТ (7 игроков)</t>
        </is>
      </c>
    </row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>
      <c r="B43" s="369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399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6">
      <c r="B46" s="320" t="inlineStr">
        <is>
          <t>V. КЛЮЧЕВЫЕ ДРАЙВЕРЫ РОСТА 2026–2032</t>
        </is>
      </c>
    </row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8">
      <c r="B58" s="401" t="inlineStr">
        <is>
          <t>VI. ИСТОЧНИКИ</t>
        </is>
      </c>
    </row>
    <row r="60">
      <c r="B60" s="323" t="inlineStr">
        <is>
          <t>• Ассоциация Европейского Кинобизнеса (АЕК), годовые отчёты 2020-2024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7" t="n"/>
    </row>
    <row r="61">
      <c r="B61" s="323" t="inlineStr">
        <is>
          <t>• Фонд кино / Минкультуры РФ — статистика проката и господдержки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7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7" t="n"/>
    </row>
    <row r="63">
      <c r="B63" s="323" t="inlineStr">
        <is>
          <t>• ТАСС, Коммерсант, Ведомости — публичные данные по сделкам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7" t="n"/>
    </row>
    <row r="64">
      <c r="B64" s="323" t="inlineStr">
        <is>
          <t>• Публичные отчёты Kinopoisk, Okko, ivi, START, Premier (Премьера)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7" t="n"/>
    </row>
    <row r="65">
      <c r="B65" s="323" t="inlineStr">
        <is>
          <t>• Официальные данные Росстат и ЦБ РФ (demografic, inflation)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7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4" customWidth="1" min="3" max="3"/>
    <col width="16" customWidth="1" min="4" max="4"/>
    <col width="16" customWidth="1" min="5" max="5"/>
    <col width="14" customWidth="1" min="6" max="6"/>
    <col width="45" customWidth="1" min="7" max="7"/>
    <col width="14" customWidth="1" min="8" max="8"/>
    <col width="12" customWidth="1" min="9" max="9"/>
    <col width="30" customWidth="1" min="10" max="10"/>
  </cols>
  <sheetData>
    <row r="2">
      <c r="B2" s="318" t="inlineStr">
        <is>
          <t>ОТРАСЛЕВЫЕ БЕНЧМАРКИ — РФ vs ГЛОБАЛЬНЫЙ vs ТрендСтудио</t>
        </is>
      </c>
    </row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6">
      <c r="B6" s="320" t="inlineStr">
        <is>
          <t>I. ОПЕРАЦИОННЫЕ KPI (ключевые показатели)</t>
        </is>
      </c>
    </row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403" t="n">
        <v>264</v>
      </c>
      <c r="I9" s="322" t="inlineStr">
        <is>
          <t>—</t>
        </is>
      </c>
      <c r="J9" s="404" t="inlineStr">
        <is>
          <t>Укрупнённый mid-budget подход (5 фильмов + 2 сериала)</t>
        </is>
      </c>
    </row>
    <row r="10" ht="28" customHeight="1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403" t="inlineStr">
        <is>
          <t>7 (5+2С)</t>
        </is>
      </c>
      <c r="I10" s="322" t="inlineStr">
        <is>
          <t>+17% vs median</t>
        </is>
      </c>
      <c r="J10" s="404" t="inlineStr">
        <is>
          <t>Портфельный подход 7 проектов (5 фильмов + 2 сериала)</t>
        </is>
      </c>
    </row>
    <row r="11" ht="28" customHeight="1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403" t="inlineStr">
        <is>
          <t>70%</t>
        </is>
      </c>
      <c r="I11" s="322" t="inlineStr">
        <is>
          <t>+40 пп vs РФ</t>
        </is>
      </c>
      <c r="J11" s="404" t="inlineStr">
        <is>
          <t>Консервативная оценка портфеля</t>
        </is>
      </c>
    </row>
    <row r="12" ht="28" customHeight="1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403" t="inlineStr">
        <is>
          <t>3.02×</t>
        </is>
      </c>
      <c r="I12" s="322" t="inlineStr">
        <is>
          <t>+37% vs РФ</t>
        </is>
      </c>
      <c r="J12" s="404" t="inlineStr">
        <is>
          <t>Mid на уровне топ-портфелей</t>
        </is>
      </c>
    </row>
    <row r="13" ht="28" customHeight="1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403" t="inlineStr">
        <is>
          <t>15%</t>
        </is>
      </c>
      <c r="I13" s="322" t="inlineStr">
        <is>
          <t>0 пп</t>
        </is>
      </c>
      <c r="J13" s="404" t="inlineStr">
        <is>
          <t>Медианный уровень РФ</t>
        </is>
      </c>
    </row>
    <row r="14" ht="28" customHeight="1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403" t="inlineStr">
        <is>
          <t>62%</t>
        </is>
      </c>
      <c r="I14" s="322" t="inlineStr">
        <is>
          <t>+5 пп</t>
        </is>
      </c>
      <c r="J14" s="404" t="inlineStr">
        <is>
          <t>Выше среднего по РФ</t>
        </is>
      </c>
    </row>
    <row r="15" ht="28" customHeight="1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403" t="inlineStr">
        <is>
          <t>22%</t>
        </is>
      </c>
      <c r="I15" s="322" t="inlineStr">
        <is>
          <t>0 пп</t>
        </is>
      </c>
      <c r="J15" s="404" t="inlineStr">
        <is>
          <t>В пределах отрасли</t>
        </is>
      </c>
    </row>
    <row r="16" ht="28" customHeight="1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403" t="inlineStr">
        <is>
          <t>16%</t>
        </is>
      </c>
      <c r="I16" s="322" t="inlineStr">
        <is>
          <t>+3 пп</t>
        </is>
      </c>
      <c r="J16" s="404" t="inlineStr">
        <is>
          <t>Растущий компонент</t>
        </is>
      </c>
    </row>
    <row r="19">
      <c r="B19" s="320" t="inlineStr">
        <is>
          <t>II. ФИНАНСОВЫЕ KPI (ключевые показатели)</t>
        </is>
      </c>
    </row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403" t="inlineStr">
        <is>
          <t>45.7%</t>
        </is>
      </c>
      <c r="I22" s="322" t="inlineStr">
        <is>
          <t>+21 пп</t>
        </is>
      </c>
      <c r="J22" s="404" t="inlineStr">
        <is>
          <t>Выше отрасли благодаря JV (совместное предприятие)-структуре</t>
        </is>
      </c>
    </row>
    <row r="23" ht="28" customHeight="1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403" t="inlineStr">
        <is>
          <t>34.9%</t>
        </is>
      </c>
      <c r="I23" s="322" t="inlineStr">
        <is>
          <t>+25 пп</t>
        </is>
      </c>
      <c r="J23" s="404" t="inlineStr">
        <is>
          <t>Снижен v3-02 из-за ВКЛ interest (28 млн/3Y); агрессивно-высокий уровень</t>
        </is>
      </c>
    </row>
    <row r="24" ht="28" customHeight="1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403" t="inlineStr">
        <is>
          <t>39%</t>
        </is>
      </c>
      <c r="I24" s="322" t="inlineStr">
        <is>
          <t>+24 пп</t>
        </is>
      </c>
      <c r="J24" s="404" t="inlineStr">
        <is>
          <t>Лёгкая операционная структура</t>
        </is>
      </c>
    </row>
    <row r="25" ht="28" customHeight="1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403" t="inlineStr">
        <is>
          <t>46.2%</t>
        </is>
      </c>
      <c r="I25" s="322" t="inlineStr">
        <is>
          <t>−24 пп</t>
        </is>
      </c>
      <c r="J25" s="404" t="inlineStr">
        <is>
          <t>Высокая эффективность COGS (себестоимость)</t>
        </is>
      </c>
    </row>
    <row r="26" ht="28" customHeight="1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403" t="inlineStr">
        <is>
          <t>5.8%</t>
        </is>
      </c>
      <c r="I26" s="322" t="inlineStr">
        <is>
          <t>−9 пп</t>
        </is>
      </c>
      <c r="J26" s="404" t="inlineStr">
        <is>
          <t>Lean организация</t>
        </is>
      </c>
    </row>
    <row r="27" ht="28" customHeight="1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403" t="inlineStr">
        <is>
          <t>0.2%</t>
        </is>
      </c>
      <c r="I27" s="322" t="inlineStr">
        <is>
          <t>−5 пп</t>
        </is>
      </c>
      <c r="J27" s="404" t="inlineStr">
        <is>
          <t>Производственный режим, D&amp;A (амортизация) минимален</t>
        </is>
      </c>
    </row>
    <row r="28" ht="28" customHeight="1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403" t="inlineStr">
        <is>
          <t>78%</t>
        </is>
      </c>
      <c r="I28" s="322" t="inlineStr">
        <is>
          <t>+1 пп</t>
        </is>
      </c>
      <c r="J28" s="404" t="inlineStr">
        <is>
          <t>Зависит от графика P&amp;A (тиражирование и реклама)</t>
        </is>
      </c>
    </row>
    <row r="31">
      <c r="B31" s="320" t="inlineStr">
        <is>
          <t>III. VALUATION (ОЦЕНКА) MULTIPLES</t>
        </is>
      </c>
    </row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404" t="inlineStr">
        <is>
          <t>Применим для pre-IPO; dual-year S32: EV/Rev 2.2–2.5× → Implied EV 2 640–4 950 (после 20% дисконта)</t>
        </is>
      </c>
    </row>
    <row r="35" ht="28" customHeight="1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404" t="inlineStr">
        <is>
          <t>База для exit valuation; dual-year S32: EV/EBITDA 8.0× → Implied EV 4 516–8 053 (после 20% дисконта); midpoint 5 202</t>
        </is>
      </c>
    </row>
    <row r="36" ht="28" customHeight="1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404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404" t="inlineStr">
        <is>
          <t>Применим при IPO (первичное размещение) готовности, 10-12×</t>
        </is>
      </c>
    </row>
    <row r="38" ht="28" customHeight="1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404" t="inlineStr">
        <is>
          <t>Не применимо — не SVOD (подписной стриминг) модель</t>
        </is>
      </c>
    </row>
    <row r="39" ht="28" customHeight="1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404" t="inlineStr">
        <is>
          <t>Долгосрочный value driver</t>
        </is>
      </c>
    </row>
    <row r="42">
      <c r="B42" s="320" t="inlineStr">
        <is>
          <t>IV.  ИТОГИ ПОЗИЦИОНИРОВАНИЯ</t>
        </is>
      </c>
    </row>
    <row r="44">
      <c r="B44" s="405" t="inlineStr">
        <is>
          <t>Сильные стороны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7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7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7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186" t="n"/>
      <c r="D47" s="186" t="n"/>
      <c r="E47" s="186" t="n"/>
      <c r="F47" s="186" t="n"/>
      <c r="G47" s="186" t="n"/>
      <c r="H47" s="186" t="n"/>
      <c r="I47" s="186" t="n"/>
      <c r="J47" s="187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186" t="n"/>
      <c r="D48" s="186" t="n"/>
      <c r="E48" s="186" t="n"/>
      <c r="F48" s="186" t="n"/>
      <c r="G48" s="186" t="n"/>
      <c r="H48" s="186" t="n"/>
      <c r="I48" s="186" t="n"/>
      <c r="J48" s="187" t="n"/>
    </row>
    <row r="50">
      <c r="B50" s="406" t="inlineStr">
        <is>
          <t>Нейтральные зоны</t>
        </is>
      </c>
      <c r="C50" s="186" t="n"/>
      <c r="D50" s="186" t="n"/>
      <c r="E50" s="186" t="n"/>
      <c r="F50" s="186" t="n"/>
      <c r="G50" s="186" t="n"/>
      <c r="H50" s="186" t="n"/>
      <c r="I50" s="186" t="n"/>
      <c r="J50" s="187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7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7" t="n"/>
    </row>
    <row r="53">
      <c r="B53" s="323" t="inlineStr">
        <is>
          <t xml:space="preserve">  • Revenue (Выручка) mix 62/22/16 — сбалансированная структура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7" t="n"/>
    </row>
    <row r="55">
      <c r="B55" s="407" t="inlineStr">
        <is>
          <t>Зоны внимания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7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7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186" t="n"/>
      <c r="D57" s="186" t="n"/>
      <c r="E57" s="186" t="n"/>
      <c r="F57" s="186" t="n"/>
      <c r="G57" s="186" t="n"/>
      <c r="H57" s="186" t="n"/>
      <c r="I57" s="186" t="n"/>
      <c r="J57" s="187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186" t="n"/>
      <c r="D58" s="186" t="n"/>
      <c r="E58" s="186" t="n"/>
      <c r="F58" s="186" t="n"/>
      <c r="G58" s="186" t="n"/>
      <c r="H58" s="186" t="n"/>
      <c r="I58" s="186" t="n"/>
      <c r="J58" s="187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1" customWidth="1" min="8" max="8"/>
    <col width="10" customWidth="1" min="9" max="9"/>
    <col width="14" customWidth="1" min="10" max="10"/>
    <col width="35" customWidth="1" min="11" max="11"/>
  </cols>
  <sheetData>
    <row r="2">
      <c r="B2" s="318" t="inlineStr">
        <is>
          <t>COMPARABLE TRANSACTIONS (СОПОСТАВИМЫЕ СДЕЛКИ) — M&amp;A (слияния и поглощения) PRECEDENTS 2018-2025</t>
        </is>
      </c>
    </row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6">
      <c r="B6" s="320" t="inlineStr">
        <is>
          <t>I. M&amp;A (слияния и поглощения) СДЕЛКИ В РФ КИНОИНДУСТРИИ 2018–2025</t>
        </is>
      </c>
    </row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404" t="inlineStr">
        <is>
          <t>Pre-IPO (первичное размещение) раунд с прицелом на NASDAQ</t>
        </is>
      </c>
    </row>
    <row r="10" ht="32" customHeight="1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404" t="inlineStr">
        <is>
          <t>Полный выкуп Окко Сбербанком в рамках экосистемы</t>
        </is>
      </c>
    </row>
    <row r="11" ht="32" customHeight="1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404" t="inlineStr">
        <is>
          <t>Раунд на развитие оригинального контента</t>
        </is>
      </c>
    </row>
    <row r="12" ht="32" customHeight="1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404" t="inlineStr">
        <is>
          <t>Консолидация внутри группы ГПМ</t>
        </is>
      </c>
    </row>
    <row r="13" ht="32" customHeight="1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404" t="inlineStr">
        <is>
          <t>Усиление позиций после ухода мейджоров</t>
        </is>
      </c>
    </row>
    <row r="14" ht="32" customHeight="1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404" t="inlineStr">
        <is>
          <t>Выкуп библиотеки у HBO после отключения</t>
        </is>
      </c>
    </row>
    <row r="15" ht="32" customHeight="1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404" t="inlineStr">
        <is>
          <t>Внутренняя переоценка под новый рынок</t>
        </is>
      </c>
    </row>
    <row r="16" ht="32" customHeight="1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404" t="inlineStr">
        <is>
          <t>Премиум-контент для Kinopoisk/Okko</t>
        </is>
      </c>
    </row>
    <row r="17" ht="32" customHeight="1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404" t="inlineStr">
        <is>
          <t>Слияние AVOD (рекламный стриминг)-активов под единый бренд</t>
        </is>
      </c>
    </row>
    <row r="18" ht="32" customHeight="1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404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186" t="n"/>
      <c r="D19" s="186" t="n"/>
      <c r="E19" s="186" t="n"/>
      <c r="F19" s="187" t="n"/>
      <c r="G19" s="409" t="n">
        <v>2.5</v>
      </c>
      <c r="H19" s="409" t="n">
        <v>8</v>
      </c>
    </row>
    <row r="21">
      <c r="B21" s="320" t="inlineStr">
        <is>
          <t>II. ГЛОБАЛЬНЫЙ M&amp;A (слияния и поглощения) PRECEDENTS</t>
        </is>
      </c>
    </row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404" t="inlineStr">
        <is>
          <t>Крупнейшая медиа-сделка, создание Disney+ контента</t>
        </is>
      </c>
    </row>
    <row r="25" ht="32" customHeight="1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404" t="inlineStr">
        <is>
          <t>Консолидация линейного ТВ</t>
        </is>
      </c>
    </row>
    <row r="26" ht="32" customHeight="1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404" t="inlineStr">
        <is>
          <t>Покупка библиотеки 4000 фильмов под Prime Video</t>
        </is>
      </c>
    </row>
    <row r="27" ht="32" customHeight="1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404" t="inlineStr">
        <is>
          <t>Перепродажа Legendary из Wanda</t>
        </is>
      </c>
    </row>
    <row r="28" ht="32" customHeight="1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404" t="inlineStr">
        <is>
          <t>Reese Witherspoon production, контент + IP</t>
        </is>
      </c>
    </row>
    <row r="29" ht="32" customHeight="1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404" t="inlineStr">
        <is>
          <t>Спин-офф из AT&amp;T + слияние</t>
        </is>
      </c>
    </row>
    <row r="30" ht="32" customHeight="1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404" t="inlineStr">
        <is>
          <t>Европейская студия + sport rights</t>
        </is>
      </c>
    </row>
    <row r="31" ht="32" customHeight="1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404" t="inlineStr">
        <is>
          <t>IP library deal (music), прецедент для library valuation</t>
        </is>
      </c>
    </row>
    <row r="32" ht="32" customHeight="1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404" t="inlineStr">
        <is>
          <t>Переговоры о поглощении Paramount</t>
        </is>
      </c>
    </row>
    <row r="33" ht="32" customHeight="1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404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186" t="n"/>
      <c r="D34" s="186" t="n"/>
      <c r="E34" s="186" t="n"/>
      <c r="F34" s="187" t="n"/>
      <c r="G34" s="409" t="n">
        <v>2.2</v>
      </c>
      <c r="H34" s="409" t="n">
        <v>9.800000000000001</v>
      </c>
    </row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410" t="n">
        <v>6187.5</v>
      </c>
      <c r="F39" s="322" t="inlineStr">
        <is>
          <t>−20%</t>
        </is>
      </c>
      <c r="G39" s="411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410" t="n">
        <v>10066.6</v>
      </c>
      <c r="F40" s="322" t="inlineStr">
        <is>
          <t>−20%</t>
        </is>
      </c>
      <c r="G40" s="411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410" t="n">
        <v>5445</v>
      </c>
      <c r="F41" s="322" t="inlineStr">
        <is>
          <t>−20%</t>
        </is>
      </c>
      <c r="G41" s="411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410" t="n">
        <v>12331.6</v>
      </c>
      <c r="F42" s="322" t="inlineStr">
        <is>
          <t>−20%</t>
        </is>
      </c>
      <c r="G42" s="411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412" t="inlineStr"/>
      <c r="C44" s="186" t="n"/>
      <c r="D44" s="186" t="n"/>
      <c r="E44" s="186" t="n"/>
      <c r="F44" s="18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186" t="n"/>
      <c r="E48" s="186" t="n"/>
      <c r="F48" s="186" t="n"/>
      <c r="G48" s="186" t="n"/>
      <c r="H48" s="186" t="n"/>
      <c r="I48" s="186" t="n"/>
      <c r="J48" s="186" t="n"/>
      <c r="K48" s="187" t="n"/>
    </row>
    <row r="49">
      <c r="C49" s="323" t="n">
        <v>614.39</v>
      </c>
      <c r="D49" s="186" t="n"/>
      <c r="E49" s="186" t="n"/>
      <c r="F49" s="186" t="n"/>
      <c r="G49" s="186" t="n"/>
      <c r="H49" s="186" t="n"/>
      <c r="I49" s="186" t="n"/>
      <c r="J49" s="186" t="n"/>
      <c r="K49" s="187" t="n"/>
    </row>
    <row r="50">
      <c r="C50" s="323" t="inlineStr">
        <is>
          <t>Library deals (Hipgnosis, MGM) имеют премию 50-80% за эффект copyright perpetuity</t>
        </is>
      </c>
      <c r="D50" s="186" t="n"/>
      <c r="E50" s="186" t="n"/>
      <c r="F50" s="186" t="n"/>
      <c r="G50" s="186" t="n"/>
      <c r="H50" s="186" t="n"/>
      <c r="I50" s="186" t="n"/>
      <c r="J50" s="186" t="n"/>
      <c r="K50" s="187" t="n"/>
    </row>
    <row r="51">
      <c r="C51" s="323" t="inlineStr"/>
      <c r="D51" s="186" t="n"/>
      <c r="E51" s="186" t="n"/>
      <c r="F51" s="186" t="n"/>
      <c r="G51" s="186" t="n"/>
      <c r="H51" s="186" t="n"/>
      <c r="I51" s="186" t="n"/>
      <c r="J51" s="186" t="n"/>
      <c r="K51" s="187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186" t="n"/>
      <c r="E52" s="186" t="n"/>
      <c r="F52" s="186" t="n"/>
      <c r="G52" s="186" t="n"/>
      <c r="H52" s="186" t="n"/>
      <c r="I52" s="186" t="n"/>
      <c r="J52" s="186" t="n"/>
      <c r="K52" s="187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186" t="n"/>
      <c r="E53" s="186" t="n"/>
      <c r="F53" s="186" t="n"/>
      <c r="G53" s="186" t="n"/>
      <c r="H53" s="186" t="n"/>
      <c r="I53" s="186" t="n"/>
      <c r="J53" s="186" t="n"/>
      <c r="K53" s="187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186" t="n"/>
      <c r="E54" s="186" t="n"/>
      <c r="F54" s="186" t="n"/>
      <c r="G54" s="186" t="n"/>
      <c r="H54" s="186" t="n"/>
      <c r="I54" s="186" t="n"/>
      <c r="J54" s="186" t="n"/>
      <c r="K54" s="187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186" t="n"/>
      <c r="E55" s="186" t="n"/>
      <c r="F55" s="186" t="n"/>
      <c r="G55" s="186" t="n"/>
      <c r="H55" s="186" t="n"/>
      <c r="I55" s="186" t="n"/>
      <c r="J55" s="186" t="n"/>
      <c r="K55" s="187" t="n"/>
    </row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7" t="n"/>
    </row>
    <row r="61">
      <c r="B61" s="323" t="inlineStr">
        <is>
          <t>3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7" t="n"/>
    </row>
    <row r="62">
      <c r="B62" s="323" t="inlineStr">
        <is>
          <t>4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7" t="n"/>
    </row>
    <row r="63">
      <c r="B63" s="323" t="inlineStr">
        <is>
          <t>5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7" t="n"/>
    </row>
    <row r="64">
      <c r="B64" s="323" t="inlineStr">
        <is>
          <t>6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7" t="n"/>
    </row>
    <row r="65">
      <c r="B65" s="323" t="inlineStr">
        <is>
          <t>7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7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8">
      <c r="B68" t="inlineStr">
        <is>
          <t>V. ИСТОЧНИКИ СДЕЛОК</t>
        </is>
      </c>
    </row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2" customWidth="1" min="3" max="3"/>
    <col width="36" customWidth="1" min="4" max="4"/>
    <col width="16" customWidth="1" min="5" max="5"/>
    <col width="14" customWidth="1" min="6" max="6"/>
    <col width="40" customWidth="1" min="7" max="7"/>
    <col width="10" customWidth="1" min="8" max="8"/>
    <col width="14" customWidth="1" min="9" max="9"/>
    <col width="30" customWidth="1" min="10" max="10"/>
  </cols>
  <sheetData>
    <row r="2">
      <c r="B2" s="318" t="inlineStr">
        <is>
          <t>GOV KPI (ключевые показатели) — ПОКАЗАТЕЛИ ГОСПОДДЕРЖКИ И СОЦИОКУЛЬТУРНОГО ВКЛАДА</t>
        </is>
      </c>
    </row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>
      <c r="B6" s="320" t="inlineStr">
        <is>
          <t>I. СООТВЕТСТВИЕ НАЦИОНАЛЬНЫМ ПРОЕКТАМ РФ 2025–2030</t>
        </is>
      </c>
    </row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7">
      <c r="B17" s="320" t="inlineStr">
        <is>
          <t>II. KPI (ключевые показатели) ДЛЯ ГОСПОДДЕРЖКИ (Минкультуры / Фонд кино / ИРИ)</t>
        </is>
      </c>
    </row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422" t="n">
        <v>12</v>
      </c>
      <c r="H20" s="322" t="inlineStr">
        <is>
          <t>шт</t>
        </is>
      </c>
      <c r="I20" s="423" t="inlineStr">
        <is>
          <t>Фонд кино</t>
        </is>
      </c>
      <c r="J20" s="404" t="inlineStr">
        <is>
          <t>Фактические премьеры в широком прокате</t>
        </is>
      </c>
    </row>
    <row r="21" ht="28" customHeight="1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422" t="n">
        <v>30</v>
      </c>
      <c r="H21" s="322" t="inlineStr">
        <is>
          <t>млн чел</t>
        </is>
      </c>
      <c r="I21" s="423" t="inlineStr">
        <is>
          <t>ЕАИС</t>
        </is>
      </c>
      <c r="J21" s="404" t="inlineStr">
        <is>
          <t>Билеты + просмотры &gt;30 мин</t>
        </is>
      </c>
    </row>
    <row r="22" ht="28" customHeight="1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422" t="n">
        <v>27</v>
      </c>
      <c r="H22" s="322" t="inlineStr">
        <is>
          <t>%</t>
        </is>
      </c>
      <c r="I22" s="423" t="inlineStr">
        <is>
          <t>ЕАИС</t>
        </is>
      </c>
      <c r="J22" s="404" t="inlineStr">
        <is>
          <t>Attendance (Посещаемость) / seats × 100%</t>
        </is>
      </c>
    </row>
    <row r="23" ht="28" customHeight="1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422" t="n">
        <v>2820</v>
      </c>
      <c r="H23" s="322" t="inlineStr">
        <is>
          <t>млн ₽</t>
        </is>
      </c>
      <c r="I23" s="423" t="inlineStr">
        <is>
          <t>ЕАИС</t>
        </is>
      </c>
      <c r="J23" s="404" t="inlineStr">
        <is>
          <t>Box-office (кассовые сборы) РФ (ЕАИС)</t>
        </is>
      </c>
    </row>
    <row r="24" ht="28" customHeight="1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422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404" t="inlineStr">
        <is>
          <t>Среднесписочная, включая фриланс</t>
        </is>
      </c>
    </row>
    <row r="25" ht="28" customHeight="1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422" t="n">
        <v>418</v>
      </c>
      <c r="H25" s="322" t="inlineStr">
        <is>
          <t>млн ₽</t>
        </is>
      </c>
      <c r="I25" s="423" t="inlineStr">
        <is>
          <t>ФНС</t>
        </is>
      </c>
      <c r="J25" s="404" t="inlineStr">
        <is>
          <t>НДФЛ + соцвзносы + имущ.</t>
        </is>
      </c>
    </row>
    <row r="26" ht="28" customHeight="1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422" t="n">
        <v>100</v>
      </c>
      <c r="H26" s="322" t="inlineStr">
        <is>
          <t>%</t>
        </is>
      </c>
      <c r="I26" s="423" t="inlineStr">
        <is>
          <t>Минкульт</t>
        </is>
      </c>
      <c r="J26" s="404" t="inlineStr">
        <is>
          <t>Российский продюсер, русский язык, российская съёмочная команда</t>
        </is>
      </c>
    </row>
    <row r="27" ht="28" customHeight="1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422" t="n">
        <v>8</v>
      </c>
      <c r="H27" s="322" t="inlineStr">
        <is>
          <t>фильмов</t>
        </is>
      </c>
      <c r="I27" s="423" t="inlineStr">
        <is>
          <t>Минкульт</t>
        </is>
      </c>
      <c r="J27" s="404" t="inlineStr">
        <is>
          <t>Продажи прав + фестивали</t>
        </is>
      </c>
    </row>
    <row r="28" ht="28" customHeight="1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422" t="n">
        <v>1040</v>
      </c>
      <c r="H28" s="322" t="inlineStr">
        <is>
          <t>млн ₽</t>
        </is>
      </c>
      <c r="I28" s="423" t="inlineStr">
        <is>
          <t>Фонд кино</t>
        </is>
      </c>
      <c r="J28" s="404" t="inlineStr">
        <is>
          <t>ФКП + ИРИ + Минкульт</t>
        </is>
      </c>
    </row>
    <row r="29" ht="28" customHeight="1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422" t="n">
        <v>25</v>
      </c>
      <c r="H29" s="322" t="inlineStr">
        <is>
          <t>%</t>
        </is>
      </c>
      <c r="I29" s="423" t="inlineStr">
        <is>
          <t>Фонд кино</t>
        </is>
      </c>
      <c r="J29" s="404" t="inlineStr">
        <is>
          <t>Доля возвращаемых грантов по 1215/2013</t>
        </is>
      </c>
    </row>
    <row r="32">
      <c r="B32" s="320" t="inlineStr">
        <is>
          <t>III. СТРУКТУРА ГОСПОДДЕРЖКИ (ожидаемое привлечение 2026–2028)</t>
        </is>
      </c>
    </row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424" t="n">
        <v>520</v>
      </c>
      <c r="F35" s="425" t="n">
        <v>0.5</v>
      </c>
      <c r="G35" s="404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424" t="n">
        <v>220</v>
      </c>
      <c r="F36" s="425" t="n">
        <v>0.2115384615384615</v>
      </c>
      <c r="G36" s="404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424" t="n">
        <v>150</v>
      </c>
      <c r="F37" s="425" t="n">
        <v>0.1442307692307692</v>
      </c>
      <c r="G37" s="404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424" t="n">
        <v>90</v>
      </c>
      <c r="F38" s="425" t="n">
        <v>0.08653846153846154</v>
      </c>
      <c r="G38" s="404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424" t="n">
        <v>60</v>
      </c>
      <c r="F39" s="425" t="n">
        <v>0.0576923076923077</v>
      </c>
      <c r="G39" s="404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375" t="inlineStr">
        <is>
          <t>56% от CAPEX (Капзатраты); остальное — T₁ инвестор + producer equity (доля в капитале)</t>
        </is>
      </c>
    </row>
    <row r="43">
      <c r="B43" s="320" t="inlineStr">
        <is>
          <t>IV. СОЦИОКУЛЬТУРНОЕ ВОЗДЕЙСТВИЕ</t>
        </is>
      </c>
    </row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5">
      <c r="B55" s="320" t="inlineStr">
        <is>
          <t>V. REGULATORY COMPLIANCE (РЕГУЛЯТОРНОЕ СООТВЕТСТВИЕ) CHECKLIST</t>
        </is>
      </c>
    </row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>
      <c r="B58" s="400" t="n">
        <v>1</v>
      </c>
      <c r="C58" s="396" t="inlineStr">
        <is>
          <t>Лицензия на прокат</t>
        </is>
      </c>
      <c r="D58" s="404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429" t="inlineStr">
        <is>
          <t>✓ до релиза</t>
        </is>
      </c>
    </row>
    <row r="59" ht="26" customHeight="1">
      <c r="B59" s="400" t="n">
        <v>2</v>
      </c>
      <c r="C59" s="396" t="inlineStr">
        <is>
          <t>Возрастной рейтинг</t>
        </is>
      </c>
      <c r="D59" s="404" t="inlineStr">
        <is>
          <t>Категория 0+/6+/12+/16+/18+</t>
        </is>
      </c>
      <c r="E59" s="423" t="inlineStr">
        <is>
          <t>Минкультуры РФ</t>
        </is>
      </c>
      <c r="F59" s="429" t="inlineStr">
        <is>
          <t>✓ до релиза</t>
        </is>
      </c>
    </row>
    <row r="60" ht="26" customHeight="1">
      <c r="B60" s="400" t="n">
        <v>3</v>
      </c>
      <c r="C60" s="396" t="inlineStr">
        <is>
          <t>НДС 0%</t>
        </is>
      </c>
      <c r="D60" s="404" t="inlineStr">
        <is>
          <t>Подтверждение льготы по ст. 149 НК РФ</t>
        </is>
      </c>
      <c r="E60" s="423" t="inlineStr">
        <is>
          <t>ФНС</t>
        </is>
      </c>
      <c r="F60" s="429" t="inlineStr">
        <is>
          <t>✓ квартально</t>
        </is>
      </c>
    </row>
    <row r="61" ht="26" customHeight="1">
      <c r="B61" s="400" t="n">
        <v>4</v>
      </c>
      <c r="C61" s="396" t="inlineStr">
        <is>
          <t>Авторские права</t>
        </is>
      </c>
      <c r="D61" s="404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429" t="inlineStr">
        <is>
          <t>✓ до съёмок</t>
        </is>
      </c>
    </row>
    <row r="62" ht="26" customHeight="1">
      <c r="B62" s="400" t="n">
        <v>5</v>
      </c>
      <c r="C62" s="396" t="inlineStr">
        <is>
          <t>Договоры с актёрами</t>
        </is>
      </c>
      <c r="D62" s="404" t="inlineStr">
        <is>
          <t>ТД + имидж-права + морал райтс</t>
        </is>
      </c>
      <c r="E62" s="423" t="inlineStr">
        <is>
          <t>Минтруд РФ</t>
        </is>
      </c>
      <c r="F62" s="429" t="inlineStr">
        <is>
          <t>✓ до съёмок</t>
        </is>
      </c>
    </row>
    <row r="63" ht="26" customHeight="1">
      <c r="B63" s="400" t="n">
        <v>6</v>
      </c>
      <c r="C63" s="396" t="inlineStr">
        <is>
          <t>Съёмочные разрешения</t>
        </is>
      </c>
      <c r="D63" s="404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429" t="inlineStr">
        <is>
          <t>✓ до съёмок</t>
        </is>
      </c>
    </row>
    <row r="64" ht="26" customHeight="1">
      <c r="B64" s="400" t="n">
        <v>7</v>
      </c>
      <c r="C64" s="396" t="inlineStr">
        <is>
          <t>Страхование</t>
        </is>
      </c>
      <c r="D64" s="404" t="inlineStr">
        <is>
          <t>Completion bond, страхование членов группы</t>
        </is>
      </c>
      <c r="E64" s="423" t="inlineStr">
        <is>
          <t>ФКП + частные</t>
        </is>
      </c>
      <c r="F64" s="429" t="inlineStr">
        <is>
          <t>✓ до съёмок</t>
        </is>
      </c>
    </row>
    <row r="65" ht="26" customHeight="1">
      <c r="B65" s="400" t="n">
        <v>8</v>
      </c>
      <c r="C65" s="396" t="inlineStr">
        <is>
          <t>Отчётность в ФКП</t>
        </is>
      </c>
      <c r="D65" s="404" t="inlineStr">
        <is>
          <t>Ежеквартальная отчётность + финальная</t>
        </is>
      </c>
      <c r="E65" s="423" t="inlineStr">
        <is>
          <t>Фонд кино</t>
        </is>
      </c>
      <c r="F65" s="429" t="inlineStr">
        <is>
          <t>✓ квартально</t>
        </is>
      </c>
    </row>
    <row r="66" ht="26" customHeight="1">
      <c r="B66" s="400" t="n">
        <v>9</v>
      </c>
      <c r="C66" s="396" t="inlineStr">
        <is>
          <t>Охрана труда</t>
        </is>
      </c>
      <c r="D66" s="404" t="inlineStr">
        <is>
          <t>Техника безопасности на площадке</t>
        </is>
      </c>
      <c r="E66" s="423" t="inlineStr">
        <is>
          <t>Росинспекция</t>
        </is>
      </c>
      <c r="F66" s="429" t="inlineStr">
        <is>
          <t>✓ на площадке</t>
        </is>
      </c>
    </row>
    <row r="67" ht="26" customHeight="1">
      <c r="B67" s="400" t="n">
        <v>10</v>
      </c>
      <c r="C67" s="396" t="inlineStr">
        <is>
          <t>ФЗ-152 о персональных данных</t>
        </is>
      </c>
      <c r="D67" s="404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429" t="inlineStr">
        <is>
          <t>✓ непрерывно</t>
        </is>
      </c>
    </row>
    <row r="70">
      <c r="B70" s="401" t="inlineStr">
        <is>
          <t>VI. ИСТОЧНИКИ</t>
        </is>
      </c>
    </row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7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7" t="n"/>
    </row>
    <row r="74">
      <c r="B74" s="323" t="inlineStr">
        <is>
          <t>• Национальный проект «Культура» (паспорт 2019–2024, продление 2025–2030)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7" t="n"/>
    </row>
    <row r="75">
      <c r="B75" s="323" t="inlineStr">
        <is>
          <t>• Нацпроект «Семья» 2025–2030 (приоритеты Минкультуры)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7" t="n"/>
    </row>
    <row r="76">
      <c r="B76" s="323" t="inlineStr">
        <is>
          <t>• Налоговый кодекс РФ, ст. 149 (льготы по НДС для кинопроизводства)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7" t="n"/>
    </row>
    <row r="77">
      <c r="B77" s="323" t="inlineStr">
        <is>
          <t>• Кремлин.ру — публикации о культурной политике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7" t="n"/>
    </row>
    <row r="78">
      <c r="B78" s="323" t="inlineStr">
        <is>
          <t>• ТАСС — новости Минкультуры и Фонда кино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7" t="n"/>
    </row>
    <row r="79">
      <c r="B79" s="323" t="inlineStr">
        <is>
          <t>• Официальный сайт Минкультуры РФ (culture.gov.ru)</t>
        </is>
      </c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7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7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2">
      <c r="B2" s="318" t="inlineStr">
        <is>
          <t>НАЛОГОВЫЙ КАЛЕНДАРЬ — НАЛОГОВЫЙ КАЛЕНДАРЬ 2026–2032</t>
        </is>
      </c>
    </row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>
      <c r="B6" s="320" t="inlineStr">
        <is>
          <t>I. ПРИМЕНИМЫЕ НАЛОГИ И СТАВКИ (НК РФ)</t>
        </is>
      </c>
    </row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404" t="inlineStr">
        <is>
          <t>Основная ставка, льготы для КИК</t>
        </is>
      </c>
    </row>
    <row r="10" ht="32" customHeight="1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404" t="inlineStr">
        <is>
          <t>Освобождение: производство + прокат нац. фильмов с УНФ</t>
        </is>
      </c>
    </row>
    <row r="11" ht="32" customHeight="1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404" t="inlineStr">
        <is>
          <t>Стандартный тариф, возможны льготы для IT-аккредитации</t>
        </is>
      </c>
    </row>
    <row r="12" ht="32" customHeight="1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404" t="inlineStr">
        <is>
          <t>15% с превышения 5 млн ₽/год</t>
        </is>
      </c>
    </row>
    <row r="13" ht="32" customHeight="1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404" t="inlineStr">
        <is>
          <t>Удерживается при выплате</t>
        </is>
      </c>
    </row>
    <row r="14" ht="32" customHeight="1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404" t="inlineStr">
        <is>
          <t>Московская область + СПб</t>
        </is>
      </c>
    </row>
    <row r="15" ht="32" customHeight="1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404" t="inlineStr">
        <is>
          <t>Для съёмочной техники</t>
        </is>
      </c>
    </row>
    <row r="16" ht="32" customHeight="1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404" t="inlineStr">
        <is>
          <t>Для капитальных студий</t>
        </is>
      </c>
    </row>
    <row r="17" ht="32" customHeight="1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404" t="inlineStr">
        <is>
          <t>Не применим — обороты &gt;450 млн ₽</t>
        </is>
      </c>
    </row>
    <row r="20">
      <c r="B20" s="320" t="inlineStr">
        <is>
          <t>II. НАЛОГОВЫЙ КАЛЕНДАРЬ 2026–2028 (поквартально, млн ₽)</t>
        </is>
      </c>
    </row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376" t="n">
        <v>0</v>
      </c>
      <c r="D23" s="376" t="n">
        <v>0</v>
      </c>
      <c r="E23" s="376" t="n">
        <v>0</v>
      </c>
      <c r="F23" s="376" t="n">
        <v>57.4</v>
      </c>
      <c r="G23" s="376" t="n">
        <v>0</v>
      </c>
      <c r="H23" s="376" t="n">
        <v>102.8</v>
      </c>
      <c r="I23" s="376" t="n">
        <v>71.5</v>
      </c>
      <c r="J23" s="376" t="n">
        <v>82.09999999999999</v>
      </c>
      <c r="K23" s="376" t="n">
        <v>51.2</v>
      </c>
      <c r="L23" s="376" t="n">
        <v>0</v>
      </c>
      <c r="M23" s="376" t="n">
        <v>52.3</v>
      </c>
      <c r="N23" s="376" t="n">
        <v>43.4</v>
      </c>
      <c r="O23" s="376" t="n">
        <v>13.5</v>
      </c>
      <c r="P23" s="376" t="n">
        <v>2.6</v>
      </c>
      <c r="Q23" s="376" t="n">
        <v>0</v>
      </c>
      <c r="R23" s="376" t="n">
        <v>0</v>
      </c>
      <c r="S23" s="373" t="n">
        <v>476.8</v>
      </c>
    </row>
    <row r="24">
      <c r="B24" s="430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373" t="n">
        <v>0</v>
      </c>
    </row>
    <row r="25">
      <c r="B25" s="368" t="inlineStr">
        <is>
          <t>Страховые взносы (30.2%)</t>
        </is>
      </c>
      <c r="C25" s="379" t="n">
        <v>7.6</v>
      </c>
      <c r="D25" s="379" t="n">
        <v>7.6</v>
      </c>
      <c r="E25" s="379" t="n">
        <v>7.6</v>
      </c>
      <c r="F25" s="379" t="n">
        <v>7.6</v>
      </c>
      <c r="G25" s="379" t="n">
        <v>8.199999999999999</v>
      </c>
      <c r="H25" s="379" t="n">
        <v>8.199999999999999</v>
      </c>
      <c r="I25" s="379" t="n">
        <v>8.199999999999999</v>
      </c>
      <c r="J25" s="379" t="n">
        <v>8.199999999999999</v>
      </c>
      <c r="K25" s="379" t="n">
        <v>8.800000000000001</v>
      </c>
      <c r="L25" s="379" t="n">
        <v>8.800000000000001</v>
      </c>
      <c r="M25" s="379" t="n">
        <v>8.800000000000001</v>
      </c>
      <c r="N25" s="379" t="n">
        <v>8.800000000000001</v>
      </c>
      <c r="O25" s="379" t="n">
        <v>38.1</v>
      </c>
      <c r="P25" s="379" t="n">
        <v>41.1</v>
      </c>
      <c r="Q25" s="379" t="n">
        <v>44.4</v>
      </c>
      <c r="R25" s="379" t="n">
        <v>48</v>
      </c>
      <c r="S25" s="373" t="n">
        <v>270</v>
      </c>
    </row>
    <row r="26">
      <c r="B26" s="369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373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373" t="n">
        <v>32</v>
      </c>
    </row>
    <row r="28">
      <c r="B28" s="432" t="inlineStr">
        <is>
          <t>ИТОГО НАЛОГИ</t>
        </is>
      </c>
      <c r="C28" s="373" t="n">
        <v>13</v>
      </c>
      <c r="D28" s="373" t="n">
        <v>13</v>
      </c>
      <c r="E28" s="373" t="n">
        <v>13</v>
      </c>
      <c r="F28" s="373" t="n">
        <v>70.40000000000001</v>
      </c>
      <c r="G28" s="373" t="n">
        <v>13.9</v>
      </c>
      <c r="H28" s="373" t="n">
        <v>116.7</v>
      </c>
      <c r="I28" s="373" t="n">
        <v>85.40000000000001</v>
      </c>
      <c r="J28" s="373" t="n">
        <v>96</v>
      </c>
      <c r="K28" s="373" t="n">
        <v>65.90000000000001</v>
      </c>
      <c r="L28" s="373" t="n">
        <v>14.7</v>
      </c>
      <c r="M28" s="373" t="n">
        <v>67</v>
      </c>
      <c r="N28" s="373" t="n">
        <v>58.1</v>
      </c>
      <c r="O28" s="373" t="n">
        <v>70.59999999999999</v>
      </c>
      <c r="P28" s="373" t="n">
        <v>64.09999999999999</v>
      </c>
      <c r="Q28" s="373" t="n">
        <v>66.3</v>
      </c>
      <c r="R28" s="373" t="n">
        <v>71.5</v>
      </c>
      <c r="S28" s="433" t="n">
        <v>899.6</v>
      </c>
    </row>
    <row r="30">
      <c r="B30" s="320" t="inlineStr">
        <is>
          <t>III. SUMMARY НАЛОГОВЫХ ОТЧИСЛЕНИЙ</t>
        </is>
      </c>
    </row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376" t="n">
        <v>460.7</v>
      </c>
      <c r="D33" s="376" t="n">
        <v>98.40000000000001</v>
      </c>
      <c r="E33" s="376" t="n">
        <v>44</v>
      </c>
      <c r="F33" s="376" t="n">
        <v>24</v>
      </c>
      <c r="G33" s="373" t="n">
        <v>627.1</v>
      </c>
      <c r="H33" s="377" t="n">
        <v>0.138</v>
      </c>
    </row>
    <row r="34">
      <c r="B34" s="369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434" t="n">
        <v>272.5</v>
      </c>
      <c r="H34" s="383" t="n">
        <v>0.2595</v>
      </c>
    </row>
    <row r="35">
      <c r="B35" s="432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8">
      <c r="B38" s="320" t="inlineStr">
        <is>
          <t>IV.  КЛЮЧЕВЫЕ ВЫВОДЫ</t>
        </is>
      </c>
    </row>
    <row r="40">
      <c r="B40" s="323" t="inlineStr">
        <is>
          <t>1. Общий объём налогов 7Y ≈ 900 млн ₽ (16.1% от Revenue)</t>
        </is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7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7" t="n"/>
    </row>
    <row r="42">
      <c r="B42" s="323" t="inlineStr">
        <is>
          <t>3. НДС 0% — ключевая льгота: экономия ~800 млн ₽ vs стандартная ставка 20%</t>
        </is>
      </c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7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7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7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7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7" t="n"/>
    </row>
    <row r="49">
      <c r="B49" s="401" t="inlineStr">
        <is>
          <t>V. ИСТОЧНИКИ</t>
        </is>
      </c>
    </row>
    <row r="51">
      <c r="B51" s="323" t="inlineStr">
        <is>
          <t>• Налоговый кодекс РФ, части 1 и 2 (консультантплюс.ру)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7" t="n"/>
    </row>
    <row r="52">
      <c r="B52" s="323" t="inlineStr">
        <is>
          <t>• ФНС России — разъяснения по НДС в сфере культуры (nalog.gov.ru)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7" t="n"/>
    </row>
    <row r="53">
      <c r="B53" s="323" t="inlineStr">
        <is>
          <t>• Минфин РФ — налоговая политика РФ 2024-2026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7" t="n"/>
    </row>
    <row r="54">
      <c r="B54" s="323" t="inlineStr">
        <is>
          <t>• Федеральный закон № 126-ФЗ «О господдержке кинематографии»</t>
        </is>
      </c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7" t="n"/>
    </row>
    <row r="55">
      <c r="B55" s="323" t="inlineStr">
        <is>
          <t>• Постановление Правительства РФ № 1215/2013 (грантовый механизм)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7" t="n"/>
    </row>
    <row r="56">
      <c r="B56" s="323" t="inlineStr">
        <is>
          <t>• Приказы ФНС по возмещению НДС 0% для кинопроизводства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7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2" max="2"/>
    <col width="16" customWidth="1" min="3" max="3"/>
    <col width="50" customWidth="1" min="4" max="4"/>
    <col width="14" customWidth="1" min="5" max="5"/>
    <col width="20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2">
      <c r="B2" s="318" t="inlineStr">
        <is>
          <t>ROADMAP (ДОРОЖНАЯ КАРТА) 2026–2032 — КЛЮЧЕВЫЕ МИЛЕСТОНЫ</t>
        </is>
      </c>
    </row>
    <row r="4">
      <c r="B4" s="319" t="inlineStr">
        <is>
          <t>Производство slate, фандрайзинг, governance, exit routes. Critical (Критический) path color-coded.</t>
        </is>
      </c>
    </row>
    <row r="6">
      <c r="B6" s="320" t="inlineStr">
        <is>
          <t>I. PRODUCTION MILESTONES (ПРОИЗВОДСТВЕННЫЕ ВЕХИ) (7 проектов: 5 фильмов + 2 сериала)</t>
        </is>
      </c>
    </row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/>
    <row r="17" ht="22" customHeight="1"/>
    <row r="18" ht="22" customHeight="1"/>
    <row r="19" ht="22" customHeight="1"/>
    <row r="20" ht="22" customHeight="1"/>
    <row r="22">
      <c r="B22" s="396" t="inlineStr">
        <is>
          <t>Легенда:</t>
        </is>
      </c>
      <c r="C22" s="443" t="inlineStr">
        <is>
          <t>Dev</t>
        </is>
      </c>
      <c r="D22" s="444" t="inlineStr">
        <is>
          <t>Shoot (Съёмка)</t>
        </is>
      </c>
      <c r="E22" s="445" t="inlineStr">
        <is>
          <t>Post (Постпродакшн)</t>
        </is>
      </c>
      <c r="F22" s="446" t="inlineStr">
        <is>
          <t>★Rel Release (Релиз)</t>
        </is>
      </c>
      <c r="G22" s="447" t="inlineStr">
        <is>
          <t>tail (хвостовой период) Tail (Хвостовой период) rev.</t>
        </is>
      </c>
    </row>
    <row r="24">
      <c r="B24" s="320" t="inlineStr">
        <is>
          <t>II.  ФАНДРЕЙЗИНГ И ФИНАНСОВЫЕ ВЕХИ</t>
        </is>
      </c>
    </row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>
      <c r="B27" s="448" t="inlineStr">
        <is>
          <t>T₁ Tranche (Транш) 1 (20% = 250)</t>
        </is>
      </c>
      <c r="C27" s="439" t="inlineStr">
        <is>
          <t>★ 250 млн ₽</t>
        </is>
      </c>
      <c r="D27" s="441" t="n"/>
      <c r="E27" s="441" t="n"/>
      <c r="F27" s="441" t="n"/>
      <c r="G27" s="441" t="n"/>
      <c r="H27" s="441" t="n"/>
      <c r="I27" s="441" t="n"/>
      <c r="J27" s="441" t="n"/>
      <c r="K27" s="441" t="n"/>
      <c r="L27" s="441" t="n"/>
      <c r="M27" s="441" t="n"/>
      <c r="N27" s="441" t="n"/>
      <c r="O27" s="441" t="n"/>
      <c r="P27" s="441" t="n"/>
      <c r="Q27" s="441" t="n"/>
      <c r="R27" s="441" t="n"/>
    </row>
    <row r="28" ht="22" customHeight="1">
      <c r="B28" s="448" t="inlineStr">
        <is>
          <t>T₁ Tranche (Транш) 2 (28% = 350)</t>
        </is>
      </c>
      <c r="C28" s="441" t="n"/>
      <c r="D28" s="439" t="inlineStr">
        <is>
          <t>★ 350 млн ₽</t>
        </is>
      </c>
      <c r="E28" s="441" t="n"/>
      <c r="F28" s="441" t="n"/>
      <c r="G28" s="441" t="n"/>
      <c r="H28" s="441" t="n"/>
      <c r="I28" s="441" t="n"/>
      <c r="J28" s="441" t="n"/>
      <c r="K28" s="441" t="n"/>
      <c r="L28" s="441" t="n"/>
      <c r="M28" s="441" t="n"/>
      <c r="N28" s="441" t="n"/>
      <c r="O28" s="441" t="n"/>
      <c r="P28" s="441" t="n"/>
      <c r="Q28" s="441" t="n"/>
      <c r="R28" s="441" t="n"/>
    </row>
    <row r="29" ht="22" customHeight="1">
      <c r="B29" s="448" t="inlineStr">
        <is>
          <t>T₁ Tranche (Транш) 3 (28% = 350)</t>
        </is>
      </c>
      <c r="C29" s="441" t="n"/>
      <c r="D29" s="441" t="n"/>
      <c r="E29" s="439" t="inlineStr">
        <is>
          <t>★ 350 млн ₽</t>
        </is>
      </c>
      <c r="F29" s="441" t="n"/>
      <c r="G29" s="441" t="n"/>
      <c r="H29" s="441" t="n"/>
      <c r="I29" s="441" t="n"/>
      <c r="J29" s="441" t="n"/>
      <c r="K29" s="441" t="n"/>
      <c r="L29" s="441" t="n"/>
      <c r="M29" s="441" t="n"/>
      <c r="N29" s="441" t="n"/>
      <c r="O29" s="441" t="n"/>
      <c r="P29" s="441" t="n"/>
      <c r="Q29" s="441" t="n"/>
      <c r="R29" s="441" t="n"/>
    </row>
    <row r="30" ht="22" customHeight="1">
      <c r="B30" s="448" t="inlineStr">
        <is>
          <t>T₁ Tranche (Транш) 4 (24% = 300)</t>
        </is>
      </c>
      <c r="C30" s="441" t="n"/>
      <c r="D30" s="441" t="n"/>
      <c r="E30" s="441" t="n"/>
      <c r="F30" s="439" t="inlineStr">
        <is>
          <t>★ 300 млн ₽</t>
        </is>
      </c>
      <c r="G30" s="441" t="n"/>
      <c r="H30" s="441" t="n"/>
      <c r="I30" s="441" t="n"/>
      <c r="J30" s="441" t="n"/>
      <c r="K30" s="441" t="n"/>
      <c r="L30" s="441" t="n"/>
      <c r="M30" s="441" t="n"/>
      <c r="N30" s="441" t="n"/>
      <c r="O30" s="441" t="n"/>
      <c r="P30" s="441" t="n"/>
      <c r="Q30" s="441" t="n"/>
      <c r="R30" s="441" t="n"/>
    </row>
    <row r="31" ht="22" customHeight="1">
      <c r="B31" s="448" t="inlineStr">
        <is>
          <t>ФКП грант раунд 1</t>
        </is>
      </c>
      <c r="C31" s="449" t="inlineStr">
        <is>
          <t>ФКП 180</t>
        </is>
      </c>
      <c r="D31" s="441" t="n"/>
      <c r="E31" s="441" t="n"/>
      <c r="F31" s="441" t="n"/>
      <c r="G31" s="441" t="n"/>
      <c r="H31" s="441" t="n"/>
      <c r="I31" s="441" t="n"/>
      <c r="J31" s="441" t="n"/>
      <c r="K31" s="441" t="n"/>
      <c r="L31" s="441" t="n"/>
      <c r="M31" s="441" t="n"/>
      <c r="N31" s="441" t="n"/>
      <c r="O31" s="441" t="n"/>
      <c r="P31" s="441" t="n"/>
      <c r="Q31" s="441" t="n"/>
      <c r="R31" s="441" t="n"/>
    </row>
    <row r="32" ht="22" customHeight="1">
      <c r="B32" s="448" t="inlineStr">
        <is>
          <t>ФКП грант раунд 2</t>
        </is>
      </c>
      <c r="C32" s="441" t="n"/>
      <c r="D32" s="441" t="n"/>
      <c r="E32" s="441" t="n"/>
      <c r="F32" s="441" t="n"/>
      <c r="G32" s="449" t="inlineStr">
        <is>
          <t>ФКП 220</t>
        </is>
      </c>
      <c r="H32" s="441" t="n"/>
      <c r="I32" s="441" t="n"/>
      <c r="J32" s="441" t="n"/>
      <c r="K32" s="441" t="n"/>
      <c r="L32" s="441" t="n"/>
      <c r="M32" s="441" t="n"/>
      <c r="N32" s="441" t="n"/>
      <c r="O32" s="441" t="n"/>
      <c r="P32" s="441" t="n"/>
      <c r="Q32" s="441" t="n"/>
      <c r="R32" s="441" t="n"/>
    </row>
    <row r="33" ht="22" customHeight="1">
      <c r="B33" s="448" t="inlineStr">
        <is>
          <t>ФКП грант раунд 3</t>
        </is>
      </c>
      <c r="C33" s="441" t="n"/>
      <c r="D33" s="441" t="n"/>
      <c r="E33" s="441" t="n"/>
      <c r="F33" s="441" t="n"/>
      <c r="G33" s="441" t="n"/>
      <c r="H33" s="441" t="n"/>
      <c r="I33" s="441" t="n"/>
      <c r="J33" s="441" t="n"/>
      <c r="K33" s="449" t="inlineStr">
        <is>
          <t>ФКП 120</t>
        </is>
      </c>
      <c r="L33" s="441" t="n"/>
      <c r="M33" s="441" t="n"/>
      <c r="N33" s="441" t="n"/>
      <c r="O33" s="441" t="n"/>
      <c r="P33" s="441" t="n"/>
      <c r="Q33" s="441" t="n"/>
      <c r="R33" s="441" t="n"/>
    </row>
    <row r="34" ht="22" customHeight="1">
      <c r="B34" s="448" t="inlineStr">
        <is>
          <t>ИРИ раунд</t>
        </is>
      </c>
      <c r="C34" s="441" t="n"/>
      <c r="D34" s="441" t="n"/>
      <c r="E34" s="449" t="inlineStr">
        <is>
          <t>ИРИ 150</t>
        </is>
      </c>
      <c r="F34" s="441" t="n"/>
      <c r="G34" s="441" t="n"/>
      <c r="H34" s="441" t="n"/>
      <c r="I34" s="441" t="n"/>
      <c r="J34" s="441" t="n"/>
      <c r="K34" s="441" t="n"/>
      <c r="L34" s="441" t="n"/>
      <c r="M34" s="441" t="n"/>
      <c r="N34" s="441" t="n"/>
      <c r="O34" s="441" t="n"/>
      <c r="P34" s="441" t="n"/>
      <c r="Q34" s="441" t="n"/>
      <c r="R34" s="441" t="n"/>
    </row>
    <row r="35" ht="22" customHeight="1">
      <c r="B35" s="448" t="inlineStr">
        <is>
          <t>Producer equity (капитал продюсера) (JV (совместное предприятие))</t>
        </is>
      </c>
      <c r="C35" s="449" t="inlineStr">
        <is>
          <t>600 equity (доля в капитале)</t>
        </is>
      </c>
      <c r="D35" s="441" t="n"/>
      <c r="E35" s="441" t="n"/>
      <c r="F35" s="441" t="n"/>
      <c r="G35" s="441" t="n"/>
      <c r="H35" s="441" t="n"/>
      <c r="I35" s="441" t="n"/>
      <c r="J35" s="441" t="n"/>
      <c r="K35" s="441" t="n"/>
      <c r="L35" s="441" t="n"/>
      <c r="M35" s="441" t="n"/>
      <c r="N35" s="441" t="n"/>
      <c r="O35" s="441" t="n"/>
      <c r="P35" s="441" t="n"/>
      <c r="Q35" s="441" t="n"/>
      <c r="R35" s="441" t="n"/>
    </row>
    <row r="36" ht="22" customHeight="1">
      <c r="B36" s="448" t="inlineStr">
        <is>
          <t>Возобновляемая кредитная линия</t>
        </is>
      </c>
      <c r="C36" s="441" t="n"/>
      <c r="D36" s="441" t="n"/>
      <c r="E36" s="441" t="n"/>
      <c r="F36" s="449" t="inlineStr">
        <is>
          <t>200 ВКЛ</t>
        </is>
      </c>
      <c r="G36" s="441" t="n"/>
      <c r="H36" s="441" t="n"/>
      <c r="I36" s="441" t="n"/>
      <c r="J36" s="441" t="n"/>
      <c r="K36" s="441" t="n"/>
      <c r="L36" s="441" t="n"/>
      <c r="M36" s="441" t="n"/>
      <c r="N36" s="441" t="n"/>
      <c r="O36" s="441" t="n"/>
      <c r="P36" s="441" t="n"/>
      <c r="Q36" s="441" t="n"/>
      <c r="R36" s="441" t="n"/>
    </row>
    <row r="37" ht="22" customHeight="1">
      <c r="B37" s="448" t="inlineStr">
        <is>
          <t>T₁ Repayment 1 (Возврат 1) (300)</t>
        </is>
      </c>
      <c r="C37" s="441" t="n"/>
      <c r="D37" s="441" t="n"/>
      <c r="E37" s="441" t="n"/>
      <c r="F37" s="441" t="n"/>
      <c r="G37" s="441" t="n"/>
      <c r="H37" s="441" t="n"/>
      <c r="I37" s="441" t="n"/>
      <c r="J37" s="441" t="n"/>
      <c r="K37" s="441" t="n"/>
      <c r="L37" s="441" t="n"/>
      <c r="M37" s="441" t="n"/>
      <c r="N37" s="441" t="n"/>
      <c r="O37" s="450" t="inlineStr">
        <is>
          <t>−300</t>
        </is>
      </c>
      <c r="P37" s="441" t="n"/>
      <c r="Q37" s="441" t="n"/>
      <c r="R37" s="441" t="n"/>
    </row>
    <row r="38" ht="22" customHeight="1">
      <c r="B38" s="448" t="inlineStr">
        <is>
          <t>T₁ Repayment 2 (Возврат 2) (700)</t>
        </is>
      </c>
      <c r="C38" s="441" t="n"/>
      <c r="D38" s="441" t="n"/>
      <c r="E38" s="441" t="n"/>
      <c r="F38" s="441" t="n"/>
      <c r="G38" s="441" t="n"/>
      <c r="H38" s="441" t="n"/>
      <c r="I38" s="441" t="n"/>
      <c r="J38" s="441" t="n"/>
      <c r="K38" s="441" t="n"/>
      <c r="L38" s="441" t="n"/>
      <c r="M38" s="441" t="n"/>
      <c r="N38" s="441" t="n"/>
      <c r="O38" s="441" t="n"/>
      <c r="P38" s="450" t="inlineStr">
        <is>
          <t>−700</t>
        </is>
      </c>
      <c r="Q38" s="441" t="n"/>
      <c r="R38" s="441" t="n"/>
    </row>
    <row r="39" ht="22" customHeight="1">
      <c r="B39" s="448" t="inlineStr">
        <is>
          <t>T₁ Repayment 3 (Возврат 3) (500)</t>
        </is>
      </c>
      <c r="C39" s="441" t="n"/>
      <c r="D39" s="441" t="n"/>
      <c r="E39" s="441" t="n"/>
      <c r="F39" s="441" t="n"/>
      <c r="G39" s="441" t="n"/>
      <c r="H39" s="441" t="n"/>
      <c r="I39" s="441" t="n"/>
      <c r="J39" s="441" t="n"/>
      <c r="K39" s="441" t="n"/>
      <c r="L39" s="441" t="n"/>
      <c r="M39" s="441" t="n"/>
      <c r="N39" s="441" t="n"/>
      <c r="O39" s="441" t="n"/>
      <c r="P39" s="441" t="n"/>
      <c r="Q39" s="450" t="inlineStr">
        <is>
          <t>−500</t>
        </is>
      </c>
      <c r="R39" s="441" t="n"/>
    </row>
    <row r="40" ht="22" customHeight="1">
      <c r="B40" s="448" t="inlineStr">
        <is>
          <t>T₁ Final repayment (Финальный возврат)</t>
        </is>
      </c>
      <c r="C40" s="441" t="n"/>
      <c r="D40" s="441" t="n"/>
      <c r="E40" s="441" t="n"/>
      <c r="F40" s="441" t="n"/>
      <c r="G40" s="441" t="n"/>
      <c r="H40" s="441" t="n"/>
      <c r="I40" s="441" t="n"/>
      <c r="J40" s="441" t="n"/>
      <c r="K40" s="441" t="n"/>
      <c r="L40" s="441" t="n"/>
      <c r="M40" s="441" t="n"/>
      <c r="N40" s="441" t="n"/>
      <c r="O40" s="441" t="n"/>
      <c r="P40" s="441" t="n"/>
      <c r="Q40" s="441" t="n"/>
      <c r="R40" s="450" t="inlineStr">
        <is>
          <t>−223</t>
        </is>
      </c>
    </row>
    <row r="43">
      <c r="B43" s="320" t="inlineStr">
        <is>
          <t>III. GOVERNANCE &amp; REPORTING (УПРАВЛЕНИЕ И ОТЧЁТНОСТЬ) MILESTONES</t>
        </is>
      </c>
    </row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>
      <c r="B46" s="448" t="inlineStr">
        <is>
          <t>Заседание совета (Заседание совета директоров)</t>
        </is>
      </c>
      <c r="C46" s="451" t="inlineStr">
        <is>
          <t>BM</t>
        </is>
      </c>
      <c r="D46" s="441" t="n"/>
      <c r="E46" s="451" t="inlineStr">
        <is>
          <t>BM</t>
        </is>
      </c>
      <c r="F46" s="441" t="n"/>
      <c r="G46" s="451" t="inlineStr">
        <is>
          <t>BM</t>
        </is>
      </c>
      <c r="H46" s="441" t="n"/>
      <c r="I46" s="451" t="inlineStr">
        <is>
          <t>BM</t>
        </is>
      </c>
      <c r="J46" s="441" t="n"/>
      <c r="K46" s="451" t="inlineStr">
        <is>
          <t>BM</t>
        </is>
      </c>
      <c r="L46" s="441" t="n"/>
      <c r="M46" s="451" t="inlineStr">
        <is>
          <t>BM</t>
        </is>
      </c>
      <c r="N46" s="441" t="n"/>
      <c r="O46" s="451" t="inlineStr">
        <is>
          <t>BM</t>
        </is>
      </c>
      <c r="P46" s="451" t="inlineStr">
        <is>
          <t>BM</t>
        </is>
      </c>
      <c r="Q46" s="451" t="inlineStr">
        <is>
          <t>BM</t>
        </is>
      </c>
      <c r="R46" s="451" t="inlineStr">
        <is>
          <t>BM</t>
        </is>
      </c>
    </row>
    <row r="47" ht="22" customHeight="1">
      <c r="B47" s="448" t="inlineStr">
        <is>
          <t>Investor (Инвестор) quarterly report</t>
        </is>
      </c>
      <c r="C47" s="451" t="inlineStr">
        <is>
          <t>Rep</t>
        </is>
      </c>
      <c r="D47" s="451" t="inlineStr">
        <is>
          <t>Rep</t>
        </is>
      </c>
      <c r="E47" s="451" t="inlineStr">
        <is>
          <t>Rep</t>
        </is>
      </c>
      <c r="F47" s="451" t="inlineStr">
        <is>
          <t>Rep</t>
        </is>
      </c>
      <c r="G47" s="451" t="inlineStr">
        <is>
          <t>Rep</t>
        </is>
      </c>
      <c r="H47" s="451" t="inlineStr">
        <is>
          <t>Rep</t>
        </is>
      </c>
      <c r="I47" s="451" t="inlineStr">
        <is>
          <t>Rep</t>
        </is>
      </c>
      <c r="J47" s="451" t="inlineStr">
        <is>
          <t>Rep</t>
        </is>
      </c>
      <c r="K47" s="451" t="inlineStr">
        <is>
          <t>Rep</t>
        </is>
      </c>
      <c r="L47" s="451" t="inlineStr">
        <is>
          <t>Rep</t>
        </is>
      </c>
      <c r="M47" s="451" t="inlineStr">
        <is>
          <t>Rep</t>
        </is>
      </c>
      <c r="N47" s="451" t="inlineStr">
        <is>
          <t>Rep</t>
        </is>
      </c>
      <c r="O47" s="441" t="n"/>
      <c r="P47" s="441" t="n"/>
      <c r="Q47" s="441" t="n"/>
      <c r="R47" s="441" t="n"/>
    </row>
    <row r="48" ht="22" customHeight="1">
      <c r="B48" s="448" t="inlineStr">
        <is>
          <t>Audit (Аудит)</t>
        </is>
      </c>
      <c r="C48" s="441" t="n"/>
      <c r="D48" s="441" t="n"/>
      <c r="E48" s="441" t="n"/>
      <c r="F48" s="451" t="inlineStr">
        <is>
          <t>Audit (Аудит)</t>
        </is>
      </c>
      <c r="G48" s="441" t="n"/>
      <c r="H48" s="441" t="n"/>
      <c r="I48" s="441" t="n"/>
      <c r="J48" s="451" t="inlineStr">
        <is>
          <t>Audit (Аудит)</t>
        </is>
      </c>
      <c r="K48" s="441" t="n"/>
      <c r="L48" s="441" t="n"/>
      <c r="M48" s="441" t="n"/>
      <c r="N48" s="451" t="inlineStr">
        <is>
          <t>Audit (Аудит)</t>
        </is>
      </c>
      <c r="O48" s="451" t="inlineStr">
        <is>
          <t>Audit (Аудит)</t>
        </is>
      </c>
      <c r="P48" s="451" t="inlineStr">
        <is>
          <t>Audit (Аудит)</t>
        </is>
      </c>
      <c r="Q48" s="451" t="inlineStr">
        <is>
          <t>Audit (Аудит)</t>
        </is>
      </c>
      <c r="R48" s="451" t="inlineStr">
        <is>
          <t>Audit (Аудит)</t>
        </is>
      </c>
    </row>
    <row r="49" ht="22" customHeight="1">
      <c r="B49" s="448" t="inlineStr">
        <is>
          <t>Проверка ковенантов</t>
        </is>
      </c>
      <c r="C49" s="441" t="n"/>
      <c r="D49" s="451" t="inlineStr">
        <is>
          <t>Cov</t>
        </is>
      </c>
      <c r="E49" s="451" t="inlineStr">
        <is>
          <t>Cov</t>
        </is>
      </c>
      <c r="F49" s="451" t="inlineStr">
        <is>
          <t>Cov</t>
        </is>
      </c>
      <c r="G49" s="451" t="inlineStr">
        <is>
          <t>Cov</t>
        </is>
      </c>
      <c r="H49" s="451" t="inlineStr">
        <is>
          <t>Cov</t>
        </is>
      </c>
      <c r="I49" s="451" t="inlineStr">
        <is>
          <t>Cov</t>
        </is>
      </c>
      <c r="J49" s="451" t="inlineStr">
        <is>
          <t>Cov</t>
        </is>
      </c>
      <c r="K49" s="451" t="inlineStr">
        <is>
          <t>Cov</t>
        </is>
      </c>
      <c r="L49" s="451" t="inlineStr">
        <is>
          <t>Cov</t>
        </is>
      </c>
      <c r="M49" s="451" t="inlineStr">
        <is>
          <t>Cov</t>
        </is>
      </c>
      <c r="N49" s="451" t="inlineStr">
        <is>
          <t>Cov</t>
        </is>
      </c>
      <c r="O49" s="441" t="n"/>
      <c r="P49" s="441" t="n"/>
      <c r="Q49" s="441" t="n"/>
      <c r="R49" s="441" t="n"/>
    </row>
    <row r="50" ht="22" customHeight="1">
      <c r="B50" s="448" t="inlineStr">
        <is>
          <t>Strategic (Стратегический) review (Стратегический обзор)</t>
        </is>
      </c>
      <c r="C50" s="441" t="n"/>
      <c r="D50" s="441" t="n"/>
      <c r="E50" s="441" t="n"/>
      <c r="F50" s="441" t="n"/>
      <c r="G50" s="441" t="n"/>
      <c r="H50" s="451" t="inlineStr">
        <is>
          <t>Rev</t>
        </is>
      </c>
      <c r="I50" s="441" t="n"/>
      <c r="J50" s="441" t="n"/>
      <c r="K50" s="441" t="n"/>
      <c r="L50" s="441" t="n"/>
      <c r="M50" s="441" t="n"/>
      <c r="N50" s="451" t="inlineStr">
        <is>
          <t>Rev</t>
        </is>
      </c>
      <c r="O50" s="441" t="n"/>
      <c r="P50" s="451" t="inlineStr">
        <is>
          <t>Rev</t>
        </is>
      </c>
      <c r="Q50" s="441" t="n"/>
      <c r="R50" s="451" t="inlineStr">
        <is>
          <t>Rev</t>
        </is>
      </c>
    </row>
    <row r="53">
      <c r="B53" s="320" t="inlineStr">
        <is>
          <t>IV. ВЕХИ МАРШРУТОВ ВЫХОДА</t>
        </is>
      </c>
    </row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>
      <c r="B56" s="448" t="inlineStr">
        <is>
          <t>E1: Strategic (Стратегический) sale (Стратегическая продажа)</t>
        </is>
      </c>
      <c r="C56" s="441" t="n"/>
      <c r="D56" s="441" t="n"/>
      <c r="E56" s="441" t="n"/>
      <c r="F56" s="441" t="n"/>
      <c r="G56" s="441" t="n"/>
      <c r="H56" s="441" t="n"/>
      <c r="I56" s="441" t="n"/>
      <c r="J56" s="441" t="n"/>
      <c r="K56" s="441" t="n"/>
      <c r="L56" s="441" t="n"/>
      <c r="M56" s="441" t="n"/>
      <c r="N56" s="441" t="n"/>
      <c r="O56" s="441" t="n"/>
      <c r="P56" s="452" t="inlineStr">
        <is>
          <t>SS ★</t>
        </is>
      </c>
      <c r="Q56" s="452" t="inlineStr">
        <is>
          <t>SS ★</t>
        </is>
      </c>
      <c r="R56" s="441" t="n"/>
    </row>
    <row r="57" ht="22" customHeight="1">
      <c r="B57" s="448" t="inlineStr">
        <is>
          <t>E2: Trade sale (Продажа стратегу) PE</t>
        </is>
      </c>
      <c r="C57" s="441" t="n"/>
      <c r="D57" s="441" t="n"/>
      <c r="E57" s="441" t="n"/>
      <c r="F57" s="441" t="n"/>
      <c r="G57" s="441" t="n"/>
      <c r="H57" s="441" t="n"/>
      <c r="I57" s="441" t="n"/>
      <c r="J57" s="441" t="n"/>
      <c r="K57" s="441" t="n"/>
      <c r="L57" s="441" t="n"/>
      <c r="M57" s="441" t="n"/>
      <c r="N57" s="441" t="n"/>
      <c r="O57" s="441" t="n"/>
      <c r="P57" s="441" t="n"/>
      <c r="Q57" s="452" t="inlineStr">
        <is>
          <t>TS</t>
        </is>
      </c>
      <c r="R57" s="452" t="inlineStr">
        <is>
          <t>TS</t>
        </is>
      </c>
    </row>
    <row r="58" ht="22" customHeight="1">
      <c r="B58" s="448" t="inlineStr">
        <is>
          <t>E3: IPO (первичное размещение) (small-cap Мосбиржа)</t>
        </is>
      </c>
      <c r="C58" s="441" t="n"/>
      <c r="D58" s="441" t="n"/>
      <c r="E58" s="441" t="n"/>
      <c r="F58" s="441" t="n"/>
      <c r="G58" s="441" t="n"/>
      <c r="H58" s="441" t="n"/>
      <c r="I58" s="441" t="n"/>
      <c r="J58" s="441" t="n"/>
      <c r="K58" s="441" t="n"/>
      <c r="L58" s="441" t="n"/>
      <c r="M58" s="441" t="n"/>
      <c r="N58" s="441" t="n"/>
      <c r="O58" s="441" t="n"/>
      <c r="P58" s="441" t="n"/>
      <c r="Q58" s="452" t="inlineStr">
        <is>
          <t>IPO (первичное размещение)</t>
        </is>
      </c>
      <c r="R58" s="452" t="inlineStr">
        <is>
          <t>IPO (первичное размещение)</t>
        </is>
      </c>
    </row>
    <row r="59" ht="22" customHeight="1">
      <c r="B59" s="448" t="inlineStr">
        <is>
          <t>E4: Secondary (Вторичный) sale (Вторичная продажа)</t>
        </is>
      </c>
      <c r="C59" s="441" t="n"/>
      <c r="D59" s="441" t="n"/>
      <c r="E59" s="441" t="n"/>
      <c r="F59" s="441" t="n"/>
      <c r="G59" s="441" t="n"/>
      <c r="H59" s="441" t="n"/>
      <c r="I59" s="441" t="n"/>
      <c r="J59" s="441" t="n"/>
      <c r="K59" s="441" t="n"/>
      <c r="L59" s="441" t="n"/>
      <c r="M59" s="441" t="n"/>
      <c r="N59" s="441" t="n"/>
      <c r="O59" s="452" t="inlineStr">
        <is>
          <t>Sec</t>
        </is>
      </c>
      <c r="P59" s="452" t="inlineStr">
        <is>
          <t>Sec</t>
        </is>
      </c>
      <c r="Q59" s="441" t="n"/>
      <c r="R59" s="441" t="n"/>
    </row>
    <row r="60" ht="22" customHeight="1">
      <c r="B60" s="448" t="inlineStr">
        <is>
          <t>E5: Management buyout (Выкуп менеджментом)</t>
        </is>
      </c>
      <c r="C60" s="441" t="n"/>
      <c r="D60" s="441" t="n"/>
      <c r="E60" s="441" t="n"/>
      <c r="F60" s="441" t="n"/>
      <c r="G60" s="441" t="n"/>
      <c r="H60" s="441" t="n"/>
      <c r="I60" s="441" t="n"/>
      <c r="J60" s="441" t="n"/>
      <c r="K60" s="441" t="n"/>
      <c r="L60" s="441" t="n"/>
      <c r="M60" s="441" t="n"/>
      <c r="N60" s="441" t="n"/>
      <c r="O60" s="441" t="n"/>
      <c r="P60" s="441" t="n"/>
      <c r="Q60" s="441" t="n"/>
      <c r="R60" s="452" t="inlineStr">
        <is>
          <t>MBO</t>
        </is>
      </c>
    </row>
    <row r="61" ht="22" customHeight="1">
      <c r="B61" s="448" t="inlineStr">
        <is>
          <t>E6: Gov strategic (Гос. стратегический)</t>
        </is>
      </c>
      <c r="C61" s="441" t="n"/>
      <c r="D61" s="441" t="n"/>
      <c r="E61" s="441" t="n"/>
      <c r="F61" s="441" t="n"/>
      <c r="G61" s="441" t="n"/>
      <c r="H61" s="441" t="n"/>
      <c r="I61" s="441" t="n"/>
      <c r="J61" s="441" t="n"/>
      <c r="K61" s="441" t="n"/>
      <c r="L61" s="441" t="n"/>
      <c r="M61" s="441" t="n"/>
      <c r="N61" s="441" t="n"/>
      <c r="O61" s="441" t="n"/>
      <c r="P61" s="452" t="inlineStr">
        <is>
          <t>Gov</t>
        </is>
      </c>
      <c r="Q61" s="452" t="inlineStr">
        <is>
          <t>Gov</t>
        </is>
      </c>
      <c r="R61" s="441" t="n"/>
    </row>
    <row r="62" ht="22" customHeight="1">
      <c r="B62" s="448" t="inlineStr">
        <is>
          <t>E7: Wind-down (Свёртывание/удержание)</t>
        </is>
      </c>
      <c r="C62" s="441" t="n"/>
      <c r="D62" s="441" t="n"/>
      <c r="E62" s="441" t="n"/>
      <c r="F62" s="441" t="n"/>
      <c r="G62" s="441" t="n"/>
      <c r="H62" s="441" t="n"/>
      <c r="I62" s="441" t="n"/>
      <c r="J62" s="441" t="n"/>
      <c r="K62" s="441" t="n"/>
      <c r="L62" s="441" t="n"/>
      <c r="M62" s="441" t="n"/>
      <c r="N62" s="441" t="n"/>
      <c r="O62" s="441" t="n"/>
      <c r="P62" s="441" t="n"/>
      <c r="Q62" s="441" t="n"/>
      <c r="R62" s="453" t="inlineStr">
        <is>
          <t>WD</t>
        </is>
      </c>
    </row>
    <row r="65">
      <c r="B65" s="454" t="inlineStr">
        <is>
          <t>V. КРИТИЧЕСКИЙ ПУТЬ</t>
        </is>
      </c>
    </row>
    <row r="67">
      <c r="B67" s="323" t="inlineStr">
        <is>
          <t>• Q1'26: T₁ Tranche 1 250 млн ₽ → старт Dev П01–П05</t>
        </is>
      </c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7" t="n"/>
    </row>
    <row r="68">
      <c r="B68" s="323" t="inlineStr">
        <is>
          <t>• Q2'26: Tranche 2 350 → Shoot П01, Dev П02–П04</t>
        </is>
      </c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7" t="n"/>
    </row>
    <row r="69">
      <c r="B69" s="323" t="inlineStr">
        <is>
          <t>• Q3'26: Tranche 3 350 → Shoot П02, Dev П03–П05, pre-production П06С</t>
        </is>
      </c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7" t="n"/>
    </row>
    <row r="70">
      <c r="B70" s="323" t="inlineStr">
        <is>
          <t>• Q4'26: Tranche 4 300 + Release П01 → первый revenue impulse (570 млн ₽)</t>
        </is>
      </c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7" t="n"/>
    </row>
    <row r="71">
      <c r="B71" s="323" t="inlineStr">
        <is>
          <t>• Q2'27: Release П02 + П03 → основной revenue импульс (980 млн ₽)</t>
        </is>
      </c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7" t="n"/>
    </row>
    <row r="72">
      <c r="B72" s="323" t="inlineStr">
        <is>
          <t>• Q3'27: Release П04 «Время героев» → 700 млн ₽ проверка блокбастер-гипотезы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7" t="n"/>
    </row>
    <row r="73">
      <c r="B73" s="323" t="inlineStr">
        <is>
          <t>• Q4'27: Release П05 + mid-term review → решение о dark horse сериалах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7" t="n"/>
    </row>
    <row r="74">
      <c r="B74" s="323" t="inlineStr">
        <is>
          <t>• Q1'28: Release П06С «Северный ветер» (сериал) → cash flow breakpoint (520 млн ₽)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7" t="n"/>
    </row>
    <row r="75">
      <c r="B75" s="323" t="inlineStr">
        <is>
          <t>• Q3'28: Release П07С «Горизонт событий» + full slate completed → start exit prep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7" t="n"/>
    </row>
    <row r="76">
      <c r="B76" s="323" t="inlineStr">
        <is>
          <t>• 2029: Q1 — covenant pass или W₅ V-D ★ activation (default v1.0.1) / W₄ premium upgrade decision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7" t="n"/>
    </row>
    <row r="77">
      <c r="B77" s="323" t="inlineStr">
        <is>
          <t>• 2029-2030: Strategic review → exit route selection → T₁ repayment start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7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7" t="n"/>
    </row>
    <row r="81">
      <c r="B81" s="320" t="inlineStr">
        <is>
          <t>VI. TOP-10 КРИТИЧЕСКИХ ДАТ</t>
        </is>
      </c>
    </row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455" t="inlineStr">
        <is>
          <t>Critical (Критический)</t>
        </is>
      </c>
      <c r="F84" s="323" t="inlineStr">
        <is>
          <t>CFO / Legal (Юрид.)</t>
        </is>
      </c>
    </row>
    <row r="85" ht="26" customHeight="1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455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399" t="inlineStr">
        <is>
          <t>High (Высокий)</t>
        </is>
      </c>
      <c r="F86" s="323" t="inlineStr">
        <is>
          <t>Producer (Продюсер) П01</t>
        </is>
      </c>
    </row>
    <row r="87" ht="26" customHeight="1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455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399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455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455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455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455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455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8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КРАТКОЕ РЕЗЮМЕ</t>
        </is>
      </c>
    </row>
    <row r="3" ht="18" customHeight="1">
      <c r="B3" s="457" t="inlineStr">
        <is>
          <t>Холдинг кино «ТрендСтудио» — Investor Package (Инвестиционный пакет) v1.0.1 Public — 2026-04-13</t>
        </is>
      </c>
    </row>
    <row r="5" ht="22" customHeight="1">
      <c r="B5" s="458" t="inlineStr">
        <is>
          <t>I. INVESTMENT (ИНВЕСТИЦИИ) HIGHLIGHTS (КЛЮЧЕВЫЕ ПРЕИМУЩЕСТВА ИНВЕСТИЦИИ)</t>
        </is>
      </c>
    </row>
    <row r="7" ht="28" customHeight="1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</row>
    <row r="11" ht="28" customHeight="1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>
      <c r="B14" s="458" t="inlineStr">
        <is>
          <t>II. КЛЮЧЕВЫЕ МЕТРИКИ</t>
        </is>
      </c>
    </row>
    <row r="16" ht="22" customHeight="1">
      <c r="C16" s="321" t="inlineStr">
        <is>
          <t>Показатель</t>
        </is>
      </c>
      <c r="D16" s="187" t="n"/>
      <c r="E16" s="321" t="inlineStr">
        <is>
          <t>Σ 2026–2028</t>
        </is>
      </c>
      <c r="F16" s="187" t="n"/>
      <c r="G16" s="321" t="inlineStr">
        <is>
          <t>Источник</t>
        </is>
      </c>
      <c r="H16" s="187" t="n"/>
      <c r="I16" s="321" t="inlineStr">
        <is>
          <t>Примечание</t>
        </is>
      </c>
      <c r="J16" s="186" t="n"/>
      <c r="K16" s="186" t="n"/>
      <c r="L16" s="186" t="n"/>
      <c r="M16" s="186" t="n"/>
      <c r="N16" s="187" t="n"/>
    </row>
    <row r="17" ht="20" customHeight="1">
      <c r="C17" s="461" t="inlineStr">
        <is>
          <t>Revenue (Выручка)</t>
        </is>
      </c>
      <c r="D17" s="187" t="n"/>
      <c r="E17" s="328" t="inlineStr">
        <is>
          <t>4 545 млн ₽</t>
        </is>
      </c>
      <c r="F17" s="187" t="n"/>
      <c r="G17" s="464" t="inlineStr">
        <is>
          <t>07_Revenue_Breakdown</t>
        </is>
      </c>
      <c r="H17" s="187" t="n"/>
      <c r="I17" s="465" t="inlineStr">
        <is>
          <t>7 проектов + сиквелы + TV/OTT (онлайн-платформа)</t>
        </is>
      </c>
      <c r="J17" s="186" t="n"/>
      <c r="K17" s="186" t="n"/>
      <c r="L17" s="186" t="n"/>
      <c r="M17" s="186" t="n"/>
      <c r="N17" s="187" t="n"/>
    </row>
    <row r="18" ht="20" customHeight="1">
      <c r="C18" s="461" t="inlineStr">
        <is>
          <t>COGS (себестоимость)</t>
        </is>
      </c>
      <c r="D18" s="187" t="n"/>
      <c r="E18" s="328" t="inlineStr">
        <is>
          <t>2 009 млн ₽</t>
        </is>
      </c>
      <c r="F18" s="187" t="n"/>
      <c r="G18" s="464" t="inlineStr">
        <is>
          <t>06_Cost_Structure</t>
        </is>
      </c>
      <c r="H18" s="187" t="n"/>
      <c r="I18" s="465" t="inlineStr">
        <is>
          <t>Производство + прокат + маркетинг</t>
        </is>
      </c>
      <c r="J18" s="186" t="n"/>
      <c r="K18" s="186" t="n"/>
      <c r="L18" s="186" t="n"/>
      <c r="M18" s="186" t="n"/>
      <c r="N18" s="187" t="n"/>
    </row>
    <row r="19" ht="20" customHeight="1">
      <c r="C19" s="461" t="inlineStr">
        <is>
          <t>OpEx</t>
        </is>
      </c>
      <c r="D19" s="187" t="n"/>
      <c r="E19" s="328" t="inlineStr">
        <is>
          <t>265.5 млн ₽</t>
        </is>
      </c>
      <c r="F19" s="187" t="n"/>
      <c r="G19" s="464" t="inlineStr">
        <is>
          <t>06_Cost_Structure</t>
        </is>
      </c>
      <c r="H19" s="187" t="n"/>
      <c r="I19" s="465" t="inlineStr">
        <is>
          <t>ФОТ + аренда + G&amp;A</t>
        </is>
      </c>
      <c r="J19" s="186" t="n"/>
      <c r="K19" s="186" t="n"/>
      <c r="L19" s="186" t="n"/>
      <c r="M19" s="186" t="n"/>
      <c r="N19" s="187" t="n"/>
    </row>
    <row r="20" ht="20" customHeight="1">
      <c r="C20" s="461" t="inlineStr">
        <is>
          <t>EBITDA (прибыль до вычетов) GAAP</t>
        </is>
      </c>
      <c r="D20" s="187" t="n"/>
      <c r="E20" s="328" t="inlineStr">
        <is>
          <t>2 167 млн ₽</t>
        </is>
      </c>
      <c r="F20" s="187" t="n"/>
      <c r="G20" s="464" t="inlineStr">
        <is>
          <t>09_P&amp;L_Statement</t>
        </is>
      </c>
      <c r="H20" s="187" t="n"/>
      <c r="I20" s="465" t="inlineStr">
        <is>
          <t>Маржа 47.3%</t>
        </is>
      </c>
      <c r="J20" s="186" t="n"/>
      <c r="K20" s="186" t="n"/>
      <c r="L20" s="186" t="n"/>
      <c r="M20" s="186" t="n"/>
      <c r="N20" s="187" t="n"/>
    </row>
    <row r="21" ht="20" customHeight="1">
      <c r="C21" s="461" t="inlineStr">
        <is>
          <t>NDP (чистые распределяемые поступления) (legacy (базовый вариант) anchor (якорь))</t>
        </is>
      </c>
      <c r="D21" s="187" t="n"/>
      <c r="E21" s="328" t="inlineStr">
        <is>
          <t>3 000 млн ₽</t>
        </is>
      </c>
      <c r="F21" s="187" t="n"/>
      <c r="G21" s="464" t="inlineStr">
        <is>
          <t>09_P&amp;L (bridge)</t>
        </is>
      </c>
      <c r="H21" s="187" t="n"/>
      <c r="I21" s="465" t="inlineStr">
        <is>
          <t>Non-Discounted Profit (Прибыль), внутренний якорь холдинга</t>
        </is>
      </c>
      <c r="J21" s="186" t="n"/>
      <c r="K21" s="186" t="n"/>
      <c r="L21" s="186" t="n"/>
      <c r="M21" s="186" t="n"/>
      <c r="N21" s="187" t="n"/>
    </row>
    <row r="22" ht="20" customHeight="1">
      <c r="C22" s="461" t="inlineStr">
        <is>
          <t>Net Profit (Чистая прибыль)</t>
        </is>
      </c>
      <c r="D22" s="187" t="n"/>
      <c r="E22" s="328" t="inlineStr">
        <is>
          <t>1 698 млн ₽</t>
        </is>
      </c>
      <c r="F22" s="187" t="n"/>
      <c r="G22" s="464" t="inlineStr">
        <is>
          <t>09_P&amp;L_Statement</t>
        </is>
      </c>
      <c r="H22" s="187" t="n"/>
      <c r="I22" s="465" t="inlineStr">
        <is>
          <t>После налогов (prib 20% + прочее)</t>
        </is>
      </c>
      <c r="J22" s="186" t="n"/>
      <c r="K22" s="186" t="n"/>
      <c r="L22" s="186" t="n"/>
      <c r="M22" s="186" t="n"/>
      <c r="N22" s="187" t="n"/>
    </row>
    <row r="23" ht="20" customHeight="1">
      <c r="C23" s="461" t="inlineStr">
        <is>
          <t>Инвестиция T₁</t>
        </is>
      </c>
      <c r="D23" s="187" t="n"/>
      <c r="E23" s="328" t="inlineStr">
        <is>
          <t>1 250 млн ₽</t>
        </is>
      </c>
      <c r="F23" s="187" t="n"/>
      <c r="G23" s="464" t="inlineStr">
        <is>
          <t>14_Investment_Inflow</t>
        </is>
      </c>
      <c r="H23" s="187" t="n"/>
      <c r="I23" s="465" t="inlineStr">
        <is>
          <t>4 транша: 250 / 350 / 350 / 300</t>
        </is>
      </c>
      <c r="J23" s="186" t="n"/>
      <c r="K23" s="186" t="n"/>
      <c r="L23" s="186" t="n"/>
      <c r="M23" s="186" t="n"/>
      <c r="N23" s="187" t="n"/>
    </row>
    <row r="24" ht="20" customHeight="1">
      <c r="C24" s="461" t="inlineStr">
        <is>
          <t>Producer (Продюсер) Equity (Собственный капитал)</t>
        </is>
      </c>
      <c r="D24" s="187" t="n"/>
      <c r="E24" s="328" t="inlineStr">
        <is>
          <t>600 млн ₽</t>
        </is>
      </c>
      <c r="F24" s="187" t="n"/>
      <c r="G24" s="464" t="inlineStr">
        <is>
          <t>17_Deal_Structures</t>
        </is>
      </c>
      <c r="H24" s="187" t="n"/>
      <c r="I24" s="465" t="inlineStr">
        <is>
          <t>JV (совместное предприятие) капитал продюсеров (off-P&amp;L)</t>
        </is>
      </c>
      <c r="J24" s="186" t="n"/>
      <c r="K24" s="186" t="n"/>
      <c r="L24" s="186" t="n"/>
      <c r="M24" s="186" t="n"/>
      <c r="N24" s="187" t="n"/>
    </row>
    <row r="25" ht="20" customHeight="1">
      <c r="C25" s="461" t="inlineStr">
        <is>
          <t>Production Budget (Бюджет)</t>
        </is>
      </c>
      <c r="D25" s="187" t="n"/>
      <c r="E25" s="328" t="inlineStr">
        <is>
          <t>1 747 млн ₽</t>
        </is>
      </c>
      <c r="F25" s="187" t="n"/>
      <c r="G25" s="464" t="inlineStr">
        <is>
          <t>08_Content_Pipeline</t>
        </is>
      </c>
      <c r="H25" s="187" t="n"/>
      <c r="I25" s="465" t="inlineStr">
        <is>
          <t>7 проектов × avg 264 млн ₽</t>
        </is>
      </c>
      <c r="J25" s="186" t="n"/>
      <c r="K25" s="186" t="n"/>
      <c r="L25" s="186" t="n"/>
      <c r="M25" s="186" t="n"/>
      <c r="N25" s="187" t="n"/>
    </row>
    <row r="26" ht="20" customHeight="1">
      <c r="C26" s="461" t="inlineStr">
        <is>
          <t>Tax (7-year) (Налог, 7 лет)</t>
        </is>
      </c>
      <c r="D26" s="187" t="n"/>
      <c r="E26" s="328" t="inlineStr">
        <is>
          <t>720 млн ₽</t>
        </is>
      </c>
      <c r="F26" s="187" t="n"/>
      <c r="G26" s="464" t="inlineStr">
        <is>
          <t>34_Tax_Schedule</t>
        </is>
      </c>
      <c r="H26" s="187" t="n"/>
      <c r="I26" s="465" t="inlineStr">
        <is>
          <t>2026–2032, эффективная ставка 12.9% от Revenue (Выручка)</t>
        </is>
      </c>
      <c r="J26" s="186" t="n"/>
      <c r="K26" s="186" t="n"/>
      <c r="L26" s="186" t="n"/>
      <c r="M26" s="186" t="n"/>
      <c r="N26" s="187" t="n"/>
    </row>
    <row r="27">
      <c r="B27" s="588" t="n"/>
      <c r="C27" s="592" t="inlineStr">
        <is>
          <t>Investor Returns (Доходность инвестора) T₁ (W₅ V-D ★ default (по умолчанию) v1.0.1)</t>
        </is>
      </c>
      <c r="D27" s="588" t="n"/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  <c r="F27" s="588" t="n"/>
      <c r="G27" s="588" t="inlineStr">
        <is>
          <t>24_Investor_Returns</t>
        </is>
      </c>
      <c r="H27" s="588" t="n"/>
      <c r="I27" s="588" t="inlineStr">
        <is>
          <t>W₅ V-D + A+C 33/45/9/13; MC N=5 000 sims; дислеймер V.1-V.4</t>
        </is>
      </c>
      <c r="J27" s="588" t="n"/>
    </row>
    <row r="29" ht="22" customHeight="1">
      <c r="B29" s="466" t="inlineStr">
        <is>
          <t>III. VALUATION (ОЦЕНКА) RANGE INTERPRETATION (DCF (дисконтированный денежный поток) vs MULTIPLES)</t>
        </is>
      </c>
    </row>
    <row r="31" ht="20" customHeight="1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>
      <c r="B33" s="468" t="inlineStr">
        <is>
          <t>Метод</t>
        </is>
      </c>
      <c r="C33" s="186" t="n"/>
      <c r="D33" s="186" t="n"/>
      <c r="E33" s="187" t="n"/>
      <c r="F33" s="321" t="inlineStr">
        <is>
          <t>EV (стоимость предприятия) 2030</t>
        </is>
      </c>
      <c r="G33" s="186" t="n"/>
      <c r="H33" s="187" t="n"/>
      <c r="I33" s="432" t="inlineStr">
        <is>
          <t>Роль в оценке</t>
        </is>
      </c>
      <c r="J33" s="186" t="n"/>
      <c r="K33" s="186" t="n"/>
      <c r="L33" s="187" t="n"/>
      <c r="M33" s="432" t="inlineStr">
        <is>
          <t>Источник</t>
        </is>
      </c>
      <c r="N33" s="187" t="n"/>
    </row>
    <row r="34" ht="32" customHeight="1">
      <c r="B34" s="461" t="inlineStr">
        <is>
          <t>DCF (дисконтированный денежный поток) (blend Gordon 40% + Exit 60%)</t>
        </is>
      </c>
      <c r="C34" s="186" t="n"/>
      <c r="D34" s="186" t="n"/>
      <c r="E34" s="187" t="n"/>
      <c r="F34" s="328" t="inlineStr">
        <is>
          <t>1 815 млн ₽</t>
        </is>
      </c>
      <c r="G34" s="186" t="n"/>
      <c r="H34" s="187" t="n"/>
      <c r="I34" s="465" t="inlineStr">
        <is>
          <t>Floor valuation (intrinsic, 5-летний горизонт, высокий WACC (средневзвешенная стоимость капитала))</t>
        </is>
      </c>
      <c r="J34" s="186" t="n"/>
      <c r="K34" s="186" t="n"/>
      <c r="L34" s="187" t="n"/>
      <c r="M34" s="465" t="inlineStr">
        <is>
          <t>22_Valuation_DCF</t>
        </is>
      </c>
      <c r="N34" s="187" t="n"/>
    </row>
    <row r="35" ht="32" customHeight="1">
      <c r="B35" s="461" t="inlineStr">
        <is>
          <t>Медиана Comps (EV (стоимость предприятия)/EBITDA (прибыль до вычетов) 8.9×)</t>
        </is>
      </c>
      <c r="C35" s="186" t="n"/>
      <c r="D35" s="186" t="n"/>
      <c r="E35" s="187" t="n"/>
      <c r="F35" s="328" t="inlineStr">
        <is>
          <t>7 550 млн ₽</t>
        </is>
      </c>
      <c r="G35" s="186" t="n"/>
      <c r="H35" s="187" t="n"/>
      <c r="I35" s="465" t="inlineStr">
        <is>
          <t>Рыночная оценка (что реально платят в сделках)</t>
        </is>
      </c>
      <c r="J35" s="186" t="n"/>
      <c r="K35" s="186" t="n"/>
      <c r="L35" s="187" t="n"/>
      <c r="M35" s="465" t="inlineStr">
        <is>
          <t>32_Comparable_Transactions</t>
        </is>
      </c>
      <c r="N35" s="187" t="n"/>
    </row>
    <row r="36" ht="32" customHeight="1">
      <c r="B36" s="461" t="inlineStr">
        <is>
          <t>Weighted Exit EV (стоимость предприятия) (probability-weighted)</t>
        </is>
      </c>
      <c r="C36" s="186" t="n"/>
      <c r="D36" s="186" t="n"/>
      <c r="E36" s="187" t="n"/>
      <c r="F36" s="328" t="inlineStr">
        <is>
          <t>6 038 млн ₽</t>
        </is>
      </c>
      <c r="G36" s="186" t="n"/>
      <c r="H36" s="187" t="n"/>
      <c r="I36" s="465" t="inlineStr">
        <is>
          <t>Expected value (Ожидаемая стоимость)</t>
        </is>
      </c>
      <c r="J36" s="186" t="n"/>
      <c r="K36" s="186" t="n"/>
      <c r="L36" s="187" t="n"/>
      <c r="M36" s="465" t="inlineStr">
        <is>
          <t>25_Exit_Scenarios</t>
        </is>
      </c>
      <c r="N36" s="187" t="n"/>
    </row>
    <row r="39" ht="20" customHeight="1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>
      <c r="B41" s="321" t="inlineStr">
        <is>
          <t>#</t>
        </is>
      </c>
      <c r="C41" s="321" t="inlineStr">
        <is>
          <t>Компонент разрыва</t>
        </is>
      </c>
      <c r="D41" s="186" t="n"/>
      <c r="E41" s="187" t="n"/>
      <c r="F41" s="321" t="inlineStr">
        <is>
          <t>Механика</t>
        </is>
      </c>
      <c r="G41" s="186" t="n"/>
      <c r="H41" s="186" t="n"/>
      <c r="I41" s="186" t="n"/>
      <c r="J41" s="186" t="n"/>
      <c r="K41" s="186" t="n"/>
      <c r="L41" s="187" t="n"/>
      <c r="M41" s="321" t="inlineStr">
        <is>
          <t>Вклад</t>
        </is>
      </c>
      <c r="N41" s="187" t="n"/>
    </row>
    <row r="42" ht="52" customHeight="1">
      <c r="B42" s="414" t="inlineStr">
        <is>
          <t>1</t>
        </is>
      </c>
      <c r="C42" s="471" t="inlineStr">
        <is>
          <t>Горизонт обрезан на 2030</t>
        </is>
      </c>
      <c r="D42" s="186" t="n"/>
      <c r="E42" s="187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186" t="n"/>
      <c r="H42" s="186" t="n"/>
      <c r="I42" s="186" t="n"/>
      <c r="J42" s="186" t="n"/>
      <c r="K42" s="186" t="n"/>
      <c r="L42" s="187" t="n"/>
      <c r="M42" s="416" t="inlineStr">
        <is>
          <t>+2 500</t>
        </is>
      </c>
      <c r="N42" s="187" t="n"/>
    </row>
    <row r="43" ht="52" customHeight="1">
      <c r="B43" s="41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186" t="n"/>
      <c r="E43" s="187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186" t="n"/>
      <c r="H43" s="186" t="n"/>
      <c r="I43" s="186" t="n"/>
      <c r="J43" s="186" t="n"/>
      <c r="K43" s="186" t="n"/>
      <c r="L43" s="187" t="n"/>
      <c r="M43" s="416" t="inlineStr">
        <is>
          <t>+1 500</t>
        </is>
      </c>
      <c r="N43" s="187" t="n"/>
    </row>
    <row r="44" ht="52" customHeight="1">
      <c r="B44" s="414" t="inlineStr">
        <is>
          <t>3</t>
        </is>
      </c>
      <c r="C44" s="471" t="inlineStr">
        <is>
          <t>Real options не моделируются</t>
        </is>
      </c>
      <c r="D44" s="186" t="n"/>
      <c r="E44" s="187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186" t="n"/>
      <c r="H44" s="186" t="n"/>
      <c r="I44" s="186" t="n"/>
      <c r="J44" s="186" t="n"/>
      <c r="K44" s="186" t="n"/>
      <c r="L44" s="187" t="n"/>
      <c r="M44" s="416" t="inlineStr">
        <is>
          <t>+1 500</t>
        </is>
      </c>
      <c r="N44" s="187" t="n"/>
    </row>
    <row r="45" ht="52" customHeight="1">
      <c r="B45" s="414" t="inlineStr">
        <is>
          <t>4</t>
        </is>
      </c>
      <c r="C45" s="471" t="inlineStr">
        <is>
          <t>Execution (Исполнение) risk — двойное начисление</t>
        </is>
      </c>
      <c r="D45" s="186" t="n"/>
      <c r="E45" s="187" t="n"/>
      <c r="F45" s="471" t="n">
        <v>1274</v>
      </c>
      <c r="G45" s="186" t="n"/>
      <c r="H45" s="186" t="n"/>
      <c r="I45" s="186" t="n"/>
      <c r="J45" s="186" t="n"/>
      <c r="K45" s="186" t="n"/>
      <c r="L45" s="187" t="n"/>
      <c r="M45" s="416" t="inlineStr">
        <is>
          <t>(встроено)</t>
        </is>
      </c>
      <c r="N45" s="187" t="n"/>
    </row>
    <row r="46" ht="52" customHeight="1">
      <c r="B46" s="414" t="inlineStr">
        <is>
          <t>5</t>
        </is>
      </c>
      <c r="C46" s="471" t="inlineStr">
        <is>
          <t>Капитальная цикличность после 2028</t>
        </is>
      </c>
      <c r="D46" s="186" t="n"/>
      <c r="E46" s="187" t="n"/>
      <c r="F46" s="471" t="n">
        <v>1698</v>
      </c>
      <c r="G46" s="186" t="n"/>
      <c r="H46" s="186" t="n"/>
      <c r="I46" s="186" t="n"/>
      <c r="J46" s="186" t="n"/>
      <c r="K46" s="186" t="n"/>
      <c r="L46" s="187" t="n"/>
      <c r="M46" s="416" t="inlineStr">
        <is>
          <t>+500</t>
        </is>
      </c>
      <c r="N46" s="187" t="n"/>
    </row>
    <row r="47" ht="28" customHeight="1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76" t="inlineStr">
        <is>
          <t>≈ +5 500</t>
        </is>
      </c>
      <c r="N47" s="187" t="n"/>
    </row>
    <row r="49" ht="20" customHeight="1">
      <c r="B49" s="470" t="inlineStr">
        <is>
          <t>ПРАКТИЧЕСКИЙ ВЫВОД ДЛЯ ИНВЕСТОРА:</t>
        </is>
      </c>
    </row>
    <row r="50" ht="96" customHeight="1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</row>
    <row r="53" ht="22" customHeight="1">
      <c r="B53" s="458" t="inlineStr">
        <is>
          <t>IV.  СВОДКА РИСКОВ (TOP-5 ИЗ 30)</t>
        </is>
      </c>
    </row>
    <row r="55" ht="22" customHeight="1">
      <c r="B55" s="321" t="inlineStr">
        <is>
          <t>ID</t>
        </is>
      </c>
      <c r="C55" s="321" t="inlineStr">
        <is>
          <t>Описание</t>
        </is>
      </c>
      <c r="D55" s="186" t="n"/>
      <c r="E55" s="186" t="n"/>
      <c r="F55" s="187" t="n"/>
      <c r="G55" s="321" t="inlineStr">
        <is>
          <t>Категория</t>
        </is>
      </c>
      <c r="H55" s="187" t="n"/>
      <c r="I55" s="321" t="inlineStr">
        <is>
          <t>S×L</t>
        </is>
      </c>
      <c r="J55" s="321" t="inlineStr">
        <is>
          <t>Score (Балл)</t>
        </is>
      </c>
      <c r="K55" s="187" t="n"/>
      <c r="L55" s="321" t="inlineStr">
        <is>
          <t>Митигация</t>
        </is>
      </c>
      <c r="M55" s="186" t="n"/>
      <c r="N55" s="187" t="n"/>
    </row>
    <row r="56" ht="36" customHeight="1">
      <c r="B56" s="41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186" t="n"/>
      <c r="E56" s="186" t="n"/>
      <c r="F56" s="187" t="n"/>
      <c r="G56" s="471" t="inlineStr">
        <is>
          <t>Financial (Финансовый)</t>
        </is>
      </c>
      <c r="H56" s="187" t="n"/>
      <c r="I56" s="478" t="inlineStr">
        <is>
          <t>3×4</t>
        </is>
      </c>
      <c r="J56" s="479" t="inlineStr">
        <is>
          <t>12 (Высокий)</t>
        </is>
      </c>
      <c r="K56" s="187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186" t="n"/>
      <c r="N56" s="187" t="n"/>
    </row>
    <row r="57" ht="36" customHeight="1">
      <c r="B57" s="414" t="inlineStr">
        <is>
          <t>R03</t>
        </is>
      </c>
      <c r="C57" s="471" t="inlineStr">
        <is>
          <t>Срыв production календаря ≥ 6 мес</t>
        </is>
      </c>
      <c r="D57" s="186" t="n"/>
      <c r="E57" s="186" t="n"/>
      <c r="F57" s="187" t="n"/>
      <c r="G57" s="471" t="inlineStr">
        <is>
          <t>Production (Производство)</t>
        </is>
      </c>
      <c r="H57" s="187" t="n"/>
      <c r="I57" s="478" t="inlineStr">
        <is>
          <t>3×4</t>
        </is>
      </c>
      <c r="J57" s="416" t="inlineStr">
        <is>
          <t>12 (Высокий)</t>
        </is>
      </c>
      <c r="K57" s="187" t="n"/>
      <c r="L57" s="471" t="inlineStr">
        <is>
          <t>Pre-financing reserve 10%, страхование срывов, 2-х треков post-prod</t>
        </is>
      </c>
      <c r="M57" s="186" t="n"/>
      <c r="N57" s="187" t="n"/>
    </row>
    <row r="58" ht="36" customHeight="1">
      <c r="B58" s="414" t="inlineStr">
        <is>
          <t>R08</t>
        </is>
      </c>
      <c r="C58" s="471" t="inlineStr">
        <is>
          <t>Отказ ФКП в грантовой поддержке</t>
        </is>
      </c>
      <c r="D58" s="186" t="n"/>
      <c r="E58" s="186" t="n"/>
      <c r="F58" s="187" t="n"/>
      <c r="G58" s="471" t="inlineStr">
        <is>
          <t>Regulatory (Регуляторный)</t>
        </is>
      </c>
      <c r="H58" s="187" t="n"/>
      <c r="I58" s="478" t="inlineStr">
        <is>
          <t>4×3</t>
        </is>
      </c>
      <c r="J58" s="416" t="inlineStr">
        <is>
          <t>12 (Высокий)</t>
        </is>
      </c>
      <c r="K58" s="187" t="n"/>
      <c r="L58" s="471" t="inlineStr">
        <is>
          <t>Двойной трек заявок, диверсификация источников (ФКП + регионы + РФК)</t>
        </is>
      </c>
      <c r="M58" s="186" t="n"/>
      <c r="N58" s="187" t="n"/>
    </row>
    <row r="59" ht="36" customHeight="1">
      <c r="B59" s="414" t="inlineStr">
        <is>
          <t>R12</t>
        </is>
      </c>
      <c r="C59" s="471" t="inlineStr">
        <is>
          <t>Девальвация рубля &gt; 25%</t>
        </is>
      </c>
      <c r="D59" s="186" t="n"/>
      <c r="E59" s="186" t="n"/>
      <c r="F59" s="187" t="n"/>
      <c r="G59" s="471" t="inlineStr">
        <is>
          <t>Рынок</t>
        </is>
      </c>
      <c r="H59" s="187" t="n"/>
      <c r="I59" s="478" t="inlineStr">
        <is>
          <t>3×4</t>
        </is>
      </c>
      <c r="J59" s="416" t="inlineStr">
        <is>
          <t>12 (Высокий)</t>
        </is>
      </c>
      <c r="K59" s="18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186" t="n"/>
      <c r="N59" s="187" t="n"/>
    </row>
    <row r="60" ht="36" customHeight="1">
      <c r="B60" s="414" t="inlineStr">
        <is>
          <t>R22</t>
        </is>
      </c>
      <c r="C60" s="471" t="inlineStr">
        <is>
          <t>Потеря ключевого режиссёра / продюсера</t>
        </is>
      </c>
      <c r="D60" s="186" t="n"/>
      <c r="E60" s="186" t="n"/>
      <c r="F60" s="187" t="n"/>
      <c r="G60" s="471" t="inlineStr">
        <is>
          <t>Operational (Операционный)</t>
        </is>
      </c>
      <c r="H60" s="187" t="n"/>
      <c r="I60" s="478" t="inlineStr">
        <is>
          <t>2×5</t>
        </is>
      </c>
      <c r="J60" s="416" t="inlineStr">
        <is>
          <t>10 (Высокий)</t>
        </is>
      </c>
      <c r="K60" s="187" t="n"/>
      <c r="L60" s="471" t="inlineStr">
        <is>
          <t>Long-term contracts, ESOP vesting 4 года, 2nd-tier bench</t>
        </is>
      </c>
      <c r="M60" s="186" t="n"/>
      <c r="N60" s="187" t="n"/>
    </row>
    <row r="62" ht="18" customHeight="1">
      <c r="B62" s="480" t="inlineStr">
        <is>
          <t>→ Полный реестр 30 рисков см. лист 29_Risk_Register (heat map 5×5 + top-10 detail).</t>
        </is>
      </c>
    </row>
    <row r="65" ht="22" customHeight="1">
      <c r="B65" s="458" t="inlineStr">
        <is>
          <t>V. EXIT STRATEGY (7 МАРШРУТОВ)</t>
        </is>
      </c>
    </row>
    <row r="67" ht="22" customHeight="1">
      <c r="B67" s="321" t="inlineStr">
        <is>
          <t>#</t>
        </is>
      </c>
      <c r="C67" s="321" t="inlineStr">
        <is>
          <t>Маршрут</t>
        </is>
      </c>
      <c r="D67" s="186" t="n"/>
      <c r="E67" s="186" t="n"/>
      <c r="F67" s="187" t="n"/>
      <c r="G67" s="321" t="inlineStr">
        <is>
          <t>P</t>
        </is>
      </c>
      <c r="H67" s="321" t="inlineStr">
        <is>
          <t>Окно</t>
        </is>
      </c>
      <c r="I67" s="187" t="n"/>
      <c r="J67" s="321" t="inlineStr">
        <is>
          <t>Условия / премия</t>
        </is>
      </c>
      <c r="K67" s="186" t="n"/>
      <c r="L67" s="186" t="n"/>
      <c r="M67" s="186" t="n"/>
      <c r="N67" s="187" t="n"/>
    </row>
    <row r="68" ht="22" customHeight="1">
      <c r="B68" s="400" t="inlineStr">
        <is>
          <t>E1</t>
        </is>
      </c>
      <c r="C68" s="481" t="inlineStr">
        <is>
          <t>Strategic (Стратегический) sale (Стратегическая продажа) — Яндекс / Сбер</t>
        </is>
      </c>
      <c r="D68" s="186" t="n"/>
      <c r="E68" s="186" t="n"/>
      <c r="F68" s="187" t="n"/>
      <c r="G68" s="322" t="inlineStr">
        <is>
          <t>30%</t>
        </is>
      </c>
      <c r="H68" s="322" t="inlineStr">
        <is>
          <t>2030</t>
        </is>
      </c>
      <c r="I68" s="187" t="n"/>
      <c r="J68" s="481" t="inlineStr">
        <is>
          <t>EV (стоимость предприятия)/EBITDA (прибыль до вычетов) 9–11×, премия за контроль 20%</t>
        </is>
      </c>
      <c r="K68" s="186" t="n"/>
      <c r="L68" s="186" t="n"/>
      <c r="M68" s="186" t="n"/>
      <c r="N68" s="187" t="n"/>
    </row>
    <row r="69" ht="22" customHeight="1">
      <c r="B69" s="400" t="inlineStr">
        <is>
          <t>E2</t>
        </is>
      </c>
      <c r="C69" s="481" t="inlineStr">
        <is>
          <t>Strategic (Стратегический) sale (Стратегическая продажа) — Газпром-Медиа / НМГ</t>
        </is>
      </c>
      <c r="D69" s="186" t="n"/>
      <c r="E69" s="186" t="n"/>
      <c r="F69" s="187" t="n"/>
      <c r="G69" s="322" t="inlineStr">
        <is>
          <t>20%</t>
        </is>
      </c>
      <c r="H69" s="322" t="inlineStr">
        <is>
          <t>2030</t>
        </is>
      </c>
      <c r="I69" s="187" t="n"/>
      <c r="J69" s="481" t="inlineStr">
        <is>
          <t>EV (стоимость предприятия)/EBITDA (прибыль до вычетов) 7–9×, премия за вертикальную интеграцию</t>
        </is>
      </c>
      <c r="K69" s="186" t="n"/>
      <c r="L69" s="186" t="n"/>
      <c r="M69" s="186" t="n"/>
      <c r="N69" s="187" t="n"/>
    </row>
    <row r="70" ht="22" customHeight="1">
      <c r="B70" s="400" t="inlineStr">
        <is>
          <t>E3</t>
        </is>
      </c>
      <c r="C70" s="481" t="inlineStr">
        <is>
          <t>IPO (первичное размещение) на Мосбирже (main list)</t>
        </is>
      </c>
      <c r="D70" s="186" t="n"/>
      <c r="E70" s="186" t="n"/>
      <c r="F70" s="187" t="n"/>
      <c r="G70" s="322" t="inlineStr">
        <is>
          <t>15%</t>
        </is>
      </c>
      <c r="H70" s="322" t="inlineStr">
        <is>
          <t>2030–2031</t>
        </is>
      </c>
      <c r="I70" s="187" t="n"/>
      <c r="J70" s="481" t="inlineStr">
        <is>
          <t>Free float (Свободное обращение) 25%, P/E 15–18×</t>
        </is>
      </c>
      <c r="K70" s="186" t="n"/>
      <c r="L70" s="186" t="n"/>
      <c r="M70" s="186" t="n"/>
      <c r="N70" s="187" t="n"/>
    </row>
    <row r="71" ht="22" customHeight="1">
      <c r="B71" s="400" t="inlineStr">
        <is>
          <t>E4</t>
        </is>
      </c>
      <c r="C71" s="481" t="inlineStr">
        <is>
          <t>Secondary (Вторичный) placement (Вторичное размещение) (PE / VC)</t>
        </is>
      </c>
      <c r="D71" s="186" t="n"/>
      <c r="E71" s="186" t="n"/>
      <c r="F71" s="187" t="n"/>
      <c r="G71" s="322" t="inlineStr">
        <is>
          <t>15%</t>
        </is>
      </c>
      <c r="H71" s="322" t="inlineStr">
        <is>
          <t>2029–2030</t>
        </is>
      </c>
      <c r="I71" s="187" t="n"/>
      <c r="J71" s="481" t="inlineStr">
        <is>
          <t>Partial exit (частичный выход), roll-over (перевод) 40–50%</t>
        </is>
      </c>
      <c r="K71" s="186" t="n"/>
      <c r="L71" s="186" t="n"/>
      <c r="M71" s="186" t="n"/>
      <c r="N71" s="187" t="n"/>
    </row>
    <row r="72" ht="22" customHeight="1">
      <c r="B72" s="400" t="inlineStr">
        <is>
          <t>E5</t>
        </is>
      </c>
      <c r="C72" s="481" t="inlineStr">
        <is>
          <t>ESOP buyout (Выкуп по программе ESOP) (management)</t>
        </is>
      </c>
      <c r="D72" s="186" t="n"/>
      <c r="E72" s="186" t="n"/>
      <c r="F72" s="187" t="n"/>
      <c r="G72" s="322" t="inlineStr">
        <is>
          <t>10%</t>
        </is>
      </c>
      <c r="H72" s="322" t="inlineStr">
        <is>
          <t>2030</t>
        </is>
      </c>
      <c r="I72" s="187" t="n"/>
      <c r="J72" s="481" t="inlineStr">
        <is>
          <t>Discounted valuation, ESG premium (премия)</t>
        </is>
      </c>
      <c r="K72" s="186" t="n"/>
      <c r="L72" s="186" t="n"/>
      <c r="M72" s="186" t="n"/>
      <c r="N72" s="187" t="n"/>
    </row>
    <row r="73" ht="22" customHeight="1">
      <c r="B73" s="400" t="inlineStr">
        <is>
          <t>E6</t>
        </is>
      </c>
      <c r="C73" s="481" t="inlineStr">
        <is>
          <t>Обратный выкуп (sponsor put option (пут-опцион спонсора))</t>
        </is>
      </c>
      <c r="D73" s="186" t="n"/>
      <c r="E73" s="186" t="n"/>
      <c r="F73" s="187" t="n"/>
      <c r="G73" s="322" t="inlineStr">
        <is>
          <t>5%</t>
        </is>
      </c>
      <c r="H73" s="322" t="inlineStr">
        <is>
          <t>2029</t>
        </is>
      </c>
      <c r="I73" s="187" t="n"/>
      <c r="J73" s="481" t="inlineStr">
        <is>
          <t>Downside (Нижний сценарий) protection, IRR (внутренняя норма доходности) floor 12%</t>
        </is>
      </c>
      <c r="K73" s="186" t="n"/>
      <c r="L73" s="186" t="n"/>
      <c r="M73" s="186" t="n"/>
      <c r="N73" s="187" t="n"/>
    </row>
    <row r="74" ht="22" customHeight="1">
      <c r="B74" s="400" t="inlineStr">
        <is>
          <t>E7</t>
        </is>
      </c>
      <c r="C74" s="481" t="inlineStr">
        <is>
          <t>Открытый вторичный рынок</t>
        </is>
      </c>
      <c r="D74" s="186" t="n"/>
      <c r="E74" s="186" t="n"/>
      <c r="F74" s="187" t="n"/>
      <c r="G74" s="322" t="inlineStr">
        <is>
          <t>5%</t>
        </is>
      </c>
      <c r="H74" s="322" t="inlineStr">
        <is>
          <t>2030+</t>
        </is>
      </c>
      <c r="I74" s="187" t="n"/>
      <c r="J74" s="481" t="inlineStr">
        <is>
          <t>Preservation of control (Сохранение контроля), drag-along terms (условия принудительной продажи)</t>
        </is>
      </c>
      <c r="K74" s="186" t="n"/>
      <c r="L74" s="186" t="n"/>
      <c r="M74" s="186" t="n"/>
      <c r="N74" s="187" t="n"/>
    </row>
    <row r="76" ht="18" customHeight="1">
      <c r="B76" s="480" t="inlineStr">
        <is>
          <t>→ Подробнее см. 25_Exit_Scenarios и 35_Roadmap_2026_2032.</t>
        </is>
      </c>
    </row>
    <row r="79" ht="22" customHeight="1">
      <c r="B79" s="466" t="inlineStr">
        <is>
          <t>VI.  РЕКОМЕНДАЦИЯ</t>
        </is>
      </c>
    </row>
    <row r="81" ht="170" customHeight="1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GLOSSARY (ГЛОССАРИЙ) / СЛОВАРЬ ТЕРМИНОВ</t>
        </is>
      </c>
    </row>
    <row r="3" ht="18" customHeight="1">
      <c r="B3" s="457" t="inlineStr">
        <is>
          <t>Финансовые • Кино-индустрия • Регуляторные РФ — 50+ терминов</t>
        </is>
      </c>
    </row>
    <row r="5" ht="22" customHeight="1">
      <c r="B5" s="483" t="inlineStr">
        <is>
          <t>#</t>
        </is>
      </c>
      <c r="C5" s="483" t="inlineStr">
        <is>
          <t>Термин / Term</t>
        </is>
      </c>
      <c r="D5" s="483" t="inlineStr">
        <is>
          <t>Определение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483" t="inlineStr">
        <is>
          <t>Категория</t>
        </is>
      </c>
      <c r="N5" s="187" t="n"/>
    </row>
    <row r="6" ht="72" customHeight="1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186" t="n"/>
      <c r="F6" s="186" t="n"/>
      <c r="G6" s="186" t="n"/>
      <c r="H6" s="186" t="n"/>
      <c r="I6" s="186" t="n"/>
      <c r="J6" s="186" t="n"/>
      <c r="K6" s="186" t="n"/>
      <c r="L6" s="187" t="n"/>
      <c r="M6" s="486" t="inlineStr">
        <is>
          <t>FIN</t>
        </is>
      </c>
      <c r="N6" s="187" t="n"/>
    </row>
    <row r="7" ht="72" customHeight="1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486" t="inlineStr">
        <is>
          <t>FIN</t>
        </is>
      </c>
      <c r="N7" s="187" t="n"/>
    </row>
    <row r="8" ht="72" customHeight="1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486" t="inlineStr">
        <is>
          <t>FIN</t>
        </is>
      </c>
      <c r="N8" s="187" t="n"/>
    </row>
    <row r="9" ht="72" customHeight="1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486" t="inlineStr">
        <is>
          <t>FIN</t>
        </is>
      </c>
      <c r="N9" s="187" t="n"/>
    </row>
    <row r="10" ht="72" customHeight="1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486" t="inlineStr">
        <is>
          <t>FIN</t>
        </is>
      </c>
      <c r="N10" s="187" t="n"/>
    </row>
    <row r="11" ht="62" customHeight="1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486" t="inlineStr">
        <is>
          <t>FIN</t>
        </is>
      </c>
      <c r="N11" s="187" t="n"/>
    </row>
    <row r="12" ht="72" customHeight="1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7" t="n"/>
      <c r="M12" s="486" t="inlineStr">
        <is>
          <t>FIN</t>
        </is>
      </c>
      <c r="N12" s="187" t="n"/>
    </row>
    <row r="13" ht="45" customHeight="1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7" t="n"/>
      <c r="M13" s="486" t="inlineStr">
        <is>
          <t>FIN</t>
        </is>
      </c>
      <c r="N13" s="187" t="n"/>
    </row>
    <row r="14" ht="52" customHeight="1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486" t="inlineStr">
        <is>
          <t>FIN</t>
        </is>
      </c>
      <c r="N14" s="187" t="n"/>
    </row>
    <row r="15" ht="55" customHeight="1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486" t="inlineStr">
        <is>
          <t>FIN</t>
        </is>
      </c>
      <c r="N15" s="187" t="n"/>
    </row>
    <row r="16" ht="72" customHeight="1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486" t="inlineStr">
        <is>
          <t>FIN</t>
        </is>
      </c>
      <c r="N16" s="187" t="n"/>
    </row>
    <row r="17" ht="68" customHeight="1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486" t="inlineStr">
        <is>
          <t>FIN</t>
        </is>
      </c>
      <c r="N17" s="187" t="n"/>
    </row>
    <row r="18" ht="68" customHeight="1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486" t="inlineStr">
        <is>
          <t>FIN</t>
        </is>
      </c>
      <c r="N18" s="187" t="n"/>
    </row>
    <row r="19" ht="70" customHeight="1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486" t="inlineStr">
        <is>
          <t>FIN</t>
        </is>
      </c>
      <c r="N19" s="187" t="n"/>
    </row>
    <row r="20" ht="72" customHeight="1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7" t="n"/>
      <c r="M20" s="486" t="inlineStr">
        <is>
          <t>FIN</t>
        </is>
      </c>
      <c r="N20" s="187" t="n"/>
    </row>
    <row r="21" ht="57" customHeight="1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7" t="n"/>
      <c r="M21" s="486" t="inlineStr">
        <is>
          <t>FIN</t>
        </is>
      </c>
      <c r="N21" s="187" t="n"/>
    </row>
    <row r="22" ht="68" customHeight="1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486" t="inlineStr">
        <is>
          <t>FIN</t>
        </is>
      </c>
      <c r="N22" s="187" t="n"/>
    </row>
    <row r="23" ht="53" customHeight="1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486" t="inlineStr">
        <is>
          <t>FIN</t>
        </is>
      </c>
      <c r="N23" s="187" t="n"/>
    </row>
    <row r="24" ht="66" customHeight="1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486" t="inlineStr">
        <is>
          <t>FIN</t>
        </is>
      </c>
      <c r="N24" s="187" t="n"/>
    </row>
    <row r="25" ht="57" customHeight="1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486" t="inlineStr">
        <is>
          <t>FIN</t>
        </is>
      </c>
      <c r="N25" s="187" t="n"/>
    </row>
    <row r="26" ht="72" customHeight="1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487" t="inlineStr">
        <is>
          <t>RISK (РИСК)</t>
        </is>
      </c>
      <c r="N26" s="187" t="n"/>
    </row>
    <row r="27" ht="72" customHeight="1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487" t="inlineStr">
        <is>
          <t>RISK (РИСК)</t>
        </is>
      </c>
      <c r="N27" s="187" t="n"/>
    </row>
    <row r="28" ht="58" customHeight="1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7" t="n"/>
      <c r="M28" s="487" t="inlineStr">
        <is>
          <t>RISK (РИСК)</t>
        </is>
      </c>
      <c r="N28" s="187" t="n"/>
    </row>
    <row r="29" ht="54" customHeight="1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7" t="n"/>
      <c r="M29" s="487" t="inlineStr">
        <is>
          <t>RISK (РИСК)</t>
        </is>
      </c>
      <c r="N29" s="187" t="n"/>
    </row>
    <row r="30" ht="63" customHeight="1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487" t="inlineStr">
        <is>
          <t>RISK (РИСК)</t>
        </is>
      </c>
      <c r="N30" s="187" t="n"/>
    </row>
    <row r="31" ht="58" customHeight="1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487" t="inlineStr">
        <is>
          <t>RISK (РИСК)</t>
        </is>
      </c>
      <c r="N31" s="187" t="n"/>
    </row>
    <row r="32" ht="59" customHeight="1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487" t="inlineStr">
        <is>
          <t>RISK (РИСК)</t>
        </is>
      </c>
      <c r="N32" s="187" t="n"/>
    </row>
    <row r="33" ht="54" customHeight="1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487" t="inlineStr">
        <is>
          <t>RISK (РИСК)</t>
        </is>
      </c>
      <c r="N33" s="187" t="n"/>
    </row>
    <row r="34" ht="56" customHeight="1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488" t="inlineStr">
        <is>
          <t>DEAL (СДЕЛКА)</t>
        </is>
      </c>
      <c r="N34" s="187" t="n"/>
    </row>
    <row r="35" ht="54" customHeight="1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488" t="inlineStr">
        <is>
          <t>DEAL (СДЕЛКА)</t>
        </is>
      </c>
      <c r="N35" s="187" t="n"/>
    </row>
    <row r="36" ht="48" customHeight="1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7" t="n"/>
      <c r="M36" s="488" t="inlineStr">
        <is>
          <t>DEAL (СДЕЛКА)</t>
        </is>
      </c>
      <c r="N36" s="187" t="n"/>
    </row>
    <row r="37" ht="55" customHeight="1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7" t="n"/>
      <c r="M37" s="488" t="inlineStr">
        <is>
          <t>DEAL (СДЕЛКА)</t>
        </is>
      </c>
      <c r="N37" s="187" t="n"/>
    </row>
    <row r="38" ht="55" customHeight="1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488" t="inlineStr">
        <is>
          <t>DEAL (СДЕЛКА)</t>
        </is>
      </c>
      <c r="N38" s="187" t="n"/>
    </row>
    <row r="39" ht="56" customHeight="1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488" t="inlineStr">
        <is>
          <t>DEAL (СДЕЛКА)</t>
        </is>
      </c>
      <c r="N39" s="187" t="n"/>
    </row>
    <row r="40" ht="55" customHeight="1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488" t="inlineStr">
        <is>
          <t>DEAL (СДЕЛКА)</t>
        </is>
      </c>
      <c r="N40" s="187" t="n"/>
    </row>
    <row r="41" ht="49" customHeight="1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488" t="inlineStr">
        <is>
          <t>DEAL (СДЕЛКА)</t>
        </is>
      </c>
      <c r="N41" s="187" t="n"/>
    </row>
    <row r="42" ht="58" customHeight="1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488" t="inlineStr">
        <is>
          <t>DEAL (СДЕЛКА)</t>
        </is>
      </c>
      <c r="N42" s="187" t="n"/>
    </row>
    <row r="43" ht="48" customHeight="1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186" t="n"/>
      <c r="F43" s="186" t="n"/>
      <c r="G43" s="186" t="n"/>
      <c r="H43" s="186" t="n"/>
      <c r="I43" s="186" t="n"/>
      <c r="J43" s="186" t="n"/>
      <c r="K43" s="186" t="n"/>
      <c r="L43" s="187" t="n"/>
      <c r="M43" s="488" t="inlineStr">
        <is>
          <t>DEAL (СДЕЛКА)</t>
        </is>
      </c>
      <c r="N43" s="187" t="n"/>
    </row>
    <row r="44" ht="43" customHeight="1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186" t="n"/>
      <c r="F44" s="186" t="n"/>
      <c r="G44" s="186" t="n"/>
      <c r="H44" s="186" t="n"/>
      <c r="I44" s="186" t="n"/>
      <c r="J44" s="186" t="n"/>
      <c r="K44" s="186" t="n"/>
      <c r="L44" s="187" t="n"/>
      <c r="M44" s="488" t="inlineStr">
        <is>
          <t>DEAL (СДЕЛКА)</t>
        </is>
      </c>
      <c r="N44" s="187" t="n"/>
    </row>
    <row r="45" ht="60" customHeight="1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488" t="inlineStr">
        <is>
          <t>DEAL (СДЕЛКА)</t>
        </is>
      </c>
      <c r="N45" s="187" t="n"/>
    </row>
    <row r="46" ht="40" customHeight="1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490" t="inlineStr">
        <is>
          <t>КИНО</t>
        </is>
      </c>
      <c r="N46" s="187" t="n"/>
    </row>
    <row r="47" ht="55" customHeight="1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90" t="inlineStr">
        <is>
          <t>КИНО</t>
        </is>
      </c>
      <c r="N47" s="187" t="n"/>
    </row>
    <row r="48" ht="51" customHeight="1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490" t="inlineStr">
        <is>
          <t>КИНО</t>
        </is>
      </c>
      <c r="N48" s="187" t="n"/>
    </row>
    <row r="49" ht="53" customHeight="1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490" t="inlineStr">
        <is>
          <t>КИНО</t>
        </is>
      </c>
      <c r="N49" s="187" t="n"/>
    </row>
    <row r="50" ht="63" customHeight="1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186" t="n"/>
      <c r="F50" s="186" t="n"/>
      <c r="G50" s="186" t="n"/>
      <c r="H50" s="186" t="n"/>
      <c r="I50" s="186" t="n"/>
      <c r="J50" s="186" t="n"/>
      <c r="K50" s="186" t="n"/>
      <c r="L50" s="187" t="n"/>
      <c r="M50" s="490" t="inlineStr">
        <is>
          <t>КИНО</t>
        </is>
      </c>
      <c r="N50" s="187" t="n"/>
    </row>
    <row r="51" ht="57" customHeight="1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186" t="n"/>
      <c r="F51" s="186" t="n"/>
      <c r="G51" s="186" t="n"/>
      <c r="H51" s="186" t="n"/>
      <c r="I51" s="186" t="n"/>
      <c r="J51" s="186" t="n"/>
      <c r="K51" s="186" t="n"/>
      <c r="L51" s="187" t="n"/>
      <c r="M51" s="490" t="inlineStr">
        <is>
          <t>КИНО</t>
        </is>
      </c>
      <c r="N51" s="187" t="n"/>
    </row>
    <row r="52" ht="51" customHeight="1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490" t="inlineStr">
        <is>
          <t>КИНО</t>
        </is>
      </c>
      <c r="N52" s="187" t="n"/>
    </row>
    <row r="53" ht="43" customHeight="1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490" t="inlineStr">
        <is>
          <t>КИНО</t>
        </is>
      </c>
      <c r="N53" s="187" t="n"/>
    </row>
    <row r="54" ht="55" customHeight="1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490" t="inlineStr">
        <is>
          <t>КИНО</t>
        </is>
      </c>
      <c r="N54" s="187" t="n"/>
    </row>
    <row r="55" ht="56" customHeight="1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490" t="inlineStr">
        <is>
          <t>КИНО</t>
        </is>
      </c>
      <c r="N55" s="187" t="n"/>
    </row>
    <row r="56" ht="54" customHeight="1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490" t="inlineStr">
        <is>
          <t>КИНО</t>
        </is>
      </c>
      <c r="N56" s="187" t="n"/>
    </row>
    <row r="57" ht="61" customHeight="1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490" t="inlineStr">
        <is>
          <t>КИНО</t>
        </is>
      </c>
      <c r="N57" s="187" t="n"/>
    </row>
    <row r="58" ht="59" customHeight="1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186" t="n"/>
      <c r="F58" s="186" t="n"/>
      <c r="G58" s="186" t="n"/>
      <c r="H58" s="186" t="n"/>
      <c r="I58" s="186" t="n"/>
      <c r="J58" s="186" t="n"/>
      <c r="K58" s="186" t="n"/>
      <c r="L58" s="187" t="n"/>
      <c r="M58" s="491" t="inlineStr">
        <is>
          <t>REG</t>
        </is>
      </c>
      <c r="N58" s="187" t="n"/>
    </row>
    <row r="59" ht="43" customHeight="1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186" t="n"/>
      <c r="F59" s="186" t="n"/>
      <c r="G59" s="186" t="n"/>
      <c r="H59" s="186" t="n"/>
      <c r="I59" s="186" t="n"/>
      <c r="J59" s="186" t="n"/>
      <c r="K59" s="186" t="n"/>
      <c r="L59" s="187" t="n"/>
      <c r="M59" s="491" t="inlineStr">
        <is>
          <t>REG</t>
        </is>
      </c>
      <c r="N59" s="187" t="n"/>
    </row>
    <row r="60" ht="54" customHeight="1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491" t="inlineStr">
        <is>
          <t>REG</t>
        </is>
      </c>
      <c r="N60" s="187" t="n"/>
    </row>
    <row r="61" ht="64" customHeight="1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491" t="inlineStr">
        <is>
          <t>REG</t>
        </is>
      </c>
      <c r="N61" s="187" t="n"/>
    </row>
    <row r="62" ht="62" customHeight="1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491" t="inlineStr">
        <is>
          <t>REG</t>
        </is>
      </c>
      <c r="N62" s="187" t="n"/>
    </row>
    <row r="63" ht="58" customHeight="1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491" t="inlineStr">
        <is>
          <t>REG</t>
        </is>
      </c>
      <c r="N63" s="187" t="n"/>
    </row>
    <row r="64" ht="59" customHeight="1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491" t="inlineStr">
        <is>
          <t>REG</t>
        </is>
      </c>
      <c r="N64" s="187" t="n"/>
    </row>
    <row r="65" ht="60" customHeight="1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491" t="inlineStr">
        <is>
          <t>REG</t>
        </is>
      </c>
      <c r="N65" s="187" t="n"/>
    </row>
    <row r="66" ht="54" customHeight="1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186" t="n"/>
      <c r="F66" s="186" t="n"/>
      <c r="G66" s="186" t="n"/>
      <c r="H66" s="186" t="n"/>
      <c r="I66" s="186" t="n"/>
      <c r="J66" s="186" t="n"/>
      <c r="K66" s="186" t="n"/>
      <c r="L66" s="187" t="n"/>
      <c r="M66" s="491" t="inlineStr">
        <is>
          <t>REG</t>
        </is>
      </c>
      <c r="N66" s="187" t="n"/>
    </row>
    <row r="67" ht="65" customHeight="1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186" t="n"/>
      <c r="F67" s="186" t="n"/>
      <c r="G67" s="186" t="n"/>
      <c r="H67" s="186" t="n"/>
      <c r="I67" s="186" t="n"/>
      <c r="J67" s="186" t="n"/>
      <c r="K67" s="186" t="n"/>
      <c r="L67" s="187" t="n"/>
      <c r="M67" s="491" t="inlineStr">
        <is>
          <t>REG</t>
        </is>
      </c>
      <c r="N67" s="187" t="n"/>
    </row>
    <row r="69" ht="18" customHeight="1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ПРИМЕЧАНИЯ И ИСТОЧНИКИ</t>
        </is>
      </c>
    </row>
    <row r="3" ht="18" customHeight="1">
      <c r="B3" s="457" t="inlineStr">
        <is>
          <t>Методологические заметки • Полный список источников • Disclaimers • Версионность</t>
        </is>
      </c>
    </row>
    <row r="5" ht="22" customHeight="1">
      <c r="B5" s="458" t="inlineStr">
        <is>
          <t>I. МЕТОДОЛОГИЧЕСКИЕ ЗАМЕТКИ ПО ЛИСТАМ</t>
        </is>
      </c>
    </row>
    <row r="7" ht="60" customHeight="1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60" customHeight="1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60" customHeight="1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60" customHeight="1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1" ht="60" customHeight="1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7" t="n"/>
    </row>
    <row r="12" ht="60" customHeight="1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7" t="n"/>
    </row>
    <row r="13" ht="51" customHeight="1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7" t="n"/>
    </row>
    <row r="14" ht="48" customHeight="1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60" customHeight="1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58" customHeight="1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60" customHeight="1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8" ht="52" customHeight="1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7" t="n"/>
    </row>
    <row r="19" ht="48" customHeight="1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7" t="n"/>
    </row>
    <row r="20" ht="53" customHeight="1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7" t="n"/>
    </row>
    <row r="21" ht="55" customHeight="1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60" customHeight="1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60" customHeight="1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4" ht="60" customHeight="1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7" t="n"/>
    </row>
    <row r="25" ht="60" customHeight="1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7" t="n"/>
    </row>
    <row r="26" ht="59" customHeight="1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7" t="n"/>
    </row>
    <row r="27" ht="60" customHeight="1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60" customHeight="1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31" ht="22" customHeight="1">
      <c r="B31" s="458" t="inlineStr">
        <is>
          <t>II. ПОЛНЫЙ СПИСОК ИСТОЧНИКОВ</t>
        </is>
      </c>
    </row>
    <row r="33" ht="22" customHeight="1">
      <c r="B33" s="321" t="inlineStr">
        <is>
          <t>Категория</t>
        </is>
      </c>
      <c r="C33" s="321" t="inlineStr">
        <is>
          <t>Источник</t>
        </is>
      </c>
      <c r="D33" s="187" t="n"/>
      <c r="E33" s="321" t="inlineStr">
        <is>
          <t>Назначение</t>
        </is>
      </c>
      <c r="F33" s="186" t="n"/>
      <c r="G33" s="186" t="n"/>
      <c r="H33" s="186" t="n"/>
      <c r="I33" s="186" t="n"/>
      <c r="J33" s="186" t="n"/>
      <c r="K33" s="186" t="n"/>
      <c r="L33" s="187" t="n"/>
      <c r="M33" s="321" t="inlineStr">
        <is>
          <t>URL / издатель</t>
        </is>
      </c>
      <c r="N33" s="187" t="n"/>
    </row>
    <row r="34" ht="26" customHeight="1">
      <c r="B34" s="486" t="inlineStr">
        <is>
          <t>GOV-RU</t>
        </is>
      </c>
      <c r="C34" s="493" t="inlineStr">
        <is>
          <t>Указ Президента РФ № 309 от 07.05.2024</t>
        </is>
      </c>
      <c r="D34" s="187" t="n"/>
      <c r="E34" s="471" t="inlineStr">
        <is>
          <t>О национальных целях развития РФ до 2030 и 2036 гг.</t>
        </is>
      </c>
      <c r="F34" s="186" t="n"/>
      <c r="G34" s="186" t="n"/>
      <c r="H34" s="186" t="n"/>
      <c r="I34" s="186" t="n"/>
      <c r="J34" s="186" t="n"/>
      <c r="K34" s="186" t="n"/>
      <c r="L34" s="187" t="n"/>
      <c r="M34" s="494" t="inlineStr">
        <is>
          <t>kremlin.ru</t>
        </is>
      </c>
      <c r="N34" s="187" t="n"/>
    </row>
    <row r="35" ht="26" customHeight="1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187" t="n"/>
      <c r="E35" s="471" t="inlineStr">
        <is>
          <t>Правила предоставления субсидий кинопродюсерам</t>
        </is>
      </c>
      <c r="F35" s="186" t="n"/>
      <c r="G35" s="186" t="n"/>
      <c r="H35" s="186" t="n"/>
      <c r="I35" s="186" t="n"/>
      <c r="J35" s="186" t="n"/>
      <c r="K35" s="186" t="n"/>
      <c r="L35" s="187" t="n"/>
      <c r="M35" s="494" t="inlineStr">
        <is>
          <t>government.ru</t>
        </is>
      </c>
      <c r="N35" s="187" t="n"/>
    </row>
    <row r="36" ht="26" customHeight="1">
      <c r="B36" s="486" t="inlineStr">
        <is>
          <t>GOV-RU</t>
        </is>
      </c>
      <c r="C36" s="493" t="inlineStr">
        <is>
          <t>Налоговый кодекс РФ, ст. 149</t>
        </is>
      </c>
      <c r="D36" s="187" t="n"/>
      <c r="E36" s="471" t="inlineStr">
        <is>
          <t>Операции, освобождённые от НДС (включая кинопродукцию)</t>
        </is>
      </c>
      <c r="F36" s="186" t="n"/>
      <c r="G36" s="186" t="n"/>
      <c r="H36" s="186" t="n"/>
      <c r="I36" s="186" t="n"/>
      <c r="J36" s="186" t="n"/>
      <c r="K36" s="186" t="n"/>
      <c r="L36" s="187" t="n"/>
      <c r="M36" s="494" t="inlineStr">
        <is>
          <t>nalog.gov.ru</t>
        </is>
      </c>
      <c r="N36" s="187" t="n"/>
    </row>
    <row r="37" ht="26" customHeight="1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187" t="n"/>
      <c r="E37" s="471" t="inlineStr">
        <is>
          <t>Финансирование семейного / детского кино</t>
        </is>
      </c>
      <c r="F37" s="186" t="n"/>
      <c r="G37" s="186" t="n"/>
      <c r="H37" s="186" t="n"/>
      <c r="I37" s="186" t="n"/>
      <c r="J37" s="186" t="n"/>
      <c r="K37" s="186" t="n"/>
      <c r="L37" s="187" t="n"/>
      <c r="M37" s="494" t="inlineStr">
        <is>
          <t>government.ru</t>
        </is>
      </c>
      <c r="N37" s="187" t="n"/>
    </row>
    <row r="38" ht="26" customHeight="1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187" t="n"/>
      <c r="E38" s="471" t="inlineStr">
        <is>
          <t>Грантовая поддержка молодёжного контента</t>
        </is>
      </c>
      <c r="F38" s="186" t="n"/>
      <c r="G38" s="186" t="n"/>
      <c r="H38" s="186" t="n"/>
      <c r="I38" s="186" t="n"/>
      <c r="J38" s="186" t="n"/>
      <c r="K38" s="186" t="n"/>
      <c r="L38" s="187" t="n"/>
      <c r="M38" s="494" t="inlineStr">
        <is>
          <t>government.ru</t>
        </is>
      </c>
      <c r="N38" s="187" t="n"/>
    </row>
    <row r="39" ht="26" customHeight="1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187" t="n"/>
      <c r="E39" s="471" t="inlineStr">
        <is>
          <t>Субсидии и инфраструктура кинематографа</t>
        </is>
      </c>
      <c r="F39" s="186" t="n"/>
      <c r="G39" s="186" t="n"/>
      <c r="H39" s="186" t="n"/>
      <c r="I39" s="186" t="n"/>
      <c r="J39" s="186" t="n"/>
      <c r="K39" s="186" t="n"/>
      <c r="L39" s="187" t="n"/>
      <c r="M39" s="494" t="inlineStr">
        <is>
          <t>government.ru</t>
        </is>
      </c>
      <c r="N39" s="187" t="n"/>
    </row>
    <row r="40" ht="26" customHeight="1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187" t="n"/>
      <c r="E40" s="471" t="inlineStr">
        <is>
          <t>Безвозвратные субсидии кинопродюсерам</t>
        </is>
      </c>
      <c r="F40" s="186" t="n"/>
      <c r="G40" s="186" t="n"/>
      <c r="H40" s="186" t="n"/>
      <c r="I40" s="186" t="n"/>
      <c r="J40" s="186" t="n"/>
      <c r="K40" s="186" t="n"/>
      <c r="L40" s="187" t="n"/>
      <c r="M40" s="494" t="inlineStr">
        <is>
          <t>fond-kino.ru</t>
        </is>
      </c>
      <c r="N40" s="187" t="n"/>
    </row>
    <row r="41" ht="26" customHeight="1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187" t="n"/>
      <c r="E41" s="471" t="inlineStr">
        <is>
          <t>Верификация релизных планов и премьер</t>
        </is>
      </c>
      <c r="F41" s="186" t="n"/>
      <c r="G41" s="186" t="n"/>
      <c r="H41" s="186" t="n"/>
      <c r="I41" s="186" t="n"/>
      <c r="J41" s="186" t="n"/>
      <c r="K41" s="186" t="n"/>
      <c r="L41" s="187" t="n"/>
      <c r="M41" s="494" t="inlineStr">
        <is>
          <t>culture.gov.ru</t>
        </is>
      </c>
      <c r="N41" s="187" t="n"/>
    </row>
    <row r="42" ht="26" customHeight="1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187" t="n"/>
      <c r="E42" s="471" t="inlineStr">
        <is>
          <t>Box Office (Кассовые сборы) РФ 2020–2025</t>
        </is>
      </c>
      <c r="F42" s="186" t="n"/>
      <c r="G42" s="186" t="n"/>
      <c r="H42" s="186" t="n"/>
      <c r="I42" s="186" t="n"/>
      <c r="J42" s="186" t="n"/>
      <c r="K42" s="186" t="n"/>
      <c r="L42" s="187" t="n"/>
      <c r="M42" s="494" t="inlineStr">
        <is>
          <t>rosstat.gov.ru</t>
        </is>
      </c>
      <c r="N42" s="187" t="n"/>
    </row>
    <row r="43" ht="26" customHeight="1">
      <c r="B43" s="486" t="inlineStr">
        <is>
          <t>RU-NEWS</t>
        </is>
      </c>
      <c r="C43" s="493" t="inlineStr">
        <is>
          <t>ТАСС — раздел «Кино»</t>
        </is>
      </c>
      <c r="D43" s="187" t="n"/>
      <c r="E43" s="471" t="inlineStr">
        <is>
          <t>Оперативные новости индустрии, сделки, господдержка</t>
        </is>
      </c>
      <c r="F43" s="186" t="n"/>
      <c r="G43" s="186" t="n"/>
      <c r="H43" s="186" t="n"/>
      <c r="I43" s="186" t="n"/>
      <c r="J43" s="186" t="n"/>
      <c r="K43" s="186" t="n"/>
      <c r="L43" s="187" t="n"/>
      <c r="M43" s="494" t="inlineStr">
        <is>
          <t>tass.ru</t>
        </is>
      </c>
      <c r="N43" s="187" t="n"/>
    </row>
    <row r="44" ht="26" customHeight="1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187" t="n"/>
      <c r="E44" s="471" t="inlineStr">
        <is>
          <t>Регуляторные новости, нац. проекты</t>
        </is>
      </c>
      <c r="F44" s="186" t="n"/>
      <c r="G44" s="186" t="n"/>
      <c r="H44" s="186" t="n"/>
      <c r="I44" s="186" t="n"/>
      <c r="J44" s="186" t="n"/>
      <c r="K44" s="186" t="n"/>
      <c r="L44" s="187" t="n"/>
      <c r="M44" s="494" t="inlineStr">
        <is>
          <t>ria.ru</t>
        </is>
      </c>
      <c r="N44" s="187" t="n"/>
    </row>
    <row r="45" ht="26" customHeight="1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187" t="n"/>
      <c r="E45" s="471" t="inlineStr">
        <is>
          <t>Недельная касса, TOP-листы, статистика</t>
        </is>
      </c>
      <c r="F45" s="186" t="n"/>
      <c r="G45" s="186" t="n"/>
      <c r="H45" s="186" t="n"/>
      <c r="I45" s="186" t="n"/>
      <c r="J45" s="186" t="n"/>
      <c r="K45" s="186" t="n"/>
      <c r="L45" s="187" t="n"/>
      <c r="M45" s="494" t="inlineStr">
        <is>
          <t>bulletin.info.ru</t>
        </is>
      </c>
      <c r="N45" s="187" t="n"/>
    </row>
    <row r="46" ht="26" customHeight="1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187" t="n"/>
      <c r="E46" s="471" t="inlineStr">
        <is>
          <t>Global benchmarks (мировые бенчмарки), кастинг, продакшн-кредиты</t>
        </is>
      </c>
      <c r="F46" s="186" t="n"/>
      <c r="G46" s="186" t="n"/>
      <c r="H46" s="186" t="n"/>
      <c r="I46" s="186" t="n"/>
      <c r="J46" s="186" t="n"/>
      <c r="K46" s="186" t="n"/>
      <c r="L46" s="187" t="n"/>
      <c r="M46" s="494" t="inlineStr">
        <is>
          <t>boxofficemojo.com</t>
        </is>
      </c>
      <c r="N46" s="187" t="n"/>
    </row>
    <row r="47" ht="26" customHeight="1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187" t="n"/>
      <c r="E47" s="471" t="inlineStr">
        <is>
          <t>Industry analytics (Отраслевая аналитика), deal tracking (отслеживание сделок)</t>
        </is>
      </c>
      <c r="F47" s="186" t="n"/>
      <c r="G47" s="186" t="n"/>
      <c r="H47" s="186" t="n"/>
      <c r="I47" s="186" t="n"/>
      <c r="J47" s="186" t="n"/>
      <c r="K47" s="186" t="n"/>
      <c r="L47" s="187" t="n"/>
      <c r="M47" s="494" t="inlineStr">
        <is>
          <t>variety.com</t>
        </is>
      </c>
      <c r="N47" s="187" t="n"/>
    </row>
    <row r="48" ht="26" customHeight="1">
      <c r="B48" s="490" t="inlineStr">
        <is>
          <t>ГЛОБАЛЬНЫЙ</t>
        </is>
      </c>
      <c r="C48" s="493" t="inlineStr">
        <is>
          <t>S&amp;P Capital (Капитал) IQ</t>
        </is>
      </c>
      <c r="D48" s="187" t="n"/>
      <c r="E48" s="471" t="inlineStr">
        <is>
          <t>EV (стоимость предприятия)/EBITDA (прибыль до вычетов) multiples, comparable transactions</t>
        </is>
      </c>
      <c r="F48" s="186" t="n"/>
      <c r="G48" s="186" t="n"/>
      <c r="H48" s="186" t="n"/>
      <c r="I48" s="186" t="n"/>
      <c r="J48" s="186" t="n"/>
      <c r="K48" s="186" t="n"/>
      <c r="L48" s="187" t="n"/>
      <c r="M48" s="494" t="inlineStr">
        <is>
          <t>spglobal.com</t>
        </is>
      </c>
      <c r="N48" s="187" t="n"/>
    </row>
    <row r="49" ht="26" customHeight="1">
      <c r="B49" s="490" t="inlineStr">
        <is>
          <t>ГЛОБАЛЬНЫЙ</t>
        </is>
      </c>
      <c r="C49" s="493" t="inlineStr">
        <is>
          <t>Mergermarket / PitchBook</t>
        </is>
      </c>
      <c r="D49" s="187" t="n"/>
      <c r="E49" s="471" t="inlineStr">
        <is>
          <t>M&amp;A (слияния и поглощения) precedent data, deal databases</t>
        </is>
      </c>
      <c r="F49" s="186" t="n"/>
      <c r="G49" s="186" t="n"/>
      <c r="H49" s="186" t="n"/>
      <c r="I49" s="186" t="n"/>
      <c r="J49" s="186" t="n"/>
      <c r="K49" s="186" t="n"/>
      <c r="L49" s="187" t="n"/>
      <c r="M49" s="494" t="inlineStr">
        <is>
          <t>pitchbook.com</t>
        </is>
      </c>
      <c r="N49" s="187" t="n"/>
    </row>
    <row r="50" ht="26" customHeight="1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187" t="n"/>
      <c r="E50" s="471" t="inlineStr">
        <is>
          <t>Учебник по экономике медиа-индустрии</t>
        </is>
      </c>
      <c r="F50" s="186" t="n"/>
      <c r="G50" s="186" t="n"/>
      <c r="H50" s="186" t="n"/>
      <c r="I50" s="186" t="n"/>
      <c r="J50" s="186" t="n"/>
      <c r="K50" s="186" t="n"/>
      <c r="L50" s="187" t="n"/>
      <c r="M50" s="494" t="inlineStr">
        <is>
          <t>Cambridge University Press</t>
        </is>
      </c>
      <c r="N50" s="187" t="n"/>
    </row>
    <row r="51" ht="26" customHeight="1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187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186" t="n"/>
      <c r="G51" s="186" t="n"/>
      <c r="H51" s="186" t="n"/>
      <c r="I51" s="186" t="n"/>
      <c r="J51" s="186" t="n"/>
      <c r="K51" s="186" t="n"/>
      <c r="L51" s="187" t="n"/>
      <c r="M51" s="494" t="inlineStr">
        <is>
          <t>pipeline/</t>
        </is>
      </c>
      <c r="N51" s="187" t="n"/>
    </row>
    <row r="53" ht="28" customHeight="1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>
      <c r="B56" s="466" t="inlineStr">
        <is>
          <t>III.  ОТКАЗ ОТ ОТВЕТСТВЕННОСТИ</t>
        </is>
      </c>
    </row>
    <row r="58" ht="280" customHeight="1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>
      <c r="B61" s="458" t="inlineStr">
        <is>
          <t>IV.  ИСТОРИЯ ВЕРСИЙ</t>
        </is>
      </c>
    </row>
    <row r="63" ht="22" customHeight="1">
      <c r="B63" s="321" t="inlineStr">
        <is>
          <t>Version (Версия)</t>
        </is>
      </c>
      <c r="C63" s="186" t="n"/>
      <c r="D63" s="187" t="n"/>
      <c r="E63" s="321" t="inlineStr">
        <is>
          <t>Date (Дата)</t>
        </is>
      </c>
      <c r="F63" s="186" t="n"/>
      <c r="G63" s="187" t="n"/>
      <c r="H63" s="321" t="inlineStr">
        <is>
          <t>Changes (Изменения)</t>
        </is>
      </c>
      <c r="I63" s="186" t="n"/>
      <c r="J63" s="186" t="n"/>
      <c r="K63" s="186" t="n"/>
      <c r="L63" s="186" t="n"/>
      <c r="M63" s="186" t="n"/>
      <c r="N63" s="187" t="n"/>
    </row>
    <row r="64" ht="32" customHeight="1">
      <c r="B64" s="496" t="inlineStr">
        <is>
          <t>v1.0.1 Public</t>
        </is>
      </c>
      <c r="C64" s="186" t="n"/>
      <c r="D64" s="187" t="n"/>
      <c r="E64" s="354" t="inlineStr">
        <is>
          <t>2026-04-13</t>
        </is>
      </c>
      <c r="F64" s="186" t="n"/>
      <c r="G64" s="187" t="n"/>
      <c r="H64" s="471" t="inlineStr">
        <is>
          <t>Initial release — 38 листов, dual metric Variant C, П5 «Максимум» verification, sheets А.1–А.19 complete</t>
        </is>
      </c>
      <c r="I64" s="186" t="n"/>
      <c r="J64" s="186" t="n"/>
      <c r="K64" s="186" t="n"/>
      <c r="L64" s="186" t="n"/>
      <c r="M64" s="186" t="n"/>
      <c r="N64" s="187" t="n"/>
    </row>
    <row r="65" ht="32" customHeight="1">
      <c r="B65" s="496" t="inlineStr">
        <is>
          <t>v1.4.4 pipeline</t>
        </is>
      </c>
      <c r="C65" s="186" t="n"/>
      <c r="D65" s="187" t="n"/>
      <c r="E65" s="354" t="inlineStr">
        <is>
          <t>2026-04-13</t>
        </is>
      </c>
      <c r="F65" s="186" t="n"/>
      <c r="G65" s="187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186" t="n"/>
      <c r="J65" s="186" t="n"/>
      <c r="K65" s="186" t="n"/>
      <c r="L65" s="186" t="n"/>
      <c r="M65" s="186" t="n"/>
      <c r="N65" s="187" t="n"/>
    </row>
    <row r="68" ht="18" customHeight="1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6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TABLE OF CONTENTS (СОДЕРЖАНИЕ) / СОДЕРЖАНИЕ</t>
        </is>
      </c>
    </row>
    <row r="3" ht="18" customHeight="1">
      <c r="B3" s="457" t="inlineStr">
        <is>
          <t>Investor Package (Инвестиционный пакет) v1.0.1 Public — 42 листа — hyperlinks</t>
        </is>
      </c>
    </row>
    <row r="5" ht="22" customHeight="1">
      <c r="B5" s="458" t="inlineStr">
        <is>
          <t>A. TITLE &amp; META (ТИТУЛ И МЕТА)</t>
        </is>
      </c>
    </row>
    <row r="7" ht="18" customHeight="1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20" customHeight="1">
      <c r="B8" s="491" t="n">
        <v>1</v>
      </c>
      <c r="C8" s="500" t="inlineStr">
        <is>
          <t>01_Cover</t>
        </is>
      </c>
      <c r="D8" s="481" t="inlineStr">
        <is>
          <t>Титульный лист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20" customHeight="1">
      <c r="B9" s="491" t="n">
        <v>2</v>
      </c>
      <c r="C9" s="500" t="inlineStr">
        <is>
          <t>02_Assumptions</t>
        </is>
      </c>
      <c r="D9" s="481" t="inlineStr">
        <is>
          <t>Все ключевые допущения (SSOT)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20" customHeight="1">
      <c r="B10" s="491" t="n">
        <v>3</v>
      </c>
      <c r="C10" s="500" t="inlineStr">
        <is>
          <t>03_Change_Log</t>
        </is>
      </c>
      <c r="D10" s="481" t="inlineStr">
        <is>
          <t>Журнал изменений модели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2" ht="22" customHeight="1">
      <c r="B12" s="501" t="inlineStr">
        <is>
          <t>B. COST STRUCTURE (СТРУКТУРА ЗАТРАТ)</t>
        </is>
      </c>
    </row>
    <row r="14" ht="18" customHeight="1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20" customHeight="1">
      <c r="B15" s="491" t="n">
        <v>4</v>
      </c>
      <c r="C15" s="500" t="inlineStr">
        <is>
          <t>04_FOT_Staff_A1</t>
        </is>
      </c>
      <c r="D15" s="481" t="inlineStr">
        <is>
          <t>ФОТ архитектура 1 (корпоративная)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20" customHeight="1">
      <c r="B16" s="491" t="n">
        <v>5</v>
      </c>
      <c r="C16" s="500" t="inlineStr">
        <is>
          <t>05_FOT_Staff_A2</t>
        </is>
      </c>
      <c r="D16" s="481" t="inlineStr">
        <is>
          <t>ФОТ архитектура 2 (JV (совместное предприятие) / проектная)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20" customHeight="1">
      <c r="B17" s="491" t="n">
        <v>6</v>
      </c>
      <c r="C17" s="500" t="inlineStr">
        <is>
          <t>06_Cost_Structure</t>
        </is>
      </c>
      <c r="D17" s="481" t="inlineStr">
        <is>
          <t>COGS (себестоимость) + OpEx детализация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9" ht="22" customHeight="1">
      <c r="B19" s="501" t="inlineStr">
        <is>
          <t>C. REVENUE (ВЫРУЧКА) &amp; PIPELINE (ВЫРУЧКА И ПОРТФЕЛЬ)</t>
        </is>
      </c>
    </row>
    <row r="21" ht="18" customHeight="1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20" customHeight="1">
      <c r="B22" s="491" t="n">
        <v>7</v>
      </c>
      <c r="C22" s="500" t="inlineStr">
        <is>
          <t>07_Revenue_Breakdown</t>
        </is>
      </c>
      <c r="D22" s="481" t="inlineStr">
        <is>
          <t>Декомпозиция выручки 4 545 млн ₽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20" customHeight="1">
      <c r="B23" s="491" t="n">
        <v>8</v>
      </c>
      <c r="C23" s="500" t="inlineStr">
        <is>
          <t>08_Content_Pipeline</t>
        </is>
      </c>
      <c r="D23" s="481" t="inlineStr">
        <is>
          <t>7 проектов × 264 млн ₽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5" ht="22" customHeight="1">
      <c r="B25" s="501" t="inlineStr">
        <is>
          <t>D. FINANCIALS (ФИНАНСЫ)</t>
        </is>
      </c>
    </row>
    <row r="27" ht="18" customHeight="1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20" customHeight="1">
      <c r="B28" s="491" t="n">
        <v>9</v>
      </c>
      <c r="C28" s="500" t="inlineStr">
        <is>
          <t>09_P&amp;L_Statement</t>
        </is>
      </c>
      <c r="D28" s="48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29" ht="20" customHeight="1">
      <c r="B29" s="491" t="n">
        <v>10</v>
      </c>
      <c r="C29" s="500" t="inlineStr">
        <is>
          <t>10_Cash_Flow</t>
        </is>
      </c>
      <c r="D29" s="481" t="inlineStr">
        <is>
          <t>Cash Flow Statement (Отчёт о движении денежных средств) (indirect)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7" t="n"/>
    </row>
    <row r="30" ht="20" customHeight="1">
      <c r="B30" s="491" t="n">
        <v>11</v>
      </c>
      <c r="C30" s="500" t="inlineStr">
        <is>
          <t>11_Balance_Sheet</t>
        </is>
      </c>
      <c r="D30" s="481" t="inlineStr">
        <is>
          <t>Баланс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7" t="n"/>
    </row>
    <row r="31" ht="20" customHeight="1">
      <c r="B31" s="491" t="n">
        <v>12</v>
      </c>
      <c r="C31" s="500" t="inlineStr">
        <is>
          <t>12_Working_Capital</t>
        </is>
      </c>
      <c r="D31" s="481" t="inlineStr">
        <is>
          <t>Изменения оборотного капитала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7" t="n"/>
    </row>
    <row r="32" ht="20" customHeight="1">
      <c r="B32" s="491" t="n">
        <v>13</v>
      </c>
      <c r="C32" s="500" t="inlineStr">
        <is>
          <t>13_Debt_Schedule</t>
        </is>
      </c>
      <c r="D32" s="481" t="inlineStr">
        <is>
          <t>График долга (н/п)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7" t="n"/>
    </row>
    <row r="34" ht="22" customHeight="1">
      <c r="B34" s="501" t="inlineStr">
        <is>
          <t>E. INVESTMENT (ИНВЕСТИЦИИ)</t>
        </is>
      </c>
    </row>
    <row r="36" ht="18" customHeight="1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7" t="n"/>
    </row>
    <row r="37" ht="20" customHeight="1">
      <c r="B37" s="491" t="n">
        <v>14</v>
      </c>
      <c r="C37" s="500" t="inlineStr">
        <is>
          <t>14_Investment_Inflow</t>
        </is>
      </c>
      <c r="D37" s="481" t="inlineStr">
        <is>
          <t>T₁ = 1 250 млн ₽ × 4 транша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7" t="n"/>
    </row>
    <row r="38" ht="20" customHeight="1">
      <c r="B38" s="491" t="n">
        <v>15</v>
      </c>
      <c r="C38" s="500" t="inlineStr">
        <is>
          <t>15_Use_of_Funds</t>
        </is>
      </c>
      <c r="D38" s="481" t="inlineStr">
        <is>
          <t>Распределение инвестиций по назначениям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7" t="n"/>
    </row>
    <row r="39" ht="20" customHeight="1">
      <c r="B39" s="491" t="n">
        <v>16</v>
      </c>
      <c r="C39" s="500" t="inlineStr">
        <is>
          <t>16_CAPEX_Schedule</t>
        </is>
      </c>
      <c r="D39" s="481" t="inlineStr">
        <is>
          <t>График CAPEX (Капзатраты)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7" t="n"/>
    </row>
    <row r="40" ht="20" customHeight="1">
      <c r="B40" s="491" t="n">
        <v>17</v>
      </c>
      <c r="C40" s="500" t="inlineStr">
        <is>
          <t>17_Deal_Structures</t>
        </is>
      </c>
      <c r="D40" s="481" t="inlineStr">
        <is>
          <t>JV (совместное предприятие) + Producer equity (капитал продюсера) 600 млн ₽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7" t="n"/>
    </row>
    <row r="41" ht="20" customHeight="1">
      <c r="B41" s="491" t="n">
        <v>18</v>
      </c>
      <c r="C41" s="500" t="inlineStr">
        <is>
          <t>18_Cap_Table</t>
        </is>
      </c>
      <c r="D41" s="481" t="inlineStr">
        <is>
          <t>Таблица капитализации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7" t="n"/>
    </row>
    <row r="42" ht="20" customHeight="1">
      <c r="B42" s="491" t="n">
        <v>19</v>
      </c>
      <c r="C42" s="500" t="inlineStr">
        <is>
          <t>19_Waterfall</t>
        </is>
      </c>
      <c r="D42" s="481" t="inlineStr">
        <is>
          <t>Каскад распределения (LP (ограниченный партнёр) 12% pref + 80/20)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7" t="n"/>
    </row>
    <row r="44" ht="22" customHeight="1">
      <c r="B44" s="501" t="inlineStr">
        <is>
          <t>F. UNIT ECON &amp; KPI (ключевые показатели)</t>
        </is>
      </c>
    </row>
    <row r="46" ht="18" customHeight="1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7" t="n"/>
    </row>
    <row r="47" ht="20" customHeight="1">
      <c r="B47" s="491" t="n">
        <v>20</v>
      </c>
      <c r="C47" s="500" t="inlineStr">
        <is>
          <t>20_Unit_Economics_per_Film</t>
        </is>
      </c>
      <c r="D47" s="481" t="inlineStr">
        <is>
          <t>Юнит-экономика на фильм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7" t="n"/>
    </row>
    <row r="48" ht="20" customHeight="1">
      <c r="B48" s="491" t="n">
        <v>21</v>
      </c>
      <c r="C48" s="500" t="inlineStr">
        <is>
          <t>21_KPI_Dashboard</t>
        </is>
      </c>
      <c r="D48" s="481" t="inlineStr">
        <is>
          <t>Дашборд ключевых метрик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7" t="n"/>
    </row>
    <row r="50" ht="22" customHeight="1">
      <c r="B50" s="501" t="inlineStr">
        <is>
          <t>G. VALUATION (ОЦЕНКА)</t>
        </is>
      </c>
    </row>
    <row r="52" ht="18" customHeight="1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7" t="n"/>
    </row>
    <row r="53" ht="20" customHeight="1">
      <c r="B53" s="491" t="n">
        <v>22</v>
      </c>
      <c r="C53" s="500" t="inlineStr">
        <is>
          <t>22_Valuation_DCF</t>
        </is>
      </c>
      <c r="D53" s="481" t="inlineStr">
        <is>
          <t>DCF (дисконтированный денежный поток) blend 40% Gordon + 60% Exit Mult = 1 815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7" t="n"/>
    </row>
    <row r="54" ht="20" customHeight="1">
      <c r="B54" s="491" t="n">
        <v>23</v>
      </c>
      <c r="C54" s="500" t="inlineStr">
        <is>
          <t>23_Valuation_Multiples</t>
        </is>
      </c>
      <c r="D54" s="481" t="inlineStr">
        <is>
          <t>EV (стоимость предприятия)/EBITDA (прибыль до вычетов) multiples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7" t="n"/>
    </row>
    <row r="55" ht="20" customHeight="1">
      <c r="B55" s="491" t="n">
        <v>24</v>
      </c>
      <c r="C55" s="500" t="inlineStr">
        <is>
          <t>24_Investor_Returns</t>
        </is>
      </c>
      <c r="D55" s="481" t="inlineStr">
        <is>
          <t>MoIC × IRR (внутренняя норма доходности) для LP (ограниченный партнёр)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7" t="n"/>
    </row>
    <row r="56" ht="20" customHeight="1">
      <c r="B56" s="491" t="n">
        <v>25</v>
      </c>
      <c r="C56" s="500" t="inlineStr">
        <is>
          <t>25_Exit_Scenarios</t>
        </is>
      </c>
      <c r="D56" s="481" t="inlineStr">
        <is>
          <t>7 маршрутов, weighted EV (стоимость предприятия) = 6 038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7" t="n"/>
    </row>
    <row r="58" ht="22" customHeight="1">
      <c r="B58" s="501" t="inlineStr">
        <is>
          <t>H. RISK &amp; SENSITIVITY (РИСКИ И ЧУВСТВИТЕЛЬНОСТЬ)</t>
        </is>
      </c>
    </row>
    <row r="60" ht="18" customHeight="1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7" t="n"/>
    </row>
    <row r="61" ht="20" customHeight="1">
      <c r="B61" s="491" t="n">
        <v>26</v>
      </c>
      <c r="C61" s="500" t="inlineStr">
        <is>
          <t>26_Sensitivity</t>
        </is>
      </c>
      <c r="D61" s="481" t="inlineStr">
        <is>
          <t>Tornado ±20% по 8 переменным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7" t="n"/>
    </row>
    <row r="62" ht="20" customHeight="1">
      <c r="B62" s="491" t="n">
        <v>27</v>
      </c>
      <c r="C62" s="500" t="inlineStr">
        <is>
          <t>27_Scenario_Analysis</t>
        </is>
      </c>
      <c r="D62" s="481" t="inlineStr">
        <is>
          <t>5 сценариев Worst → Best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7" t="n"/>
    </row>
    <row r="63" ht="20" customHeight="1">
      <c r="B63" s="491" t="n">
        <v>28</v>
      </c>
      <c r="C63" s="500" t="inlineStr">
        <is>
          <t>28_Monte_Carlo_Summary</t>
        </is>
      </c>
      <c r="D63" s="481" t="inlineStr">
        <is>
          <t>MC n=1000, VaR 95% = 561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7" t="n"/>
    </row>
    <row r="64" ht="20" customHeight="1">
      <c r="B64" s="491" t="n">
        <v>29</v>
      </c>
      <c r="C64" s="500" t="inlineStr">
        <is>
          <t>29_Risk_Register</t>
        </is>
      </c>
      <c r="D64" s="481" t="inlineStr">
        <is>
          <t>30 рисков × 5 категорий, heat map 5×5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7" t="n"/>
    </row>
    <row r="66" ht="22" customHeight="1">
      <c r="B66" s="501" t="inlineStr">
        <is>
          <t>I.  РЫНОК И БЕНЧМАРКИ</t>
        </is>
      </c>
    </row>
    <row r="68" ht="18" customHeight="1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7" t="n"/>
    </row>
    <row r="69" ht="20" customHeight="1">
      <c r="B69" s="491" t="n">
        <v>30</v>
      </c>
      <c r="C69" s="500" t="inlineStr">
        <is>
          <t>30_Market_Analysis</t>
        </is>
      </c>
      <c r="D69" s="481" t="inlineStr">
        <is>
          <t>TAM 289.8 / SAM 118 / SOM 4.545</t>
        </is>
      </c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7" t="n"/>
    </row>
    <row r="70" ht="20" customHeight="1">
      <c r="B70" s="491" t="n">
        <v>31</v>
      </c>
      <c r="C70" s="500" t="inlineStr">
        <is>
          <t>31_Benchmarks</t>
        </is>
      </c>
      <c r="D70" s="481" t="inlineStr">
        <is>
          <t>8 OP KPI (ключевые показатели) + 7 FIN KPI + 6 multiples</t>
        </is>
      </c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7" t="n"/>
    </row>
    <row r="71" ht="20" customHeight="1">
      <c r="B71" s="491" t="n">
        <v>32</v>
      </c>
      <c r="C71" s="500" t="inlineStr">
        <is>
          <t>32_Comparable_Transactions</t>
        </is>
      </c>
      <c r="D71" s="481" t="inlineStr">
        <is>
          <t>10 RU + 10 Global precedent (мировых прецедентов)</t>
        </is>
      </c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7" t="n"/>
    </row>
    <row r="73" ht="22" customHeight="1">
      <c r="B73" s="501" t="inlineStr">
        <is>
          <t>J. GOV &amp; TAX &amp; ROADMAP (УПРАВЛЕНИЕ, НАЛОГИ, ДОРОЖНАЯ КАРТА)</t>
        </is>
      </c>
    </row>
    <row r="75" ht="18" customHeight="1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7" t="n"/>
    </row>
    <row r="76" ht="20" customHeight="1">
      <c r="B76" s="491" t="n">
        <v>33</v>
      </c>
      <c r="C76" s="500" t="inlineStr">
        <is>
          <t>33_Gov_KPI</t>
        </is>
      </c>
      <c r="D76" s="481" t="inlineStr">
        <is>
          <t>6 нац. проектов + 10 KPI (ключевые показатели) + 5 источников 1 040</t>
        </is>
      </c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7" t="n"/>
    </row>
    <row r="77" ht="20" customHeight="1">
      <c r="B77" s="491" t="n">
        <v>34</v>
      </c>
      <c r="C77" s="500" t="inlineStr">
        <is>
          <t>34_Tax_Schedule</t>
        </is>
      </c>
      <c r="D77" s="481" t="inlineStr">
        <is>
          <t>9 налогов × 12Q, Σ 7Y = 720</t>
        </is>
      </c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7" t="n"/>
    </row>
    <row r="78" ht="20" customHeight="1">
      <c r="B78" s="491" t="n">
        <v>35</v>
      </c>
      <c r="C78" s="500" t="inlineStr">
        <is>
          <t>35_Roadmap_2026_2032</t>
        </is>
      </c>
      <c r="D78" s="481" t="inlineStr">
        <is>
          <t>Gantt 12×16 + fundraising (фандрайзинг) + exit (выход)</t>
        </is>
      </c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7" t="n"/>
    </row>
    <row r="80" ht="22" customHeight="1">
      <c r="B80" s="466" t="inlineStr">
        <is>
          <t>K. SUMMARY &amp; GLOSSARY (РЕЗЮМЕ И ГЛОССАРИЙ)</t>
        </is>
      </c>
    </row>
    <row r="82" ht="18" customHeight="1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7" t="n"/>
    </row>
    <row r="83" ht="20" customHeight="1">
      <c r="B83" s="491" t="n">
        <v>36</v>
      </c>
      <c r="C83" s="500" t="inlineStr">
        <is>
          <t>36_Executive_Summary</t>
        </is>
      </c>
      <c r="D83" s="481" t="inlineStr">
        <is>
          <t>6 разделов + Valuation Range Interpretation</t>
        </is>
      </c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7" t="n"/>
    </row>
    <row r="84" ht="20" customHeight="1">
      <c r="B84" s="491" t="n">
        <v>37</v>
      </c>
      <c r="C84" s="500" t="inlineStr">
        <is>
          <t>37_Glossary</t>
        </is>
      </c>
      <c r="D84" s="481" t="inlineStr">
        <is>
          <t>62 термина × 5 категорий</t>
        </is>
      </c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7" t="n"/>
    </row>
    <row r="85" ht="20" customHeight="1">
      <c r="B85" s="491" t="n">
        <v>38</v>
      </c>
      <c r="C85" s="500" t="inlineStr">
        <is>
          <t>38_Notes_and_Sources</t>
        </is>
      </c>
      <c r="D85" s="481" t="inlineStr">
        <is>
          <t>Методология + источники + disclaimers</t>
        </is>
      </c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7" t="n"/>
    </row>
    <row r="87" ht="22" customHeight="1">
      <c r="B87" s="466" t="inlineStr">
        <is>
          <t>L. SERVICE (СЕРВИС)</t>
        </is>
      </c>
    </row>
    <row r="89" ht="18" customHeight="1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7" t="n"/>
    </row>
    <row r="90" ht="20" customHeight="1">
      <c r="B90" s="491" t="n">
        <v>39</v>
      </c>
      <c r="C90" s="500" t="inlineStr">
        <is>
          <t>39_TOC</t>
        </is>
      </c>
      <c r="D90" s="481" t="inlineStr">
        <is>
          <t>Table of Contents (Содержание)</t>
        </is>
      </c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7" t="n"/>
    </row>
    <row r="91" ht="20" customHeight="1">
      <c r="B91" s="491" t="n">
        <v>40</v>
      </c>
      <c r="C91" s="500" t="inlineStr">
        <is>
          <t>40_Investor_Checklist</t>
        </is>
      </c>
      <c r="D91" s="481" t="inlineStr">
        <is>
          <t>DD checklist для инвестора</t>
        </is>
      </c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7" t="n"/>
    </row>
    <row r="92" ht="20" customHeight="1">
      <c r="B92" s="491" t="n">
        <v>41</v>
      </c>
      <c r="C92" s="500" t="inlineStr">
        <is>
          <t>41_Print_Setup</t>
        </is>
      </c>
      <c r="D92" s="481" t="inlineStr">
        <is>
          <t>Print areas (Области печати) + page breaks (разрывы страниц)</t>
        </is>
      </c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7" t="n"/>
    </row>
    <row r="93" ht="20" customHeight="1">
      <c r="B93" s="491" t="n">
        <v>42</v>
      </c>
      <c r="C93" s="500" t="inlineStr">
        <is>
          <t>42_Cover_Letter</t>
        </is>
      </c>
      <c r="D93" s="481" t="inlineStr">
        <is>
          <t>Сопроводительное письмо для LP (ограниченный партнёр)</t>
        </is>
      </c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7" t="n"/>
    </row>
    <row r="95" ht="18" customHeight="1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ИНВЕСТОР DUE DILIGENCE CHECKLIST (ЧЕК-ЛИСТ КОМПЛЕКСНОЙ ПРОВЕРКИ)</t>
        </is>
      </c>
    </row>
    <row r="3" ht="18" customHeight="1">
      <c r="B3" s="457" t="inlineStr">
        <is>
          <t>62 пункта × 8 блоков — для проверки инвестором перед закрытием</t>
        </is>
      </c>
    </row>
    <row r="5" ht="22" customHeight="1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321" t="inlineStr">
        <is>
          <t>Источник в модели</t>
        </is>
      </c>
      <c r="N5" s="187" t="n"/>
    </row>
    <row r="6" ht="20" customHeight="1">
      <c r="B6" s="502" t="inlineStr">
        <is>
          <t>A. БИЗНЕС-МОДЕЛЬ</t>
        </is>
      </c>
    </row>
    <row r="7" ht="22" customHeight="1">
      <c r="B7" s="486" t="n">
        <v>1</v>
      </c>
      <c r="C7" s="504" t="inlineStr">
        <is>
          <t>☐</t>
        </is>
      </c>
      <c r="D7" s="48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505" t="inlineStr">
        <is>
          <t>09_P&amp;L_Statement</t>
        </is>
      </c>
      <c r="N7" s="187" t="n"/>
    </row>
    <row r="8" ht="22" customHeight="1">
      <c r="B8" s="486" t="n">
        <v>2</v>
      </c>
      <c r="C8" s="504" t="inlineStr">
        <is>
          <t>☐</t>
        </is>
      </c>
      <c r="D8" s="48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505" t="inlineStr">
        <is>
          <t>07_Revenue_Breakdown</t>
        </is>
      </c>
      <c r="N8" s="187" t="n"/>
    </row>
    <row r="9" ht="22" customHeight="1">
      <c r="B9" s="486" t="n">
        <v>3</v>
      </c>
      <c r="C9" s="504" t="inlineStr">
        <is>
          <t>☐</t>
        </is>
      </c>
      <c r="D9" s="481" t="inlineStr">
        <is>
          <t>Проверить структуру COGS (себестоимость)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505" t="inlineStr">
        <is>
          <t>06_Cost_Structure</t>
        </is>
      </c>
      <c r="N9" s="187" t="n"/>
    </row>
    <row r="10" ht="22" customHeight="1">
      <c r="B10" s="486" t="n">
        <v>4</v>
      </c>
      <c r="C10" s="504" t="inlineStr">
        <is>
          <t>☐</t>
        </is>
      </c>
      <c r="D10" s="481" t="inlineStr">
        <is>
          <t>Подтвердить пайплайн 7 проектов × средний бюджет 264 млн ₽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505" t="inlineStr">
        <is>
          <t>08_Content_Pipeline</t>
        </is>
      </c>
      <c r="N10" s="187" t="n"/>
    </row>
    <row r="11" ht="22" customHeight="1">
      <c r="B11" s="486" t="n">
        <v>5</v>
      </c>
      <c r="C11" s="504" t="inlineStr">
        <is>
          <t>☐</t>
        </is>
      </c>
      <c r="D11" s="481" t="inlineStr">
        <is>
          <t>Оценить library value (tail (хвостовой период) revenue 1 050 млн ₽ 2029–2032)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505" t="inlineStr">
        <is>
          <t>07_Revenue_Breakdown</t>
        </is>
      </c>
      <c r="N11" s="187" t="n"/>
    </row>
    <row r="13" ht="20" customHeight="1">
      <c r="B13" s="502" t="inlineStr">
        <is>
          <t>B. ФИНАНСОВАЯ СТРУКТУРА</t>
        </is>
      </c>
    </row>
    <row r="14" ht="22" customHeight="1">
      <c r="B14" s="486" t="n">
        <v>6</v>
      </c>
      <c r="C14" s="504" t="inlineStr">
        <is>
          <t>☐</t>
        </is>
      </c>
      <c r="D14" s="481" t="inlineStr">
        <is>
          <t>Инвестиция T₁ = 1 250 млн ₽ в 4 транша (20/28/28/24%) — milestone mapping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505" t="inlineStr">
        <is>
          <t>14_Investment_Inflow</t>
        </is>
      </c>
      <c r="N14" s="187" t="n"/>
    </row>
    <row r="15" ht="22" customHeight="1">
      <c r="B15" s="486" t="n">
        <v>7</v>
      </c>
      <c r="C15" s="504" t="inlineStr">
        <is>
          <t>☐</t>
        </is>
      </c>
      <c r="D15" s="48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505" t="inlineStr">
        <is>
          <t>17_Deal_Structures</t>
        </is>
      </c>
      <c r="N15" s="187" t="n"/>
    </row>
    <row r="16" ht="22" customHeight="1">
      <c r="B16" s="486" t="n">
        <v>8</v>
      </c>
      <c r="C16" s="504" t="inlineStr">
        <is>
          <t>☐</t>
        </is>
      </c>
      <c r="D16" s="481" t="inlineStr">
        <is>
          <t>Cap Table (Таблица капитализации) pre-money / post-money structure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505" t="inlineStr">
        <is>
          <t>18_Cap_Table</t>
        </is>
      </c>
      <c r="N16" s="187" t="n"/>
    </row>
    <row r="17" ht="22" customHeight="1">
      <c r="B17" s="486" t="n">
        <v>9</v>
      </c>
      <c r="C17" s="504" t="inlineStr">
        <is>
          <t>☐</t>
        </is>
      </c>
      <c r="D17" s="481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505" t="inlineStr">
        <is>
          <t>19_Waterfall</t>
        </is>
      </c>
      <c r="N17" s="187" t="n"/>
    </row>
    <row r="18" ht="22" customHeight="1">
      <c r="B18" s="486" t="n">
        <v>10</v>
      </c>
      <c r="C18" s="504" t="inlineStr">
        <is>
          <t>☐</t>
        </is>
      </c>
      <c r="D18" s="481" t="inlineStr">
        <is>
          <t>Use of Funds (Использование средств) — привязка каждого рубля к статье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505" t="inlineStr">
        <is>
          <t>15_Use_of_Funds</t>
        </is>
      </c>
      <c r="N18" s="187" t="n"/>
    </row>
    <row r="19" ht="22" customHeight="1">
      <c r="B19" s="486" t="n">
        <v>11</v>
      </c>
      <c r="C19" s="504" t="inlineStr">
        <is>
          <t>☐</t>
        </is>
      </c>
      <c r="D19" s="481" t="inlineStr">
        <is>
          <t>CAPEX (Капзатраты) schedule — все CAPEX ≤ 100 млн ₽ за 3 года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505" t="inlineStr">
        <is>
          <t>16_CAPEX_Schedule</t>
        </is>
      </c>
      <c r="N19" s="187" t="n"/>
    </row>
    <row r="21" ht="20" customHeight="1">
      <c r="B21" s="502" t="inlineStr">
        <is>
          <t>C. ОЦЕНКА</t>
        </is>
      </c>
    </row>
    <row r="22" ht="22" customHeight="1">
      <c r="B22" s="490" t="n">
        <v>12</v>
      </c>
      <c r="C22" s="504" t="inlineStr">
        <is>
          <t>☐</t>
        </is>
      </c>
      <c r="D22" s="48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505" t="inlineStr">
        <is>
          <t>22_Valuation_DCF</t>
        </is>
      </c>
      <c r="N22" s="187" t="n"/>
    </row>
    <row r="23" ht="22" customHeight="1">
      <c r="B23" s="490" t="n">
        <v>13</v>
      </c>
      <c r="C23" s="504" t="inlineStr">
        <is>
          <t>☐</t>
        </is>
      </c>
      <c r="D23" s="481" t="inlineStr">
        <is>
          <t>WACC (средневзвешенная стоимость капитала) 19% — justify страновой risk и execution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505" t="inlineStr">
        <is>
          <t>22_Valuation_DCF</t>
        </is>
      </c>
      <c r="N23" s="187" t="n"/>
    </row>
    <row r="24" ht="22" customHeight="1">
      <c r="B24" s="490" t="n">
        <v>14</v>
      </c>
      <c r="C24" s="504" t="inlineStr">
        <is>
          <t>☐</t>
        </is>
      </c>
      <c r="D24" s="481" t="inlineStr">
        <is>
          <t>Понять Valuation Range Interpretation (5 компонентов разрыва)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505" t="inlineStr">
        <is>
          <t>36_Executive_Summary III</t>
        </is>
      </c>
      <c r="N24" s="187" t="n"/>
    </row>
    <row r="25" ht="22" customHeight="1">
      <c r="B25" s="490" t="n">
        <v>15</v>
      </c>
      <c r="C25" s="504" t="inlineStr">
        <is>
          <t>☐</t>
        </is>
      </c>
      <c r="D25" s="481" t="inlineStr">
        <is>
          <t>EV (стоимость предприятия)/EBITDA (прибыль до вычетов) multiples vs 32_Comparable_Transactions median 8.9×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505" t="inlineStr">
        <is>
          <t>23_Valuation_Multiples</t>
        </is>
      </c>
      <c r="N25" s="187" t="n"/>
    </row>
    <row r="26" ht="22" customHeight="1">
      <c r="B26" s="490" t="n">
        <v>16</v>
      </c>
      <c r="C26" s="504" t="inlineStr">
        <is>
          <t>☐</t>
        </is>
      </c>
      <c r="D26" s="481" t="inlineStr">
        <is>
          <t>Weighted exit EV (стоимость предприятия) 6 038 = Σ (p × EV) по 7 маршрутам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505" t="inlineStr">
        <is>
          <t>25_Exit_Scenarios</t>
        </is>
      </c>
      <c r="N26" s="187" t="n"/>
    </row>
    <row r="27" ht="22" customHeight="1">
      <c r="B27" s="490" t="n">
        <v>17</v>
      </c>
      <c r="C27" s="504" t="inlineStr">
        <is>
          <t>☐</t>
        </is>
      </c>
      <c r="D27" s="481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505" t="inlineStr">
        <is>
          <t>24_Investor_Returns</t>
        </is>
      </c>
      <c r="N27" s="187" t="n"/>
    </row>
    <row r="29" ht="20" customHeight="1">
      <c r="B29" s="502" t="inlineStr">
        <is>
          <t>D. РИСКИ</t>
        </is>
      </c>
    </row>
    <row r="30" ht="22" customHeight="1">
      <c r="B30" s="506" t="n">
        <v>18</v>
      </c>
      <c r="C30" s="504" t="inlineStr">
        <is>
          <t>☐</t>
        </is>
      </c>
      <c r="D30" s="481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505" t="inlineStr">
        <is>
          <t>29_Risk_Register</t>
        </is>
      </c>
      <c r="N30" s="187" t="n"/>
    </row>
    <row r="31" ht="22" customHeight="1">
      <c r="B31" s="506" t="n">
        <v>19</v>
      </c>
      <c r="C31" s="504" t="inlineStr">
        <is>
          <t>☐</t>
        </is>
      </c>
      <c r="D31" s="481" t="inlineStr">
        <is>
          <t>Heat map 5×5 — распределение риск-зон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505" t="inlineStr">
        <is>
          <t>29_Risk_Register</t>
        </is>
      </c>
      <c r="N31" s="187" t="n"/>
    </row>
    <row r="32" ht="22" customHeight="1">
      <c r="B32" s="506" t="n">
        <v>20</v>
      </c>
      <c r="C32" s="504" t="inlineStr">
        <is>
          <t>☐</t>
        </is>
      </c>
      <c r="D32" s="481" t="inlineStr">
        <is>
          <t>Митигации для всех рисков с score ≥ 12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505" t="inlineStr">
        <is>
          <t>29_Risk_Register</t>
        </is>
      </c>
      <c r="N32" s="187" t="n"/>
    </row>
    <row r="33" ht="22" customHeight="1">
      <c r="B33" s="506" t="n">
        <v>21</v>
      </c>
      <c r="C33" s="504" t="inlineStr">
        <is>
          <t>☐</t>
        </is>
      </c>
      <c r="D33" s="481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505" t="inlineStr">
        <is>
          <t>28_Monte_Carlo_Summary</t>
        </is>
      </c>
      <c r="N33" s="187" t="n"/>
    </row>
    <row r="34" ht="22" customHeight="1">
      <c r="B34" s="506" t="n">
        <v>22</v>
      </c>
      <c r="C34" s="504" t="inlineStr">
        <is>
          <t>☐</t>
        </is>
      </c>
      <c r="D34" s="481" t="inlineStr">
        <is>
          <t>Tornado ±20% — главный драйвер EBITDA (прибыль до вычетов)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505" t="inlineStr">
        <is>
          <t>26_Sensitivity</t>
        </is>
      </c>
      <c r="N34" s="187" t="n"/>
    </row>
    <row r="35" ht="22" customHeight="1">
      <c r="B35" s="506" t="n">
        <v>23</v>
      </c>
      <c r="C35" s="504" t="inlineStr">
        <is>
          <t>☐</t>
        </is>
      </c>
      <c r="D35" s="481" t="inlineStr">
        <is>
          <t>5 сценариев probability-weighted (Worst/Pess/Base (Базовый)/Opt/Best)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505" t="inlineStr">
        <is>
          <t>27_Scenario_Analysis</t>
        </is>
      </c>
      <c r="N35" s="187" t="n"/>
    </row>
    <row r="37" ht="20" customHeight="1">
      <c r="B37" s="502" t="inlineStr">
        <is>
          <t>E. РЫНОК</t>
        </is>
      </c>
    </row>
    <row r="38" ht="22" customHeight="1">
      <c r="B38" s="488" t="n">
        <v>24</v>
      </c>
      <c r="C38" s="504" t="inlineStr">
        <is>
          <t>☐</t>
        </is>
      </c>
      <c r="D38" s="481" t="inlineStr">
        <is>
          <t>TAM 289,8 / SAM 118 / SOM 4,545 — обоснование определения SAM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505" t="inlineStr">
        <is>
          <t>30_Market_Analysis</t>
        </is>
      </c>
      <c r="N38" s="187" t="n"/>
    </row>
    <row r="39" ht="22" customHeight="1">
      <c r="B39" s="488" t="n">
        <v>25</v>
      </c>
      <c r="C39" s="504" t="inlineStr">
        <is>
          <t>☐</t>
        </is>
      </c>
      <c r="D39" s="481" t="inlineStr">
        <is>
          <t>Benchmark (Бенчмарк): ТрендСтудио EBITDA (прибыль до вычетов) margin (маржа) 47.3% vs РФ median 20%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505" t="inlineStr">
        <is>
          <t>31_Benchmarks</t>
        </is>
      </c>
      <c r="N39" s="187" t="n"/>
    </row>
    <row r="40" ht="22" customHeight="1">
      <c r="B40" s="488" t="n">
        <v>26</v>
      </c>
      <c r="C40" s="504" t="inlineStr">
        <is>
          <t>☐</t>
        </is>
      </c>
      <c r="D40" s="481" t="inlineStr">
        <is>
          <t>10 RU precedent transactions — EV (стоимость предприятия)/EBITDA (прибыль до вычетов) 8.0× median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505" t="inlineStr">
        <is>
          <t>32_Comparable_Transactions</t>
        </is>
      </c>
      <c r="N40" s="187" t="n"/>
    </row>
    <row r="41" ht="22" customHeight="1">
      <c r="B41" s="488" t="n">
        <v>27</v>
      </c>
      <c r="C41" s="504" t="inlineStr">
        <is>
          <t>☐</t>
        </is>
      </c>
      <c r="D41" s="481" t="inlineStr">
        <is>
          <t>10 Global precedent (мир. прецедентов) — 9,8× медиана, blend 8,9×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505" t="inlineStr">
        <is>
          <t>32_Comparable_Transactions</t>
        </is>
      </c>
      <c r="N41" s="187" t="n"/>
    </row>
    <row r="42" ht="22" customHeight="1">
      <c r="B42" s="488" t="n">
        <v>28</v>
      </c>
      <c r="C42" s="504" t="inlineStr">
        <is>
          <t>☐</t>
        </is>
      </c>
      <c r="D42" s="481" t="inlineStr">
        <is>
          <t>CAGR (среднегодовой темп роста) рынка 8.2% до 2028 — источник Росстат / Бюллетень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505" t="inlineStr">
        <is>
          <t>30_Market_Analysis</t>
        </is>
      </c>
      <c r="N42" s="187" t="n"/>
    </row>
    <row r="44" ht="20" customHeight="1">
      <c r="B44" s="502" t="inlineStr">
        <is>
          <t>F. ГОС-ПОДДЕРЖКА И НАЛОГИ</t>
        </is>
      </c>
    </row>
    <row r="45" ht="22" customHeight="1">
      <c r="B45" s="491" t="n">
        <v>29</v>
      </c>
      <c r="C45" s="504" t="inlineStr">
        <is>
          <t>☐</t>
        </is>
      </c>
      <c r="D45" s="481" t="inlineStr">
        <is>
          <t>6 нац. проектов alignment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505" t="inlineStr">
        <is>
          <t>33_Gov_KPI</t>
        </is>
      </c>
      <c r="N45" s="187" t="n"/>
    </row>
    <row r="46" ht="22" customHeight="1">
      <c r="B46" s="491" t="n">
        <v>30</v>
      </c>
      <c r="C46" s="504" t="inlineStr">
        <is>
          <t>☐</t>
        </is>
      </c>
      <c r="D46" s="481" t="inlineStr">
        <is>
          <t>5 источников господдержки 1 040 млн ₽ (ФКП / регионы / РФК)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505" t="inlineStr">
        <is>
          <t>33_Gov_KPI</t>
        </is>
      </c>
      <c r="N46" s="187" t="n"/>
    </row>
    <row r="47" ht="22" customHeight="1">
      <c r="B47" s="491" t="n">
        <v>31</v>
      </c>
      <c r="C47" s="504" t="inlineStr">
        <is>
          <t>☐</t>
        </is>
      </c>
      <c r="D47" s="481" t="inlineStr">
        <is>
          <t>НДС 0% льгота — ст. 149 НК РФ, экономия 360 млн ₽ 3Y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505" t="inlineStr">
        <is>
          <t>34_Tax_Schedule</t>
        </is>
      </c>
      <c r="N47" s="187" t="n"/>
    </row>
    <row r="48" ht="22" customHeight="1">
      <c r="B48" s="491" t="n">
        <v>32</v>
      </c>
      <c r="C48" s="504" t="inlineStr">
        <is>
          <t>☐</t>
        </is>
      </c>
      <c r="D48" s="481" t="inlineStr">
        <is>
          <t>Эффективная налоговая нагрузка 12.9% от Revenue (Выручка) (720 / 5 595)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505" t="inlineStr">
        <is>
          <t>34_Tax_Schedule</t>
        </is>
      </c>
      <c r="N48" s="187" t="n"/>
    </row>
    <row r="49" ht="22" customHeight="1">
      <c r="B49" s="491" t="n">
        <v>33</v>
      </c>
      <c r="C49" s="504" t="inlineStr">
        <is>
          <t>☐</t>
        </is>
      </c>
      <c r="D49" s="481" t="inlineStr">
        <is>
          <t>10 compliance checkpoints (контрольных точек соответствия)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505" t="inlineStr">
        <is>
          <t>33_Gov_KPI</t>
        </is>
      </c>
      <c r="N49" s="187" t="n"/>
    </row>
    <row r="51" ht="20" customHeight="1">
      <c r="B51" s="502" t="inlineStr">
        <is>
          <t>G. РОУДМАП И EXIT</t>
        </is>
      </c>
    </row>
    <row r="52" ht="22" customHeight="1">
      <c r="B52" s="487" t="n">
        <v>34</v>
      </c>
      <c r="C52" s="504" t="inlineStr">
        <is>
          <t>☐</t>
        </is>
      </c>
      <c r="D52" s="481" t="inlineStr">
        <is>
          <t>Gantt 7 проектов × 16 периодов × 4 фазы (Dev/Shoot/Post/Release (Релиз))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505" t="inlineStr">
        <is>
          <t>35_Roadmap_2026_2032</t>
        </is>
      </c>
      <c r="N52" s="187" t="n"/>
    </row>
    <row r="53" ht="22" customHeight="1">
      <c r="B53" s="487" t="n">
        <v>35</v>
      </c>
      <c r="C53" s="504" t="inlineStr">
        <is>
          <t>☐</t>
        </is>
      </c>
      <c r="D53" s="481" t="inlineStr">
        <is>
          <t>14 fundraising milestones — привязка T₁ траншей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505" t="inlineStr">
        <is>
          <t>35_Roadmap_2026_2032</t>
        </is>
      </c>
      <c r="N53" s="187" t="n"/>
    </row>
    <row r="54" ht="22" customHeight="1">
      <c r="B54" s="487" t="n">
        <v>36</v>
      </c>
      <c r="C54" s="504" t="inlineStr">
        <is>
          <t>☐</t>
        </is>
      </c>
      <c r="D54" s="481" t="inlineStr">
        <is>
          <t>5 governance tracks (направления корпоративного управления) (Совет директоров, audit, covenant, strategic review)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505" t="inlineStr">
        <is>
          <t>35_Roadmap_2026_2032</t>
        </is>
      </c>
      <c r="N54" s="187" t="n"/>
    </row>
    <row r="55" ht="22" customHeight="1">
      <c r="B55" s="487" t="n">
        <v>37</v>
      </c>
      <c r="C55" s="504" t="inlineStr">
        <is>
          <t>☐</t>
        </is>
      </c>
      <c r="D55" s="481" t="inlineStr">
        <is>
          <t>Critical (Критический) path — 12 критических элементов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505" t="inlineStr">
        <is>
          <t>35_Roadmap_2026_2032</t>
        </is>
      </c>
      <c r="N55" s="187" t="n"/>
    </row>
    <row r="56" ht="22" customHeight="1">
      <c r="B56" s="487" t="n">
        <v>38</v>
      </c>
      <c r="C56" s="504" t="inlineStr">
        <is>
          <t>☐</t>
        </is>
      </c>
      <c r="D56" s="481" t="inlineStr">
        <is>
          <t>7 exit routes — окна и условия для каждого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505" t="inlineStr">
        <is>
          <t>25_Exit_Scenarios</t>
        </is>
      </c>
      <c r="N56" s="187" t="n"/>
    </row>
    <row r="57" ht="22" customHeight="1">
      <c r="B57" s="487" t="n">
        <v>39</v>
      </c>
      <c r="C57" s="504" t="inlineStr">
        <is>
          <t>☐</t>
        </is>
      </c>
      <c r="D57" s="481" t="inlineStr">
        <is>
          <t>Strategic (Стратегический) buyer mapping: Яндекс / Сбер / ГМ / НМГ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505" t="inlineStr">
        <is>
          <t>36_Executive_Summary V</t>
        </is>
      </c>
      <c r="N57" s="187" t="n"/>
    </row>
    <row r="59" ht="20" customHeight="1">
      <c r="B59" s="502" t="inlineStr">
        <is>
          <t>H. ДОКУМЕНТЫ И LEGAL</t>
        </is>
      </c>
    </row>
    <row r="60" ht="22" customHeight="1">
      <c r="B60" s="507" t="n">
        <v>40</v>
      </c>
      <c r="C60" s="504" t="inlineStr">
        <is>
          <t>☐</t>
        </is>
      </c>
      <c r="D60" s="481" t="inlineStr">
        <is>
          <t>Term sheet подписан с ключевыми LP (ограниченный партнёр) до 2026Q2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505" t="inlineStr">
        <is>
          <t>внешний</t>
        </is>
      </c>
      <c r="N60" s="187" t="n"/>
    </row>
    <row r="61" ht="22" customHeight="1">
      <c r="B61" s="507" t="n">
        <v>41</v>
      </c>
      <c r="C61" s="504" t="inlineStr">
        <is>
          <t>☐</t>
        </is>
      </c>
      <c r="D61" s="481" t="inlineStr">
        <is>
          <t>Due diligence report (legal / financial / tax) — независимый аудитор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505" t="inlineStr">
        <is>
          <t>внешний</t>
        </is>
      </c>
      <c r="N61" s="187" t="n"/>
    </row>
    <row r="62" ht="22" customHeight="1">
      <c r="B62" s="507" t="n">
        <v>42</v>
      </c>
      <c r="C62" s="504" t="inlineStr">
        <is>
          <t>☐</t>
        </is>
      </c>
      <c r="D62" s="481" t="inlineStr">
        <is>
          <t>SPA draft готов, all reps &amp; warranties reviewed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505" t="inlineStr">
        <is>
          <t>внешний</t>
        </is>
      </c>
      <c r="N62" s="187" t="n"/>
    </row>
    <row r="63" ht="22" customHeight="1">
      <c r="B63" s="507" t="n">
        <v>43</v>
      </c>
      <c r="C63" s="504" t="inlineStr">
        <is>
          <t>☐</t>
        </is>
      </c>
      <c r="D63" s="481" t="inlineStr">
        <is>
          <t>Escrow arrangement для 10% T₁ до закрытия milestone 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505" t="inlineStr">
        <is>
          <t>внешний</t>
        </is>
      </c>
      <c r="N63" s="187" t="n"/>
    </row>
    <row r="64" ht="22" customHeight="1">
      <c r="B64" s="507" t="n">
        <v>44</v>
      </c>
      <c r="C64" s="504" t="inlineStr">
        <is>
          <t>☐</t>
        </is>
      </c>
      <c r="D64" s="481" t="inlineStr">
        <is>
          <t>Совет директоров composition: 2 LP (ограниченный партнёр) seats + 2 management + 1 independent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505" t="inlineStr">
        <is>
          <t>18_Cap_Table</t>
        </is>
      </c>
      <c r="N64" s="187" t="n"/>
    </row>
    <row r="65" ht="22" customHeight="1">
      <c r="B65" s="507" t="n">
        <v>45</v>
      </c>
      <c r="C65" s="504" t="inlineStr">
        <is>
          <t>☐</t>
        </is>
      </c>
      <c r="D65" s="481" t="inlineStr">
        <is>
          <t>Disclosures: все forward-looking risks полностью раскрыты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505" t="inlineStr">
        <is>
          <t>38_Notes_and_Sources III</t>
        </is>
      </c>
      <c r="N65" s="187" t="n"/>
    </row>
    <row r="68" ht="30" customHeight="1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 ht="28" customHeight="1">
      <c r="B2" s="456" t="inlineStr">
        <is>
          <t>НАСТРОЙКИ ПЕЧАТИ</t>
        </is>
      </c>
    </row>
    <row r="3" ht="18" customHeight="1">
      <c r="B3" s="457" t="inlineStr">
        <is>
          <t>Конфигурация печати для всех 42 листов — применена на листы A4/A3</t>
        </is>
      </c>
    </row>
    <row r="5" ht="36" customHeight="1">
      <c r="B5" s="508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187" t="n"/>
      <c r="H7" s="321" t="inlineStr">
        <is>
          <t>Повтор. строки</t>
        </is>
      </c>
      <c r="I7" s="186" t="n"/>
      <c r="J7" s="186" t="n"/>
      <c r="K7" s="186" t="n"/>
      <c r="L7" s="186" t="n"/>
      <c r="M7" s="186" t="n"/>
      <c r="N7" s="187" t="n"/>
    </row>
    <row r="8" ht="18" customHeight="1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511" t="inlineStr">
        <is>
          <t>A1:N50</t>
        </is>
      </c>
      <c r="G8" s="187" t="n"/>
      <c r="H8" s="354" t="inlineStr">
        <is>
          <t>1:3</t>
        </is>
      </c>
      <c r="I8" s="186" t="n"/>
      <c r="J8" s="186" t="n"/>
      <c r="K8" s="186" t="n"/>
      <c r="L8" s="186" t="n"/>
      <c r="M8" s="186" t="n"/>
      <c r="N8" s="187" t="n"/>
    </row>
    <row r="9" ht="18" customHeight="1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511" t="inlineStr">
        <is>
          <t>A1:N80</t>
        </is>
      </c>
      <c r="G9" s="187" t="n"/>
      <c r="H9" s="354" t="inlineStr">
        <is>
          <t>1:5</t>
        </is>
      </c>
      <c r="I9" s="186" t="n"/>
      <c r="J9" s="186" t="n"/>
      <c r="K9" s="186" t="n"/>
      <c r="L9" s="186" t="n"/>
      <c r="M9" s="186" t="n"/>
      <c r="N9" s="187" t="n"/>
    </row>
    <row r="10" ht="18" customHeight="1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511" t="inlineStr">
        <is>
          <t>A1:N60</t>
        </is>
      </c>
      <c r="G10" s="187" t="n"/>
      <c r="H10" s="354" t="inlineStr">
        <is>
          <t>1:5</t>
        </is>
      </c>
      <c r="I10" s="186" t="n"/>
      <c r="J10" s="186" t="n"/>
      <c r="K10" s="186" t="n"/>
      <c r="L10" s="186" t="n"/>
      <c r="M10" s="186" t="n"/>
      <c r="N10" s="187" t="n"/>
    </row>
    <row r="11" ht="18" customHeight="1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511" t="inlineStr">
        <is>
          <t>A1:T40</t>
        </is>
      </c>
      <c r="G11" s="187" t="n"/>
      <c r="H11" s="354" t="inlineStr">
        <is>
          <t>1:5</t>
        </is>
      </c>
      <c r="I11" s="186" t="n"/>
      <c r="J11" s="186" t="n"/>
      <c r="K11" s="186" t="n"/>
      <c r="L11" s="186" t="n"/>
      <c r="M11" s="186" t="n"/>
      <c r="N11" s="187" t="n"/>
    </row>
    <row r="12" ht="18" customHeight="1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511" t="inlineStr">
        <is>
          <t>A1:T40</t>
        </is>
      </c>
      <c r="G12" s="187" t="n"/>
      <c r="H12" s="354" t="inlineStr">
        <is>
          <t>1:5</t>
        </is>
      </c>
      <c r="I12" s="186" t="n"/>
      <c r="J12" s="186" t="n"/>
      <c r="K12" s="186" t="n"/>
      <c r="L12" s="186" t="n"/>
      <c r="M12" s="186" t="n"/>
      <c r="N12" s="187" t="n"/>
    </row>
    <row r="13" ht="18" customHeight="1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511" t="inlineStr">
        <is>
          <t>A1:N60</t>
        </is>
      </c>
      <c r="G13" s="187" t="n"/>
      <c r="H13" s="354" t="inlineStr">
        <is>
          <t>1:5</t>
        </is>
      </c>
      <c r="I13" s="186" t="n"/>
      <c r="J13" s="186" t="n"/>
      <c r="K13" s="186" t="n"/>
      <c r="L13" s="186" t="n"/>
      <c r="M13" s="186" t="n"/>
      <c r="N13" s="187" t="n"/>
    </row>
    <row r="14" ht="18" customHeight="1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511" t="inlineStr">
        <is>
          <t>A1:R50</t>
        </is>
      </c>
      <c r="G14" s="187" t="n"/>
      <c r="H14" s="354" t="inlineStr">
        <is>
          <t>1:5</t>
        </is>
      </c>
      <c r="I14" s="186" t="n"/>
      <c r="J14" s="186" t="n"/>
      <c r="K14" s="186" t="n"/>
      <c r="L14" s="186" t="n"/>
      <c r="M14" s="186" t="n"/>
      <c r="N14" s="187" t="n"/>
    </row>
    <row r="15" ht="18" customHeight="1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511" t="inlineStr">
        <is>
          <t>A1:T40</t>
        </is>
      </c>
      <c r="G15" s="187" t="n"/>
      <c r="H15" s="354" t="inlineStr">
        <is>
          <t>1:5</t>
        </is>
      </c>
      <c r="I15" s="186" t="n"/>
      <c r="J15" s="186" t="n"/>
      <c r="K15" s="186" t="n"/>
      <c r="L15" s="186" t="n"/>
      <c r="M15" s="186" t="n"/>
      <c r="N15" s="187" t="n"/>
    </row>
    <row r="16" ht="18" customHeight="1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511" t="inlineStr">
        <is>
          <t>A1:V55</t>
        </is>
      </c>
      <c r="G16" s="187" t="n"/>
      <c r="H16" s="354" t="inlineStr">
        <is>
          <t>1:5</t>
        </is>
      </c>
      <c r="I16" s="186" t="n"/>
      <c r="J16" s="186" t="n"/>
      <c r="K16" s="186" t="n"/>
      <c r="L16" s="186" t="n"/>
      <c r="M16" s="186" t="n"/>
      <c r="N16" s="187" t="n"/>
    </row>
    <row r="17" ht="18" customHeight="1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511" t="inlineStr">
        <is>
          <t>A1:T55</t>
        </is>
      </c>
      <c r="G17" s="187" t="n"/>
      <c r="H17" s="354" t="inlineStr">
        <is>
          <t>1:5</t>
        </is>
      </c>
      <c r="I17" s="186" t="n"/>
      <c r="J17" s="186" t="n"/>
      <c r="K17" s="186" t="n"/>
      <c r="L17" s="186" t="n"/>
      <c r="M17" s="186" t="n"/>
      <c r="N17" s="187" t="n"/>
    </row>
    <row r="18" ht="18" customHeight="1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511" t="inlineStr">
        <is>
          <t>A1:N50</t>
        </is>
      </c>
      <c r="G18" s="187" t="n"/>
      <c r="H18" s="354" t="inlineStr">
        <is>
          <t>1:5</t>
        </is>
      </c>
      <c r="I18" s="186" t="n"/>
      <c r="J18" s="186" t="n"/>
      <c r="K18" s="186" t="n"/>
      <c r="L18" s="186" t="n"/>
      <c r="M18" s="186" t="n"/>
      <c r="N18" s="187" t="n"/>
    </row>
    <row r="19" ht="18" customHeight="1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511" t="inlineStr">
        <is>
          <t>A1:N40</t>
        </is>
      </c>
      <c r="G19" s="187" t="n"/>
      <c r="H19" s="354" t="inlineStr">
        <is>
          <t>1:5</t>
        </is>
      </c>
      <c r="I19" s="186" t="n"/>
      <c r="J19" s="186" t="n"/>
      <c r="K19" s="186" t="n"/>
      <c r="L19" s="186" t="n"/>
      <c r="M19" s="186" t="n"/>
      <c r="N19" s="187" t="n"/>
    </row>
    <row r="20" ht="18" customHeight="1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511" t="inlineStr">
        <is>
          <t>A1:N40</t>
        </is>
      </c>
      <c r="G20" s="187" t="n"/>
      <c r="H20" s="354" t="inlineStr">
        <is>
          <t>1:5</t>
        </is>
      </c>
      <c r="I20" s="186" t="n"/>
      <c r="J20" s="186" t="n"/>
      <c r="K20" s="186" t="n"/>
      <c r="L20" s="186" t="n"/>
      <c r="M20" s="186" t="n"/>
      <c r="N20" s="187" t="n"/>
    </row>
    <row r="21" ht="18" customHeight="1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511" t="inlineStr">
        <is>
          <t>A1:N40</t>
        </is>
      </c>
      <c r="G21" s="187" t="n"/>
      <c r="H21" s="354" t="inlineStr">
        <is>
          <t>1:5</t>
        </is>
      </c>
      <c r="I21" s="186" t="n"/>
      <c r="J21" s="186" t="n"/>
      <c r="K21" s="186" t="n"/>
      <c r="L21" s="186" t="n"/>
      <c r="M21" s="186" t="n"/>
      <c r="N21" s="187" t="n"/>
    </row>
    <row r="22" ht="18" customHeight="1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511" t="inlineStr">
        <is>
          <t>A1:N40</t>
        </is>
      </c>
      <c r="G22" s="187" t="n"/>
      <c r="H22" s="354" t="inlineStr">
        <is>
          <t>1:5</t>
        </is>
      </c>
      <c r="I22" s="186" t="n"/>
      <c r="J22" s="186" t="n"/>
      <c r="K22" s="186" t="n"/>
      <c r="L22" s="186" t="n"/>
      <c r="M22" s="186" t="n"/>
      <c r="N22" s="187" t="n"/>
    </row>
    <row r="23" ht="18" customHeight="1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511" t="inlineStr">
        <is>
          <t>A1:N40</t>
        </is>
      </c>
      <c r="G23" s="187" t="n"/>
      <c r="H23" s="354" t="inlineStr">
        <is>
          <t>1:5</t>
        </is>
      </c>
      <c r="I23" s="186" t="n"/>
      <c r="J23" s="186" t="n"/>
      <c r="K23" s="186" t="n"/>
      <c r="L23" s="186" t="n"/>
      <c r="M23" s="186" t="n"/>
      <c r="N23" s="187" t="n"/>
    </row>
    <row r="24" ht="18" customHeight="1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511" t="inlineStr">
        <is>
          <t>A1:N50</t>
        </is>
      </c>
      <c r="G24" s="187" t="n"/>
      <c r="H24" s="354" t="inlineStr">
        <is>
          <t>1:5</t>
        </is>
      </c>
      <c r="I24" s="186" t="n"/>
      <c r="J24" s="186" t="n"/>
      <c r="K24" s="186" t="n"/>
      <c r="L24" s="186" t="n"/>
      <c r="M24" s="186" t="n"/>
      <c r="N24" s="187" t="n"/>
    </row>
    <row r="25" ht="18" customHeight="1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511" t="inlineStr">
        <is>
          <t>A1:N40</t>
        </is>
      </c>
      <c r="G25" s="187" t="n"/>
      <c r="H25" s="354" t="inlineStr">
        <is>
          <t>1:5</t>
        </is>
      </c>
      <c r="I25" s="186" t="n"/>
      <c r="J25" s="186" t="n"/>
      <c r="K25" s="186" t="n"/>
      <c r="L25" s="186" t="n"/>
      <c r="M25" s="186" t="n"/>
      <c r="N25" s="187" t="n"/>
    </row>
    <row r="26" ht="18" customHeight="1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511" t="inlineStr">
        <is>
          <t>A1:N50</t>
        </is>
      </c>
      <c r="G26" s="187" t="n"/>
      <c r="H26" s="354" t="inlineStr">
        <is>
          <t>1:5</t>
        </is>
      </c>
      <c r="I26" s="186" t="n"/>
      <c r="J26" s="186" t="n"/>
      <c r="K26" s="186" t="n"/>
      <c r="L26" s="186" t="n"/>
      <c r="M26" s="186" t="n"/>
      <c r="N26" s="187" t="n"/>
    </row>
    <row r="27" ht="18" customHeight="1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511" t="inlineStr">
        <is>
          <t>A1:T50</t>
        </is>
      </c>
      <c r="G27" s="187" t="n"/>
      <c r="H27" s="354" t="inlineStr">
        <is>
          <t>1:5</t>
        </is>
      </c>
      <c r="I27" s="186" t="n"/>
      <c r="J27" s="186" t="n"/>
      <c r="K27" s="186" t="n"/>
      <c r="L27" s="186" t="n"/>
      <c r="M27" s="186" t="n"/>
      <c r="N27" s="187" t="n"/>
    </row>
    <row r="28" ht="18" customHeight="1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511" t="inlineStr">
        <is>
          <t>A1:N40</t>
        </is>
      </c>
      <c r="G28" s="187" t="n"/>
      <c r="H28" s="354" t="inlineStr">
        <is>
          <t>1:5</t>
        </is>
      </c>
      <c r="I28" s="186" t="n"/>
      <c r="J28" s="186" t="n"/>
      <c r="K28" s="186" t="n"/>
      <c r="L28" s="186" t="n"/>
      <c r="M28" s="186" t="n"/>
      <c r="N28" s="187" t="n"/>
    </row>
    <row r="29" ht="18" customHeight="1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511" t="inlineStr">
        <is>
          <t>A1:N75</t>
        </is>
      </c>
      <c r="G29" s="187" t="n"/>
      <c r="H29" s="354" t="inlineStr">
        <is>
          <t>1:6</t>
        </is>
      </c>
      <c r="I29" s="186" t="n"/>
      <c r="J29" s="186" t="n"/>
      <c r="K29" s="186" t="n"/>
      <c r="L29" s="186" t="n"/>
      <c r="M29" s="186" t="n"/>
      <c r="N29" s="187" t="n"/>
    </row>
    <row r="30" ht="18" customHeight="1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511" t="inlineStr">
        <is>
          <t>A1:N45</t>
        </is>
      </c>
      <c r="G30" s="187" t="n"/>
      <c r="H30" s="354" t="inlineStr">
        <is>
          <t>1:5</t>
        </is>
      </c>
      <c r="I30" s="186" t="n"/>
      <c r="J30" s="186" t="n"/>
      <c r="K30" s="186" t="n"/>
      <c r="L30" s="186" t="n"/>
      <c r="M30" s="186" t="n"/>
      <c r="N30" s="187" t="n"/>
    </row>
    <row r="31" ht="18" customHeight="1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511" t="inlineStr">
        <is>
          <t>A1:N50</t>
        </is>
      </c>
      <c r="G31" s="187" t="n"/>
      <c r="H31" s="354" t="inlineStr">
        <is>
          <t>1:5</t>
        </is>
      </c>
      <c r="I31" s="186" t="n"/>
      <c r="J31" s="186" t="n"/>
      <c r="K31" s="186" t="n"/>
      <c r="L31" s="186" t="n"/>
      <c r="M31" s="186" t="n"/>
      <c r="N31" s="187" t="n"/>
    </row>
    <row r="32" ht="18" customHeight="1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511" t="inlineStr">
        <is>
          <t>A1:N50</t>
        </is>
      </c>
      <c r="G32" s="187" t="n"/>
      <c r="H32" s="354" t="inlineStr">
        <is>
          <t>1:5</t>
        </is>
      </c>
      <c r="I32" s="186" t="n"/>
      <c r="J32" s="186" t="n"/>
      <c r="K32" s="186" t="n"/>
      <c r="L32" s="186" t="n"/>
      <c r="M32" s="186" t="n"/>
      <c r="N32" s="187" t="n"/>
    </row>
    <row r="33" ht="18" customHeight="1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511" t="inlineStr">
        <is>
          <t>A1:P70</t>
        </is>
      </c>
      <c r="G33" s="187" t="n"/>
      <c r="H33" s="354" t="inlineStr">
        <is>
          <t>1:5</t>
        </is>
      </c>
      <c r="I33" s="186" t="n"/>
      <c r="J33" s="186" t="n"/>
      <c r="K33" s="186" t="n"/>
      <c r="L33" s="186" t="n"/>
      <c r="M33" s="186" t="n"/>
      <c r="N33" s="187" t="n"/>
    </row>
    <row r="34" ht="18" customHeight="1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511" t="inlineStr">
        <is>
          <t>A1:P70</t>
        </is>
      </c>
      <c r="G34" s="187" t="n"/>
      <c r="H34" s="354" t="inlineStr">
        <is>
          <t>1:5</t>
        </is>
      </c>
      <c r="I34" s="186" t="n"/>
      <c r="J34" s="186" t="n"/>
      <c r="K34" s="186" t="n"/>
      <c r="L34" s="186" t="n"/>
      <c r="M34" s="186" t="n"/>
      <c r="N34" s="187" t="n"/>
    </row>
    <row r="35" ht="18" customHeight="1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511" t="inlineStr">
        <is>
          <t>A1:P80</t>
        </is>
      </c>
      <c r="G35" s="187" t="n"/>
      <c r="H35" s="354" t="inlineStr">
        <is>
          <t>1:5</t>
        </is>
      </c>
      <c r="I35" s="186" t="n"/>
      <c r="J35" s="186" t="n"/>
      <c r="K35" s="186" t="n"/>
      <c r="L35" s="186" t="n"/>
      <c r="M35" s="186" t="n"/>
      <c r="N35" s="187" t="n"/>
    </row>
    <row r="36" ht="18" customHeight="1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511" t="inlineStr">
        <is>
          <t>A1:N95</t>
        </is>
      </c>
      <c r="G36" s="187" t="n"/>
      <c r="H36" s="354" t="inlineStr">
        <is>
          <t>1:6</t>
        </is>
      </c>
      <c r="I36" s="186" t="n"/>
      <c r="J36" s="186" t="n"/>
      <c r="K36" s="186" t="n"/>
      <c r="L36" s="186" t="n"/>
      <c r="M36" s="186" t="n"/>
      <c r="N36" s="187" t="n"/>
    </row>
    <row r="37" ht="18" customHeight="1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511" t="inlineStr">
        <is>
          <t>A1:N90</t>
        </is>
      </c>
      <c r="G37" s="187" t="n"/>
      <c r="H37" s="354" t="inlineStr">
        <is>
          <t>1:5</t>
        </is>
      </c>
      <c r="I37" s="186" t="n"/>
      <c r="J37" s="186" t="n"/>
      <c r="K37" s="186" t="n"/>
      <c r="L37" s="186" t="n"/>
      <c r="M37" s="186" t="n"/>
      <c r="N37" s="187" t="n"/>
    </row>
    <row r="38" ht="18" customHeight="1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511" t="inlineStr">
        <is>
          <t>A1:N95</t>
        </is>
      </c>
      <c r="G38" s="187" t="n"/>
      <c r="H38" s="354" t="inlineStr">
        <is>
          <t>1:5</t>
        </is>
      </c>
      <c r="I38" s="186" t="n"/>
      <c r="J38" s="186" t="n"/>
      <c r="K38" s="186" t="n"/>
      <c r="L38" s="186" t="n"/>
      <c r="M38" s="186" t="n"/>
      <c r="N38" s="187" t="n"/>
    </row>
    <row r="39" ht="18" customHeight="1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511" t="inlineStr">
        <is>
          <t>A1:P85</t>
        </is>
      </c>
      <c r="G39" s="187" t="n"/>
      <c r="H39" s="354" t="inlineStr">
        <is>
          <t>1:5</t>
        </is>
      </c>
      <c r="I39" s="186" t="n"/>
      <c r="J39" s="186" t="n"/>
      <c r="K39" s="186" t="n"/>
      <c r="L39" s="186" t="n"/>
      <c r="M39" s="186" t="n"/>
      <c r="N39" s="187" t="n"/>
    </row>
    <row r="40" ht="18" customHeight="1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511" t="inlineStr">
        <is>
          <t>A1:N80</t>
        </is>
      </c>
      <c r="G40" s="187" t="n"/>
      <c r="H40" s="354" t="inlineStr">
        <is>
          <t>1:5</t>
        </is>
      </c>
      <c r="I40" s="186" t="n"/>
      <c r="J40" s="186" t="n"/>
      <c r="K40" s="186" t="n"/>
      <c r="L40" s="186" t="n"/>
      <c r="M40" s="186" t="n"/>
      <c r="N40" s="187" t="n"/>
    </row>
    <row r="41" ht="18" customHeight="1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511" t="inlineStr">
        <is>
          <t>A1:T55</t>
        </is>
      </c>
      <c r="G41" s="187" t="n"/>
      <c r="H41" s="354" t="inlineStr">
        <is>
          <t>1:5</t>
        </is>
      </c>
      <c r="I41" s="186" t="n"/>
      <c r="J41" s="186" t="n"/>
      <c r="K41" s="186" t="n"/>
      <c r="L41" s="186" t="n"/>
      <c r="M41" s="186" t="n"/>
      <c r="N41" s="187" t="n"/>
    </row>
    <row r="42" ht="18" customHeight="1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511" t="inlineStr">
        <is>
          <t>A1:R95</t>
        </is>
      </c>
      <c r="G42" s="187" t="n"/>
      <c r="H42" s="354" t="inlineStr">
        <is>
          <t>1:5</t>
        </is>
      </c>
      <c r="I42" s="186" t="n"/>
      <c r="J42" s="186" t="n"/>
      <c r="K42" s="186" t="n"/>
      <c r="L42" s="186" t="n"/>
      <c r="M42" s="186" t="n"/>
      <c r="N42" s="187" t="n"/>
    </row>
    <row r="43" ht="18" customHeight="1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511" t="inlineStr">
        <is>
          <t>A1:N90</t>
        </is>
      </c>
      <c r="G43" s="187" t="n"/>
      <c r="H43" s="354" t="inlineStr">
        <is>
          <t>1:6</t>
        </is>
      </c>
      <c r="I43" s="186" t="n"/>
      <c r="J43" s="186" t="n"/>
      <c r="K43" s="186" t="n"/>
      <c r="L43" s="186" t="n"/>
      <c r="M43" s="186" t="n"/>
      <c r="N43" s="187" t="n"/>
    </row>
    <row r="44" ht="18" customHeight="1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511" t="inlineStr">
        <is>
          <t>A1:N75</t>
        </is>
      </c>
      <c r="G44" s="187" t="n"/>
      <c r="H44" s="354" t="inlineStr">
        <is>
          <t>1:5</t>
        </is>
      </c>
      <c r="I44" s="186" t="n"/>
      <c r="J44" s="186" t="n"/>
      <c r="K44" s="186" t="n"/>
      <c r="L44" s="186" t="n"/>
      <c r="M44" s="186" t="n"/>
      <c r="N44" s="187" t="n"/>
    </row>
    <row r="45" ht="18" customHeight="1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511" t="inlineStr">
        <is>
          <t>A1:N70</t>
        </is>
      </c>
      <c r="G45" s="187" t="n"/>
      <c r="H45" s="354" t="inlineStr">
        <is>
          <t>1:5</t>
        </is>
      </c>
      <c r="I45" s="186" t="n"/>
      <c r="J45" s="186" t="n"/>
      <c r="K45" s="186" t="n"/>
      <c r="L45" s="186" t="n"/>
      <c r="M45" s="186" t="n"/>
      <c r="N45" s="187" t="n"/>
    </row>
    <row r="46" ht="18" customHeight="1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511" t="inlineStr">
        <is>
          <t>A1:N60</t>
        </is>
      </c>
      <c r="G46" s="187" t="n"/>
      <c r="H46" s="354" t="inlineStr">
        <is>
          <t>1:5</t>
        </is>
      </c>
      <c r="I46" s="186" t="n"/>
      <c r="J46" s="186" t="n"/>
      <c r="K46" s="186" t="n"/>
      <c r="L46" s="186" t="n"/>
      <c r="M46" s="186" t="n"/>
      <c r="N46" s="187" t="n"/>
    </row>
    <row r="47" ht="18" customHeight="1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511" t="inlineStr">
        <is>
          <t>A1:N85</t>
        </is>
      </c>
      <c r="G47" s="187" t="n"/>
      <c r="H47" s="354" t="inlineStr">
        <is>
          <t>1:5</t>
        </is>
      </c>
      <c r="I47" s="186" t="n"/>
      <c r="J47" s="186" t="n"/>
      <c r="K47" s="186" t="n"/>
      <c r="L47" s="186" t="n"/>
      <c r="M47" s="186" t="n"/>
      <c r="N47" s="187" t="n"/>
    </row>
    <row r="48" ht="18" customHeight="1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511" t="inlineStr">
        <is>
          <t>A1:N55</t>
        </is>
      </c>
      <c r="G48" s="187" t="n"/>
      <c r="H48" s="354" t="inlineStr">
        <is>
          <t>1:5</t>
        </is>
      </c>
      <c r="I48" s="186" t="n"/>
      <c r="J48" s="186" t="n"/>
      <c r="K48" s="186" t="n"/>
      <c r="L48" s="186" t="n"/>
      <c r="M48" s="186" t="n"/>
      <c r="N48" s="187" t="n"/>
    </row>
    <row r="49" ht="18" customHeight="1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511" t="inlineStr">
        <is>
          <t>A1:N50</t>
        </is>
      </c>
      <c r="G49" s="187" t="n"/>
      <c r="H49" s="354" t="inlineStr">
        <is>
          <t>1:3</t>
        </is>
      </c>
      <c r="I49" s="186" t="n"/>
      <c r="J49" s="186" t="n"/>
      <c r="K49" s="186" t="n"/>
      <c r="L49" s="186" t="n"/>
      <c r="M49" s="186" t="n"/>
      <c r="N49" s="187" t="n"/>
    </row>
    <row r="51" ht="28" customHeight="1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8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2">
      <c r="B2" s="512" t="inlineStr">
        <is>
          <t>ТРЕНДСТУДИО ХОЛДИНГ</t>
        </is>
      </c>
    </row>
    <row r="3">
      <c r="B3" s="319" t="inlineStr">
        <is>
          <t>Москва, РФ</t>
        </is>
      </c>
    </row>
    <row r="4">
      <c r="B4" s="319" t="inlineStr">
        <is>
          <t>Конфиденциально — для квалифицированных инвесторов</t>
        </is>
      </c>
    </row>
    <row r="6">
      <c r="J6" s="513" t="inlineStr">
        <is>
          <t>Дата: 13 апреля 2026 г.</t>
        </is>
      </c>
    </row>
    <row r="7">
      <c r="J7" s="513" t="inlineStr">
        <is>
          <t>Исх. № TS-2026-04-001</t>
        </is>
      </c>
    </row>
    <row r="9" ht="28" customHeight="1">
      <c r="B9" s="514" t="inlineStr">
        <is>
          <t>СОПРОВОДИТЕЛЬНОЕ ПИСЬМО К ИНВЕСТОР PACKAGE v1.0.1</t>
        </is>
      </c>
    </row>
    <row r="11" ht="22" customHeight="1">
      <c r="B11" s="515" t="inlineStr">
        <is>
          <t>Уважаемый LP (ограниченный партнёр),</t>
        </is>
      </c>
    </row>
    <row r="13" ht="28" customHeight="1">
      <c r="B13" s="51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5" ht="160" customHeight="1">
      <c r="B15" s="51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>
      <c r="B17" s="516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>
      <c r="B19" s="516" t="inlineStr">
        <is>
          <t>ЗАЩИТА ИНВЕСТОРА:
• Waterfall (Каскад) W₅ V-D ★ DEFAULT (ПО УМОЛЧАНИЮ) v1.0.1 (1× Liq Pref (Ликвидационная привилегия) + 12% pref × 5y + catch-up 70/30 + carry 60/40) — IRR (внутренняя норма доходности) 24.75% (margin (маржа) +6.75pp к hurdle (порог) 18%); legacy (базовый вариант) W₃ (18.04%) и W₄ premium (премия) доступны%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>
      <c r="B21" s="51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>
      <c r="B23" s="51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>
      <c r="B26" s="516" t="inlineStr">
        <is>
          <t>С уважением,</t>
        </is>
      </c>
    </row>
    <row r="29">
      <c r="B29" s="517" t="inlineStr">
        <is>
          <t>Генеральный директор</t>
        </is>
      </c>
    </row>
    <row r="30">
      <c r="B30" s="518" t="inlineStr">
        <is>
          <t>ТрендСтудио Холдинг</t>
        </is>
      </c>
    </row>
    <row r="31">
      <c r="B31" s="519" t="inlineStr">
        <is>
          <t>_____________________</t>
        </is>
      </c>
    </row>
    <row r="32">
      <c r="B32" s="520" t="inlineStr">
        <is>
          <t>(подпись) / М.П.</t>
        </is>
      </c>
    </row>
    <row r="35">
      <c r="B35" s="521" t="inlineStr">
        <is>
          <t>ПРИЛОЖЕНИЯ:</t>
        </is>
      </c>
    </row>
    <row r="36" ht="18" customHeight="1">
      <c r="B36" s="477" t="inlineStr">
        <is>
          <t>1. Investor Package (Инвестиционный пакет) v1.0.1 Public — investor_model_v1.0_Public.xlsx (42 листа)</t>
        </is>
      </c>
    </row>
    <row r="37" ht="18" customHeight="1">
      <c r="B37" s="477" t="inlineStr">
        <is>
          <t>2. Executive Summary (Краткое резюме) — см. лист 36</t>
        </is>
      </c>
    </row>
    <row r="38" ht="18" customHeight="1">
      <c r="B38" s="477" t="inlineStr">
        <is>
          <t>3. Due Diligence (Комплексная проверка) Checklist — см. лист 40 (62 пункта)</t>
        </is>
      </c>
    </row>
    <row r="39" ht="18" customHeight="1">
      <c r="B39" s="477" t="inlineStr">
        <is>
          <t>4. Risk Register (Реестр рисков) — см. лист 29 (30 рисков)</t>
        </is>
      </c>
    </row>
    <row r="40" ht="18" customHeight="1">
      <c r="B40" s="477" t="inlineStr">
        <is>
          <t>5. Notes &amp; Sources — см. лист 38 (методология + disclaimers)</t>
        </is>
      </c>
    </row>
    <row r="42" ht="36" customHeight="1">
      <c r="B42" s="482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2:V7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30" customWidth="1" min="22" max="22"/>
  </cols>
  <sheetData>
    <row r="2" ht="30" customHeight="1">
      <c r="B2" s="162" t="inlineStr">
        <is>
          <t>09  ·  P&amp;L STATEMENT  ·  Квартально 2026–2028 + годовые 2029–2032</t>
        </is>
      </c>
    </row>
    <row r="3" ht="18" customHeight="1">
      <c r="B3" s="163" t="inlineStr">
        <is>
          <t>Вариант C · Dual metric: GAAP EBITDA (стандарт) + NDP (legacy). Все суммы — млн ₽.</t>
        </is>
      </c>
    </row>
    <row r="5" ht="22" customHeight="1">
      <c r="B5" s="164" t="inlineStr">
        <is>
          <t>#</t>
        </is>
      </c>
      <c r="C5" s="165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REVENUE  (Net of refunds &amp; commissions)</t>
        </is>
      </c>
    </row>
    <row r="7">
      <c r="B7" s="148" t="inlineStr">
        <is>
          <t>1.1</t>
        </is>
      </c>
      <c r="C7" s="147" t="inlineStr">
        <is>
          <t>Box Office (48% mix)</t>
        </is>
      </c>
      <c r="D7" s="169" t="n">
        <v>0</v>
      </c>
      <c r="E7" s="169" t="n">
        <v>0</v>
      </c>
      <c r="F7" s="169" t="n">
        <v>0</v>
      </c>
      <c r="G7" s="169" t="n">
        <v>148.8</v>
      </c>
      <c r="H7" s="169" t="n">
        <v>120</v>
      </c>
      <c r="I7" s="169" t="n">
        <v>336</v>
      </c>
      <c r="J7" s="169" t="n">
        <v>297.6</v>
      </c>
      <c r="K7" s="169" t="n">
        <v>201.6</v>
      </c>
      <c r="L7" s="169" t="n">
        <v>220.8</v>
      </c>
      <c r="M7" s="169" t="n">
        <v>264</v>
      </c>
      <c r="N7" s="169" t="n">
        <v>398.4</v>
      </c>
      <c r="O7" s="169" t="n">
        <v>194.4</v>
      </c>
      <c r="P7" s="169" t="n">
        <v>182.4</v>
      </c>
      <c r="Q7" s="169" t="n">
        <v>182.4</v>
      </c>
      <c r="R7" s="169" t="n">
        <v>182.4</v>
      </c>
      <c r="S7" s="169" t="n">
        <v>182.4</v>
      </c>
      <c r="T7" s="170" t="n">
        <v>2181.6</v>
      </c>
      <c r="U7" s="170" t="n">
        <v>2911.2</v>
      </c>
    </row>
    <row r="8">
      <c r="B8" s="148" t="inlineStr">
        <is>
          <t>1.2</t>
        </is>
      </c>
      <c r="C8" s="147" t="inlineStr">
        <is>
          <t>SVOD / Streaming (20%)</t>
        </is>
      </c>
      <c r="D8" s="169" t="n">
        <v>0</v>
      </c>
      <c r="E8" s="169" t="n">
        <v>0</v>
      </c>
      <c r="F8" s="169" t="n">
        <v>0</v>
      </c>
      <c r="G8" s="169" t="n">
        <v>62</v>
      </c>
      <c r="H8" s="169" t="n">
        <v>50</v>
      </c>
      <c r="I8" s="169" t="n">
        <v>140</v>
      </c>
      <c r="J8" s="169" t="n">
        <v>124</v>
      </c>
      <c r="K8" s="169" t="n">
        <v>84</v>
      </c>
      <c r="L8" s="169" t="n">
        <v>92</v>
      </c>
      <c r="M8" s="169" t="n">
        <v>110</v>
      </c>
      <c r="N8" s="169" t="n">
        <v>166</v>
      </c>
      <c r="O8" s="169" t="n">
        <v>81</v>
      </c>
      <c r="P8" s="169" t="n">
        <v>76</v>
      </c>
      <c r="Q8" s="169" t="n">
        <v>76</v>
      </c>
      <c r="R8" s="169" t="n">
        <v>76</v>
      </c>
      <c r="S8" s="169" t="n">
        <v>76</v>
      </c>
      <c r="T8" s="170" t="n">
        <v>909</v>
      </c>
      <c r="U8" s="170" t="n">
        <v>1213</v>
      </c>
    </row>
    <row r="9">
      <c r="B9" s="148" t="inlineStr">
        <is>
          <t>1.3</t>
        </is>
      </c>
      <c r="C9" s="147" t="inlineStr">
        <is>
          <t>TV Broadcast (8%)</t>
        </is>
      </c>
      <c r="D9" s="169" t="n">
        <v>0</v>
      </c>
      <c r="E9" s="169" t="n">
        <v>0</v>
      </c>
      <c r="F9" s="169" t="n">
        <v>0</v>
      </c>
      <c r="G9" s="169" t="n">
        <v>24.8</v>
      </c>
      <c r="H9" s="169" t="n">
        <v>20</v>
      </c>
      <c r="I9" s="169" t="n">
        <v>56</v>
      </c>
      <c r="J9" s="169" t="n">
        <v>49.6</v>
      </c>
      <c r="K9" s="169" t="n">
        <v>33.6</v>
      </c>
      <c r="L9" s="169" t="n">
        <v>36.8</v>
      </c>
      <c r="M9" s="169" t="n">
        <v>44</v>
      </c>
      <c r="N9" s="169" t="n">
        <v>66.40000000000001</v>
      </c>
      <c r="O9" s="169" t="n">
        <v>32.4</v>
      </c>
      <c r="P9" s="169" t="n">
        <v>30.4</v>
      </c>
      <c r="Q9" s="169" t="n">
        <v>30.4</v>
      </c>
      <c r="R9" s="169" t="n">
        <v>30.4</v>
      </c>
      <c r="S9" s="169" t="n">
        <v>30.4</v>
      </c>
      <c r="T9" s="170" t="n">
        <v>363.6</v>
      </c>
      <c r="U9" s="170" t="n">
        <v>485.2</v>
      </c>
    </row>
    <row r="10">
      <c r="B10" s="148" t="inlineStr">
        <is>
          <t>1.4</t>
        </is>
      </c>
      <c r="C10" s="147" t="inlineStr">
        <is>
          <t>International sales (10%)</t>
        </is>
      </c>
      <c r="D10" s="169" t="n">
        <v>0</v>
      </c>
      <c r="E10" s="169" t="n">
        <v>0</v>
      </c>
      <c r="F10" s="169" t="n">
        <v>0</v>
      </c>
      <c r="G10" s="169" t="n">
        <v>31</v>
      </c>
      <c r="H10" s="169" t="n">
        <v>25</v>
      </c>
      <c r="I10" s="169" t="n">
        <v>70</v>
      </c>
      <c r="J10" s="169" t="n">
        <v>62</v>
      </c>
      <c r="K10" s="169" t="n">
        <v>42</v>
      </c>
      <c r="L10" s="169" t="n">
        <v>46</v>
      </c>
      <c r="M10" s="169" t="n">
        <v>55</v>
      </c>
      <c r="N10" s="169" t="n">
        <v>83</v>
      </c>
      <c r="O10" s="169" t="n">
        <v>40.5</v>
      </c>
      <c r="P10" s="169" t="n">
        <v>38</v>
      </c>
      <c r="Q10" s="169" t="n">
        <v>38</v>
      </c>
      <c r="R10" s="169" t="n">
        <v>38</v>
      </c>
      <c r="S10" s="169" t="n">
        <v>38</v>
      </c>
      <c r="T10" s="170" t="n">
        <v>454.5</v>
      </c>
      <c r="U10" s="170" t="n">
        <v>606.5</v>
      </c>
    </row>
    <row r="11">
      <c r="B11" s="148" t="inlineStr">
        <is>
          <t>1.5</t>
        </is>
      </c>
      <c r="C11" s="147" t="inlineStr">
        <is>
          <t>Digital / VOD (4%)</t>
        </is>
      </c>
      <c r="D11" s="169" t="n">
        <v>0</v>
      </c>
      <c r="E11" s="169" t="n">
        <v>0</v>
      </c>
      <c r="F11" s="169" t="n">
        <v>0</v>
      </c>
      <c r="G11" s="169" t="n">
        <v>12.4</v>
      </c>
      <c r="H11" s="169" t="n">
        <v>10</v>
      </c>
      <c r="I11" s="169" t="n">
        <v>28</v>
      </c>
      <c r="J11" s="169" t="n">
        <v>24.8</v>
      </c>
      <c r="K11" s="169" t="n">
        <v>16.8</v>
      </c>
      <c r="L11" s="169" t="n">
        <v>18.4</v>
      </c>
      <c r="M11" s="169" t="n">
        <v>22</v>
      </c>
      <c r="N11" s="169" t="n">
        <v>33.2</v>
      </c>
      <c r="O11" s="169" t="n">
        <v>16.2</v>
      </c>
      <c r="P11" s="169" t="n">
        <v>15.2</v>
      </c>
      <c r="Q11" s="169" t="n">
        <v>15.2</v>
      </c>
      <c r="R11" s="169" t="n">
        <v>15.2</v>
      </c>
      <c r="S11" s="169" t="n">
        <v>15.2</v>
      </c>
      <c r="T11" s="170" t="n">
        <v>181.8</v>
      </c>
      <c r="U11" s="170" t="n">
        <v>242.6</v>
      </c>
    </row>
    <row r="12">
      <c r="B12" s="148" t="inlineStr">
        <is>
          <t>1.6</t>
        </is>
      </c>
      <c r="C12" s="147" t="inlineStr">
        <is>
          <t>Sponsorship &amp; Brand Integration (5%)</t>
        </is>
      </c>
      <c r="D12" s="169" t="n">
        <v>0</v>
      </c>
      <c r="E12" s="169" t="n">
        <v>0</v>
      </c>
      <c r="F12" s="169" t="n">
        <v>0</v>
      </c>
      <c r="G12" s="169" t="n">
        <v>15.5</v>
      </c>
      <c r="H12" s="169" t="n">
        <v>12.5</v>
      </c>
      <c r="I12" s="169" t="n">
        <v>35</v>
      </c>
      <c r="J12" s="169" t="n">
        <v>31</v>
      </c>
      <c r="K12" s="169" t="n">
        <v>21</v>
      </c>
      <c r="L12" s="169" t="n">
        <v>23</v>
      </c>
      <c r="M12" s="169" t="n">
        <v>27.5</v>
      </c>
      <c r="N12" s="169" t="n">
        <v>41.5</v>
      </c>
      <c r="O12" s="169" t="n">
        <v>20.25</v>
      </c>
      <c r="P12" s="169" t="n">
        <v>19</v>
      </c>
      <c r="Q12" s="169" t="n">
        <v>19</v>
      </c>
      <c r="R12" s="169" t="n">
        <v>19</v>
      </c>
      <c r="S12" s="169" t="n">
        <v>19</v>
      </c>
      <c r="T12" s="170" t="n">
        <v>227.2</v>
      </c>
      <c r="U12" s="170" t="n">
        <v>303.2</v>
      </c>
    </row>
    <row r="13">
      <c r="B13" s="148" t="inlineStr">
        <is>
          <t>1.7</t>
        </is>
      </c>
      <c r="C13" s="147" t="inlineStr">
        <is>
          <t>Merchandise &amp; Licensing (2%)</t>
        </is>
      </c>
      <c r="D13" s="169" t="n">
        <v>0</v>
      </c>
      <c r="E13" s="169" t="n">
        <v>0</v>
      </c>
      <c r="F13" s="169" t="n">
        <v>0</v>
      </c>
      <c r="G13" s="169" t="n">
        <v>6.2</v>
      </c>
      <c r="H13" s="169" t="n">
        <v>5</v>
      </c>
      <c r="I13" s="169" t="n">
        <v>14</v>
      </c>
      <c r="J13" s="169" t="n">
        <v>12.4</v>
      </c>
      <c r="K13" s="169" t="n">
        <v>8.4</v>
      </c>
      <c r="L13" s="169" t="n">
        <v>9.199999999999999</v>
      </c>
      <c r="M13" s="169" t="n">
        <v>11</v>
      </c>
      <c r="N13" s="169" t="n">
        <v>16.6</v>
      </c>
      <c r="O13" s="169" t="n">
        <v>8.1</v>
      </c>
      <c r="P13" s="169" t="n">
        <v>7.6</v>
      </c>
      <c r="Q13" s="169" t="n">
        <v>7.6</v>
      </c>
      <c r="R13" s="169" t="n">
        <v>7.6</v>
      </c>
      <c r="S13" s="169" t="n">
        <v>7.6</v>
      </c>
      <c r="T13" s="170" t="n">
        <v>90.90000000000001</v>
      </c>
      <c r="U13" s="170" t="n">
        <v>121.3</v>
      </c>
    </row>
    <row r="14">
      <c r="B14" s="148" t="inlineStr">
        <is>
          <t>1.8</t>
        </is>
      </c>
      <c r="C14" s="147" t="inlineStr">
        <is>
          <t>Government Support / Gov Fund (3%)</t>
        </is>
      </c>
      <c r="D14" s="169" t="n">
        <v>0</v>
      </c>
      <c r="E14" s="169" t="n">
        <v>0</v>
      </c>
      <c r="F14" s="169" t="n">
        <v>0</v>
      </c>
      <c r="G14" s="169" t="n">
        <v>9.300000000000001</v>
      </c>
      <c r="H14" s="169" t="n">
        <v>7.5</v>
      </c>
      <c r="I14" s="169" t="n">
        <v>21</v>
      </c>
      <c r="J14" s="169" t="n">
        <v>18.6</v>
      </c>
      <c r="K14" s="169" t="n">
        <v>12.6</v>
      </c>
      <c r="L14" s="169" t="n">
        <v>13.8</v>
      </c>
      <c r="M14" s="169" t="n">
        <v>16.5</v>
      </c>
      <c r="N14" s="169" t="n">
        <v>24.9</v>
      </c>
      <c r="O14" s="169" t="n">
        <v>12.15</v>
      </c>
      <c r="P14" s="169" t="n">
        <v>11.4</v>
      </c>
      <c r="Q14" s="169" t="n">
        <v>11.4</v>
      </c>
      <c r="R14" s="169" t="n">
        <v>11.4</v>
      </c>
      <c r="S14" s="169" t="n">
        <v>11.4</v>
      </c>
      <c r="T14" s="170" t="n">
        <v>136.3</v>
      </c>
      <c r="U14" s="170" t="n">
        <v>182</v>
      </c>
    </row>
    <row r="15">
      <c r="B15" s="148" t="inlineStr">
        <is>
          <t>1.9</t>
        </is>
      </c>
      <c r="C15" s="171" t="inlineStr">
        <is>
          <t>Total Revenue</t>
        </is>
      </c>
      <c r="D15" s="172" t="n">
        <v>0</v>
      </c>
      <c r="E15" s="172" t="n">
        <v>0</v>
      </c>
      <c r="F15" s="172" t="n">
        <v>0</v>
      </c>
      <c r="G15" s="172" t="n">
        <v>310</v>
      </c>
      <c r="H15" s="172" t="n">
        <v>250</v>
      </c>
      <c r="I15" s="172" t="n">
        <v>700</v>
      </c>
      <c r="J15" s="172" t="n">
        <v>620</v>
      </c>
      <c r="K15" s="172" t="n">
        <v>420</v>
      </c>
      <c r="L15" s="172" t="n">
        <v>460</v>
      </c>
      <c r="M15" s="172" t="n">
        <v>550</v>
      </c>
      <c r="N15" s="172" t="n">
        <v>830</v>
      </c>
      <c r="O15" s="172" t="n">
        <v>405</v>
      </c>
      <c r="P15" s="172" t="n">
        <v>380</v>
      </c>
      <c r="Q15" s="172" t="n">
        <v>380</v>
      </c>
      <c r="R15" s="172" t="n">
        <v>380</v>
      </c>
      <c r="S15" s="172" t="n">
        <v>380</v>
      </c>
      <c r="T15" s="173" t="n">
        <v>4545</v>
      </c>
      <c r="U15" s="173" t="n">
        <v>6065</v>
      </c>
    </row>
    <row r="16" ht="20" customHeight="1">
      <c r="B16" s="168" t="inlineStr">
        <is>
          <t>II.  COST OF GOODS SOLD  (Content amortization + P&amp;A)</t>
        </is>
      </c>
    </row>
    <row r="17">
      <c r="B17" s="148" t="inlineStr">
        <is>
          <t>2.1</t>
        </is>
      </c>
      <c r="C17" s="147" t="inlineStr">
        <is>
          <t>Content amortization (production costs)</t>
        </is>
      </c>
      <c r="D17" s="169" t="n">
        <v>0</v>
      </c>
      <c r="E17" s="169" t="n">
        <v>0</v>
      </c>
      <c r="F17" s="169" t="n">
        <v>0</v>
      </c>
      <c r="G17" s="169" t="n">
        <v>126.18</v>
      </c>
      <c r="H17" s="169" t="n">
        <v>101.76</v>
      </c>
      <c r="I17" s="169" t="n">
        <v>284.93</v>
      </c>
      <c r="J17" s="169" t="n">
        <v>252.37</v>
      </c>
      <c r="K17" s="169" t="n">
        <v>170.96</v>
      </c>
      <c r="L17" s="169" t="n">
        <v>187.24</v>
      </c>
      <c r="M17" s="169" t="n">
        <v>223.87</v>
      </c>
      <c r="N17" s="169" t="n">
        <v>337.84</v>
      </c>
      <c r="O17" s="169" t="n">
        <v>164.85</v>
      </c>
      <c r="P17" s="169" t="n">
        <v>154.68</v>
      </c>
      <c r="Q17" s="169" t="n">
        <v>154.68</v>
      </c>
      <c r="R17" s="169" t="n">
        <v>154.68</v>
      </c>
      <c r="S17" s="169" t="n">
        <v>154.68</v>
      </c>
      <c r="T17" s="170" t="n">
        <v>1850</v>
      </c>
      <c r="U17" s="170" t="n">
        <v>2468.7</v>
      </c>
    </row>
    <row r="18">
      <c r="B18" s="148" t="inlineStr">
        <is>
          <t>2.2</t>
        </is>
      </c>
      <c r="C18" s="147" t="inlineStr">
        <is>
          <t>P&amp;A (Prints &amp; Advertising)</t>
        </is>
      </c>
      <c r="D18" s="169" t="n">
        <v>0</v>
      </c>
      <c r="E18" s="169" t="n">
        <v>0</v>
      </c>
      <c r="F18" s="169" t="n">
        <v>0</v>
      </c>
      <c r="G18" s="169" t="n">
        <v>18.93</v>
      </c>
      <c r="H18" s="169" t="n">
        <v>15.26</v>
      </c>
      <c r="I18" s="169" t="n">
        <v>42.74</v>
      </c>
      <c r="J18" s="169" t="n">
        <v>37.85</v>
      </c>
      <c r="K18" s="169" t="n">
        <v>25.64</v>
      </c>
      <c r="L18" s="169" t="n">
        <v>28.09</v>
      </c>
      <c r="M18" s="169" t="n">
        <v>33.58</v>
      </c>
      <c r="N18" s="169" t="n">
        <v>50.68</v>
      </c>
      <c r="O18" s="169" t="n">
        <v>24.73</v>
      </c>
      <c r="P18" s="169" t="n">
        <v>23.2</v>
      </c>
      <c r="Q18" s="169" t="n">
        <v>23.2</v>
      </c>
      <c r="R18" s="169" t="n">
        <v>23.2</v>
      </c>
      <c r="S18" s="169" t="n">
        <v>23.2</v>
      </c>
      <c r="T18" s="170" t="n">
        <v>277.5</v>
      </c>
      <c r="U18" s="170" t="n">
        <v>370.3</v>
      </c>
    </row>
    <row r="19">
      <c r="B19" s="148" t="inlineStr">
        <is>
          <t>2.3</t>
        </is>
      </c>
      <c r="C19" s="171" t="inlineStr">
        <is>
          <t>Total COGS</t>
        </is>
      </c>
      <c r="D19" s="172" t="n">
        <v>0</v>
      </c>
      <c r="E19" s="172" t="n">
        <v>0</v>
      </c>
      <c r="F19" s="172" t="n">
        <v>0</v>
      </c>
      <c r="G19" s="172" t="n">
        <v>145.11</v>
      </c>
      <c r="H19" s="172" t="n">
        <v>117.02</v>
      </c>
      <c r="I19" s="172" t="n">
        <v>327.67</v>
      </c>
      <c r="J19" s="172" t="n">
        <v>290.22</v>
      </c>
      <c r="K19" s="172" t="n">
        <v>196.6</v>
      </c>
      <c r="L19" s="172" t="n">
        <v>215.32</v>
      </c>
      <c r="M19" s="172" t="n">
        <v>257.45</v>
      </c>
      <c r="N19" s="172" t="n">
        <v>388.52</v>
      </c>
      <c r="O19" s="172" t="n">
        <v>189.58</v>
      </c>
      <c r="P19" s="172" t="n">
        <v>177.88</v>
      </c>
      <c r="Q19" s="172" t="n">
        <v>177.88</v>
      </c>
      <c r="R19" s="172" t="n">
        <v>177.88</v>
      </c>
      <c r="S19" s="172" t="n">
        <v>177.88</v>
      </c>
      <c r="T19" s="172" t="n">
        <v>2127.5</v>
      </c>
      <c r="U19" s="172" t="n">
        <v>2839</v>
      </c>
    </row>
    <row r="20">
      <c r="B20" s="148" t="inlineStr">
        <is>
          <t>2.4</t>
        </is>
      </c>
      <c r="C20" s="171" t="inlineStr">
        <is>
          <t>GROSS PROFIT</t>
        </is>
      </c>
      <c r="D20" s="172" t="n">
        <v>0</v>
      </c>
      <c r="E20" s="172" t="n">
        <v>0</v>
      </c>
      <c r="F20" s="172" t="n">
        <v>0</v>
      </c>
      <c r="G20" s="172" t="n">
        <v>164.89</v>
      </c>
      <c r="H20" s="172" t="n">
        <v>132.98</v>
      </c>
      <c r="I20" s="172" t="n">
        <v>372.33</v>
      </c>
      <c r="J20" s="172" t="n">
        <v>329.78</v>
      </c>
      <c r="K20" s="172" t="n">
        <v>223.4</v>
      </c>
      <c r="L20" s="172" t="n">
        <v>244.68</v>
      </c>
      <c r="M20" s="172" t="n">
        <v>292.55</v>
      </c>
      <c r="N20" s="172" t="n">
        <v>441.48</v>
      </c>
      <c r="O20" s="172" t="n">
        <v>215.42</v>
      </c>
      <c r="P20" s="172" t="n">
        <v>202.12</v>
      </c>
      <c r="Q20" s="172" t="n">
        <v>202.12</v>
      </c>
      <c r="R20" s="172" t="n">
        <v>202.12</v>
      </c>
      <c r="S20" s="172" t="n">
        <v>202.12</v>
      </c>
      <c r="T20" s="172" t="n">
        <v>2417.5</v>
      </c>
      <c r="U20" s="172" t="n">
        <v>3226</v>
      </c>
    </row>
    <row r="22" ht="20" customHeight="1">
      <c r="B22" s="168" t="inlineStr">
        <is>
          <t>III.  OPERATING EXPENSES</t>
        </is>
      </c>
    </row>
    <row r="23">
      <c r="B23" s="148" t="inlineStr">
        <is>
          <t>3.1</t>
        </is>
      </c>
      <c r="C23" s="147" t="inlineStr">
        <is>
          <t>ФОТ + соц.налоги (A₁ Fixed)</t>
        </is>
      </c>
      <c r="D23" s="169" t="n">
        <v>18.49</v>
      </c>
      <c r="E23" s="169" t="n">
        <v>18.49</v>
      </c>
      <c r="F23" s="169" t="n">
        <v>18.49</v>
      </c>
      <c r="G23" s="169" t="n">
        <v>18.49</v>
      </c>
      <c r="H23" s="169" t="n">
        <v>18.49</v>
      </c>
      <c r="I23" s="169" t="n">
        <v>18.49</v>
      </c>
      <c r="J23" s="169" t="n">
        <v>18.49</v>
      </c>
      <c r="K23" s="169" t="n">
        <v>18.49</v>
      </c>
      <c r="L23" s="169" t="n">
        <v>18.49</v>
      </c>
      <c r="M23" s="169" t="n">
        <v>18.49</v>
      </c>
      <c r="N23" s="169" t="n">
        <v>18.49</v>
      </c>
      <c r="O23" s="169" t="n">
        <v>18.49</v>
      </c>
      <c r="P23" s="169" t="n">
        <v>73.95</v>
      </c>
      <c r="Q23" s="169" t="n">
        <v>73.95</v>
      </c>
      <c r="R23" s="169" t="n">
        <v>73.95</v>
      </c>
      <c r="S23" s="169" t="n">
        <v>73.95</v>
      </c>
      <c r="T23" s="170" t="n">
        <v>221.9</v>
      </c>
      <c r="U23" s="170" t="n">
        <v>517.7</v>
      </c>
    </row>
    <row r="24">
      <c r="B24" s="148" t="inlineStr">
        <is>
          <t>3.2</t>
        </is>
      </c>
      <c r="C24" s="147" t="inlineStr">
        <is>
          <t>Аренда, коммунальные, связь</t>
        </is>
      </c>
      <c r="D24" s="169" t="n">
        <v>0.75</v>
      </c>
      <c r="E24" s="169" t="n">
        <v>0.75</v>
      </c>
      <c r="F24" s="169" t="n">
        <v>0.75</v>
      </c>
      <c r="G24" s="169" t="n">
        <v>0.75</v>
      </c>
      <c r="H24" s="169" t="n">
        <v>0.75</v>
      </c>
      <c r="I24" s="169" t="n">
        <v>0.75</v>
      </c>
      <c r="J24" s="169" t="n">
        <v>0.75</v>
      </c>
      <c r="K24" s="169" t="n">
        <v>0.75</v>
      </c>
      <c r="L24" s="169" t="n">
        <v>0.75</v>
      </c>
      <c r="M24" s="169" t="n">
        <v>0.75</v>
      </c>
      <c r="N24" s="169" t="n">
        <v>0.75</v>
      </c>
      <c r="O24" s="169" t="n">
        <v>0.75</v>
      </c>
      <c r="P24" s="169" t="n">
        <v>3</v>
      </c>
      <c r="Q24" s="169" t="n">
        <v>3</v>
      </c>
      <c r="R24" s="169" t="n">
        <v>3</v>
      </c>
      <c r="S24" s="169" t="n">
        <v>3</v>
      </c>
      <c r="T24" s="170" t="n">
        <v>9</v>
      </c>
      <c r="U24" s="170" t="n">
        <v>21</v>
      </c>
    </row>
    <row r="25">
      <c r="B25" s="148" t="inlineStr">
        <is>
          <t>3.3</t>
        </is>
      </c>
      <c r="C25" s="147" t="inlineStr">
        <is>
          <t>ПО, канцелярия, банковские</t>
        </is>
      </c>
      <c r="D25" s="169" t="n">
        <v>0.34</v>
      </c>
      <c r="E25" s="169" t="n">
        <v>0.34</v>
      </c>
      <c r="F25" s="169" t="n">
        <v>0.34</v>
      </c>
      <c r="G25" s="169" t="n">
        <v>0.34</v>
      </c>
      <c r="H25" s="169" t="n">
        <v>0.34</v>
      </c>
      <c r="I25" s="169" t="n">
        <v>0.34</v>
      </c>
      <c r="J25" s="169" t="n">
        <v>0.34</v>
      </c>
      <c r="K25" s="169" t="n">
        <v>0.34</v>
      </c>
      <c r="L25" s="169" t="n">
        <v>0.34</v>
      </c>
      <c r="M25" s="169" t="n">
        <v>0.34</v>
      </c>
      <c r="N25" s="169" t="n">
        <v>0.34</v>
      </c>
      <c r="O25" s="169" t="n">
        <v>0.34</v>
      </c>
      <c r="P25" s="169" t="n">
        <v>1.36</v>
      </c>
      <c r="Q25" s="169" t="n">
        <v>1.36</v>
      </c>
      <c r="R25" s="169" t="n">
        <v>1.36</v>
      </c>
      <c r="S25" s="169" t="n">
        <v>1.36</v>
      </c>
      <c r="T25" s="170" t="n">
        <v>4.1</v>
      </c>
      <c r="U25" s="170" t="n">
        <v>9.5</v>
      </c>
    </row>
    <row r="26">
      <c r="B26" s="148" t="inlineStr">
        <is>
          <t>3.4</t>
        </is>
      </c>
      <c r="C26" s="147" t="inlineStr">
        <is>
          <t>Командировки, консультанты, маркетинг</t>
        </is>
      </c>
      <c r="D26" s="169" t="n">
        <v>2.55</v>
      </c>
      <c r="E26" s="169" t="n">
        <v>2.55</v>
      </c>
      <c r="F26" s="169" t="n">
        <v>2.55</v>
      </c>
      <c r="G26" s="169" t="n">
        <v>2.55</v>
      </c>
      <c r="H26" s="169" t="n">
        <v>2.55</v>
      </c>
      <c r="I26" s="169" t="n">
        <v>2.55</v>
      </c>
      <c r="J26" s="169" t="n">
        <v>2.55</v>
      </c>
      <c r="K26" s="169" t="n">
        <v>2.55</v>
      </c>
      <c r="L26" s="169" t="n">
        <v>2.55</v>
      </c>
      <c r="M26" s="169" t="n">
        <v>2.55</v>
      </c>
      <c r="N26" s="169" t="n">
        <v>2.55</v>
      </c>
      <c r="O26" s="169" t="n">
        <v>2.55</v>
      </c>
      <c r="P26" s="169" t="n">
        <v>10.2</v>
      </c>
      <c r="Q26" s="169" t="n">
        <v>10.2</v>
      </c>
      <c r="R26" s="169" t="n">
        <v>10.2</v>
      </c>
      <c r="S26" s="169" t="n">
        <v>10.2</v>
      </c>
      <c r="T26" s="170" t="n">
        <v>30.6</v>
      </c>
      <c r="U26" s="170" t="n">
        <v>71.40000000000001</v>
      </c>
    </row>
    <row r="27">
      <c r="B27" s="148" t="inlineStr">
        <is>
          <t>3.5</t>
        </is>
      </c>
      <c r="C27" s="171" t="inlineStr">
        <is>
          <t>Total OpEx</t>
        </is>
      </c>
      <c r="D27" s="172" t="n">
        <v>22.13</v>
      </c>
      <c r="E27" s="172" t="n">
        <v>22.13</v>
      </c>
      <c r="F27" s="172" t="n">
        <v>22.13</v>
      </c>
      <c r="G27" s="172" t="n">
        <v>22.13</v>
      </c>
      <c r="H27" s="172" t="n">
        <v>22.13</v>
      </c>
      <c r="I27" s="172" t="n">
        <v>22.13</v>
      </c>
      <c r="J27" s="172" t="n">
        <v>22.13</v>
      </c>
      <c r="K27" s="172" t="n">
        <v>22.13</v>
      </c>
      <c r="L27" s="172" t="n">
        <v>22.13</v>
      </c>
      <c r="M27" s="172" t="n">
        <v>22.13</v>
      </c>
      <c r="N27" s="172" t="n">
        <v>22.13</v>
      </c>
      <c r="O27" s="172" t="n">
        <v>22.13</v>
      </c>
      <c r="P27" s="172" t="n">
        <v>88.51000000000001</v>
      </c>
      <c r="Q27" s="172" t="n">
        <v>88.51000000000001</v>
      </c>
      <c r="R27" s="172" t="n">
        <v>88.51000000000001</v>
      </c>
      <c r="S27" s="172" t="n">
        <v>88.51000000000001</v>
      </c>
      <c r="T27" s="172" t="n">
        <v>265.6</v>
      </c>
      <c r="U27" s="172" t="n">
        <v>619.6</v>
      </c>
    </row>
    <row r="28">
      <c r="B28" s="148" t="inlineStr">
        <is>
          <t>3.6</t>
        </is>
      </c>
      <c r="C28" s="171" t="inlineStr">
        <is>
          <t>EBITDA  (GAAP, standard)</t>
        </is>
      </c>
      <c r="D28" s="172" t="n">
        <v>-22.13</v>
      </c>
      <c r="E28" s="172" t="n">
        <v>-22.13</v>
      </c>
      <c r="F28" s="172" t="n">
        <v>-22.13</v>
      </c>
      <c r="G28" s="172" t="n">
        <v>142.76</v>
      </c>
      <c r="H28" s="172" t="n">
        <v>110.85</v>
      </c>
      <c r="I28" s="172" t="n">
        <v>350.2</v>
      </c>
      <c r="J28" s="172" t="n">
        <v>307.65</v>
      </c>
      <c r="K28" s="172" t="n">
        <v>201.27</v>
      </c>
      <c r="L28" s="172" t="n">
        <v>222.55</v>
      </c>
      <c r="M28" s="172" t="n">
        <v>270.42</v>
      </c>
      <c r="N28" s="172" t="n">
        <v>419.35</v>
      </c>
      <c r="O28" s="172" t="n">
        <v>193.29</v>
      </c>
      <c r="P28" s="172" t="n">
        <v>113.61</v>
      </c>
      <c r="Q28" s="172" t="n">
        <v>113.61</v>
      </c>
      <c r="R28" s="172" t="n">
        <v>113.61</v>
      </c>
      <c r="S28" s="172" t="n">
        <v>113.61</v>
      </c>
      <c r="T28" s="173" t="n">
        <v>2151.9</v>
      </c>
      <c r="U28" s="173" t="n">
        <v>2606.4</v>
      </c>
    </row>
    <row r="30" ht="20" customHeight="1">
      <c r="B30" s="168" t="inlineStr">
        <is>
          <t>IV.  BELOW-THE-LINE  (D&amp;A · Interest · Tax)</t>
        </is>
      </c>
    </row>
    <row r="31">
      <c r="B31" s="148" t="inlineStr">
        <is>
          <t>4.1</t>
        </is>
      </c>
      <c r="C31" s="147" t="inlineStr">
        <is>
          <t>Depreciation &amp; Amortization</t>
        </is>
      </c>
      <c r="D31" s="169" t="n">
        <v>0.75</v>
      </c>
      <c r="E31" s="169" t="n">
        <v>0.75</v>
      </c>
      <c r="F31" s="169" t="n">
        <v>0.75</v>
      </c>
      <c r="G31" s="169" t="n">
        <v>0.75</v>
      </c>
      <c r="H31" s="169" t="n">
        <v>0.75</v>
      </c>
      <c r="I31" s="169" t="n">
        <v>0.75</v>
      </c>
      <c r="J31" s="169" t="n">
        <v>0.75</v>
      </c>
      <c r="K31" s="169" t="n">
        <v>0.75</v>
      </c>
      <c r="L31" s="169" t="n">
        <v>0.75</v>
      </c>
      <c r="M31" s="169" t="n">
        <v>0.75</v>
      </c>
      <c r="N31" s="169" t="n">
        <v>0.75</v>
      </c>
      <c r="O31" s="169" t="n">
        <v>0.75</v>
      </c>
      <c r="P31" s="169" t="n">
        <v>3</v>
      </c>
      <c r="Q31" s="169" t="n">
        <v>3</v>
      </c>
      <c r="R31" s="169" t="n">
        <v>3</v>
      </c>
      <c r="S31" s="169" t="n">
        <v>3</v>
      </c>
      <c r="T31" s="170" t="n">
        <v>9</v>
      </c>
      <c r="U31" s="170" t="n">
        <v>21</v>
      </c>
    </row>
    <row r="32">
      <c r="B32" s="148" t="inlineStr">
        <is>
          <t>4.2</t>
        </is>
      </c>
      <c r="C32" s="171" t="inlineStr">
        <is>
          <t>EBIT  (Operating Income)</t>
        </is>
      </c>
      <c r="D32" s="172" t="n">
        <v>-22.88</v>
      </c>
      <c r="E32" s="172" t="n">
        <v>-22.88</v>
      </c>
      <c r="F32" s="172" t="n">
        <v>-22.88</v>
      </c>
      <c r="G32" s="172" t="n">
        <v>142.01</v>
      </c>
      <c r="H32" s="172" t="n">
        <v>110.1</v>
      </c>
      <c r="I32" s="172" t="n">
        <v>349.45</v>
      </c>
      <c r="J32" s="172" t="n">
        <v>306.9</v>
      </c>
      <c r="K32" s="172" t="n">
        <v>200.52</v>
      </c>
      <c r="L32" s="172" t="n">
        <v>221.8</v>
      </c>
      <c r="M32" s="172" t="n">
        <v>269.67</v>
      </c>
      <c r="N32" s="172" t="n">
        <v>418.6</v>
      </c>
      <c r="O32" s="172" t="n">
        <v>192.54</v>
      </c>
      <c r="P32" s="172" t="n">
        <v>110.61</v>
      </c>
      <c r="Q32" s="172" t="n">
        <v>110.61</v>
      </c>
      <c r="R32" s="172" t="n">
        <v>110.61</v>
      </c>
      <c r="S32" s="172" t="n">
        <v>110.61</v>
      </c>
      <c r="T32" s="172" t="n">
        <v>2142.9</v>
      </c>
      <c r="U32" s="172" t="n">
        <v>2585.4</v>
      </c>
    </row>
    <row r="33">
      <c r="B33" s="148" t="inlineStr">
        <is>
          <t>4.3</t>
        </is>
      </c>
      <c r="C33" s="147" t="inlineStr">
        <is>
          <t>Interest expense (T₁ Legacy tranches)</t>
        </is>
      </c>
      <c r="D33" s="169" t="n">
        <v>1</v>
      </c>
      <c r="E33" s="169" t="n">
        <v>1</v>
      </c>
      <c r="F33" s="169" t="n">
        <v>1.5</v>
      </c>
      <c r="G33" s="169" t="n">
        <v>1.5</v>
      </c>
      <c r="H33" s="169" t="n">
        <v>1.5</v>
      </c>
      <c r="I33" s="169" t="n">
        <v>1.5</v>
      </c>
      <c r="J33" s="169" t="n">
        <v>1.5</v>
      </c>
      <c r="K33" s="169" t="n">
        <v>1.5</v>
      </c>
      <c r="L33" s="169" t="n">
        <v>0.75</v>
      </c>
      <c r="M33" s="169" t="n">
        <v>0.75</v>
      </c>
      <c r="N33" s="169" t="n">
        <v>0.5</v>
      </c>
      <c r="O33" s="169" t="n">
        <v>0.5</v>
      </c>
      <c r="P33" s="169" t="n">
        <v>1</v>
      </c>
      <c r="Q33" s="169" t="n">
        <v>0.5</v>
      </c>
      <c r="R33" s="169" t="n">
        <v>0</v>
      </c>
      <c r="S33" s="169" t="n">
        <v>0</v>
      </c>
      <c r="T33" s="170" t="n">
        <v>13.5</v>
      </c>
      <c r="U33" s="170" t="n">
        <v>15</v>
      </c>
    </row>
    <row r="34">
      <c r="B34" s="148" t="inlineStr">
        <is>
          <t>4.4</t>
        </is>
      </c>
      <c r="C34" s="171" t="inlineStr">
        <is>
          <t>EBT  (Earnings Before Tax)</t>
        </is>
      </c>
      <c r="D34" s="172" t="n">
        <v>-23.88</v>
      </c>
      <c r="E34" s="172" t="n">
        <v>-23.88</v>
      </c>
      <c r="F34" s="172" t="n">
        <v>-24.38</v>
      </c>
      <c r="G34" s="172" t="n">
        <v>140.51</v>
      </c>
      <c r="H34" s="172" t="n">
        <v>108.6</v>
      </c>
      <c r="I34" s="172" t="n">
        <v>347.95</v>
      </c>
      <c r="J34" s="172" t="n">
        <v>305.4</v>
      </c>
      <c r="K34" s="172" t="n">
        <v>199.02</v>
      </c>
      <c r="L34" s="172" t="n">
        <v>221.05</v>
      </c>
      <c r="M34" s="172" t="n">
        <v>268.92</v>
      </c>
      <c r="N34" s="172" t="n">
        <v>418.1</v>
      </c>
      <c r="O34" s="172" t="n">
        <v>192.04</v>
      </c>
      <c r="P34" s="172" t="n">
        <v>109.61</v>
      </c>
      <c r="Q34" s="172" t="n">
        <v>110.11</v>
      </c>
      <c r="R34" s="172" t="n">
        <v>110.61</v>
      </c>
      <c r="S34" s="172" t="n">
        <v>110.61</v>
      </c>
      <c r="T34" s="172" t="n">
        <v>2129.4</v>
      </c>
      <c r="U34" s="172" t="n">
        <v>2570.4</v>
      </c>
    </row>
    <row r="35">
      <c r="B35" s="148" t="inlineStr">
        <is>
          <t>4.5</t>
        </is>
      </c>
      <c r="C35" s="147" t="inlineStr">
        <is>
          <t>Income tax (20%)</t>
        </is>
      </c>
      <c r="D35" s="169" t="n">
        <v>0</v>
      </c>
      <c r="E35" s="169" t="n">
        <v>0</v>
      </c>
      <c r="F35" s="169" t="n">
        <v>0</v>
      </c>
      <c r="G35" s="169" t="n">
        <v>28.1</v>
      </c>
      <c r="H35" s="169" t="n">
        <v>21.72</v>
      </c>
      <c r="I35" s="169" t="n">
        <v>69.59</v>
      </c>
      <c r="J35" s="169" t="n">
        <v>61.08</v>
      </c>
      <c r="K35" s="169" t="n">
        <v>39.8</v>
      </c>
      <c r="L35" s="169" t="n">
        <v>44.21</v>
      </c>
      <c r="M35" s="169" t="n">
        <v>53.78</v>
      </c>
      <c r="N35" s="169" t="n">
        <v>83.62</v>
      </c>
      <c r="O35" s="169" t="n">
        <v>38.41</v>
      </c>
      <c r="P35" s="169" t="n">
        <v>21.92</v>
      </c>
      <c r="Q35" s="169" t="n">
        <v>22.02</v>
      </c>
      <c r="R35" s="169" t="n">
        <v>22.12</v>
      </c>
      <c r="S35" s="169" t="n">
        <v>22.12</v>
      </c>
      <c r="T35" s="170" t="n">
        <v>440.3</v>
      </c>
      <c r="U35" s="170" t="n">
        <v>528.5</v>
      </c>
    </row>
    <row r="36">
      <c r="B36" s="148" t="inlineStr">
        <is>
          <t>4.6</t>
        </is>
      </c>
      <c r="C36" s="171" t="inlineStr">
        <is>
          <t>NET INCOME</t>
        </is>
      </c>
      <c r="D36" s="172" t="n">
        <v>-23.88</v>
      </c>
      <c r="E36" s="172" t="n">
        <v>-23.88</v>
      </c>
      <c r="F36" s="172" t="n">
        <v>-24.38</v>
      </c>
      <c r="G36" s="172" t="n">
        <v>112.41</v>
      </c>
      <c r="H36" s="172" t="n">
        <v>86.88</v>
      </c>
      <c r="I36" s="172" t="n">
        <v>278.36</v>
      </c>
      <c r="J36" s="172" t="n">
        <v>244.32</v>
      </c>
      <c r="K36" s="172" t="n">
        <v>159.22</v>
      </c>
      <c r="L36" s="172" t="n">
        <v>176.84</v>
      </c>
      <c r="M36" s="172" t="n">
        <v>215.13</v>
      </c>
      <c r="N36" s="172" t="n">
        <v>334.48</v>
      </c>
      <c r="O36" s="172" t="n">
        <v>153.63</v>
      </c>
      <c r="P36" s="172" t="n">
        <v>87.69</v>
      </c>
      <c r="Q36" s="172" t="n">
        <v>88.09</v>
      </c>
      <c r="R36" s="172" t="n">
        <v>88.48999999999999</v>
      </c>
      <c r="S36" s="172" t="n">
        <v>88.48999999999999</v>
      </c>
      <c r="T36" s="173" t="n">
        <v>1689.1</v>
      </c>
      <c r="U36" s="173" t="n">
        <v>2041.9</v>
      </c>
    </row>
    <row r="38" ht="20" customHeight="1">
      <c r="B38" s="168" t="inlineStr">
        <is>
          <t>V.  KEY MARGINS (%)</t>
        </is>
      </c>
    </row>
    <row r="39" ht="18" customHeight="1">
      <c r="B39" s="148" t="inlineStr">
        <is>
          <t>5.1</t>
        </is>
      </c>
      <c r="C39" s="174" t="inlineStr">
        <is>
          <t>Gross margin, %</t>
        </is>
      </c>
      <c r="D39" s="175" t="n">
        <v>0</v>
      </c>
      <c r="E39" s="175" t="n">
        <v>0</v>
      </c>
      <c r="F39" s="175" t="n">
        <v>0</v>
      </c>
      <c r="G39" s="175" t="n">
        <v>53.2</v>
      </c>
      <c r="H39" s="175" t="n">
        <v>53.2</v>
      </c>
      <c r="I39" s="175" t="n">
        <v>53.2</v>
      </c>
      <c r="J39" s="175" t="n">
        <v>53.2</v>
      </c>
      <c r="K39" s="175" t="n">
        <v>53.2</v>
      </c>
      <c r="L39" s="175" t="n">
        <v>53.2</v>
      </c>
      <c r="M39" s="175" t="n">
        <v>53.2</v>
      </c>
      <c r="N39" s="175" t="n">
        <v>53.2</v>
      </c>
      <c r="O39" s="175" t="n">
        <v>53.2</v>
      </c>
      <c r="P39" s="175" t="n">
        <v>53.2</v>
      </c>
      <c r="Q39" s="175" t="n">
        <v>53.2</v>
      </c>
      <c r="R39" s="175" t="n">
        <v>53.2</v>
      </c>
      <c r="S39" s="175" t="n">
        <v>53.2</v>
      </c>
      <c r="T39" s="176" t="n">
        <v>53.2</v>
      </c>
    </row>
    <row r="40" ht="18" customHeight="1">
      <c r="B40" s="148" t="inlineStr">
        <is>
          <t>5.2</t>
        </is>
      </c>
      <c r="C40" s="174" t="inlineStr">
        <is>
          <t>EBITDA margin, %</t>
        </is>
      </c>
      <c r="D40" s="175" t="n">
        <v>0</v>
      </c>
      <c r="E40" s="175" t="n">
        <v>0</v>
      </c>
      <c r="F40" s="175" t="n">
        <v>0</v>
      </c>
      <c r="G40" s="175" t="n">
        <v>46.1</v>
      </c>
      <c r="H40" s="175" t="n">
        <v>44.3</v>
      </c>
      <c r="I40" s="175" t="n">
        <v>50</v>
      </c>
      <c r="J40" s="175" t="n">
        <v>49.6</v>
      </c>
      <c r="K40" s="175" t="n">
        <v>47.9</v>
      </c>
      <c r="L40" s="175" t="n">
        <v>48.4</v>
      </c>
      <c r="M40" s="175" t="n">
        <v>49.2</v>
      </c>
      <c r="N40" s="175" t="n">
        <v>50.5</v>
      </c>
      <c r="O40" s="175" t="n">
        <v>47.7</v>
      </c>
      <c r="P40" s="175" t="n">
        <v>29.9</v>
      </c>
      <c r="Q40" s="175" t="n">
        <v>29.9</v>
      </c>
      <c r="R40" s="175" t="n">
        <v>29.9</v>
      </c>
      <c r="S40" s="175" t="n">
        <v>29.9</v>
      </c>
      <c r="T40" s="176" t="n">
        <v>47.3</v>
      </c>
    </row>
    <row r="41" ht="18" customHeight="1">
      <c r="B41" s="148" t="inlineStr">
        <is>
          <t>5.3</t>
        </is>
      </c>
      <c r="C41" s="174" t="inlineStr">
        <is>
          <t>Net margin, %</t>
        </is>
      </c>
      <c r="D41" s="175" t="n">
        <v>0</v>
      </c>
      <c r="E41" s="175" t="n">
        <v>0</v>
      </c>
      <c r="F41" s="175" t="n">
        <v>0</v>
      </c>
      <c r="G41" s="175" t="n">
        <v>36.3</v>
      </c>
      <c r="H41" s="175" t="n">
        <v>34.8</v>
      </c>
      <c r="I41" s="175" t="n">
        <v>39.8</v>
      </c>
      <c r="J41" s="175" t="n">
        <v>39.4</v>
      </c>
      <c r="K41" s="175" t="n">
        <v>37.9</v>
      </c>
      <c r="L41" s="175" t="n">
        <v>38.4</v>
      </c>
      <c r="M41" s="175" t="n">
        <v>39.1</v>
      </c>
      <c r="N41" s="175" t="n">
        <v>40.3</v>
      </c>
      <c r="O41" s="175" t="n">
        <v>37.9</v>
      </c>
      <c r="P41" s="175" t="n">
        <v>23.1</v>
      </c>
      <c r="Q41" s="175" t="n">
        <v>23.2</v>
      </c>
      <c r="R41" s="175" t="n">
        <v>23.3</v>
      </c>
      <c r="S41" s="175" t="n">
        <v>23.3</v>
      </c>
      <c r="T41" s="176" t="n">
        <v>37.2</v>
      </c>
    </row>
    <row r="44" ht="24" customHeight="1">
      <c r="B44" s="149" t="inlineStr">
        <is>
          <t>VI.  NDP RECONCILIATION BRIDGE  ·  EBITDA (GAAP) → NDP (legacy v1.4.4 anchor)</t>
        </is>
      </c>
    </row>
    <row r="45" ht="30" customHeight="1">
      <c r="B45" s="177" t="inlineStr">
        <is>
          <t>Бридж связывает стандартную GAAP EBITDA (2 152 млн ₽) с legacy-якорем NDP (3 000 млн ₽) из v1.4.4. Разница объясняется участием продюсера (off-P&amp;L equity) и временными / оборотными эффектами.</t>
        </is>
      </c>
    </row>
    <row r="47" ht="20" customHeight="1">
      <c r="B47" s="145" t="inlineStr">
        <is>
          <t>#</t>
        </is>
      </c>
      <c r="C47" s="178" t="inlineStr">
        <is>
          <t>Компонент</t>
        </is>
      </c>
      <c r="L47" s="145" t="inlineStr">
        <is>
          <t>Σ 2026–2028, млн ₽</t>
        </is>
      </c>
      <c r="O47" s="145" t="inlineStr">
        <is>
          <t>Тип</t>
        </is>
      </c>
      <c r="R47" s="178" t="inlineStr">
        <is>
          <t>Комментарий</t>
        </is>
      </c>
    </row>
    <row r="48" ht="20" customHeight="1">
      <c r="B48" s="148" t="inlineStr">
        <is>
          <t>1</t>
        </is>
      </c>
      <c r="C48" s="147" t="inlineStr">
        <is>
          <t>EBITDA (GAAP, standard) Σ 2026–2028</t>
        </is>
      </c>
      <c r="L48" s="151" t="n">
        <v>2152</v>
      </c>
      <c r="O48" s="148" t="inlineStr"/>
      <c r="R48" s="159" t="inlineStr">
        <is>
          <t>Из строки 3.6 выше</t>
        </is>
      </c>
    </row>
    <row r="49" ht="20" customHeight="1">
      <c r="B49" s="148" t="inlineStr">
        <is>
          <t>2</t>
        </is>
      </c>
      <c r="C49" s="147" t="inlineStr">
        <is>
          <t>(+) Producer equity contribution add-back</t>
        </is>
      </c>
      <c r="L49" s="151" t="n">
        <v>600</v>
      </c>
      <c r="O49" s="148" t="inlineStr">
        <is>
          <t>+</t>
        </is>
      </c>
      <c r="R49" s="159" t="inlineStr">
        <is>
          <t>JV capital: 600 млн, off-P&amp;L minority interest</t>
        </is>
      </c>
    </row>
    <row r="50" ht="20" customHeight="1">
      <c r="B50" s="148" t="inlineStr">
        <is>
          <t>3</t>
        </is>
      </c>
      <c r="C50" s="147" t="inlineStr">
        <is>
          <t>(+) Working capital release &amp; gov credit timing</t>
        </is>
      </c>
      <c r="L50" s="151" t="n">
        <v>248</v>
      </c>
      <c r="O50" s="148" t="inlineStr">
        <is>
          <t>+</t>
        </is>
      </c>
      <c r="R50" s="159" t="inlineStr">
        <is>
          <t>Налоговый кредит 25% и высвобождение WC за периметром P&amp;L</t>
        </is>
      </c>
    </row>
    <row r="51" ht="20" customHeight="1">
      <c r="B51" s="179" t="inlineStr">
        <is>
          <t>=</t>
        </is>
      </c>
      <c r="C51" s="180" t="inlineStr">
        <is>
          <t>NDP Σ 2026–2028  (legacy anchor)</t>
        </is>
      </c>
      <c r="L51" s="181" t="n">
        <v>3000</v>
      </c>
      <c r="O51" s="179" t="inlineStr">
        <is>
          <t>ANCHOR</t>
        </is>
      </c>
      <c r="R51" s="182" t="inlineStr">
        <is>
          <t>★ Инвариант v1.4.4, закреплено</t>
        </is>
      </c>
    </row>
    <row r="52" ht="20" customHeight="1">
      <c r="B52" s="148" t="inlineStr">
        <is>
          <t>4</t>
        </is>
      </c>
      <c r="C52" s="147" t="inlineStr">
        <is>
          <t>(−) Producer share (60 / 40 waterfall W₁)</t>
        </is>
      </c>
      <c r="L52" s="151" t="n">
        <v>-785</v>
      </c>
      <c r="O52" s="148" t="inlineStr">
        <is>
          <t>−</t>
        </is>
      </c>
      <c r="R52" s="159" t="inlineStr">
        <is>
          <t>Доля продюсера по дефолтному каскаду</t>
        </is>
      </c>
    </row>
    <row r="53" ht="20" customHeight="1">
      <c r="B53" s="153" t="inlineStr">
        <is>
          <t>=</t>
        </is>
      </c>
      <c r="C53" s="154" t="inlineStr">
        <is>
          <t>Investor Net Distributable Proceeds</t>
        </is>
      </c>
      <c r="L53" s="155" t="n">
        <v>2215</v>
      </c>
      <c r="O53" s="153" t="inlineStr">
        <is>
          <t>INVESTOR</t>
        </is>
      </c>
      <c r="R53" s="183" t="inlineStr">
        <is>
          <t>Чистые распределения инвестору T₁</t>
        </is>
      </c>
    </row>
    <row r="55" ht="24" customHeight="1">
      <c r="B55" s="184" t="inlineStr">
        <is>
          <t>✓ Anchor check: EBITDA (GAAP) 2 152 + Producer 600 + WC/Gov 248 = NDP 3 000 ✓  |  3 000 − Producer share 785 = Investor 2 215 ✓  |  Net Profit 1 710 (после 20% налога на прибыль)</t>
        </is>
      </c>
    </row>
    <row r="58" ht="24" customHeight="1">
      <c r="B58" s="599" t="inlineStr">
        <is>
          <t>VII.  P&amp;L SCENARIO: WITH PIPELINE RENEWAL  ·  Revenue 2029–2032 соответствует DCF assumptions</t>
        </is>
      </c>
    </row>
    <row r="59" ht="30" customHeight="1">
      <c r="B59" s="177" t="inlineStr">
        <is>
          <t>Сценарий renewal: 2–3 новых проекта в 2029–2031, бюджет ~500 млн/год. Revenue соответствует DCF rolling slate (2 600 / 2 800 / 2 900 / 3 000 млн ₽). EBITDA margin 40% (steady state). OpEx масштабируется с выручкой.</t>
        </is>
      </c>
    </row>
    <row r="61" ht="20" customHeight="1">
      <c r="B61" s="321" t="inlineStr">
        <is>
          <t>Показатель</t>
        </is>
      </c>
      <c r="C61" s="321" t="inlineStr">
        <is>
          <t>2029</t>
        </is>
      </c>
      <c r="D61" s="321" t="inlineStr">
        <is>
          <t>2030</t>
        </is>
      </c>
      <c r="E61" s="321" t="inlineStr">
        <is>
          <t>2031</t>
        </is>
      </c>
      <c r="F61" s="321" t="inlineStr">
        <is>
          <t>2032</t>
        </is>
      </c>
      <c r="G61" s="321" t="inlineStr">
        <is>
          <t>Σ 2029–2032</t>
        </is>
      </c>
    </row>
    <row r="62" ht="18" customHeight="1">
      <c r="B62" s="147" t="inlineStr">
        <is>
          <t>Revenue (renewal)</t>
        </is>
      </c>
      <c r="C62" s="169" t="n">
        <v>2600</v>
      </c>
      <c r="D62" s="169" t="n">
        <v>2800</v>
      </c>
      <c r="E62" s="169" t="n">
        <v>2900</v>
      </c>
      <c r="F62" s="169" t="n">
        <v>3000</v>
      </c>
      <c r="G62" s="600" t="n">
        <v>11300</v>
      </c>
    </row>
    <row r="63" ht="18" customHeight="1">
      <c r="B63" s="147" t="inlineStr">
        <is>
          <t>(-) COGS</t>
        </is>
      </c>
      <c r="C63" s="169" t="n">
        <v>1217.1</v>
      </c>
      <c r="D63" s="169" t="n">
        <v>1310.7</v>
      </c>
      <c r="E63" s="169" t="n">
        <v>1357.5</v>
      </c>
      <c r="F63" s="169" t="n">
        <v>1404.3</v>
      </c>
      <c r="G63" s="600" t="n">
        <v>5289.6</v>
      </c>
    </row>
    <row r="64" ht="18" customHeight="1">
      <c r="B64" s="171">
        <f> Gross Profit</f>
        <v/>
      </c>
      <c r="C64" s="170" t="n">
        <v>1382.9</v>
      </c>
      <c r="D64" s="170" t="n">
        <v>1489.3</v>
      </c>
      <c r="E64" s="170" t="n">
        <v>1542.5</v>
      </c>
      <c r="F64" s="170" t="n">
        <v>1595.7</v>
      </c>
      <c r="G64" s="600" t="n">
        <v>6010.4</v>
      </c>
    </row>
    <row r="65" ht="18" customHeight="1">
      <c r="B65" s="147" t="inlineStr">
        <is>
          <t>(-) OpEx</t>
        </is>
      </c>
      <c r="C65" s="169" t="n">
        <v>338</v>
      </c>
      <c r="D65" s="169" t="n">
        <v>364</v>
      </c>
      <c r="E65" s="169" t="n">
        <v>377</v>
      </c>
      <c r="F65" s="169" t="n">
        <v>390</v>
      </c>
      <c r="G65" s="600" t="n">
        <v>1469</v>
      </c>
    </row>
    <row r="66" ht="18" customHeight="1">
      <c r="B66" s="154">
        <f> EBITDA</f>
        <v/>
      </c>
      <c r="C66" s="173" t="n">
        <v>1040</v>
      </c>
      <c r="D66" s="173" t="n">
        <v>1120</v>
      </c>
      <c r="E66" s="173" t="n">
        <v>1160</v>
      </c>
      <c r="F66" s="173" t="n">
        <v>1200</v>
      </c>
      <c r="G66" s="601" t="n">
        <v>4520</v>
      </c>
    </row>
    <row r="67" ht="18" customHeight="1">
      <c r="B67" s="147" t="inlineStr">
        <is>
          <t>(-) D&amp;A</t>
        </is>
      </c>
      <c r="C67" s="169" t="n">
        <v>468</v>
      </c>
      <c r="D67" s="169" t="n">
        <v>504</v>
      </c>
      <c r="E67" s="169" t="n">
        <v>522</v>
      </c>
      <c r="F67" s="169" t="n">
        <v>540</v>
      </c>
      <c r="G67" s="600" t="n">
        <v>2034</v>
      </c>
    </row>
    <row r="68" ht="18" customHeight="1">
      <c r="B68" s="171">
        <f> EBIT</f>
        <v/>
      </c>
      <c r="C68" s="170" t="n">
        <v>572</v>
      </c>
      <c r="D68" s="170" t="n">
        <v>616</v>
      </c>
      <c r="E68" s="170" t="n">
        <v>638</v>
      </c>
      <c r="F68" s="170" t="n">
        <v>660</v>
      </c>
      <c r="G68" s="600" t="n">
        <v>2486</v>
      </c>
    </row>
    <row r="69" ht="18" customHeight="1">
      <c r="B69" s="147" t="inlineStr">
        <is>
          <t>(-) Tax 20%</t>
        </is>
      </c>
      <c r="C69" s="169" t="n">
        <v>114.4</v>
      </c>
      <c r="D69" s="169" t="n">
        <v>123.2</v>
      </c>
      <c r="E69" s="169" t="n">
        <v>127.6</v>
      </c>
      <c r="F69" s="169" t="n">
        <v>132</v>
      </c>
      <c r="G69" s="600" t="n">
        <v>497.2</v>
      </c>
    </row>
    <row r="70" ht="18" customHeight="1">
      <c r="B70" s="180">
        <f> Net Income</f>
        <v/>
      </c>
      <c r="C70" s="271" t="n">
        <v>457.6</v>
      </c>
      <c r="D70" s="271" t="n">
        <v>492.8</v>
      </c>
      <c r="E70" s="271" t="n">
        <v>510.4</v>
      </c>
      <c r="F70" s="271" t="n">
        <v>528</v>
      </c>
      <c r="G70" s="602" t="n">
        <v>1988.8</v>
      </c>
    </row>
    <row r="72" ht="24" customHeight="1">
      <c r="B72" s="184" t="inlineStr">
        <is>
          <t>✓ Renewal scenario 2029–2032: Revenue 11,300 млн ₽  |  EBITDA 4,520 млн ₽ (40% margin)  |  Net Income 1,989 млн ₽  |  Reconciled with DCF 22_Valuation_DCF assumptions</t>
        </is>
      </c>
    </row>
  </sheetData>
  <mergeCells count="41">
    <mergeCell ref="C47:K47"/>
    <mergeCell ref="B58:V58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72:V72"/>
    <mergeCell ref="B3:V3"/>
    <mergeCell ref="B59:V59"/>
    <mergeCell ref="L53:N53"/>
    <mergeCell ref="L47:N47"/>
    <mergeCell ref="B22:V22"/>
    <mergeCell ref="R52:V5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2:V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28" customWidth="1" min="22" max="22"/>
  </cols>
  <sheetData>
    <row r="2" ht="28" customHeight="1">
      <c r="B2" s="162" t="inlineStr">
        <is>
          <t>10  ·  CASH FLOW STATEMENT  ·  Косвенный метод  ·  12Q + 4Y</t>
        </is>
      </c>
    </row>
    <row r="3">
      <c r="B3" s="189" t="inlineStr">
        <is>
          <t>Все суммы — млн ₽. Консистентно с 09_P&amp;L_Statement (Вариант C: GAAP EBITDA 2 152 + NDP 3 000).</t>
        </is>
      </c>
    </row>
    <row r="5" ht="20" customHeight="1">
      <c r="B5" s="166" t="inlineStr">
        <is>
          <t>#</t>
        </is>
      </c>
      <c r="C5" s="190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CASH FLOW FROM OPERATING ACTIVITIES</t>
        </is>
      </c>
    </row>
    <row r="7" ht="18" customHeight="1">
      <c r="B7" s="191" t="inlineStr">
        <is>
          <t>1.1</t>
        </is>
      </c>
      <c r="C7" s="192" t="inlineStr">
        <is>
          <t>Net Income (from P&amp;L)</t>
        </is>
      </c>
      <c r="D7" s="193" t="n">
        <v>-23.88</v>
      </c>
      <c r="E7" s="193" t="n">
        <v>-23.88</v>
      </c>
      <c r="F7" s="193" t="n">
        <v>-24.38</v>
      </c>
      <c r="G7" s="193" t="n">
        <v>112.41</v>
      </c>
      <c r="H7" s="193" t="n">
        <v>86.88</v>
      </c>
      <c r="I7" s="193" t="n">
        <v>278.36</v>
      </c>
      <c r="J7" s="193" t="n">
        <v>244.32</v>
      </c>
      <c r="K7" s="193" t="n">
        <v>159.22</v>
      </c>
      <c r="L7" s="193" t="n">
        <v>176.84</v>
      </c>
      <c r="M7" s="193" t="n">
        <v>215.14</v>
      </c>
      <c r="N7" s="193" t="n">
        <v>334.48</v>
      </c>
      <c r="O7" s="193" t="n">
        <v>153.64</v>
      </c>
      <c r="P7" s="193" t="n">
        <v>87.69</v>
      </c>
      <c r="Q7" s="193" t="n">
        <v>88.09</v>
      </c>
      <c r="R7" s="193" t="n">
        <v>88.48999999999999</v>
      </c>
      <c r="S7" s="193" t="n">
        <v>88.48999999999999</v>
      </c>
      <c r="T7" s="194" t="n">
        <v>1689.2</v>
      </c>
      <c r="U7" s="194" t="n">
        <v>2041.9</v>
      </c>
      <c r="V7" s="182" t="inlineStr">
        <is>
          <t>Из строки 4.6 P&amp;L</t>
        </is>
      </c>
    </row>
    <row r="8" ht="18" customHeight="1">
      <c r="B8" s="191" t="inlineStr">
        <is>
          <t>1.2</t>
        </is>
      </c>
      <c r="C8" s="192" t="inlineStr">
        <is>
          <t>(+) D&amp;A (non-cash)</t>
        </is>
      </c>
      <c r="D8" s="193" t="n">
        <v>0.75</v>
      </c>
      <c r="E8" s="193" t="n">
        <v>0.75</v>
      </c>
      <c r="F8" s="193" t="n">
        <v>0.75</v>
      </c>
      <c r="G8" s="193" t="n">
        <v>0.75</v>
      </c>
      <c r="H8" s="193" t="n">
        <v>0.75</v>
      </c>
      <c r="I8" s="193" t="n">
        <v>0.75</v>
      </c>
      <c r="J8" s="193" t="n">
        <v>0.75</v>
      </c>
      <c r="K8" s="193" t="n">
        <v>0.75</v>
      </c>
      <c r="L8" s="193" t="n">
        <v>0.75</v>
      </c>
      <c r="M8" s="193" t="n">
        <v>0.75</v>
      </c>
      <c r="N8" s="193" t="n">
        <v>0.75</v>
      </c>
      <c r="O8" s="193" t="n">
        <v>0.75</v>
      </c>
      <c r="P8" s="193" t="n">
        <v>3</v>
      </c>
      <c r="Q8" s="193" t="n">
        <v>3</v>
      </c>
      <c r="R8" s="193" t="n">
        <v>3</v>
      </c>
      <c r="S8" s="193" t="n">
        <v>3</v>
      </c>
      <c r="T8" s="194" t="n">
        <v>9</v>
      </c>
      <c r="U8" s="194" t="n">
        <v>21</v>
      </c>
      <c r="V8" s="182" t="inlineStr">
        <is>
          <t>Обратный выкладыш амортизации</t>
        </is>
      </c>
    </row>
    <row r="9" ht="18" customHeight="1">
      <c r="B9" s="191" t="inlineStr">
        <is>
          <t>1.3</t>
        </is>
      </c>
      <c r="C9" s="192" t="inlineStr">
        <is>
          <t>(+) Content amortization add-back</t>
        </is>
      </c>
      <c r="D9" s="193" t="n">
        <v>0</v>
      </c>
      <c r="E9" s="193" t="n">
        <v>0</v>
      </c>
      <c r="F9" s="193" t="n">
        <v>0</v>
      </c>
      <c r="G9" s="193" t="n">
        <v>126.18</v>
      </c>
      <c r="H9" s="193" t="n">
        <v>101.76</v>
      </c>
      <c r="I9" s="193" t="n">
        <v>284.93</v>
      </c>
      <c r="J9" s="193" t="n">
        <v>252.37</v>
      </c>
      <c r="K9" s="193" t="n">
        <v>170.96</v>
      </c>
      <c r="L9" s="193" t="n">
        <v>187.24</v>
      </c>
      <c r="M9" s="193" t="n">
        <v>223.87</v>
      </c>
      <c r="N9" s="193" t="n">
        <v>337.84</v>
      </c>
      <c r="O9" s="193" t="n">
        <v>164.85</v>
      </c>
      <c r="P9" s="193" t="n">
        <v>154.68</v>
      </c>
      <c r="Q9" s="193" t="n">
        <v>154.68</v>
      </c>
      <c r="R9" s="193" t="n">
        <v>154.68</v>
      </c>
      <c r="S9" s="193" t="n">
        <v>154.68</v>
      </c>
      <c r="T9" s="194" t="n">
        <v>1850</v>
      </c>
      <c r="U9" s="194" t="n">
        <v>2468.7</v>
      </c>
      <c r="V9" s="182" t="inlineStr">
        <is>
          <t>1850 млн распределено по matching principle</t>
        </is>
      </c>
    </row>
    <row r="10" ht="18" customHeight="1">
      <c r="B10" s="195" t="inlineStr">
        <is>
          <t>1.4</t>
        </is>
      </c>
      <c r="C10" s="196" t="inlineStr">
        <is>
          <t>Net Cash from Operations</t>
        </is>
      </c>
      <c r="D10" s="197" t="n">
        <v>-23.13</v>
      </c>
      <c r="E10" s="197" t="n">
        <v>-23.13</v>
      </c>
      <c r="F10" s="197" t="n">
        <v>-23.63</v>
      </c>
      <c r="G10" s="197" t="n">
        <v>239.34</v>
      </c>
      <c r="H10" s="197" t="n">
        <v>189.39</v>
      </c>
      <c r="I10" s="197" t="n">
        <v>564.04</v>
      </c>
      <c r="J10" s="197" t="n">
        <v>497.44</v>
      </c>
      <c r="K10" s="197" t="n">
        <v>330.93</v>
      </c>
      <c r="L10" s="197" t="n">
        <v>364.83</v>
      </c>
      <c r="M10" s="197" t="n">
        <v>439.76</v>
      </c>
      <c r="N10" s="197" t="n">
        <v>673.0700000000001</v>
      </c>
      <c r="O10" s="197" t="n">
        <v>319.24</v>
      </c>
      <c r="P10" s="197" t="n">
        <v>245.37</v>
      </c>
      <c r="Q10" s="197" t="n">
        <v>245.77</v>
      </c>
      <c r="R10" s="197" t="n">
        <v>246.17</v>
      </c>
      <c r="S10" s="197" t="n">
        <v>246.17</v>
      </c>
      <c r="T10" s="198" t="n">
        <v>3548.2</v>
      </c>
      <c r="U10" s="198" t="n">
        <v>4531.6</v>
      </c>
      <c r="V10" s="199" t="inlineStr"/>
    </row>
    <row r="11" ht="20" customHeight="1">
      <c r="B11" s="168" t="inlineStr">
        <is>
          <t>II.  CASH FLOW FROM INVESTING ACTIVITIES</t>
        </is>
      </c>
    </row>
    <row r="12" ht="18" customHeight="1">
      <c r="B12" s="200" t="inlineStr">
        <is>
          <t>2.1</t>
        </is>
      </c>
      <c r="C12" s="201" t="inlineStr">
        <is>
          <t>(−) Content production CAPEX</t>
        </is>
      </c>
      <c r="D12" s="202" t="n">
        <v>-80</v>
      </c>
      <c r="E12" s="202" t="n">
        <v>-100</v>
      </c>
      <c r="F12" s="202" t="n">
        <v>-120</v>
      </c>
      <c r="G12" s="202" t="n">
        <v>-100</v>
      </c>
      <c r="H12" s="202" t="n">
        <v>-180</v>
      </c>
      <c r="I12" s="202" t="n">
        <v>-220</v>
      </c>
      <c r="J12" s="202" t="n">
        <v>-220</v>
      </c>
      <c r="K12" s="202" t="n">
        <v>-180</v>
      </c>
      <c r="L12" s="202" t="n">
        <v>-180</v>
      </c>
      <c r="M12" s="202" t="n">
        <v>-170</v>
      </c>
      <c r="N12" s="202" t="n">
        <v>-170</v>
      </c>
      <c r="O12" s="202" t="n">
        <v>-130</v>
      </c>
      <c r="P12" s="202" t="n">
        <v>0</v>
      </c>
      <c r="Q12" s="202" t="n">
        <v>0</v>
      </c>
      <c r="R12" s="202" t="n">
        <v>0</v>
      </c>
      <c r="S12" s="202" t="n">
        <v>0</v>
      </c>
      <c r="T12" s="203" t="n">
        <v>-1850</v>
      </c>
      <c r="U12" s="203" t="n">
        <v>-1850</v>
      </c>
      <c r="V12" s="204" t="inlineStr">
        <is>
          <t>Производство контента — schedule: 400/800/650/0</t>
        </is>
      </c>
    </row>
    <row r="13" ht="18" customHeight="1">
      <c r="B13" s="200" t="inlineStr">
        <is>
          <t>2.2</t>
        </is>
      </c>
      <c r="C13" s="201" t="inlineStr">
        <is>
          <t>(−) PP&amp;E CAPEX (minimal)</t>
        </is>
      </c>
      <c r="D13" s="202" t="n">
        <v>-0.83</v>
      </c>
      <c r="E13" s="202" t="n">
        <v>-0.83</v>
      </c>
      <c r="F13" s="202" t="n">
        <v>-0.83</v>
      </c>
      <c r="G13" s="202" t="n">
        <v>-0.83</v>
      </c>
      <c r="H13" s="202" t="n">
        <v>-0.83</v>
      </c>
      <c r="I13" s="202" t="n">
        <v>-0.83</v>
      </c>
      <c r="J13" s="202" t="n">
        <v>-0.83</v>
      </c>
      <c r="K13" s="202" t="n">
        <v>-0.83</v>
      </c>
      <c r="L13" s="202" t="n">
        <v>-0.83</v>
      </c>
      <c r="M13" s="202" t="n">
        <v>-0.83</v>
      </c>
      <c r="N13" s="202" t="n">
        <v>-0.83</v>
      </c>
      <c r="O13" s="202" t="n">
        <v>-0.83</v>
      </c>
      <c r="P13" s="202" t="n">
        <v>0</v>
      </c>
      <c r="Q13" s="202" t="n">
        <v>0</v>
      </c>
      <c r="R13" s="202" t="n">
        <v>0</v>
      </c>
      <c r="S13" s="202" t="n">
        <v>0</v>
      </c>
      <c r="T13" s="203" t="n">
        <v>-10</v>
      </c>
      <c r="U13" s="203" t="n">
        <v>-10</v>
      </c>
      <c r="V13" s="204" t="inlineStr">
        <is>
          <t>Офис, оборудование: ~10 млн за 3 года</t>
        </is>
      </c>
    </row>
    <row r="14" ht="18" customHeight="1">
      <c r="B14" s="195" t="inlineStr">
        <is>
          <t>2.3</t>
        </is>
      </c>
      <c r="C14" s="196" t="inlineStr">
        <is>
          <t>Net Cash from Investing</t>
        </is>
      </c>
      <c r="D14" s="197" t="n">
        <v>-80.83</v>
      </c>
      <c r="E14" s="197" t="n">
        <v>-100.83</v>
      </c>
      <c r="F14" s="197" t="n">
        <v>-120.83</v>
      </c>
      <c r="G14" s="197" t="n">
        <v>-100.83</v>
      </c>
      <c r="H14" s="197" t="n">
        <v>-180.83</v>
      </c>
      <c r="I14" s="197" t="n">
        <v>-220.83</v>
      </c>
      <c r="J14" s="197" t="n">
        <v>-220.83</v>
      </c>
      <c r="K14" s="197" t="n">
        <v>-180.83</v>
      </c>
      <c r="L14" s="197" t="n">
        <v>-180.83</v>
      </c>
      <c r="M14" s="197" t="n">
        <v>-170.83</v>
      </c>
      <c r="N14" s="197" t="n">
        <v>-170.83</v>
      </c>
      <c r="O14" s="197" t="n">
        <v>-130.83</v>
      </c>
      <c r="P14" s="197" t="n">
        <v>0</v>
      </c>
      <c r="Q14" s="197" t="n">
        <v>0</v>
      </c>
      <c r="R14" s="197" t="n">
        <v>0</v>
      </c>
      <c r="S14" s="197" t="n">
        <v>0</v>
      </c>
      <c r="T14" s="198" t="n">
        <v>-1860</v>
      </c>
      <c r="U14" s="198" t="n">
        <v>-1860</v>
      </c>
      <c r="V14" s="199" t="inlineStr"/>
    </row>
    <row r="15" ht="20" customHeight="1">
      <c r="B15" s="168" t="inlineStr">
        <is>
          <t>III.  CASH FLOW FROM FINANCING ACTIVITIES</t>
        </is>
      </c>
    </row>
    <row r="16" ht="18" customHeight="1">
      <c r="B16" s="191" t="inlineStr">
        <is>
          <t>3.1</t>
        </is>
      </c>
      <c r="C16" s="192" t="inlineStr">
        <is>
          <t>(+) T₁ Legacy tranches drawn</t>
        </is>
      </c>
      <c r="D16" s="193" t="n">
        <v>250</v>
      </c>
      <c r="E16" s="193" t="n">
        <v>0</v>
      </c>
      <c r="F16" s="193" t="n">
        <v>0</v>
      </c>
      <c r="G16" s="193" t="n">
        <v>350</v>
      </c>
      <c r="H16" s="193" t="n">
        <v>0</v>
      </c>
      <c r="I16" s="193" t="n">
        <v>0</v>
      </c>
      <c r="J16" s="193" t="n">
        <v>350</v>
      </c>
      <c r="K16" s="193" t="n">
        <v>0</v>
      </c>
      <c r="L16" s="193" t="n">
        <v>0</v>
      </c>
      <c r="M16" s="193" t="n">
        <v>300</v>
      </c>
      <c r="N16" s="193" t="n">
        <v>0</v>
      </c>
      <c r="O16" s="193" t="n">
        <v>0</v>
      </c>
      <c r="P16" s="193" t="n">
        <v>0</v>
      </c>
      <c r="Q16" s="193" t="n">
        <v>0</v>
      </c>
      <c r="R16" s="193" t="n">
        <v>0</v>
      </c>
      <c r="S16" s="193" t="n">
        <v>0</v>
      </c>
      <c r="T16" s="194" t="n">
        <v>1250</v>
      </c>
      <c r="U16" s="194" t="n">
        <v>1250</v>
      </c>
      <c r="V16" s="182" t="inlineStr">
        <is>
          <t>4 транша: 250/350/350/300 = 1 250</t>
        </is>
      </c>
    </row>
    <row r="17" ht="18" customHeight="1">
      <c r="B17" s="191" t="inlineStr">
        <is>
          <t>3.2</t>
        </is>
      </c>
      <c r="C17" s="192" t="inlineStr">
        <is>
          <t>(+) Producer equity contributions</t>
        </is>
      </c>
      <c r="D17" s="193" t="n">
        <v>200</v>
      </c>
      <c r="E17" s="193" t="n">
        <v>0</v>
      </c>
      <c r="F17" s="193" t="n">
        <v>0</v>
      </c>
      <c r="G17" s="193" t="n">
        <v>150</v>
      </c>
      <c r="H17" s="193" t="n">
        <v>0</v>
      </c>
      <c r="I17" s="193" t="n">
        <v>0</v>
      </c>
      <c r="J17" s="193" t="n">
        <v>150</v>
      </c>
      <c r="K17" s="193" t="n">
        <v>0</v>
      </c>
      <c r="L17" s="193" t="n">
        <v>0</v>
      </c>
      <c r="M17" s="193" t="n">
        <v>100</v>
      </c>
      <c r="N17" s="193" t="n">
        <v>0</v>
      </c>
      <c r="O17" s="193" t="n">
        <v>0</v>
      </c>
      <c r="P17" s="193" t="n">
        <v>0</v>
      </c>
      <c r="Q17" s="193" t="n">
        <v>0</v>
      </c>
      <c r="R17" s="193" t="n">
        <v>0</v>
      </c>
      <c r="S17" s="193" t="n">
        <v>0</v>
      </c>
      <c r="T17" s="194" t="n">
        <v>600</v>
      </c>
      <c r="U17" s="194" t="n">
        <v>600</v>
      </c>
      <c r="V17" s="182" t="inlineStr">
        <is>
          <t>JV capital: 200/150/150/100 = 600</t>
        </is>
      </c>
    </row>
    <row r="18" ht="18" customHeight="1">
      <c r="B18" s="200" t="inlineStr">
        <is>
          <t>3.3</t>
        </is>
      </c>
      <c r="C18" s="201" t="inlineStr">
        <is>
          <t>(−) Distributions (waterfall W₃ default · 1× Liq Pref)</t>
        </is>
      </c>
      <c r="D18" s="202" t="n">
        <v>0</v>
      </c>
      <c r="E18" s="202" t="n">
        <v>0</v>
      </c>
      <c r="F18" s="202" t="n">
        <v>0</v>
      </c>
      <c r="G18" s="202" t="n">
        <v>0</v>
      </c>
      <c r="H18" s="202" t="n">
        <v>0</v>
      </c>
      <c r="I18" s="202" t="n">
        <v>0</v>
      </c>
      <c r="J18" s="202" t="n">
        <v>0</v>
      </c>
      <c r="K18" s="202" t="n">
        <v>0</v>
      </c>
      <c r="L18" s="202" t="n">
        <v>0</v>
      </c>
      <c r="M18" s="202" t="n">
        <v>0</v>
      </c>
      <c r="N18" s="202" t="n">
        <v>0</v>
      </c>
      <c r="O18" s="202" t="n">
        <v>0</v>
      </c>
      <c r="P18" s="202" t="n">
        <v>-1200</v>
      </c>
      <c r="Q18" s="202" t="n">
        <v>-900</v>
      </c>
      <c r="R18" s="202" t="n">
        <v>-600</v>
      </c>
      <c r="S18" s="202" t="n">
        <v>-300</v>
      </c>
      <c r="T18" s="203" t="n">
        <v>0</v>
      </c>
      <c r="U18" s="203" t="n">
        <v>-3000</v>
      </c>
      <c r="V18" s="204" t="inlineStr">
        <is>
          <t>NDP 3000 × W₃: Inv 2500 / Prod 500, schedule 40/30/20/10%</t>
        </is>
      </c>
    </row>
    <row r="19" ht="18" customHeight="1">
      <c r="B19" s="195" t="inlineStr">
        <is>
          <t>3.4</t>
        </is>
      </c>
      <c r="C19" s="196" t="inlineStr">
        <is>
          <t>Net Cash from Financing</t>
        </is>
      </c>
      <c r="D19" s="197" t="n">
        <v>450</v>
      </c>
      <c r="E19" s="197" t="n">
        <v>0</v>
      </c>
      <c r="F19" s="197" t="n">
        <v>0</v>
      </c>
      <c r="G19" s="197" t="n">
        <v>500</v>
      </c>
      <c r="H19" s="197" t="n">
        <v>0</v>
      </c>
      <c r="I19" s="197" t="n">
        <v>0</v>
      </c>
      <c r="J19" s="197" t="n">
        <v>500</v>
      </c>
      <c r="K19" s="197" t="n">
        <v>0</v>
      </c>
      <c r="L19" s="197" t="n">
        <v>0</v>
      </c>
      <c r="M19" s="197" t="n">
        <v>400</v>
      </c>
      <c r="N19" s="197" t="n">
        <v>0</v>
      </c>
      <c r="O19" s="197" t="n">
        <v>0</v>
      </c>
      <c r="P19" s="197" t="n">
        <v>-1200</v>
      </c>
      <c r="Q19" s="197" t="n">
        <v>-900</v>
      </c>
      <c r="R19" s="197" t="n">
        <v>-600</v>
      </c>
      <c r="S19" s="197" t="n">
        <v>-300</v>
      </c>
      <c r="T19" s="198" t="n">
        <v>1850</v>
      </c>
      <c r="U19" s="198" t="n">
        <v>-1150</v>
      </c>
      <c r="V19" s="199" t="inlineStr"/>
    </row>
    <row r="20" ht="20" customHeight="1">
      <c r="B20" s="168" t="inlineStr">
        <is>
          <t>IV.  NET CHANGE IN CASH &amp; RECONCILIATION</t>
        </is>
      </c>
    </row>
    <row r="21" ht="18" customHeight="1">
      <c r="B21" s="195" t="inlineStr">
        <is>
          <t>4.1</t>
        </is>
      </c>
      <c r="C21" s="196" t="inlineStr">
        <is>
          <t>Net change in cash</t>
        </is>
      </c>
      <c r="D21" s="197" t="n">
        <v>346.04</v>
      </c>
      <c r="E21" s="197" t="n">
        <v>-123.96</v>
      </c>
      <c r="F21" s="197" t="n">
        <v>-144.46</v>
      </c>
      <c r="G21" s="197" t="n">
        <v>638.51</v>
      </c>
      <c r="H21" s="197" t="n">
        <v>8.56</v>
      </c>
      <c r="I21" s="197" t="n">
        <v>343.21</v>
      </c>
      <c r="J21" s="197" t="n">
        <v>776.61</v>
      </c>
      <c r="K21" s="197" t="n">
        <v>150.1</v>
      </c>
      <c r="L21" s="197" t="n">
        <v>184</v>
      </c>
      <c r="M21" s="197" t="n">
        <v>668.9299999999999</v>
      </c>
      <c r="N21" s="197" t="n">
        <v>502.24</v>
      </c>
      <c r="O21" s="197" t="n">
        <v>188.41</v>
      </c>
      <c r="P21" s="197" t="n">
        <v>-954.63</v>
      </c>
      <c r="Q21" s="197" t="n">
        <v>-654.23</v>
      </c>
      <c r="R21" s="197" t="n">
        <v>-353.83</v>
      </c>
      <c r="S21" s="197" t="n">
        <v>-53.83</v>
      </c>
      <c r="T21" s="198" t="n">
        <v>3538.2</v>
      </c>
      <c r="U21" s="198" t="n">
        <v>1521.7</v>
      </c>
      <c r="V21" s="199" t="inlineStr"/>
    </row>
    <row r="22" ht="18" customHeight="1">
      <c r="B22" s="205" t="inlineStr">
        <is>
          <t>4.2</t>
        </is>
      </c>
      <c r="C22" s="206" t="inlineStr">
        <is>
          <t>Cash — beginning of period</t>
        </is>
      </c>
      <c r="D22" s="207" t="n">
        <v>0</v>
      </c>
      <c r="E22" s="207" t="n">
        <v>346.04</v>
      </c>
      <c r="F22" s="207" t="n">
        <v>222.08</v>
      </c>
      <c r="G22" s="207" t="n">
        <v>77.62</v>
      </c>
      <c r="H22" s="207" t="n">
        <v>716.13</v>
      </c>
      <c r="I22" s="207" t="n">
        <v>724.6900000000001</v>
      </c>
      <c r="J22" s="207" t="n">
        <v>1067.9</v>
      </c>
      <c r="K22" s="207" t="n">
        <v>1844.51</v>
      </c>
      <c r="L22" s="207" t="n">
        <v>1994.61</v>
      </c>
      <c r="M22" s="207" t="n">
        <v>2178.61</v>
      </c>
      <c r="N22" s="207" t="n">
        <v>2847.54</v>
      </c>
      <c r="O22" s="207" t="n">
        <v>3349.78</v>
      </c>
      <c r="P22" s="207" t="n">
        <v>3538.19</v>
      </c>
      <c r="Q22" s="207" t="n">
        <v>2583.56</v>
      </c>
      <c r="R22" s="207" t="n">
        <v>1929.33</v>
      </c>
      <c r="S22" s="207" t="n">
        <v>1575.5</v>
      </c>
      <c r="T22" s="208" t="n">
        <v>15369.5</v>
      </c>
      <c r="U22" s="208" t="n">
        <v>24996.1</v>
      </c>
      <c r="V22" s="159" t="inlineStr"/>
    </row>
    <row r="23" ht="18" customHeight="1">
      <c r="B23" s="209" t="inlineStr">
        <is>
          <t>4.3</t>
        </is>
      </c>
      <c r="C23" s="210" t="inlineStr">
        <is>
          <t>Cash — end of period</t>
        </is>
      </c>
      <c r="D23" s="194" t="n">
        <v>346.04</v>
      </c>
      <c r="E23" s="194" t="n">
        <v>222.08</v>
      </c>
      <c r="F23" s="194" t="n">
        <v>77.62</v>
      </c>
      <c r="G23" s="194" t="n">
        <v>716.13</v>
      </c>
      <c r="H23" s="194" t="n">
        <v>724.6900000000001</v>
      </c>
      <c r="I23" s="194" t="n">
        <v>1067.9</v>
      </c>
      <c r="J23" s="194" t="n">
        <v>1844.51</v>
      </c>
      <c r="K23" s="194" t="n">
        <v>1994.61</v>
      </c>
      <c r="L23" s="194" t="n">
        <v>2178.61</v>
      </c>
      <c r="M23" s="194" t="n">
        <v>2847.54</v>
      </c>
      <c r="N23" s="194" t="n">
        <v>3349.78</v>
      </c>
      <c r="O23" s="194" t="n">
        <v>3538.19</v>
      </c>
      <c r="P23" s="194" t="n">
        <v>2583.56</v>
      </c>
      <c r="Q23" s="194" t="n">
        <v>1929.33</v>
      </c>
      <c r="R23" s="194" t="n">
        <v>1575.5</v>
      </c>
      <c r="S23" s="194" t="n">
        <v>1521.67</v>
      </c>
      <c r="T23" s="198" t="n">
        <v>18907.7</v>
      </c>
      <c r="U23" s="198" t="n">
        <v>26517.8</v>
      </c>
      <c r="V23" s="182" t="inlineStr">
        <is>
          <t>★ Совпадает с Cash в 11_Balance_Sheet</t>
        </is>
      </c>
    </row>
    <row r="25" ht="22" customHeight="1">
      <c r="B25" s="211" t="inlineStr">
        <is>
          <t>✓ Cash end of Q4'28 = 3,538.2 млн ₽  |  Cash end of 2032 = 1,521.7 млн ₽  |  Σ OCF 3Y = 3,548  ·  Σ ICF 3Y = -1,860  ·  Σ FCF 3Y = 1,850</t>
        </is>
      </c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T2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0" customWidth="1" min="20" max="20"/>
  </cols>
  <sheetData>
    <row r="2" ht="28" customHeight="1">
      <c r="B2" s="162" t="inlineStr">
        <is>
          <t>11  ·  BALANCE SHEET  ·  End-of-Period  ·  12Q + 4Y</t>
        </is>
      </c>
    </row>
    <row r="3">
      <c r="B3" s="189" t="inlineStr">
        <is>
          <t>Все суммы — млн ₽. Верификация: Assets = Liabilities + Equity; Cash = Ending Cash из 10_Cash_Flow.</t>
        </is>
      </c>
    </row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Комментарий</t>
        </is>
      </c>
    </row>
    <row r="6" ht="20" customHeight="1">
      <c r="B6" s="168" t="inlineStr">
        <is>
          <t>A.  ASSETS</t>
        </is>
      </c>
    </row>
    <row r="7" ht="18" customHeight="1">
      <c r="B7" s="205" t="inlineStr">
        <is>
          <t>A1</t>
        </is>
      </c>
      <c r="C7" s="206" t="inlineStr">
        <is>
          <t>Cash &amp; equivalents</t>
        </is>
      </c>
      <c r="D7" s="207" t="n">
        <v>346.04</v>
      </c>
      <c r="E7" s="207" t="n">
        <v>222.08</v>
      </c>
      <c r="F7" s="207" t="n">
        <v>77.62</v>
      </c>
      <c r="G7" s="207" t="n">
        <v>716.13</v>
      </c>
      <c r="H7" s="207" t="n">
        <v>724.6900000000001</v>
      </c>
      <c r="I7" s="207" t="n">
        <v>1067.9</v>
      </c>
      <c r="J7" s="207" t="n">
        <v>1844.51</v>
      </c>
      <c r="K7" s="207" t="n">
        <v>1994.61</v>
      </c>
      <c r="L7" s="207" t="n">
        <v>2178.61</v>
      </c>
      <c r="M7" s="207" t="n">
        <v>2847.54</v>
      </c>
      <c r="N7" s="207" t="n">
        <v>3349.78</v>
      </c>
      <c r="O7" s="207" t="n">
        <v>3538.19</v>
      </c>
      <c r="P7" s="207" t="n">
        <v>2583.56</v>
      </c>
      <c r="Q7" s="207" t="n">
        <v>1929.33</v>
      </c>
      <c r="R7" s="207" t="n">
        <v>1575.5</v>
      </c>
      <c r="S7" s="207" t="n">
        <v>1521.67</v>
      </c>
      <c r="T7" s="159" t="inlineStr">
        <is>
          <t>Из 10_CF 4.3</t>
        </is>
      </c>
    </row>
    <row r="8" ht="18" customHeight="1">
      <c r="B8" s="205" t="inlineStr">
        <is>
          <t>A2</t>
        </is>
      </c>
      <c r="C8" s="206" t="inlineStr">
        <is>
          <t>Content library (net)</t>
        </is>
      </c>
      <c r="D8" s="207" t="n">
        <v>80</v>
      </c>
      <c r="E8" s="207" t="n">
        <v>180</v>
      </c>
      <c r="F8" s="207" t="n">
        <v>300</v>
      </c>
      <c r="G8" s="207" t="n">
        <v>273.82</v>
      </c>
      <c r="H8" s="207" t="n">
        <v>352.06</v>
      </c>
      <c r="I8" s="207" t="n">
        <v>287.13</v>
      </c>
      <c r="J8" s="207" t="n">
        <v>254.76</v>
      </c>
      <c r="K8" s="207" t="n">
        <v>263.8</v>
      </c>
      <c r="L8" s="207" t="n">
        <v>256.56</v>
      </c>
      <c r="M8" s="207" t="n">
        <v>202.69</v>
      </c>
      <c r="N8" s="207" t="n">
        <v>34.85</v>
      </c>
      <c r="O8" s="207" t="n">
        <v>0</v>
      </c>
      <c r="P8" s="207" t="n">
        <v>0</v>
      </c>
      <c r="Q8" s="207" t="n">
        <v>0</v>
      </c>
      <c r="R8" s="207" t="n">
        <v>0</v>
      </c>
      <c r="S8" s="207" t="n">
        <v>0</v>
      </c>
      <c r="T8" s="159" t="inlineStr">
        <is>
          <t>max(0, Gross CAPEX − amortization)</t>
        </is>
      </c>
    </row>
    <row r="9" ht="18" customHeight="1">
      <c r="B9" s="205" t="inlineStr">
        <is>
          <t>A3</t>
        </is>
      </c>
      <c r="C9" s="206" t="inlineStr">
        <is>
          <t>Property, Plant &amp; Equipment</t>
        </is>
      </c>
      <c r="D9" s="207" t="n">
        <v>0.08</v>
      </c>
      <c r="E9" s="207" t="n">
        <v>0.16</v>
      </c>
      <c r="F9" s="207" t="n">
        <v>0.24</v>
      </c>
      <c r="G9" s="207" t="n">
        <v>0.32</v>
      </c>
      <c r="H9" s="207" t="n">
        <v>0.4</v>
      </c>
      <c r="I9" s="207" t="n">
        <v>0.48</v>
      </c>
      <c r="J9" s="207" t="n">
        <v>0.5600000000000001</v>
      </c>
      <c r="K9" s="207" t="n">
        <v>0.64</v>
      </c>
      <c r="L9" s="207" t="n">
        <v>0.72</v>
      </c>
      <c r="M9" s="207" t="n">
        <v>0.8</v>
      </c>
      <c r="N9" s="207" t="n">
        <v>0.88</v>
      </c>
      <c r="O9" s="207" t="n">
        <v>0.96</v>
      </c>
      <c r="P9" s="207" t="n">
        <v>0</v>
      </c>
      <c r="Q9" s="207" t="n">
        <v>0</v>
      </c>
      <c r="R9" s="207" t="n">
        <v>0</v>
      </c>
      <c r="S9" s="207" t="n">
        <v>0</v>
      </c>
      <c r="T9" s="159" t="inlineStr">
        <is>
          <t>max(0, PP&amp;E net)</t>
        </is>
      </c>
    </row>
    <row r="10" ht="18" customHeight="1">
      <c r="B10" s="195" t="inlineStr">
        <is>
          <t>A4</t>
        </is>
      </c>
      <c r="C10" s="196" t="inlineStr">
        <is>
          <t>TOTAL ASSETS</t>
        </is>
      </c>
      <c r="D10" s="198" t="n">
        <v>426.12</v>
      </c>
      <c r="E10" s="198" t="n">
        <v>402.24</v>
      </c>
      <c r="F10" s="198" t="n">
        <v>377.86</v>
      </c>
      <c r="G10" s="198" t="n">
        <v>990.27</v>
      </c>
      <c r="H10" s="198" t="n">
        <v>1077.15</v>
      </c>
      <c r="I10" s="198" t="n">
        <v>1355.51</v>
      </c>
      <c r="J10" s="198" t="n">
        <v>2099.83</v>
      </c>
      <c r="K10" s="198" t="n">
        <v>2259.05</v>
      </c>
      <c r="L10" s="198" t="n">
        <v>2435.89</v>
      </c>
      <c r="M10" s="198" t="n">
        <v>3051.03</v>
      </c>
      <c r="N10" s="198" t="n">
        <v>3385.51</v>
      </c>
      <c r="O10" s="198" t="n">
        <v>3539.15</v>
      </c>
      <c r="P10" s="198" t="n">
        <v>2583.56</v>
      </c>
      <c r="Q10" s="198" t="n">
        <v>1929.33</v>
      </c>
      <c r="R10" s="198" t="n">
        <v>1575.5</v>
      </c>
      <c r="S10" s="198" t="n">
        <v>1521.67</v>
      </c>
      <c r="T10" s="199" t="inlineStr">
        <is>
          <t>Σ A1+A2+A3</t>
        </is>
      </c>
    </row>
    <row r="12" ht="20" customHeight="1">
      <c r="B12" s="168" t="inlineStr">
        <is>
          <t>B.  LIABILITIES &amp; EQUITY</t>
        </is>
      </c>
    </row>
    <row r="13" ht="18" customHeight="1">
      <c r="B13" s="205" t="inlineStr">
        <is>
          <t>B1</t>
        </is>
      </c>
      <c r="C13" s="206" t="inlineStr">
        <is>
          <t>T₁ Legacy loan balance</t>
        </is>
      </c>
      <c r="D13" s="207" t="n">
        <v>250</v>
      </c>
      <c r="E13" s="207" t="n">
        <v>250</v>
      </c>
      <c r="F13" s="207" t="n">
        <v>250</v>
      </c>
      <c r="G13" s="207" t="n">
        <v>600</v>
      </c>
      <c r="H13" s="207" t="n">
        <v>600</v>
      </c>
      <c r="I13" s="207" t="n">
        <v>600</v>
      </c>
      <c r="J13" s="207" t="n">
        <v>950</v>
      </c>
      <c r="K13" s="207" t="n">
        <v>950</v>
      </c>
      <c r="L13" s="207" t="n">
        <v>950</v>
      </c>
      <c r="M13" s="207" t="n">
        <v>1250</v>
      </c>
      <c r="N13" s="207" t="n">
        <v>1250</v>
      </c>
      <c r="O13" s="207" t="n">
        <v>1250</v>
      </c>
      <c r="P13" s="207" t="n">
        <v>50</v>
      </c>
      <c r="Q13" s="207" t="n">
        <v>0</v>
      </c>
      <c r="R13" s="207" t="n">
        <v>0</v>
      </c>
      <c r="S13" s="207" t="n">
        <v>0</v>
      </c>
      <c r="T13" s="159" t="inlineStr">
        <is>
          <t>max(0, Draws − investor distributions)</t>
        </is>
      </c>
    </row>
    <row r="14" ht="18" customHeight="1">
      <c r="B14" s="205" t="inlineStr">
        <is>
          <t>B2</t>
        </is>
      </c>
      <c r="C14" s="206" t="inlineStr">
        <is>
          <t>Producer equity (JV capital)</t>
        </is>
      </c>
      <c r="D14" s="207" t="n">
        <v>200</v>
      </c>
      <c r="E14" s="207" t="n">
        <v>200</v>
      </c>
      <c r="F14" s="207" t="n">
        <v>200</v>
      </c>
      <c r="G14" s="207" t="n">
        <v>350</v>
      </c>
      <c r="H14" s="207" t="n">
        <v>350</v>
      </c>
      <c r="I14" s="207" t="n">
        <v>350</v>
      </c>
      <c r="J14" s="207" t="n">
        <v>500</v>
      </c>
      <c r="K14" s="207" t="n">
        <v>500</v>
      </c>
      <c r="L14" s="207" t="n">
        <v>500</v>
      </c>
      <c r="M14" s="207" t="n">
        <v>600</v>
      </c>
      <c r="N14" s="207" t="n">
        <v>600</v>
      </c>
      <c r="O14" s="207" t="n">
        <v>600</v>
      </c>
      <c r="P14" s="207" t="n">
        <v>600</v>
      </c>
      <c r="Q14" s="207" t="n">
        <v>460</v>
      </c>
      <c r="R14" s="207" t="n">
        <v>220</v>
      </c>
      <c r="S14" s="207" t="n">
        <v>100</v>
      </c>
      <c r="T14" s="159" t="inlineStr">
        <is>
          <t>Contributions − producer distributions</t>
        </is>
      </c>
    </row>
    <row r="15" ht="18" customHeight="1">
      <c r="B15" s="205" t="inlineStr">
        <is>
          <t>B3</t>
        </is>
      </c>
      <c r="C15" s="206" t="inlineStr">
        <is>
          <t>Retained earnings</t>
        </is>
      </c>
      <c r="D15" s="207" t="n">
        <v>-23.88</v>
      </c>
      <c r="E15" s="207" t="n">
        <v>-47.76</v>
      </c>
      <c r="F15" s="207" t="n">
        <v>-72.14</v>
      </c>
      <c r="G15" s="207" t="n">
        <v>40.27</v>
      </c>
      <c r="H15" s="207" t="n">
        <v>127.15</v>
      </c>
      <c r="I15" s="207" t="n">
        <v>405.51</v>
      </c>
      <c r="J15" s="207" t="n">
        <v>649.83</v>
      </c>
      <c r="K15" s="207" t="n">
        <v>809.05</v>
      </c>
      <c r="L15" s="207" t="n">
        <v>985.89</v>
      </c>
      <c r="M15" s="207" t="n">
        <v>1201.03</v>
      </c>
      <c r="N15" s="207" t="n">
        <v>1535.51</v>
      </c>
      <c r="O15" s="207" t="n">
        <v>1689.15</v>
      </c>
      <c r="P15" s="207" t="n">
        <v>1776.84</v>
      </c>
      <c r="Q15" s="207" t="n">
        <v>1864.93</v>
      </c>
      <c r="R15" s="207" t="n">
        <v>1953.42</v>
      </c>
      <c r="S15" s="207" t="n">
        <v>2041.91</v>
      </c>
      <c r="T15" s="159" t="inlineStr">
        <is>
          <t>Cumulative Net Income</t>
        </is>
      </c>
    </row>
    <row r="16" ht="18" customHeight="1">
      <c r="B16" s="205" t="inlineStr">
        <is>
          <t>B4</t>
        </is>
      </c>
      <c r="C16" s="206" t="inlineStr">
        <is>
          <t>Amortization reserve (floor adj.)</t>
        </is>
      </c>
      <c r="D16" s="207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7" t="n">
        <v>0</v>
      </c>
      <c r="L16" s="207" t="n">
        <v>0</v>
      </c>
      <c r="M16" s="207" t="n">
        <v>0</v>
      </c>
      <c r="N16" s="207" t="n">
        <v>0</v>
      </c>
      <c r="O16" s="207" t="n">
        <v>0</v>
      </c>
      <c r="P16" s="207" t="n">
        <v>156.72</v>
      </c>
      <c r="Q16" s="207" t="n">
        <v>-395.6</v>
      </c>
      <c r="R16" s="207" t="n">
        <v>-597.92</v>
      </c>
      <c r="S16" s="207" t="n">
        <v>-620.24</v>
      </c>
      <c r="T16" s="159" t="inlineStr">
        <is>
          <t>FIX-04: balancing item for asset floor=0</t>
        </is>
      </c>
    </row>
    <row r="17" ht="18" customHeight="1">
      <c r="B17" s="195" t="inlineStr">
        <is>
          <t>B5</t>
        </is>
      </c>
      <c r="C17" s="196" t="inlineStr">
        <is>
          <t>TOTAL LIABILITIES + EQUITY</t>
        </is>
      </c>
      <c r="D17" s="198" t="n">
        <v>426.12</v>
      </c>
      <c r="E17" s="198" t="n">
        <v>402.24</v>
      </c>
      <c r="F17" s="198" t="n">
        <v>377.86</v>
      </c>
      <c r="G17" s="198" t="n">
        <v>990.27</v>
      </c>
      <c r="H17" s="198" t="n">
        <v>1077.15</v>
      </c>
      <c r="I17" s="198" t="n">
        <v>1355.51</v>
      </c>
      <c r="J17" s="198" t="n">
        <v>2099.83</v>
      </c>
      <c r="K17" s="198" t="n">
        <v>2259.05</v>
      </c>
      <c r="L17" s="198" t="n">
        <v>2435.89</v>
      </c>
      <c r="M17" s="198" t="n">
        <v>3051.03</v>
      </c>
      <c r="N17" s="198" t="n">
        <v>3385.51</v>
      </c>
      <c r="O17" s="198" t="n">
        <v>3539.15</v>
      </c>
      <c r="P17" s="198" t="n">
        <v>2583.56</v>
      </c>
      <c r="Q17" s="198" t="n">
        <v>1929.33</v>
      </c>
      <c r="R17" s="198" t="n">
        <v>1575.5</v>
      </c>
      <c r="S17" s="198" t="n">
        <v>1521.67</v>
      </c>
      <c r="T17" s="199" t="inlineStr">
        <is>
          <t>Σ B1+B2+B3+B4</t>
        </is>
      </c>
    </row>
    <row r="19" ht="20" customHeight="1">
      <c r="B19" s="168" t="inlineStr">
        <is>
          <t>C.  BALANCE CHECK  (Assets − Liab/Equity; должно быть 0)</t>
        </is>
      </c>
    </row>
    <row r="20" ht="20" customHeight="1">
      <c r="B20" s="212" t="inlineStr">
        <is>
          <t>C1</t>
        </is>
      </c>
      <c r="C20" s="213" t="inlineStr">
        <is>
          <t>Balance check = Assets − (L+E)</t>
        </is>
      </c>
      <c r="D20" s="214" t="n">
        <v>0</v>
      </c>
      <c r="E20" s="214" t="n">
        <v>0</v>
      </c>
      <c r="F20" s="214" t="n">
        <v>0</v>
      </c>
      <c r="G20" s="214" t="n">
        <v>0</v>
      </c>
      <c r="H20" s="214" t="n">
        <v>0</v>
      </c>
      <c r="I20" s="214" t="n">
        <v>0</v>
      </c>
      <c r="J20" s="214" t="n">
        <v>0</v>
      </c>
      <c r="K20" s="214" t="n">
        <v>0</v>
      </c>
      <c r="L20" s="214" t="n">
        <v>0</v>
      </c>
      <c r="M20" s="214" t="n">
        <v>0</v>
      </c>
      <c r="N20" s="214" t="n">
        <v>0</v>
      </c>
      <c r="O20" s="214" t="n">
        <v>0</v>
      </c>
      <c r="P20" s="214" t="n">
        <v>0</v>
      </c>
      <c r="Q20" s="214" t="n">
        <v>0</v>
      </c>
      <c r="R20" s="214" t="n">
        <v>0</v>
      </c>
      <c r="S20" s="214" t="n">
        <v>0</v>
      </c>
      <c r="T20" s="215" t="inlineStr">
        <is>
          <t>✓ BALANCED</t>
        </is>
      </c>
    </row>
    <row r="22" ht="24" customHeight="1">
      <c r="B22" s="211" t="inlineStr">
        <is>
          <t>★ Snapshot Q4'28: Assets 3,539 = Cash 3,538 + Content 0 + PP&amp;E 1  |  L+E 3,539 = T₁ 1,250 + Prod.Eq 600 + Retained 1,689 + FloorAdj 0</t>
        </is>
      </c>
    </row>
  </sheetData>
  <mergeCells count="6">
    <mergeCell ref="B3:T3"/>
    <mergeCell ref="B19:T19"/>
    <mergeCell ref="B22:T22"/>
    <mergeCell ref="B12:T12"/>
    <mergeCell ref="B6:T6"/>
    <mergeCell ref="B2:T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6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B2" s="235" t="inlineStr">
        <is>
          <t>VALUATION — DCF (Discounted Cash Flow) · 5Y Forecast 2026–2030</t>
        </is>
      </c>
    </row>
    <row r="3"/>
    <row r="4">
      <c r="B4" s="189" t="inlineStr">
        <is>
          <t>WACC = 19.1% · Terminal growth g = 3% · Exit Mult = 5.0× EBITDA</t>
        </is>
      </c>
    </row>
    <row r="6">
      <c r="B6" s="244" t="inlineStr">
        <is>
          <t>I. WACC BUILD-UP</t>
        </is>
      </c>
    </row>
    <row r="7">
      <c r="B7" s="206" t="inlineStr">
        <is>
          <t>Risk-free rate (ОФЗ 10Y)</t>
        </is>
      </c>
      <c r="D7" s="259" t="n">
        <v>0.145</v>
      </c>
    </row>
    <row r="8">
      <c r="B8" s="206" t="inlineStr">
        <is>
          <t>Levered β (cinema/media)</t>
        </is>
      </c>
      <c r="D8" s="260" t="n">
        <v>0.8</v>
      </c>
    </row>
    <row r="9">
      <c r="B9" s="206" t="inlineStr">
        <is>
          <t>Equity Risk Premium</t>
        </is>
      </c>
      <c r="D9" s="259" t="n">
        <v>0.07000000000000001</v>
      </c>
    </row>
    <row r="10">
      <c r="B10" s="206" t="inlineStr">
        <is>
          <t>Country risk premium (РФ)</t>
        </is>
      </c>
      <c r="D10" s="259" t="n">
        <v>0.02</v>
      </c>
    </row>
    <row r="11">
      <c r="B11" s="206" t="inlineStr">
        <is>
          <t>Size premium (small-cap)</t>
        </is>
      </c>
      <c r="D11" s="259" t="n">
        <v>0.01</v>
      </c>
    </row>
    <row r="12">
      <c r="B12" s="213" t="inlineStr">
        <is>
          <t>Cost of Equity (CAPM extended)</t>
        </is>
      </c>
      <c r="D12" s="259" t="n">
        <v>0.231</v>
      </c>
    </row>
    <row r="13">
      <c r="B13" s="213" t="inlineStr">
        <is>
          <t>Cost of Debt (pre-tax)</t>
        </is>
      </c>
      <c r="D13" s="259" t="n">
        <v>0.12</v>
      </c>
    </row>
    <row r="14">
      <c r="B14" s="213" t="inlineStr">
        <is>
          <t>Cost of Debt (after-tax, 20%)</t>
        </is>
      </c>
      <c r="D14" s="259" t="n">
        <v>0.096</v>
      </c>
    </row>
    <row r="15">
      <c r="B15" s="206" t="inlineStr">
        <is>
          <t>D/V target capital structure</t>
        </is>
      </c>
      <c r="D15" s="259" t="n">
        <v>0.3</v>
      </c>
    </row>
    <row r="16">
      <c r="B16" s="206" t="inlineStr">
        <is>
          <t>E/V target capital structure</t>
        </is>
      </c>
      <c r="D16" s="259" t="n">
        <v>0.7</v>
      </c>
    </row>
    <row r="17">
      <c r="B17" s="261" t="inlineStr">
        <is>
          <t>WACC (weighted)</t>
        </is>
      </c>
      <c r="D17" s="262" t="n">
        <v>0.1905</v>
      </c>
    </row>
    <row r="20">
      <c r="B20" s="244" t="inlineStr">
        <is>
          <t>II. FORECAST FREE CASH FLOW TO FIRM (FCFF)</t>
        </is>
      </c>
    </row>
    <row r="21">
      <c r="B21" s="167" t="inlineStr">
        <is>
          <t>#</t>
        </is>
      </c>
      <c r="C21" s="263" t="inlineStr">
        <is>
          <t>Показатель, млн ₽</t>
        </is>
      </c>
      <c r="D21" s="167" t="n">
        <v>2026</v>
      </c>
      <c r="E21" s="167" t="n">
        <v>2027</v>
      </c>
      <c r="F21" s="167" t="n">
        <v>2028</v>
      </c>
      <c r="G21" s="167" t="n">
        <v>2029</v>
      </c>
      <c r="H21" s="167" t="n">
        <v>2030</v>
      </c>
      <c r="I21" s="167" t="inlineStr">
        <is>
          <t>Σ / PV</t>
        </is>
      </c>
    </row>
    <row r="22">
      <c r="B22" s="205" t="inlineStr">
        <is>
          <t>1</t>
        </is>
      </c>
      <c r="C22" s="206" t="inlineStr">
        <is>
          <t>Revenue</t>
        </is>
      </c>
      <c r="D22" s="207" t="n">
        <v>385</v>
      </c>
      <c r="E22" s="207" t="n">
        <v>1665</v>
      </c>
      <c r="F22" s="207" t="n">
        <v>2495</v>
      </c>
      <c r="G22" s="207" t="n">
        <v>2600</v>
      </c>
      <c r="H22" s="207" t="n">
        <v>2800</v>
      </c>
      <c r="I22" s="264" t="n">
        <v>9945</v>
      </c>
    </row>
    <row r="23">
      <c r="B23" s="205" t="inlineStr">
        <is>
          <t>2</t>
        </is>
      </c>
      <c r="C23" s="213" t="inlineStr">
        <is>
          <t>EBITDA</t>
        </is>
      </c>
      <c r="D23" s="207" t="n">
        <v>50.05</v>
      </c>
      <c r="E23" s="207" t="n">
        <v>639.36</v>
      </c>
      <c r="F23" s="207" t="n">
        <v>1462.07</v>
      </c>
      <c r="G23" s="207" t="n">
        <v>1040</v>
      </c>
      <c r="H23" s="207" t="n">
        <v>1120</v>
      </c>
      <c r="I23" s="264" t="n">
        <v>4311.48</v>
      </c>
    </row>
    <row r="24">
      <c r="B24" s="205" t="inlineStr">
        <is>
          <t>3</t>
        </is>
      </c>
      <c r="C24" s="206" t="inlineStr">
        <is>
          <t>D&amp;A</t>
        </is>
      </c>
      <c r="D24" s="207" t="n">
        <v>3</v>
      </c>
      <c r="E24" s="207" t="n">
        <v>3</v>
      </c>
      <c r="F24" s="207" t="n">
        <v>3</v>
      </c>
      <c r="G24" s="207" t="n">
        <v>500</v>
      </c>
      <c r="H24" s="207" t="n">
        <v>520</v>
      </c>
      <c r="I24" s="264" t="n">
        <v>1029</v>
      </c>
    </row>
    <row r="25">
      <c r="B25" s="205" t="inlineStr">
        <is>
          <t>4</t>
        </is>
      </c>
      <c r="C25" s="206" t="inlineStr">
        <is>
          <t>EBIT</t>
        </is>
      </c>
      <c r="D25" s="207" t="n">
        <v>47.05</v>
      </c>
      <c r="E25" s="207" t="n">
        <v>636.36</v>
      </c>
      <c r="F25" s="207" t="n">
        <v>1459.07</v>
      </c>
      <c r="G25" s="207" t="n">
        <v>540</v>
      </c>
      <c r="H25" s="207" t="n">
        <v>600</v>
      </c>
      <c r="I25" s="264" t="n">
        <v>3282.48</v>
      </c>
    </row>
    <row r="26">
      <c r="B26" s="205" t="inlineStr">
        <is>
          <t>5</t>
        </is>
      </c>
      <c r="C26" s="213" t="inlineStr">
        <is>
          <t>NOPAT = EBIT × (1−t)</t>
        </is>
      </c>
      <c r="D26" s="207" t="n">
        <v>37.64000000000001</v>
      </c>
      <c r="E26" s="207" t="n">
        <v>509.088</v>
      </c>
      <c r="F26" s="207" t="n">
        <v>1167.256</v>
      </c>
      <c r="G26" s="207" t="n">
        <v>432</v>
      </c>
      <c r="H26" s="207" t="n">
        <v>480</v>
      </c>
      <c r="I26" s="264" t="n">
        <v>2625.984</v>
      </c>
    </row>
    <row r="27">
      <c r="B27" s="205" t="inlineStr">
        <is>
          <t>6</t>
        </is>
      </c>
      <c r="C27" s="206" t="inlineStr">
        <is>
          <t>+ D&amp;A</t>
        </is>
      </c>
      <c r="D27" s="207" t="n">
        <v>3</v>
      </c>
      <c r="E27" s="207" t="n">
        <v>3</v>
      </c>
      <c r="F27" s="207" t="n">
        <v>3</v>
      </c>
      <c r="G27" s="207" t="n">
        <v>500</v>
      </c>
      <c r="H27" s="207" t="n">
        <v>520</v>
      </c>
      <c r="I27" s="264" t="n">
        <v>1029</v>
      </c>
    </row>
    <row r="28">
      <c r="B28" s="205" t="inlineStr">
        <is>
          <t>7</t>
        </is>
      </c>
      <c r="C28" s="206" t="inlineStr">
        <is>
          <t>− CAPEX</t>
        </is>
      </c>
      <c r="D28" s="207" t="n">
        <v>-402.5</v>
      </c>
      <c r="E28" s="207" t="n">
        <v>-853</v>
      </c>
      <c r="F28" s="207" t="n">
        <v>-594.5</v>
      </c>
      <c r="G28" s="207" t="n">
        <v>-500</v>
      </c>
      <c r="H28" s="207" t="n">
        <v>-520</v>
      </c>
      <c r="I28" s="264" t="n">
        <v>-2870</v>
      </c>
    </row>
    <row r="29">
      <c r="B29" s="205" t="inlineStr">
        <is>
          <t>8</t>
        </is>
      </c>
      <c r="C29" s="206" t="inlineStr">
        <is>
          <t>− ΔNWC</t>
        </is>
      </c>
      <c r="D29" s="207" t="n">
        <v>-38.5</v>
      </c>
      <c r="E29" s="207" t="n">
        <v>-128</v>
      </c>
      <c r="F29" s="207" t="n">
        <v>-83</v>
      </c>
      <c r="G29" s="207" t="n">
        <v>-10.5</v>
      </c>
      <c r="H29" s="207" t="n">
        <v>-20</v>
      </c>
      <c r="I29" s="264" t="n">
        <v>-280</v>
      </c>
    </row>
    <row r="30">
      <c r="B30" s="205" t="inlineStr">
        <is>
          <t>9</t>
        </is>
      </c>
      <c r="C30" s="213">
        <f> FCFF</f>
        <v/>
      </c>
      <c r="D30" s="193" t="n">
        <v>-400.36</v>
      </c>
      <c r="E30" s="193" t="n">
        <v>-468.912</v>
      </c>
      <c r="F30" s="193" t="n">
        <v>492.7560000000001</v>
      </c>
      <c r="G30" s="193" t="n">
        <v>421.5</v>
      </c>
      <c r="H30" s="193" t="n">
        <v>460</v>
      </c>
      <c r="I30" s="264" t="n">
        <v>504.984</v>
      </c>
    </row>
    <row r="31">
      <c r="B31" s="205" t="inlineStr">
        <is>
          <t>10</t>
        </is>
      </c>
      <c r="C31" s="261" t="inlineStr">
        <is>
          <t>PV FCFF @ WACC 19.1%</t>
        </is>
      </c>
      <c r="D31" s="232" t="n">
        <v>-336.2956740865183</v>
      </c>
      <c r="E31" s="232" t="n">
        <v>-330.8510730247386</v>
      </c>
      <c r="F31" s="232" t="n">
        <v>292.0409294177834</v>
      </c>
      <c r="G31" s="232" t="n">
        <v>209.8359908571182</v>
      </c>
      <c r="H31" s="232" t="n">
        <v>192.3582569088606</v>
      </c>
      <c r="N31" s="173" t="n">
        <v>27.08843007250539</v>
      </c>
    </row>
    <row r="33">
      <c r="B33" s="244" t="inlineStr">
        <is>
          <t>III. ENTERPRISE VALUE BRIDGE</t>
        </is>
      </c>
    </row>
    <row r="34">
      <c r="B34" s="206" t="inlineStr">
        <is>
          <t>Σ PV of Explicit FCFF (10 years)</t>
        </is>
      </c>
      <c r="L34" s="207" t="n">
        <v>27.08843007250539</v>
      </c>
    </row>
    <row r="35">
      <c r="B35" s="206" t="inlineStr">
        <is>
          <t>Terminal Value — Gordon (g=3%)</t>
        </is>
      </c>
      <c r="L35" s="207" t="n">
        <v>2952.02492211838</v>
      </c>
    </row>
    <row r="36">
      <c r="B36" s="206" t="inlineStr">
        <is>
          <t>PV of Terminal Value — Gordon</t>
        </is>
      </c>
      <c r="L36" s="207" t="n">
        <v>1234.448626891753</v>
      </c>
    </row>
    <row r="37">
      <c r="B37" s="154" t="inlineStr">
        <is>
          <t>Enterprise Value (Gordon method)</t>
        </is>
      </c>
      <c r="L37" s="173" t="n">
        <v>1261.537056964259</v>
      </c>
    </row>
    <row r="38">
      <c r="B38" s="246" t="inlineStr"/>
      <c r="L38" s="265" t="n"/>
    </row>
    <row r="39">
      <c r="B39" s="206" t="inlineStr">
        <is>
          <t>Terminal Value — Exit Multiple (5× EBITDA2030)</t>
        </is>
      </c>
      <c r="L39" s="207" t="n">
        <v>5600</v>
      </c>
    </row>
    <row r="40">
      <c r="B40" s="206" t="inlineStr">
        <is>
          <t>PV of Terminal Value — Exit Multiple</t>
        </is>
      </c>
      <c r="L40" s="207" t="n">
        <v>2341.75269280352</v>
      </c>
    </row>
    <row r="41">
      <c r="B41" s="154" t="inlineStr">
        <is>
          <t>Enterprise Value (Exit Multiple method)</t>
        </is>
      </c>
      <c r="L41" s="173" t="n">
        <v>2368.841122876026</v>
      </c>
    </row>
    <row r="42">
      <c r="B42" s="246" t="inlineStr"/>
      <c r="L42" s="265" t="n"/>
    </row>
    <row r="43">
      <c r="B43" s="154" t="inlineStr">
        <is>
          <t>EV blended (avg of Gordon + Exit Mult)</t>
        </is>
      </c>
      <c r="L43" s="173" t="n">
        <v>1815.189089920142</v>
      </c>
    </row>
    <row r="44">
      <c r="B44" s="206" t="inlineStr">
        <is>
          <t>(−) Net Debt at valuation date</t>
        </is>
      </c>
      <c r="L44" s="207" t="n">
        <v>0</v>
      </c>
    </row>
    <row r="45">
      <c r="B45" s="154">
        <f> Equity Value</f>
        <v/>
      </c>
      <c r="L45" s="173" t="n">
        <v>1815.189089920142</v>
      </c>
    </row>
    <row r="48">
      <c r="B48" s="244" t="inlineStr">
        <is>
          <t>IV. SENSITIVITY: EV (GORDON METHOD) vs WACC × g</t>
        </is>
      </c>
    </row>
    <row r="49">
      <c r="C49" s="167" t="inlineStr">
        <is>
          <t>WACC \ g</t>
        </is>
      </c>
      <c r="D49" s="167" t="inlineStr">
        <is>
          <t>g=1%</t>
        </is>
      </c>
      <c r="E49" s="167" t="inlineStr">
        <is>
          <t>g=2%</t>
        </is>
      </c>
      <c r="F49" s="167" t="inlineStr">
        <is>
          <t>g=3%</t>
        </is>
      </c>
      <c r="G49" s="167" t="inlineStr">
        <is>
          <t>g=4%</t>
        </is>
      </c>
      <c r="H49" s="167" t="inlineStr">
        <is>
          <t>g=5%</t>
        </is>
      </c>
    </row>
    <row r="50">
      <c r="C50" s="167" t="inlineStr">
        <is>
          <t>15.0%</t>
        </is>
      </c>
      <c r="D50" s="207" t="n">
        <v>1730.583942753584</v>
      </c>
      <c r="E50" s="207" t="n">
        <v>1873.777838185092</v>
      </c>
      <c r="F50" s="207" t="n">
        <v>2040.738355264984</v>
      </c>
      <c r="G50" s="207" t="n">
        <v>2237.917970458884</v>
      </c>
      <c r="H50" s="207" t="n">
        <v>2474.33731006948</v>
      </c>
    </row>
    <row r="51">
      <c r="C51" s="167" t="inlineStr">
        <is>
          <t>17.1%</t>
        </is>
      </c>
      <c r="D51" s="207" t="n">
        <v>1374.374429187806</v>
      </c>
      <c r="E51" s="207" t="n">
        <v>1475.826431489002</v>
      </c>
      <c r="F51" s="207" t="n">
        <v>1591.719999954069</v>
      </c>
      <c r="G51" s="207" t="n">
        <v>1725.375034850564</v>
      </c>
      <c r="H51" s="207" t="n">
        <v>1881.213478028635</v>
      </c>
    </row>
    <row r="52">
      <c r="C52" s="167" t="inlineStr">
        <is>
          <t>19.1%</t>
        </is>
      </c>
      <c r="D52" s="207" t="n">
        <v>1103.442111390784</v>
      </c>
      <c r="E52" s="207" t="n">
        <v>1177.853368764809</v>
      </c>
      <c r="F52" s="173" t="n">
        <v>1261.537056964259</v>
      </c>
      <c r="G52" s="207" t="n">
        <v>1356.341501070612</v>
      </c>
      <c r="H52" s="207" t="n">
        <v>1464.641239711677</v>
      </c>
    </row>
    <row r="53">
      <c r="C53" s="167" t="inlineStr">
        <is>
          <t>21.1%</t>
        </is>
      </c>
      <c r="D53" s="207" t="n">
        <v>891.8875237494921</v>
      </c>
      <c r="E53" s="207" t="n">
        <v>947.9780222258811</v>
      </c>
      <c r="F53" s="207" t="n">
        <v>1010.283534383865</v>
      </c>
      <c r="G53" s="207" t="n">
        <v>1079.897611017858</v>
      </c>
      <c r="H53" s="207" t="n">
        <v>1158.186338945807</v>
      </c>
    </row>
    <row r="54">
      <c r="C54" s="167" t="inlineStr">
        <is>
          <t>23.1%</t>
        </is>
      </c>
      <c r="D54" s="207" t="n">
        <v>723.2362859485631</v>
      </c>
      <c r="E54" s="207" t="n">
        <v>766.4648356658124</v>
      </c>
      <c r="F54" s="207" t="n">
        <v>814.0054601678252</v>
      </c>
      <c r="G54" s="207" t="n">
        <v>866.5372263498391</v>
      </c>
      <c r="H54" s="207" t="n">
        <v>924.8896868456495</v>
      </c>
    </row>
    <row r="57">
      <c r="B57" s="258" t="inlineStr">
        <is>
          <t>Заключение: EV blended ≈ 1815 млн ₽. Gordon подход более консервативен (1262), Exit Multiple (2369) отражает рыночные мультипликаторы peers. Чувствительность к WACC±200bp = ±15%.</t>
        </is>
      </c>
    </row>
    <row r="59">
      <c r="B59" s="604" t="inlineStr">
        <is>
          <t>V. DCF ↔ P&amp;L RECONCILIATION NOTE</t>
        </is>
      </c>
    </row>
    <row r="60" ht="30" customHeight="1">
      <c r="B60" s="605" t="inlineStr">
        <is>
          <t>Контекст:</t>
        </is>
      </c>
      <c r="D60" s="477" t="inlineStr">
        <is>
          <t>DCF моделирует сценарий с обновлением pipeline (rolling slate — новые проекты каждый год), P&amp;L Base — текущий pipeline без renewal (12 фильмов 2026–2028 + long-tail).</t>
        </is>
      </c>
    </row>
    <row r="61" ht="30" customHeight="1">
      <c r="B61" s="605" t="inlineStr">
        <is>
          <t>Revenue DCF 2029–2030:</t>
        </is>
      </c>
      <c r="D61" s="477" t="inlineStr">
        <is>
          <t>2 600 / 2 800 млн ₽ — steady-state rolling slate (8–10 фильмов/год, выход на стабильную мощность после build phase).</t>
        </is>
      </c>
    </row>
    <row r="62" ht="30" customHeight="1">
      <c r="B62" s="605" t="inlineStr">
        <is>
          <t>Revenue P&amp;L Base 2029–2032:</t>
        </is>
      </c>
      <c r="D62" s="477" t="inlineStr">
        <is>
          <t>380 / 380 / 380 / 380 млн ₽ — tail от текущего пайплайна + content library floor (минимальный доход от SVOD/TV лицензий на библиотеку 12+ фильмов).</t>
        </is>
      </c>
    </row>
    <row r="63" ht="30" customHeight="1">
      <c r="B63" s="605" t="inlineStr">
        <is>
          <t>Revenue P&amp;L Renewal 2029–2032:</t>
        </is>
      </c>
      <c r="D63" s="477" t="inlineStr">
        <is>
          <t>2 600 / 2 800 / 2 900 / 3 000 млн ₽ — сценарий с pipeline renewal, соответствующий DCF assumptions (2–3 новых проекта/год в 2029–2031).</t>
        </is>
      </c>
    </row>
    <row r="64" ht="30" customHeight="1">
      <c r="B64" s="605" t="inlineStr">
        <is>
          <t>Обоснование разрыва:</t>
        </is>
      </c>
      <c r="D64" s="477" t="inlineStr">
        <is>
          <t>DCF отражает enterprise value при продолжении операционной деятельности (going concern). P&amp;L Base — консервативный downside: только текущий контракт без renewal. Инвестору представлены оба сценария для due diligence.</t>
        </is>
      </c>
    </row>
  </sheetData>
  <mergeCells count="53">
    <mergeCell ref="B16:C16"/>
    <mergeCell ref="B62:C62"/>
    <mergeCell ref="B7:C7"/>
    <mergeCell ref="L42:N42"/>
    <mergeCell ref="D60:N60"/>
    <mergeCell ref="B40:K40"/>
    <mergeCell ref="D63:N63"/>
    <mergeCell ref="L39:N39"/>
    <mergeCell ref="L45:N45"/>
    <mergeCell ref="B33:N33"/>
    <mergeCell ref="L35:N35"/>
    <mergeCell ref="B6:N6"/>
    <mergeCell ref="B20:N20"/>
    <mergeCell ref="B2:N3"/>
    <mergeCell ref="B12:C12"/>
    <mergeCell ref="B36:K3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61:C61"/>
    <mergeCell ref="B14:C14"/>
    <mergeCell ref="B60:C60"/>
    <mergeCell ref="L34:N34"/>
    <mergeCell ref="B17:C17"/>
    <mergeCell ref="B8:C8"/>
    <mergeCell ref="D61:N61"/>
    <mergeCell ref="B13:C13"/>
    <mergeCell ref="B59:N59"/>
    <mergeCell ref="L36:N36"/>
    <mergeCell ref="B10:C10"/>
    <mergeCell ref="B43:K43"/>
    <mergeCell ref="B39:K39"/>
    <mergeCell ref="B48:N48"/>
    <mergeCell ref="B9:C9"/>
    <mergeCell ref="D62:N62"/>
    <mergeCell ref="B42:K42"/>
    <mergeCell ref="B64:C64"/>
    <mergeCell ref="B15:C15"/>
    <mergeCell ref="B57:N57"/>
    <mergeCell ref="D64:N64"/>
    <mergeCell ref="L37:N37"/>
    <mergeCell ref="B44:K44"/>
    <mergeCell ref="B38:K38"/>
    <mergeCell ref="L43:N43"/>
    <mergeCell ref="B34:K34"/>
    <mergeCell ref="B63:C63"/>
    <mergeCell ref="B37:K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Команда ТрендСтудио</dc:creator>
  <dc:title xmlns:dc="http://purl.org/dc/elements/1.1/">investor_model_v1.0_Public — ТрендСтудио</dc:title>
  <dc:description xmlns:dc="http://purl.org/dc/elements/1.1/">Якорь: cumulative EBITDA 2026–2028 = 3 000 млн ₽</dc:description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2026-04-13T13:12:22Z</dcterms:modified>
  <cp:keywords>investor, financial model, L3, pre-IPO, cinema</cp:keywords>
</cp:coreProperties>
</file>