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Benchmark" sheetId="1" state="visible" r:id="rId3"/>
    <sheet name="02_Recommended_A2" sheetId="2" state="visible" r:id="rId4"/>
    <sheet name="03_FOT_3yr_Projection" sheetId="3" state="visible" r:id="rId5"/>
    <sheet name="04_Risks_Recommenda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<sst xmlns="http://schemas.openxmlformats.org/spreadsheetml/2006/main" count="160" uniqueCount="122">
  <si>
    <t xml:space="preserve">БЕНЧМАРК ЗАРПЛАТ: Модель A₁ vs Рынок МСК (2025–2026)</t>
  </si>
  <si>
    <t xml:space="preserve">Источники: hh.ru, ГородРабот, DreamJob, Кинопоиск/МШК. Все суммы — gross ₽/мес.</t>
  </si>
  <si>
    <t xml:space="preserve">#</t>
  </si>
  <si>
    <t xml:space="preserve">Категория</t>
  </si>
  <si>
    <t xml:space="preserve">Чел.</t>
  </si>
  <si>
    <t xml:space="preserve">Оклад модели</t>
  </si>
  <si>
    <t xml:space="preserve">Рынок P25</t>
  </si>
  <si>
    <t xml:space="preserve">Рынок P50 (медиана)</t>
  </si>
  <si>
    <t xml:space="preserve">Рынок P75</t>
  </si>
  <si>
    <t xml:space="preserve">Кино/медиа P50</t>
  </si>
  <si>
    <t xml:space="preserve">Δ модель vs P50</t>
  </si>
  <si>
    <t xml:space="preserve">Δ %</t>
  </si>
  <si>
    <t xml:space="preserve">Оценка</t>
  </si>
  <si>
    <t xml:space="preserve">Продюсеры</t>
  </si>
  <si>
    <t xml:space="preserve">≈ рынок (mid)</t>
  </si>
  <si>
    <t xml:space="preserve">Юристы</t>
  </si>
  <si>
    <t xml:space="preserve">в рынке</t>
  </si>
  <si>
    <t xml:space="preserve">Производственный цех</t>
  </si>
  <si>
    <t xml:space="preserve">⚠ ниже кино-рынка</t>
  </si>
  <si>
    <t xml:space="preserve">Аналитики</t>
  </si>
  <si>
    <t xml:space="preserve">⚠ ниже P50 на 29%</t>
  </si>
  <si>
    <t xml:space="preserve">Бухгалтеры</t>
  </si>
  <si>
    <t xml:space="preserve">⚠ ниже P50 на 27%</t>
  </si>
  <si>
    <t xml:space="preserve">Эксперты (творч. группа)</t>
  </si>
  <si>
    <t xml:space="preserve">⚠⚠ критически ниже</t>
  </si>
  <si>
    <t xml:space="preserve">Водитель</t>
  </si>
  <si>
    <t xml:space="preserve">ниже P50 на 22%</t>
  </si>
  <si>
    <t xml:space="preserve">Административный / IT</t>
  </si>
  <si>
    <t xml:space="preserve">⚠ ниже P50 на 30%</t>
  </si>
  <si>
    <t xml:space="preserve">ИТОГО / Средневзвешенное</t>
  </si>
  <si>
    <t xml:space="preserve">РЕКОМЕНДУЕМЫЙ ФОТ A₂ (Market-Based) + Индексация 8%/год</t>
  </si>
  <si>
    <t xml:space="preserve">Корректировка окладов до P50 рынка МСК. Оптимизация штата. Индексация 8%.</t>
  </si>
  <si>
    <t xml:space="preserve">ПАРАМЕТРЫ</t>
  </si>
  <si>
    <t xml:space="preserve">Индексация (%/год)</t>
  </si>
  <si>
    <t xml:space="preserve">Страховые взносы</t>
  </si>
  <si>
    <t xml:space="preserve">Pipeline</t>
  </si>
  <si>
    <t xml:space="preserve">12 фильмов / 3 года</t>
  </si>
  <si>
    <t xml:space="preserve">Стратегия</t>
  </si>
  <si>
    <t xml:space="preserve">core staff + project freelancers</t>
  </si>
  <si>
    <t xml:space="preserve">A₁ чел.</t>
  </si>
  <si>
    <t xml:space="preserve">A₂ рек. чел.</t>
  </si>
  <si>
    <t xml:space="preserve">Δ чел.</t>
  </si>
  <si>
    <t xml:space="preserve">A₁ оклад</t>
  </si>
  <si>
    <t xml:space="preserve">A₂ рек. оклад (P50)</t>
  </si>
  <si>
    <t xml:space="preserve">Δ оклад</t>
  </si>
  <si>
    <t xml:space="preserve">Δ оклад %</t>
  </si>
  <si>
    <t xml:space="preserve">Комментарий</t>
  </si>
  <si>
    <t xml:space="preserve">Продюсеры (вкл. линейные)</t>
  </si>
  <si>
    <t xml:space="preserve">+2 линейных продюсера на peak load 3-4 фильма</t>
  </si>
  <si>
    <t xml:space="preserve">в норме, без изменений</t>
  </si>
  <si>
    <t xml:space="preserve">+3 координатора: пре-прод, прод, пост-прод</t>
  </si>
  <si>
    <t xml:space="preserve">-2: 5 аналитиков достаточно для кинохолдинга</t>
  </si>
  <si>
    <t xml:space="preserve">без изменений, оклад до P50</t>
  </si>
  <si>
    <t xml:space="preserve">-7: 8 штатных + фриланс сценаристов по проекту</t>
  </si>
  <si>
    <t xml:space="preserve">-3: оптимизация (3 IT + 4 АХО/HR)</t>
  </si>
  <si>
    <t xml:space="preserve">ИТОГО</t>
  </si>
  <si>
    <t xml:space="preserve">ПРОЕКЦИЯ ФОТ A₂ (Market) НА 3 ГОДА С ИНДЕКСАЦИЕЙ 8%</t>
  </si>
  <si>
    <t xml:space="preserve">Сравнение A₁ Fixed vs A₂ Market-Based. Влияние на OPEX и P&amp;L.</t>
  </si>
  <si>
    <t xml:space="preserve">A₁ FIXED (текущая модель)</t>
  </si>
  <si>
    <t xml:space="preserve">Параметр</t>
  </si>
  <si>
    <t xml:space="preserve">2026</t>
  </si>
  <si>
    <t xml:space="preserve">2027</t>
  </si>
  <si>
    <t xml:space="preserve">2028</t>
  </si>
  <si>
    <t xml:space="preserve">Σ 3 года</t>
  </si>
  <si>
    <t xml:space="preserve">Штат (чел.)</t>
  </si>
  <si>
    <t xml:space="preserve">Ср. оклад gross (₽)</t>
  </si>
  <si>
    <t xml:space="preserve">ФОТ gross/мес (₽)</t>
  </si>
  <si>
    <t xml:space="preserve">ФОТ с налогами/мес</t>
  </si>
  <si>
    <t xml:space="preserve">ФОТ годовой (млн ₽)</t>
  </si>
  <si>
    <t xml:space="preserve">Индексация</t>
  </si>
  <si>
    <t xml:space="preserve">0.0%</t>
  </si>
  <si>
    <t xml:space="preserve">—</t>
  </si>
  <si>
    <t xml:space="preserve">A₂ MARKET-BASED (рекомендуемая)</t>
  </si>
  <si>
    <t xml:space="preserve">8.0%</t>
  </si>
  <si>
    <t xml:space="preserve">GAP-АНАЛИЗ: A₂ − A₁</t>
  </si>
  <si>
    <t xml:space="preserve">Δ Штат (чел.)</t>
  </si>
  <si>
    <t xml:space="preserve">Δ ФОТ годовой (млн ₽)</t>
  </si>
  <si>
    <t xml:space="preserve">Δ ФОТ %</t>
  </si>
  <si>
    <t xml:space="preserve">ВЛИЯНИЕ НА P&amp;L И IRR</t>
  </si>
  <si>
    <t xml:space="preserve">Метрика</t>
  </si>
  <si>
    <t xml:space="preserve">A₁ Fixed</t>
  </si>
  <si>
    <t xml:space="preserve">A₂ Market</t>
  </si>
  <si>
    <t xml:space="preserve">Δ</t>
  </si>
  <si>
    <t xml:space="preserve">ФОТ Σ 3 года (млн ₽)</t>
  </si>
  <si>
    <t xml:space="preserve">OPEX Σ 3 года (≈, млн ₽)</t>
  </si>
  <si>
    <t xml:space="preserve">ФОТ / Revenue (%)</t>
  </si>
  <si>
    <t xml:space="preserve">Δ NDP (млн ₽, ≈)</t>
  </si>
  <si>
    <t xml:space="preserve">Оценка влияния на IRR</t>
  </si>
  <si>
    <t xml:space="preserve">≈ −0.5..−1.0 pp</t>
  </si>
  <si>
    <t xml:space="preserve">РИСКИ И РЕКОМЕНДАЦИИ ПО ФОТ</t>
  </si>
  <si>
    <t xml:space="preserve">ID</t>
  </si>
  <si>
    <t xml:space="preserve">Уровень</t>
  </si>
  <si>
    <t xml:space="preserve">Риск</t>
  </si>
  <si>
    <t xml:space="preserve">Детали</t>
  </si>
  <si>
    <t xml:space="preserve">Митигация</t>
  </si>
  <si>
    <t xml:space="preserve">R1</t>
  </si>
  <si>
    <t xml:space="preserve">ВЫСОКИЙ</t>
  </si>
  <si>
    <t xml:space="preserve">Невозможность укомплектовать штат</t>
  </si>
  <si>
    <t xml:space="preserve">Оклады 3-5 категорий ниже рынка на 30-80%</t>
  </si>
  <si>
    <t xml:space="preserve">Повысить до P50 рынка</t>
  </si>
  <si>
    <t xml:space="preserve">R2</t>
  </si>
  <si>
    <t xml:space="preserve">Нулевая индексация 3 года</t>
  </si>
  <si>
    <t xml:space="preserve">Реальная покупательная способность -25% к 2028</t>
  </si>
  <si>
    <t xml:space="preserve">Ввести 8%/год индексацию</t>
  </si>
  <si>
    <t xml:space="preserve">R3</t>
  </si>
  <si>
    <t xml:space="preserve">СРЕДНИЙ</t>
  </si>
  <si>
    <t xml:space="preserve">Дефицит линейных продюсеров</t>
  </si>
  <si>
    <t xml:space="preserve">5 продюсеров на peak 3-4 параллельных проекта</t>
  </si>
  <si>
    <t xml:space="preserve">+2-3 линейных продюсера</t>
  </si>
  <si>
    <t xml:space="preserve">R4</t>
  </si>
  <si>
    <t xml:space="preserve">Экспертная группа по зарплате стажёров</t>
  </si>
  <si>
    <t xml:space="preserve">60K gross для сценаристов/арт-директоров</t>
  </si>
  <si>
    <t xml:space="preserve">Разделить: 8 штатных ×180K + проектные фрилансеры</t>
  </si>
  <si>
    <t xml:space="preserve">R5</t>
  </si>
  <si>
    <t xml:space="preserve">НИЗКИЙ</t>
  </si>
  <si>
    <t xml:space="preserve">Избыток аналитиков</t>
  </si>
  <si>
    <t xml:space="preserve">7 аналитиков = 14% штата</t>
  </si>
  <si>
    <t xml:space="preserve">Сократить до 5, перебросить ФОТ на дефицитные позиции</t>
  </si>
  <si>
    <t xml:space="preserve">R6</t>
  </si>
  <si>
    <t xml:space="preserve">Избыток админ/IT</t>
  </si>
  <si>
    <t xml:space="preserve">10 человек = 20% штата</t>
  </si>
  <si>
    <t xml:space="preserve">Оптимизировать до 7 (3 IT + 4 АХО)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</si>
</sst>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0"/>
    <numFmt numFmtId="168" formatCode="0.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70C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0070C0"/>
      <name val="Arial"/>
      <family val="0"/>
      <charset val="1"/>
    </font>
    <font>
      <b val="true"/>
      <sz val="11"/>
      <color rgb="FF00B05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1"/>
      <color rgb="FF7030A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D5F5D5"/>
      </patternFill>
    </fill>
    <fill>
      <patternFill patternType="solid">
        <fgColor rgb="FFFFFFCC"/>
        <bgColor rgb="FFFFFFFF"/>
      </patternFill>
    </fill>
    <fill>
      <patternFill patternType="solid">
        <fgColor rgb="FFFFD5D5"/>
        <bgColor rgb="FFD9E1F2"/>
      </patternFill>
    </fill>
    <fill>
      <patternFill patternType="solid">
        <fgColor rgb="FFD5F5D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F2F2F2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D5"/>
      <rgbColor rgb="FFFFFF99"/>
      <rgbColor rgb="FF99CCFF"/>
      <rgbColor rgb="FFFF99CC"/>
      <rgbColor rgb="FFCC99FF"/>
      <rgbColor rgb="FFFFD5D5"/>
      <rgbColor rgb="FF3366FF"/>
      <rgbColor rgb="FF33CCCC"/>
      <rgbColor rgb="FF99CC00"/>
      <rgbColor rgb="FFFFC000"/>
      <rgbColor rgb="FFFF9900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8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1</v>
      </c>
      <c r="B5" s="4" t="s">
        <v>13</v>
      </c>
      <c r="C5" s="4" t="n">
        <v>5</v>
      </c>
      <c r="D5" s="5" t="n">
        <v>200000</v>
      </c>
      <c r="E5" s="6" t="n">
        <v>80000</v>
      </c>
      <c r="F5" s="7" t="n">
        <v>110000</v>
      </c>
      <c r="G5" s="6" t="n">
        <v>180000</v>
      </c>
      <c r="H5" s="6" t="n">
        <v>250000</v>
      </c>
      <c r="I5" s="6" t="n">
        <f aca="false">D5-F5</f>
        <v>90000</v>
      </c>
      <c r="J5" s="8" t="n">
        <f aca="false">(D5-F5)/F5</f>
        <v>0.818181818181818</v>
      </c>
      <c r="K5" s="4" t="s">
        <v>14</v>
      </c>
    </row>
    <row r="6" customFormat="false" ht="15" hidden="false" customHeight="false" outlineLevel="0" collapsed="false">
      <c r="A6" s="9" t="n">
        <v>2</v>
      </c>
      <c r="B6" s="9" t="s">
        <v>15</v>
      </c>
      <c r="C6" s="9" t="n">
        <v>3</v>
      </c>
      <c r="D6" s="10" t="n">
        <v>150000</v>
      </c>
      <c r="E6" s="11" t="n">
        <v>80000</v>
      </c>
      <c r="F6" s="12" t="n">
        <v>140000</v>
      </c>
      <c r="G6" s="11" t="n">
        <v>195000</v>
      </c>
      <c r="H6" s="11"/>
      <c r="I6" s="11" t="n">
        <f aca="false">D6-F6</f>
        <v>10000</v>
      </c>
      <c r="J6" s="13" t="n">
        <f aca="false">(D6-F6)/F6</f>
        <v>0.0714285714285714</v>
      </c>
      <c r="K6" s="9" t="s">
        <v>16</v>
      </c>
    </row>
    <row r="7" customFormat="false" ht="15" hidden="false" customHeight="false" outlineLevel="0" collapsed="false">
      <c r="A7" s="4" t="n">
        <v>3</v>
      </c>
      <c r="B7" s="4" t="s">
        <v>17</v>
      </c>
      <c r="C7" s="4" t="n">
        <v>5</v>
      </c>
      <c r="D7" s="5" t="n">
        <v>120000</v>
      </c>
      <c r="E7" s="6" t="n">
        <v>80000</v>
      </c>
      <c r="F7" s="7" t="n">
        <v>120000</v>
      </c>
      <c r="G7" s="6" t="n">
        <v>200000</v>
      </c>
      <c r="H7" s="6" t="n">
        <v>350000</v>
      </c>
      <c r="I7" s="6" t="n">
        <f aca="false">D7-F7</f>
        <v>0</v>
      </c>
      <c r="J7" s="8" t="n">
        <f aca="false">(D7-F7)/F7</f>
        <v>0</v>
      </c>
      <c r="K7" s="4" t="s">
        <v>18</v>
      </c>
    </row>
    <row r="8" customFormat="false" ht="15" hidden="false" customHeight="false" outlineLevel="0" collapsed="false">
      <c r="A8" s="9" t="n">
        <v>4</v>
      </c>
      <c r="B8" s="9" t="s">
        <v>19</v>
      </c>
      <c r="C8" s="9" t="n">
        <v>7</v>
      </c>
      <c r="D8" s="10" t="n">
        <v>100000</v>
      </c>
      <c r="E8" s="11" t="n">
        <v>100000</v>
      </c>
      <c r="F8" s="12" t="n">
        <v>140000</v>
      </c>
      <c r="G8" s="11" t="n">
        <v>190000</v>
      </c>
      <c r="H8" s="11"/>
      <c r="I8" s="11" t="n">
        <f aca="false">D8-F8</f>
        <v>-40000</v>
      </c>
      <c r="J8" s="13" t="n">
        <f aca="false">(D8-F8)/F8</f>
        <v>-0.285714285714286</v>
      </c>
      <c r="K8" s="9" t="s">
        <v>20</v>
      </c>
    </row>
    <row r="9" customFormat="false" ht="15" hidden="false" customHeight="false" outlineLevel="0" collapsed="false">
      <c r="A9" s="4" t="n">
        <v>5</v>
      </c>
      <c r="B9" s="4" t="s">
        <v>21</v>
      </c>
      <c r="C9" s="4" t="n">
        <v>4</v>
      </c>
      <c r="D9" s="5" t="n">
        <v>80000</v>
      </c>
      <c r="E9" s="6" t="n">
        <v>70000</v>
      </c>
      <c r="F9" s="7" t="n">
        <v>110000</v>
      </c>
      <c r="G9" s="6" t="n">
        <v>160000</v>
      </c>
      <c r="H9" s="6"/>
      <c r="I9" s="6" t="n">
        <f aca="false">D9-F9</f>
        <v>-30000</v>
      </c>
      <c r="J9" s="8" t="n">
        <f aca="false">(D9-F9)/F9</f>
        <v>-0.272727272727273</v>
      </c>
      <c r="K9" s="4" t="s">
        <v>22</v>
      </c>
    </row>
    <row r="10" customFormat="false" ht="15" hidden="false" customHeight="false" outlineLevel="0" collapsed="false">
      <c r="A10" s="9" t="n">
        <v>6</v>
      </c>
      <c r="B10" s="9" t="s">
        <v>23</v>
      </c>
      <c r="C10" s="9" t="n">
        <v>15</v>
      </c>
      <c r="D10" s="10" t="n">
        <v>60000</v>
      </c>
      <c r="E10" s="11" t="n">
        <v>100000</v>
      </c>
      <c r="F10" s="12" t="n">
        <v>165000</v>
      </c>
      <c r="G10" s="11" t="n">
        <v>300000</v>
      </c>
      <c r="H10" s="11" t="n">
        <v>250000</v>
      </c>
      <c r="I10" s="11" t="n">
        <f aca="false">D10-F10</f>
        <v>-105000</v>
      </c>
      <c r="J10" s="13" t="n">
        <f aca="false">(D10-F10)/F10</f>
        <v>-0.636363636363636</v>
      </c>
      <c r="K10" s="9" t="s">
        <v>24</v>
      </c>
    </row>
    <row r="11" customFormat="false" ht="15" hidden="false" customHeight="false" outlineLevel="0" collapsed="false">
      <c r="A11" s="4" t="n">
        <v>7</v>
      </c>
      <c r="B11" s="4" t="s">
        <v>25</v>
      </c>
      <c r="C11" s="4" t="n">
        <v>1</v>
      </c>
      <c r="D11" s="5" t="n">
        <v>70000</v>
      </c>
      <c r="E11" s="6" t="n">
        <v>60000</v>
      </c>
      <c r="F11" s="7" t="n">
        <v>90000</v>
      </c>
      <c r="G11" s="6" t="n">
        <v>130000</v>
      </c>
      <c r="H11" s="6"/>
      <c r="I11" s="6" t="n">
        <f aca="false">D11-F11</f>
        <v>-20000</v>
      </c>
      <c r="J11" s="8" t="n">
        <f aca="false">(D11-F11)/F11</f>
        <v>-0.222222222222222</v>
      </c>
      <c r="K11" s="4" t="s">
        <v>26</v>
      </c>
    </row>
    <row r="12" customFormat="false" ht="15" hidden="false" customHeight="false" outlineLevel="0" collapsed="false">
      <c r="A12" s="9" t="n">
        <v>8</v>
      </c>
      <c r="B12" s="9" t="s">
        <v>27</v>
      </c>
      <c r="C12" s="9" t="n">
        <v>10</v>
      </c>
      <c r="D12" s="10" t="n">
        <v>70000</v>
      </c>
      <c r="E12" s="11" t="n">
        <v>65000</v>
      </c>
      <c r="F12" s="12" t="n">
        <v>100000</v>
      </c>
      <c r="G12" s="11" t="n">
        <v>140000</v>
      </c>
      <c r="H12" s="11"/>
      <c r="I12" s="11" t="n">
        <f aca="false">D12-F12</f>
        <v>-30000</v>
      </c>
      <c r="J12" s="13" t="n">
        <f aca="false">(D12-F12)/F12</f>
        <v>-0.3</v>
      </c>
      <c r="K12" s="9" t="s">
        <v>28</v>
      </c>
    </row>
    <row r="13" customFormat="false" ht="15" hidden="false" customHeight="false" outlineLevel="0" collapsed="false">
      <c r="A13" s="14"/>
      <c r="B13" s="14" t="s">
        <v>29</v>
      </c>
      <c r="C13" s="14" t="n">
        <f aca="false">SUM(C5:C12)</f>
        <v>50</v>
      </c>
      <c r="D13" s="15" t="n">
        <f aca="false">SUMPRODUCT(C5:C12,D5:D12)/C13</f>
        <v>94800</v>
      </c>
      <c r="E13" s="15"/>
      <c r="F13" s="15" t="n">
        <f aca="false">SUMPRODUCT(C5:C12,F5:F12)/C13</f>
        <v>131100</v>
      </c>
      <c r="G13" s="15"/>
      <c r="H13" s="15"/>
      <c r="I13" s="15" t="n">
        <f aca="false">D13-F13</f>
        <v>-36300</v>
      </c>
      <c r="J13" s="16" t="n">
        <f aca="false">(D13-F13)/F13</f>
        <v>-0.276887871853547</v>
      </c>
      <c r="K13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48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17" t="s">
        <v>32</v>
      </c>
    </row>
    <row r="5" customFormat="false" ht="15" hidden="false" customHeight="false" outlineLevel="0" collapsed="false">
      <c r="A5" s="18" t="s">
        <v>33</v>
      </c>
      <c r="B5" s="19" t="n">
        <v>0.08</v>
      </c>
    </row>
    <row r="6" customFormat="false" ht="15" hidden="false" customHeight="false" outlineLevel="0" collapsed="false">
      <c r="A6" s="18" t="s">
        <v>34</v>
      </c>
      <c r="B6" s="19" t="n">
        <v>0.3</v>
      </c>
    </row>
    <row r="7" customFormat="false" ht="15" hidden="false" customHeight="false" outlineLevel="0" collapsed="false">
      <c r="A7" s="18" t="s">
        <v>35</v>
      </c>
      <c r="B7" s="20" t="s">
        <v>36</v>
      </c>
    </row>
    <row r="8" customFormat="false" ht="15" hidden="false" customHeight="false" outlineLevel="0" collapsed="false">
      <c r="A8" s="18" t="s">
        <v>37</v>
      </c>
      <c r="B8" s="20" t="s">
        <v>38</v>
      </c>
    </row>
    <row r="10" customFormat="false" ht="26.85" hidden="false" customHeight="false" outlineLevel="0" collapsed="false">
      <c r="A10" s="3" t="s">
        <v>2</v>
      </c>
      <c r="B10" s="3" t="s">
        <v>3</v>
      </c>
      <c r="C10" s="3" t="s">
        <v>39</v>
      </c>
      <c r="D10" s="3" t="s">
        <v>40</v>
      </c>
      <c r="E10" s="3" t="s">
        <v>41</v>
      </c>
      <c r="F10" s="3" t="s">
        <v>42</v>
      </c>
      <c r="G10" s="3" t="s">
        <v>43</v>
      </c>
      <c r="H10" s="3" t="s">
        <v>44</v>
      </c>
      <c r="I10" s="3" t="s">
        <v>45</v>
      </c>
      <c r="J10" s="3" t="s">
        <v>46</v>
      </c>
    </row>
    <row r="11" customFormat="false" ht="15" hidden="false" customHeight="false" outlineLevel="0" collapsed="false">
      <c r="A11" s="4" t="n">
        <v>1</v>
      </c>
      <c r="B11" s="4" t="s">
        <v>47</v>
      </c>
      <c r="C11" s="4" t="n">
        <v>5</v>
      </c>
      <c r="D11" s="4" t="n">
        <v>7</v>
      </c>
      <c r="E11" s="4" t="n">
        <f aca="false">D11-C11</f>
        <v>2</v>
      </c>
      <c r="F11" s="5" t="n">
        <v>200000</v>
      </c>
      <c r="G11" s="21" t="n">
        <v>200000</v>
      </c>
      <c r="H11" s="6" t="n">
        <f aca="false">G11-F11</f>
        <v>0</v>
      </c>
      <c r="I11" s="8" t="n">
        <f aca="false">IF(F11&gt;0,(G11-F11)/F11,0)</f>
        <v>0</v>
      </c>
      <c r="J11" s="4" t="s">
        <v>48</v>
      </c>
    </row>
    <row r="12" customFormat="false" ht="15" hidden="false" customHeight="false" outlineLevel="0" collapsed="false">
      <c r="A12" s="9" t="n">
        <v>2</v>
      </c>
      <c r="B12" s="9" t="s">
        <v>15</v>
      </c>
      <c r="C12" s="9" t="n">
        <v>3</v>
      </c>
      <c r="D12" s="9" t="n">
        <v>3</v>
      </c>
      <c r="E12" s="9" t="n">
        <f aca="false">D12-C12</f>
        <v>0</v>
      </c>
      <c r="F12" s="10" t="n">
        <v>150000</v>
      </c>
      <c r="G12" s="22" t="n">
        <v>150000</v>
      </c>
      <c r="H12" s="11" t="n">
        <f aca="false">G12-F12</f>
        <v>0</v>
      </c>
      <c r="I12" s="13" t="n">
        <f aca="false">IF(F12&gt;0,(G12-F12)/F12,0)</f>
        <v>0</v>
      </c>
      <c r="J12" s="9" t="s">
        <v>49</v>
      </c>
    </row>
    <row r="13" customFormat="false" ht="15" hidden="false" customHeight="false" outlineLevel="0" collapsed="false">
      <c r="A13" s="4" t="n">
        <v>3</v>
      </c>
      <c r="B13" s="4" t="s">
        <v>17</v>
      </c>
      <c r="C13" s="4" t="n">
        <v>5</v>
      </c>
      <c r="D13" s="4" t="n">
        <v>8</v>
      </c>
      <c r="E13" s="4" t="n">
        <f aca="false">D13-C13</f>
        <v>3</v>
      </c>
      <c r="F13" s="5" t="n">
        <v>120000</v>
      </c>
      <c r="G13" s="21" t="n">
        <v>150000</v>
      </c>
      <c r="H13" s="6" t="n">
        <f aca="false">G13-F13</f>
        <v>30000</v>
      </c>
      <c r="I13" s="8" t="n">
        <f aca="false">IF(F13&gt;0,(G13-F13)/F13,0)</f>
        <v>0.25</v>
      </c>
      <c r="J13" s="4" t="s">
        <v>50</v>
      </c>
    </row>
    <row r="14" customFormat="false" ht="15" hidden="false" customHeight="false" outlineLevel="0" collapsed="false">
      <c r="A14" s="9" t="n">
        <v>4</v>
      </c>
      <c r="B14" s="9" t="s">
        <v>19</v>
      </c>
      <c r="C14" s="9" t="n">
        <v>7</v>
      </c>
      <c r="D14" s="9" t="n">
        <v>5</v>
      </c>
      <c r="E14" s="9" t="n">
        <f aca="false">D14-C14</f>
        <v>-2</v>
      </c>
      <c r="F14" s="10" t="n">
        <v>100000</v>
      </c>
      <c r="G14" s="22" t="n">
        <v>140000</v>
      </c>
      <c r="H14" s="11" t="n">
        <f aca="false">G14-F14</f>
        <v>40000</v>
      </c>
      <c r="I14" s="13" t="n">
        <f aca="false">IF(F14&gt;0,(G14-F14)/F14,0)</f>
        <v>0.4</v>
      </c>
      <c r="J14" s="9" t="s">
        <v>51</v>
      </c>
    </row>
    <row r="15" customFormat="false" ht="15" hidden="false" customHeight="false" outlineLevel="0" collapsed="false">
      <c r="A15" s="4" t="n">
        <v>5</v>
      </c>
      <c r="B15" s="4" t="s">
        <v>21</v>
      </c>
      <c r="C15" s="4" t="n">
        <v>4</v>
      </c>
      <c r="D15" s="4" t="n">
        <v>4</v>
      </c>
      <c r="E15" s="4" t="n">
        <f aca="false">D15-C15</f>
        <v>0</v>
      </c>
      <c r="F15" s="5" t="n">
        <v>80000</v>
      </c>
      <c r="G15" s="21" t="n">
        <v>110000</v>
      </c>
      <c r="H15" s="6" t="n">
        <f aca="false">G15-F15</f>
        <v>30000</v>
      </c>
      <c r="I15" s="8" t="n">
        <f aca="false">IF(F15&gt;0,(G15-F15)/F15,0)</f>
        <v>0.375</v>
      </c>
      <c r="J15" s="4" t="s">
        <v>52</v>
      </c>
    </row>
    <row r="16" customFormat="false" ht="15" hidden="false" customHeight="false" outlineLevel="0" collapsed="false">
      <c r="A16" s="9" t="n">
        <v>6</v>
      </c>
      <c r="B16" s="9" t="s">
        <v>23</v>
      </c>
      <c r="C16" s="9" t="n">
        <v>15</v>
      </c>
      <c r="D16" s="9" t="n">
        <v>8</v>
      </c>
      <c r="E16" s="9" t="n">
        <f aca="false">D16-C16</f>
        <v>-7</v>
      </c>
      <c r="F16" s="10" t="n">
        <v>60000</v>
      </c>
      <c r="G16" s="22" t="n">
        <v>180000</v>
      </c>
      <c r="H16" s="11" t="n">
        <f aca="false">G16-F16</f>
        <v>120000</v>
      </c>
      <c r="I16" s="13" t="n">
        <f aca="false">IF(F16&gt;0,(G16-F16)/F16,0)</f>
        <v>2</v>
      </c>
      <c r="J16" s="9" t="s">
        <v>53</v>
      </c>
    </row>
    <row r="17" customFormat="false" ht="15" hidden="false" customHeight="false" outlineLevel="0" collapsed="false">
      <c r="A17" s="4" t="n">
        <v>7</v>
      </c>
      <c r="B17" s="4" t="s">
        <v>25</v>
      </c>
      <c r="C17" s="4" t="n">
        <v>1</v>
      </c>
      <c r="D17" s="4" t="n">
        <v>1</v>
      </c>
      <c r="E17" s="4" t="n">
        <f aca="false">D17-C17</f>
        <v>0</v>
      </c>
      <c r="F17" s="5" t="n">
        <v>70000</v>
      </c>
      <c r="G17" s="21" t="n">
        <v>90000</v>
      </c>
      <c r="H17" s="6" t="n">
        <f aca="false">G17-F17</f>
        <v>20000</v>
      </c>
      <c r="I17" s="8" t="n">
        <f aca="false">IF(F17&gt;0,(G17-F17)/F17,0)</f>
        <v>0.285714285714286</v>
      </c>
      <c r="J17" s="4" t="s">
        <v>52</v>
      </c>
    </row>
    <row r="18" customFormat="false" ht="15" hidden="false" customHeight="false" outlineLevel="0" collapsed="false">
      <c r="A18" s="9" t="n">
        <v>8</v>
      </c>
      <c r="B18" s="9" t="s">
        <v>27</v>
      </c>
      <c r="C18" s="9" t="n">
        <v>10</v>
      </c>
      <c r="D18" s="9" t="n">
        <v>7</v>
      </c>
      <c r="E18" s="9" t="n">
        <f aca="false">D18-C18</f>
        <v>-3</v>
      </c>
      <c r="F18" s="10" t="n">
        <v>70000</v>
      </c>
      <c r="G18" s="22" t="n">
        <v>100000</v>
      </c>
      <c r="H18" s="11" t="n">
        <f aca="false">G18-F18</f>
        <v>30000</v>
      </c>
      <c r="I18" s="13" t="n">
        <f aca="false">IF(F18&gt;0,(G18-F18)/F18,0)</f>
        <v>0.428571428571429</v>
      </c>
      <c r="J18" s="9" t="s">
        <v>54</v>
      </c>
    </row>
    <row r="19" customFormat="false" ht="15" hidden="false" customHeight="false" outlineLevel="0" collapsed="false">
      <c r="A19" s="14"/>
      <c r="B19" s="14" t="s">
        <v>55</v>
      </c>
      <c r="C19" s="14" t="n">
        <f aca="false">SUM(C11:C18)</f>
        <v>50</v>
      </c>
      <c r="D19" s="14" t="n">
        <f aca="false">SUM(D11:D18)</f>
        <v>43</v>
      </c>
      <c r="E19" s="14" t="n">
        <f aca="false">SUM(E11:E18)</f>
        <v>-7</v>
      </c>
      <c r="F19" s="15" t="n">
        <f aca="false">SUMPRODUCT(C11:C18,F11:F18)/C19</f>
        <v>94800</v>
      </c>
      <c r="G19" s="15" t="n">
        <f aca="false">SUMPRODUCT(D11:D18,G11:G18)/D19</f>
        <v>149302.325581395</v>
      </c>
      <c r="H19" s="15" t="n">
        <f aca="false">G19-F19</f>
        <v>54502.3255813954</v>
      </c>
      <c r="I19" s="16" t="n">
        <f aca="false">IF(F19&gt;0,(G19-F19)/F19,0)</f>
        <v>0.574919046217251</v>
      </c>
      <c r="J19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15" hidden="false" customHeight="false" outlineLevel="0" collapsed="false">
      <c r="A4" s="23" t="s">
        <v>58</v>
      </c>
    </row>
    <row r="5" customFormat="false" ht="15" hidden="false" customHeight="false" outlineLevel="0" collapsed="false">
      <c r="A5" s="3" t="s">
        <v>59</v>
      </c>
      <c r="B5" s="3" t="s">
        <v>60</v>
      </c>
      <c r="C5" s="3" t="s">
        <v>61</v>
      </c>
      <c r="D5" s="3" t="s">
        <v>62</v>
      </c>
      <c r="E5" s="3" t="s">
        <v>63</v>
      </c>
    </row>
    <row r="6" customFormat="false" ht="15" hidden="false" customHeight="false" outlineLevel="0" collapsed="false">
      <c r="A6" s="4" t="s">
        <v>64</v>
      </c>
      <c r="B6" s="4" t="n">
        <v>50</v>
      </c>
      <c r="C6" s="4" t="n">
        <v>50</v>
      </c>
      <c r="D6" s="4" t="n">
        <v>50</v>
      </c>
      <c r="E6" s="4" t="n">
        <f aca="false">SUM(B6:D6)/3</f>
        <v>50</v>
      </c>
    </row>
    <row r="7" customFormat="false" ht="15" hidden="false" customHeight="false" outlineLevel="0" collapsed="false">
      <c r="A7" s="9" t="s">
        <v>65</v>
      </c>
      <c r="B7" s="11" t="n">
        <v>94800</v>
      </c>
      <c r="C7" s="11" t="n">
        <v>94800</v>
      </c>
      <c r="D7" s="11" t="n">
        <v>94800</v>
      </c>
      <c r="E7" s="9" t="n">
        <f aca="false">AVERAGE(B7:D7)</f>
        <v>94800</v>
      </c>
    </row>
    <row r="8" customFormat="false" ht="15" hidden="false" customHeight="false" outlineLevel="0" collapsed="false">
      <c r="A8" s="4" t="s">
        <v>66</v>
      </c>
      <c r="B8" s="4" t="n">
        <f aca="false">B6*B7</f>
        <v>4740000</v>
      </c>
      <c r="C8" s="4" t="n">
        <f aca="false">C6*C7</f>
        <v>4740000</v>
      </c>
      <c r="D8" s="4" t="n">
        <f aca="false">D6*D7</f>
        <v>4740000</v>
      </c>
      <c r="E8" s="4" t="n">
        <f aca="false">AVERAGE(B8:D8)</f>
        <v>4740000</v>
      </c>
    </row>
    <row r="9" customFormat="false" ht="15" hidden="false" customHeight="false" outlineLevel="0" collapsed="false">
      <c r="A9" s="9" t="s">
        <v>67</v>
      </c>
      <c r="B9" s="9" t="n">
        <f aca="false">B8*1.3</f>
        <v>6162000</v>
      </c>
      <c r="C9" s="9" t="n">
        <f aca="false">C8*1.3</f>
        <v>6162000</v>
      </c>
      <c r="D9" s="9" t="n">
        <f aca="false">D8*1.3</f>
        <v>6162000</v>
      </c>
      <c r="E9" s="9" t="n">
        <f aca="false">AVERAGE(B9:D9)</f>
        <v>6162000</v>
      </c>
    </row>
    <row r="10" customFormat="false" ht="15" hidden="false" customHeight="false" outlineLevel="0" collapsed="false">
      <c r="A10" s="4" t="s">
        <v>68</v>
      </c>
      <c r="B10" s="4" t="n">
        <f aca="false">B9*12/1000000</f>
        <v>73.944</v>
      </c>
      <c r="C10" s="4" t="n">
        <f aca="false">C9*12/1000000</f>
        <v>73.944</v>
      </c>
      <c r="D10" s="4" t="n">
        <f aca="false">D9*12/1000000</f>
        <v>73.944</v>
      </c>
      <c r="E10" s="4" t="n">
        <f aca="false">SUM(B10:D10)</f>
        <v>221.832</v>
      </c>
    </row>
    <row r="11" customFormat="false" ht="15" hidden="false" customHeight="false" outlineLevel="0" collapsed="false">
      <c r="A11" s="9" t="s">
        <v>69</v>
      </c>
      <c r="B11" s="9" t="s">
        <v>70</v>
      </c>
      <c r="C11" s="9" t="s">
        <v>70</v>
      </c>
      <c r="D11" s="9" t="s">
        <v>70</v>
      </c>
      <c r="E11" s="9" t="s">
        <v>71</v>
      </c>
    </row>
    <row r="13" customFormat="false" ht="15" hidden="false" customHeight="false" outlineLevel="0" collapsed="false">
      <c r="A13" s="24" t="s">
        <v>72</v>
      </c>
    </row>
    <row r="14" customFormat="false" ht="15" hidden="false" customHeight="false" outlineLevel="0" collapsed="false">
      <c r="A14" s="3" t="s">
        <v>59</v>
      </c>
      <c r="B14" s="3" t="s">
        <v>60</v>
      </c>
      <c r="C14" s="3" t="s">
        <v>61</v>
      </c>
      <c r="D14" s="3" t="s">
        <v>62</v>
      </c>
      <c r="E14" s="3" t="s">
        <v>63</v>
      </c>
    </row>
    <row r="15" customFormat="false" ht="15" hidden="false" customHeight="false" outlineLevel="0" collapsed="false">
      <c r="A15" s="4" t="s">
        <v>64</v>
      </c>
      <c r="B15" s="4" t="n">
        <v>43</v>
      </c>
      <c r="C15" s="4" t="n">
        <v>43</v>
      </c>
      <c r="D15" s="4" t="n">
        <v>43</v>
      </c>
      <c r="E15" s="4" t="n">
        <f aca="false">SUM(B15:D15)/3</f>
        <v>43</v>
      </c>
    </row>
    <row r="16" customFormat="false" ht="15" hidden="false" customHeight="false" outlineLevel="0" collapsed="false">
      <c r="A16" s="9" t="s">
        <v>65</v>
      </c>
      <c r="B16" s="11" t="n">
        <v>148140</v>
      </c>
      <c r="C16" s="9" t="n">
        <f aca="false">B16*1.08</f>
        <v>159991.2</v>
      </c>
      <c r="D16" s="9" t="n">
        <f aca="false">C16*1.08</f>
        <v>172790.496</v>
      </c>
      <c r="E16" s="9" t="n">
        <f aca="false">AVERAGE(B16:D16)</f>
        <v>160307.232</v>
      </c>
    </row>
    <row r="17" customFormat="false" ht="15" hidden="false" customHeight="false" outlineLevel="0" collapsed="false">
      <c r="A17" s="4" t="s">
        <v>66</v>
      </c>
      <c r="B17" s="4" t="n">
        <f aca="false">B15*B16</f>
        <v>6370020</v>
      </c>
      <c r="C17" s="4" t="n">
        <f aca="false">C15*C16</f>
        <v>6879621.6</v>
      </c>
      <c r="D17" s="4" t="n">
        <f aca="false">D15*D16</f>
        <v>7429991.328</v>
      </c>
      <c r="E17" s="4" t="n">
        <f aca="false">AVERAGE(B17:D17)</f>
        <v>6893210.976</v>
      </c>
    </row>
    <row r="18" customFormat="false" ht="15" hidden="false" customHeight="false" outlineLevel="0" collapsed="false">
      <c r="A18" s="9" t="s">
        <v>67</v>
      </c>
      <c r="B18" s="9" t="n">
        <f aca="false">B17*1.3</f>
        <v>8281026</v>
      </c>
      <c r="C18" s="9" t="n">
        <f aca="false">C17*1.3</f>
        <v>8943508.08</v>
      </c>
      <c r="D18" s="9" t="n">
        <f aca="false">D17*1.3</f>
        <v>9658988.7264</v>
      </c>
      <c r="E18" s="9" t="n">
        <f aca="false">AVERAGE(B18:D18)</f>
        <v>8961174.2688</v>
      </c>
    </row>
    <row r="19" customFormat="false" ht="15" hidden="false" customHeight="false" outlineLevel="0" collapsed="false">
      <c r="A19" s="4" t="s">
        <v>68</v>
      </c>
      <c r="B19" s="4" t="n">
        <f aca="false">B18*12/1000000</f>
        <v>99.372312</v>
      </c>
      <c r="C19" s="4" t="n">
        <f aca="false">C18*12/1000000</f>
        <v>107.32209696</v>
      </c>
      <c r="D19" s="4" t="n">
        <f aca="false">D18*12/1000000</f>
        <v>115.9078647168</v>
      </c>
      <c r="E19" s="4" t="n">
        <f aca="false">SUM(B19:D19)</f>
        <v>322.6022736768</v>
      </c>
    </row>
    <row r="20" customFormat="false" ht="15" hidden="false" customHeight="false" outlineLevel="0" collapsed="false">
      <c r="A20" s="9" t="s">
        <v>69</v>
      </c>
      <c r="B20" s="9" t="s">
        <v>70</v>
      </c>
      <c r="C20" s="9" t="s">
        <v>73</v>
      </c>
      <c r="D20" s="9" t="s">
        <v>73</v>
      </c>
      <c r="E20" s="9" t="s">
        <v>71</v>
      </c>
    </row>
    <row r="22" customFormat="false" ht="15" hidden="false" customHeight="false" outlineLevel="0" collapsed="false">
      <c r="A22" s="25" t="s">
        <v>74</v>
      </c>
    </row>
    <row r="23" customFormat="false" ht="15" hidden="false" customHeight="false" outlineLevel="0" collapsed="false">
      <c r="A23" s="3" t="s">
        <v>59</v>
      </c>
      <c r="B23" s="3" t="s">
        <v>60</v>
      </c>
      <c r="C23" s="3" t="s">
        <v>61</v>
      </c>
      <c r="D23" s="3" t="s">
        <v>62</v>
      </c>
      <c r="E23" s="3" t="s">
        <v>63</v>
      </c>
    </row>
    <row r="24" customFormat="false" ht="15" hidden="false" customHeight="false" outlineLevel="0" collapsed="false">
      <c r="A24" s="26" t="s">
        <v>75</v>
      </c>
      <c r="B24" s="26" t="n">
        <f aca="false">B15-B6</f>
        <v>-7</v>
      </c>
      <c r="C24" s="26" t="n">
        <f aca="false">C15-C6</f>
        <v>-7</v>
      </c>
      <c r="D24" s="26" t="n">
        <f aca="false">D15-D6</f>
        <v>-7</v>
      </c>
      <c r="E24" s="26" t="n">
        <f aca="false">E15-E6</f>
        <v>-7</v>
      </c>
    </row>
    <row r="25" customFormat="false" ht="15" hidden="false" customHeight="false" outlineLevel="0" collapsed="false">
      <c r="A25" s="26" t="s">
        <v>76</v>
      </c>
      <c r="B25" s="26" t="n">
        <f aca="false">B19-B10</f>
        <v>25.428312</v>
      </c>
      <c r="C25" s="26" t="n">
        <f aca="false">C19-C10</f>
        <v>33.37809696</v>
      </c>
      <c r="D25" s="26" t="n">
        <f aca="false">D19-D10</f>
        <v>41.9638647168</v>
      </c>
      <c r="E25" s="26" t="n">
        <f aca="false">E19-E10</f>
        <v>100.7702736768</v>
      </c>
    </row>
    <row r="26" customFormat="false" ht="15" hidden="false" customHeight="false" outlineLevel="0" collapsed="false">
      <c r="A26" s="26" t="s">
        <v>77</v>
      </c>
      <c r="B26" s="27" t="n">
        <f aca="false">IF(B10&gt;0,(B19-B10)/B10,0)</f>
        <v>0.343886075949367</v>
      </c>
      <c r="C26" s="27" t="n">
        <f aca="false">IF(C10&gt;0,(C19-C10)/C10,0)</f>
        <v>0.451396962025317</v>
      </c>
      <c r="D26" s="27" t="n">
        <f aca="false">IF(D10&gt;0,(D19-D10)/D10,0)</f>
        <v>0.567508718987342</v>
      </c>
      <c r="E26" s="27" t="n">
        <f aca="false">IF(E10&gt;0,(E19-E10)/E10,0)</f>
        <v>0.454263918987342</v>
      </c>
    </row>
    <row r="28" customFormat="false" ht="15" hidden="false" customHeight="false" outlineLevel="0" collapsed="false">
      <c r="A28" s="28" t="s">
        <v>78</v>
      </c>
    </row>
    <row r="29" customFormat="false" ht="15" hidden="false" customHeight="false" outlineLevel="0" collapsed="false">
      <c r="A29" s="3" t="s">
        <v>79</v>
      </c>
      <c r="B29" s="3" t="s">
        <v>80</v>
      </c>
      <c r="C29" s="3" t="s">
        <v>81</v>
      </c>
      <c r="D29" s="3" t="s">
        <v>82</v>
      </c>
    </row>
    <row r="30" customFormat="false" ht="15" hidden="false" customHeight="false" outlineLevel="0" collapsed="false">
      <c r="A30" s="4" t="s">
        <v>83</v>
      </c>
      <c r="B30" s="29" t="n">
        <f aca="false">E10</f>
        <v>221.832</v>
      </c>
      <c r="C30" s="29" t="n">
        <f aca="false">E19</f>
        <v>322.6022736768</v>
      </c>
      <c r="D30" s="4" t="n">
        <f aca="false">C30-B30</f>
        <v>100.7702736768</v>
      </c>
    </row>
    <row r="31" customFormat="false" ht="15" hidden="false" customHeight="false" outlineLevel="0" collapsed="false">
      <c r="A31" s="9" t="s">
        <v>84</v>
      </c>
      <c r="B31" s="30" t="n">
        <f aca="false">E10+45</f>
        <v>266.832</v>
      </c>
      <c r="C31" s="30" t="n">
        <f aca="false">E19+45</f>
        <v>367.6022736768</v>
      </c>
      <c r="D31" s="9" t="n">
        <f aca="false">C31-B31</f>
        <v>100.7702736768</v>
      </c>
    </row>
    <row r="32" customFormat="false" ht="15" hidden="false" customHeight="false" outlineLevel="0" collapsed="false">
      <c r="A32" s="4" t="s">
        <v>85</v>
      </c>
      <c r="B32" s="8" t="n">
        <f aca="false">E10/4545</f>
        <v>0.0488079207920792</v>
      </c>
      <c r="C32" s="8" t="n">
        <f aca="false">E19/4545</f>
        <v>0.0709795981687129</v>
      </c>
      <c r="D32" s="31" t="n">
        <f aca="false">C32-B32</f>
        <v>0.0221716773766337</v>
      </c>
    </row>
    <row r="33" customFormat="false" ht="15" hidden="false" customHeight="false" outlineLevel="0" collapsed="false">
      <c r="A33" s="9" t="s">
        <v>86</v>
      </c>
      <c r="B33" s="9" t="s">
        <v>71</v>
      </c>
      <c r="C33" s="9" t="s">
        <v>71</v>
      </c>
      <c r="D33" s="9" t="n">
        <f aca="false">-(E19-E10)</f>
        <v>-100.7702736768</v>
      </c>
    </row>
    <row r="34" customFormat="false" ht="15" hidden="false" customHeight="false" outlineLevel="0" collapsed="false">
      <c r="A34" s="4" t="s">
        <v>87</v>
      </c>
      <c r="B34" s="4" t="s">
        <v>71</v>
      </c>
      <c r="C34" s="4" t="s">
        <v>71</v>
      </c>
      <c r="D34" s="4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45"/>
    <col collapsed="false" customWidth="true" hidden="false" outlineLevel="0" max="5" min="5" style="0" width="42"/>
  </cols>
  <sheetData>
    <row r="1" customFormat="false" ht="17.35" hidden="false" customHeight="false" outlineLevel="0" collapsed="false">
      <c r="A1" s="1" t="s">
        <v>89</v>
      </c>
    </row>
    <row r="3" customFormat="false" ht="15" hidden="false" customHeight="false" outlineLevel="0" collapsed="false">
      <c r="A3" s="3" t="s">
        <v>90</v>
      </c>
      <c r="B3" s="3" t="s">
        <v>91</v>
      </c>
      <c r="C3" s="3" t="s">
        <v>92</v>
      </c>
      <c r="D3" s="3" t="s">
        <v>93</v>
      </c>
      <c r="E3" s="3" t="s">
        <v>94</v>
      </c>
    </row>
    <row r="4" customFormat="false" ht="15" hidden="false" customHeight="false" outlineLevel="0" collapsed="false">
      <c r="A4" s="32" t="s">
        <v>95</v>
      </c>
      <c r="B4" s="32" t="s">
        <v>96</v>
      </c>
      <c r="C4" s="32" t="s">
        <v>97</v>
      </c>
      <c r="D4" s="32" t="s">
        <v>98</v>
      </c>
      <c r="E4" s="32" t="s">
        <v>99</v>
      </c>
    </row>
    <row r="5" customFormat="false" ht="15" hidden="false" customHeight="false" outlineLevel="0" collapsed="false">
      <c r="A5" s="32" t="s">
        <v>100</v>
      </c>
      <c r="B5" s="32" t="s">
        <v>96</v>
      </c>
      <c r="C5" s="32" t="s">
        <v>101</v>
      </c>
      <c r="D5" s="32" t="s">
        <v>102</v>
      </c>
      <c r="E5" s="32" t="s">
        <v>103</v>
      </c>
    </row>
    <row r="6" customFormat="false" ht="15" hidden="false" customHeight="false" outlineLevel="0" collapsed="false">
      <c r="A6" s="26" t="s">
        <v>104</v>
      </c>
      <c r="B6" s="26" t="s">
        <v>105</v>
      </c>
      <c r="C6" s="26" t="s">
        <v>106</v>
      </c>
      <c r="D6" s="26" t="s">
        <v>107</v>
      </c>
      <c r="E6" s="26" t="s">
        <v>108</v>
      </c>
    </row>
    <row r="7" customFormat="false" ht="15" hidden="false" customHeight="false" outlineLevel="0" collapsed="false">
      <c r="A7" s="26" t="s">
        <v>109</v>
      </c>
      <c r="B7" s="26" t="s">
        <v>105</v>
      </c>
      <c r="C7" s="26" t="s">
        <v>110</v>
      </c>
      <c r="D7" s="26" t="s">
        <v>111</v>
      </c>
      <c r="E7" s="26" t="s">
        <v>112</v>
      </c>
    </row>
    <row r="8" customFormat="false" ht="15" hidden="false" customHeight="false" outlineLevel="0" collapsed="false">
      <c r="A8" s="33" t="s">
        <v>113</v>
      </c>
      <c r="B8" s="33" t="s">
        <v>114</v>
      </c>
      <c r="C8" s="33" t="s">
        <v>115</v>
      </c>
      <c r="D8" s="33" t="s">
        <v>116</v>
      </c>
      <c r="E8" s="33" t="s">
        <v>117</v>
      </c>
    </row>
    <row r="9" customFormat="false" ht="15" hidden="false" customHeight="false" outlineLevel="0" collapsed="false">
      <c r="A9" s="33" t="s">
        <v>118</v>
      </c>
      <c r="B9" s="33" t="s">
        <v>114</v>
      </c>
      <c r="C9" s="33" t="s">
        <v>119</v>
      </c>
      <c r="D9" s="33" t="s">
        <v>120</v>
      </c>
      <c r="E9" s="33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2026-04-12T09:00:09Z</dcterms:created>
  <dc:creator>openpyxl</dc:creator>
  <dc:description/>
  <dc:language>en-US</dc:language>
  <cp:lastModifiedBy/>
  <dcterms:modified xsi:type="dcterms:W3CDTF">2026-04-12T09:00:09Z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