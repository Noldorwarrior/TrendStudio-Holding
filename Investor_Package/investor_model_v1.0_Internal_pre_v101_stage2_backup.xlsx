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0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</numFmts>
  <fonts count="10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</fonts>
  <fills count="3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(60 / 40 waterfall W₁)</t>
        </is>
      </c>
      <c r="D130" s="151" t="n">
        <v>-785</v>
      </c>
      <c r="E130" s="152" t="inlineStr">
        <is>
          <t>Доля продюсера по дефолтной каскадной схеме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2215</v>
      </c>
      <c r="E131" s="156" t="inlineStr">
        <is>
          <t>Чистые распределения инвестору (T₁ Legacy)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W₁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W₁ (60/40). Проценты — service fee 15 млн суммарно. Принципал возвращается 2029-2032. Все суммы — млн ₽.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W₁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44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8">
      <c r="B38" s="548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(W₁)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~22%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</t>
        </is>
      </c>
    </row>
    <row r="24">
      <c r="B24" s="205" t="inlineStr">
        <is>
          <t>3.4</t>
        </is>
      </c>
      <c r="C24" s="213" t="inlineStr">
        <is>
          <t>MOIC investor T₁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—</t>
        </is>
      </c>
      <c r="H24" s="248" t="inlineStr">
        <is>
          <t>—</t>
        </is>
      </c>
      <c r="I24" s="248" t="inlineStr">
        <is>
          <t>1.37×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—</t>
        </is>
      </c>
      <c r="H25" s="248" t="inlineStr">
        <is>
          <t>—</t>
        </is>
      </c>
      <c r="I25" s="248" t="inlineStr">
        <is>
          <t>4.2 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12%</t>
        </is>
      </c>
      <c r="H45" s="255" t="inlineStr">
        <is>
          <t>1.05×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22%</t>
        </is>
      </c>
      <c r="H46" s="256" t="inlineStr">
        <is>
          <t>1.37×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33%</t>
        </is>
      </c>
      <c r="H47" s="257" t="inlineStr">
        <is>
          <t>2.00×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K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· 3 Scenarios × 3 Waterfalls</t>
        </is>
      </c>
    </row>
    <row r="3"/>
    <row r="4">
      <c r="B4" s="189" t="inlineStr">
        <is>
          <t>IRR / MOIC / DPI / TVPI анализ — базовый waterfall W₁ (Hurdle 60/40 → 50/50) с чувствительностью к альтернативным структурам W₂ и W₃</t>
        </is>
      </c>
    </row>
    <row r="6">
      <c r="B6" s="244" t="inlineStr">
        <is>
          <t>I. T₁ INVESTOR CASHFLOW SCHEDULE (Base case · W₁ Hurdle 60/40 → 50/50)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Repayment / Yield</t>
        </is>
      </c>
      <c r="E12" s="193" t="n">
        <v>285</v>
      </c>
      <c r="F12" s="193" t="n">
        <v>15</v>
      </c>
      <c r="G12" s="257" t="n"/>
      <c r="H12" s="193" t="n">
        <v>300</v>
      </c>
      <c r="I12" s="193" t="n">
        <v>-950</v>
      </c>
      <c r="J12" s="193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Repayment / Yield</t>
        </is>
      </c>
      <c r="E13" s="193" t="n">
        <v>636</v>
      </c>
      <c r="F13" s="257" t="n"/>
      <c r="G13" s="193" t="n">
        <v>64</v>
      </c>
      <c r="H13" s="193" t="n">
        <v>700</v>
      </c>
      <c r="I13" s="193" t="n">
        <v>-250</v>
      </c>
      <c r="J13" s="193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Repayment / Yield</t>
        </is>
      </c>
      <c r="E14" s="193" t="n">
        <v>129</v>
      </c>
      <c r="F14" s="257" t="n"/>
      <c r="G14" s="193" t="n">
        <v>371</v>
      </c>
      <c r="H14" s="193" t="n">
        <v>500</v>
      </c>
      <c r="I14" s="193" t="n">
        <v>250</v>
      </c>
      <c r="J14" s="193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Repayment / Yield</t>
        </is>
      </c>
      <c r="E15" s="193" t="n">
        <v>200</v>
      </c>
      <c r="F15" s="257" t="n"/>
      <c r="G15" s="193" t="n">
        <v>23.33</v>
      </c>
      <c r="H15" s="193" t="n">
        <v>223.33</v>
      </c>
      <c r="I15" s="193" t="n">
        <v>473.33</v>
      </c>
      <c r="J15" s="193" t="n">
        <v>-1250</v>
      </c>
      <c r="K15" s="191" t="inlineStr">
        <is>
          <t>In</t>
        </is>
      </c>
    </row>
    <row r="16">
      <c r="B16" s="272" t="inlineStr">
        <is>
          <t>ИТОГО</t>
        </is>
      </c>
      <c r="C16" s="186" t="n"/>
      <c r="D16" s="187" t="n"/>
      <c r="E16" s="172" t="n">
        <v>0</v>
      </c>
      <c r="F16" s="172" t="n">
        <v>15</v>
      </c>
      <c r="G16" s="172" t="n">
        <v>458.33</v>
      </c>
      <c r="H16" s="172" t="n">
        <v>473.33</v>
      </c>
      <c r="I16" s="273" t="n"/>
      <c r="J16" s="273" t="n"/>
      <c r="K16" s="273" t="n"/>
    </row>
    <row r="18">
      <c r="B18" s="244" t="inlineStr">
        <is>
          <t>II. RETURNS MATRIX — 3 SCENARIOS × 3 WATERFALLS (IRR / MOIC)</t>
        </is>
      </c>
    </row>
    <row r="19">
      <c r="B19" s="167" t="inlineStr">
        <is>
          <t>#</t>
        </is>
      </c>
      <c r="C19" s="167" t="inlineStr">
        <is>
          <t>Сценарий</t>
        </is>
      </c>
      <c r="D19" s="167" t="inlineStr">
        <is>
          <t>W₁ IRR</t>
        </is>
      </c>
      <c r="E19" s="167" t="inlineStr">
        <is>
          <t>W₁ MOIC</t>
        </is>
      </c>
      <c r="F19" s="167" t="inlineStr">
        <is>
          <t>W₂ IRR</t>
        </is>
      </c>
      <c r="G19" s="167" t="inlineStr">
        <is>
          <t>W₂ MOIC</t>
        </is>
      </c>
      <c r="H19" s="167" t="inlineStr">
        <is>
          <t>W₃ IRR</t>
        </is>
      </c>
      <c r="I19" s="167" t="inlineStr">
        <is>
          <t>W₃ MOIC</t>
        </is>
      </c>
      <c r="J19" s="167" t="inlineStr">
        <is>
          <t>Best</t>
        </is>
      </c>
      <c r="K19" s="167" t="inlineStr">
        <is>
          <t>NDP</t>
        </is>
      </c>
    </row>
    <row r="20">
      <c r="B20" s="254" t="n">
        <v>1</v>
      </c>
      <c r="C20" s="274" t="inlineStr">
        <is>
          <t>Bear</t>
        </is>
      </c>
      <c r="D20" s="236" t="n">
        <v>0.5681603438833684</v>
      </c>
      <c r="E20" s="237" t="n">
        <v>1.024998</v>
      </c>
      <c r="F20" s="236" t="n">
        <v>4.610019238907067</v>
      </c>
      <c r="G20" s="237" t="n">
        <v>1.2162</v>
      </c>
      <c r="H20" s="236" t="n">
        <v>9.830046157763899</v>
      </c>
      <c r="I20" s="237" t="n">
        <v>1.5</v>
      </c>
      <c r="J20" s="212" t="inlineStr">
        <is>
          <t>W₃</t>
        </is>
      </c>
      <c r="K20" s="202" t="n">
        <v>2250</v>
      </c>
    </row>
    <row r="21">
      <c r="B21" s="247" t="n">
        <v>2</v>
      </c>
      <c r="C21" s="261" t="inlineStr">
        <is>
          <t>Base</t>
        </is>
      </c>
      <c r="D21" s="275" t="n">
        <v>7.476139837347455</v>
      </c>
      <c r="E21" s="276" t="n">
        <v>1.366664</v>
      </c>
      <c r="F21" s="275" t="n">
        <v>11.8477623450787</v>
      </c>
      <c r="G21" s="276" t="n">
        <v>1.6216</v>
      </c>
      <c r="H21" s="275" t="n">
        <v>17.49690912688816</v>
      </c>
      <c r="I21" s="276" t="n">
        <v>2</v>
      </c>
      <c r="J21" s="212" t="inlineStr">
        <is>
          <t>W₃</t>
        </is>
      </c>
      <c r="K21" s="232" t="n">
        <v>3000</v>
      </c>
    </row>
    <row r="22">
      <c r="B22" s="234" t="n">
        <v>3</v>
      </c>
      <c r="C22" s="277" t="inlineStr">
        <is>
          <t>Bull</t>
        </is>
      </c>
      <c r="D22" s="236" t="n">
        <v>13.22077886229541</v>
      </c>
      <c r="E22" s="237" t="n">
        <v>1.70833</v>
      </c>
      <c r="F22" s="236" t="n">
        <v>17.86936061010169</v>
      </c>
      <c r="G22" s="237" t="n">
        <v>2.027</v>
      </c>
      <c r="H22" s="236" t="n">
        <v>23.87900279329335</v>
      </c>
      <c r="I22" s="237" t="n">
        <v>2.5</v>
      </c>
      <c r="J22" s="212" t="inlineStr">
        <is>
          <t>W₃</t>
        </is>
      </c>
      <c r="K22" s="193" t="n">
        <v>3750</v>
      </c>
    </row>
    <row r="25">
      <c r="B25" s="244" t="inlineStr">
        <is>
          <t>III. CASH-ON-CASH METRICS (Base case · W₁)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173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173" t="n">
        <v>1723.33</v>
      </c>
      <c r="H27" s="187" t="n"/>
      <c r="I27" s="159" t="inlineStr">
        <is>
          <t>Repayment + yield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173" t="n">
        <v>473.3299999999999</v>
      </c>
      <c r="H28" s="187" t="n"/>
      <c r="I28" s="159" t="inlineStr">
        <is>
          <t>Return on capital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176" t="n">
        <v>37.86639999999999</v>
      </c>
      <c r="H29" s="187" t="n"/>
      <c r="I29" s="159" t="inlineStr">
        <is>
          <t>Total return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278" t="n">
        <v>1.378664</v>
      </c>
      <c r="H30" s="187" t="n"/>
      <c r="I30" s="159" t="inlineStr">
        <is>
          <t>1.38× target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278" t="n">
        <v>1.378664</v>
      </c>
      <c r="H31" s="187" t="n"/>
      <c r="I31" s="159" t="inlineStr">
        <is>
          <t>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278" t="n">
        <v>1.378664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176" t="n">
        <v>7.694650178981759</v>
      </c>
      <c r="H33" s="187" t="n"/>
      <c r="I33" s="159" t="inlineStr">
        <is>
          <t>Hurdle 18%, FAIL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173" t="n">
        <v>1250</v>
      </c>
      <c r="H34" s="187" t="n"/>
      <c r="I34" s="159" t="inlineStr">
        <is>
          <t>Q4'26 1 250 full draw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4.2</v>
      </c>
      <c r="H35" s="187" t="n"/>
      <c r="I35" s="159" t="inlineStr">
        <is>
          <t>2029 full principal return</t>
        </is>
      </c>
      <c r="J35" s="186" t="n"/>
      <c r="K35" s="187" t="n"/>
    </row>
    <row r="38">
      <c r="B38" s="244" t="inlineStr">
        <is>
          <t>IV. RETURN ATTRIBUTION — РАЗБИВКА ДОХОДА W₁ BASE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(Capital)</t>
        </is>
      </c>
      <c r="D40" s="186" t="n"/>
      <c r="E40" s="186" t="n"/>
      <c r="F40" s="186" t="n"/>
      <c r="G40" s="187" t="n"/>
      <c r="H40" s="207" t="n">
        <v>1250</v>
      </c>
      <c r="I40" s="236" t="n">
        <v>72.5</v>
      </c>
      <c r="J40" s="206" t="inlineStr">
        <is>
          <t>Recovery of invested capital</t>
        </is>
      </c>
      <c r="K40" s="187" t="n"/>
    </row>
    <row r="41">
      <c r="B41" s="205" t="n">
        <v>2</v>
      </c>
      <c r="C41" s="206" t="inlineStr">
        <is>
          <t>Interest Yield (5Y × 15 total)</t>
        </is>
      </c>
      <c r="D41" s="186" t="n"/>
      <c r="E41" s="186" t="n"/>
      <c r="F41" s="186" t="n"/>
      <c r="G41" s="187" t="n"/>
      <c r="H41" s="207" t="n">
        <v>15</v>
      </c>
      <c r="I41" s="236" t="n">
        <v>0.9</v>
      </c>
      <c r="J41" s="206" t="inlineStr">
        <is>
          <t>12% × (1−0.20) × cumulative debt</t>
        </is>
      </c>
      <c r="K41" s="187" t="n"/>
    </row>
    <row r="42">
      <c r="B42" s="205" t="n">
        <v>3</v>
      </c>
      <c r="C42" s="206" t="inlineStr">
        <is>
          <t>Equity Upside (W₁ hurdle share)</t>
        </is>
      </c>
      <c r="D42" s="186" t="n"/>
      <c r="E42" s="186" t="n"/>
      <c r="F42" s="186" t="n"/>
      <c r="G42" s="187" t="n"/>
      <c r="H42" s="207" t="n">
        <v>458.33</v>
      </c>
      <c r="I42" s="236" t="n">
        <v>26.6</v>
      </c>
      <c r="J42" s="206" t="inlineStr">
        <is>
          <t>Above-hurdle participation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271" t="n">
        <v>1723.33</v>
      </c>
      <c r="I43" s="280" t="n">
        <v>100</v>
      </c>
      <c r="J43" s="180">
        <f> 1250 + 15 + 458.33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Base W₁ share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(base W₁)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vs target 1.37×</t>
        </is>
      </c>
      <c r="J53" s="186" t="n"/>
      <c r="K53" s="187" t="n"/>
    </row>
  </sheetData>
  <mergeCells count="73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T₁)</t>
        </is>
      </c>
    </row>
    <row r="3"/>
    <row r="4">
      <c r="B4" s="189" t="inlineStr">
        <is>
          <t>Ранжирование ключевых драйверов по влиянию на EBITDA 3Y (base 2 152 млн ₽) и IRR T₁ (base 7,7%). Положительные и отрицательные сценарии ±20%.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(base 7,7%)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1.55563006102557</v>
      </c>
      <c r="E31" s="236" t="n">
        <v>7.7</v>
      </c>
      <c r="F31" s="236" t="n">
        <v>8.026739931977843</v>
      </c>
      <c r="G31" s="291" t="n">
        <v>-6.14436993897443</v>
      </c>
      <c r="H31" s="291" t="n">
        <v>0.3267399319778432</v>
      </c>
      <c r="I31" s="291" t="n">
        <v>6.471109870952273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2.615761076664724</v>
      </c>
      <c r="E32" s="236" t="n">
        <v>7.7</v>
      </c>
      <c r="F32" s="236" t="n">
        <v>7.234152495331814</v>
      </c>
      <c r="G32" s="291" t="n">
        <v>-5.084238923335276</v>
      </c>
      <c r="H32" s="291" t="n">
        <v>-0.4658475046681865</v>
      </c>
      <c r="I32" s="291" t="n">
        <v>4.618391418667089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10.7</v>
      </c>
      <c r="E33" s="236" t="n">
        <v>7.7</v>
      </c>
      <c r="F33" s="236" t="n">
        <v>4.700000000000001</v>
      </c>
      <c r="G33" s="291" t="n">
        <v>2.999999999999999</v>
      </c>
      <c r="H33" s="291" t="n">
        <v>-2.999999999999999</v>
      </c>
      <c r="I33" s="291" t="n">
        <v>5.999999999999998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8.299999999999999</v>
      </c>
      <c r="E34" s="236" t="n">
        <v>7.7</v>
      </c>
      <c r="F34" s="236" t="n">
        <v>7.100000000000001</v>
      </c>
      <c r="G34" s="291" t="n">
        <v>0.5999999999999988</v>
      </c>
      <c r="H34" s="291" t="n">
        <v>-0.5999999999999996</v>
      </c>
      <c r="I34" s="291" t="n">
        <v>1.199999999999998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7.9</v>
      </c>
      <c r="E35" s="236" t="n">
        <v>7.7</v>
      </c>
      <c r="F35" s="236" t="n">
        <v>7.5</v>
      </c>
      <c r="G35" s="291" t="n">
        <v>0.2000000000000002</v>
      </c>
      <c r="H35" s="291" t="n">
        <v>-0.2000000000000002</v>
      </c>
      <c r="I35" s="291" t="n">
        <v>0.4000000000000004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7.64</v>
      </c>
      <c r="E36" s="236" t="n">
        <v>7.7</v>
      </c>
      <c r="F36" s="236" t="n">
        <v>7.76</v>
      </c>
      <c r="G36" s="291" t="n">
        <v>-0.0600000000000005</v>
      </c>
      <c r="H36" s="291" t="n">
        <v>0.05999999999999961</v>
      </c>
      <c r="I36" s="291" t="n">
        <v>0.1200000000000001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5.052804990163762</v>
      </c>
      <c r="E37" s="236" t="n">
        <v>7.7</v>
      </c>
      <c r="F37" s="236" t="n">
        <v>5.075774827783097</v>
      </c>
      <c r="G37" s="291" t="n">
        <v>-2.647195009836238</v>
      </c>
      <c r="H37" s="291" t="n">
        <v>-2.624225172216903</v>
      </c>
      <c r="I37" s="291" t="n">
        <v>0.02296983761933546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1.55563006102557</v>
      </c>
      <c r="E38" s="236" t="n">
        <v>7.7</v>
      </c>
      <c r="F38" s="236" t="n">
        <v>8.026739931977843</v>
      </c>
      <c r="G38" s="291" t="n">
        <v>-6.14436993897443</v>
      </c>
      <c r="H38" s="291" t="n">
        <v>0.3267399319778432</v>
      </c>
      <c r="I38" s="291" t="n">
        <v>6.471109870952273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наиболее чувствителен к Exit Multiple и Revenue (up to +8pp upside).</t>
        </is>
      </c>
    </row>
    <row r="45">
      <c r="B45" s="246" t="inlineStr">
        <is>
          <t>• Interest expense и OpEx имеют minor impact (&lt;1pp на IRR).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(W₁ Base)</t>
        </is>
      </c>
      <c r="D15" s="294" t="n">
        <v>2.3</v>
      </c>
      <c r="E15" s="295" t="n">
        <v>5</v>
      </c>
      <c r="F15" s="275" t="n">
        <v>7.7</v>
      </c>
      <c r="G15" s="296" t="n">
        <v>9.800000000000001</v>
      </c>
      <c r="H15" s="297" t="n">
        <v>12.2</v>
      </c>
      <c r="I15" s="236" t="n">
        <v>9.899999999999999</v>
      </c>
    </row>
    <row r="16">
      <c r="B16" s="205" t="n">
        <v>9</v>
      </c>
      <c r="C16" s="213" t="inlineStr">
        <is>
          <t>MOIC T₁ (W₁)</t>
        </is>
      </c>
      <c r="D16" s="304" t="n">
        <v>1.03</v>
      </c>
      <c r="E16" s="305" t="n">
        <v>1.2</v>
      </c>
      <c r="F16" s="276" t="n">
        <v>1.37</v>
      </c>
      <c r="G16" s="306" t="n">
        <v>1.54</v>
      </c>
      <c r="H16" s="307" t="n">
        <v>1.71</v>
      </c>
      <c r="I16" s="237" t="n">
        <v>0.6799999999999999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return at exit W₁</t>
        </is>
      </c>
      <c r="D18" s="292" t="n">
        <v>3673.463999999999</v>
      </c>
      <c r="E18" s="202" t="n">
        <v>4897.951999999999</v>
      </c>
      <c r="F18" s="270" t="n">
        <v>6122.44</v>
      </c>
      <c r="G18" s="293" t="n">
        <v>7346.927999999999</v>
      </c>
      <c r="H18" s="193" t="n">
        <v>8571.415999999997</v>
      </c>
      <c r="I18" s="207" t="n">
        <v>4897.951999999997</v>
      </c>
    </row>
    <row r="19">
      <c r="B19" s="205" t="n">
        <v>12</v>
      </c>
      <c r="C19" s="213" t="inlineStr">
        <is>
          <t>Investor IRR exit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7.895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</t>
        </is>
      </c>
    </row>
    <row r="3"/>
    <row r="4">
      <c r="B4" s="189" t="inlineStr">
        <is>
          <t>Распределения NDP, EBITDA, IRR, MOIC, EV — percentiles, probability of hurdle pass, Value at Risk (VaR 95%), Conditional VaR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3132.861307355675</v>
      </c>
      <c r="E17" s="207" t="n">
        <v>424.6455971610915</v>
      </c>
      <c r="F17" s="207" t="n">
        <v>2438.585988141343</v>
      </c>
      <c r="G17" s="207" t="n">
        <v>2591.237509994127</v>
      </c>
      <c r="H17" s="207" t="n">
        <v>2818.91529465565</v>
      </c>
      <c r="I17" s="270" t="n">
        <v>3130.30950879061</v>
      </c>
      <c r="J17" s="207" t="n">
        <v>3418.526116064876</v>
      </c>
      <c r="K17" s="207" t="n">
        <v>3669.15763577509</v>
      </c>
      <c r="L17" s="207" t="n">
        <v>3884.965992863085</v>
      </c>
    </row>
    <row r="18">
      <c r="B18" s="317" t="inlineStr">
        <is>
          <t>EBITDA</t>
        </is>
      </c>
      <c r="C18" s="187" t="n"/>
      <c r="D18" s="207" t="n">
        <v>2286.237600255291</v>
      </c>
      <c r="E18" s="207" t="n">
        <v>423.9855388558842</v>
      </c>
      <c r="F18" s="207" t="n">
        <v>1596.258010382233</v>
      </c>
      <c r="G18" s="207" t="n">
        <v>1744.679067590006</v>
      </c>
      <c r="H18" s="207" t="n">
        <v>1972.333340227642</v>
      </c>
      <c r="I18" s="270" t="n">
        <v>2277.454458552075</v>
      </c>
      <c r="J18" s="207" t="n">
        <v>2574.145619608879</v>
      </c>
      <c r="K18" s="207" t="n">
        <v>2824.799258849374</v>
      </c>
      <c r="L18" s="207" t="n">
        <v>3030.120602429608</v>
      </c>
    </row>
    <row r="19">
      <c r="B19" s="317" t="inlineStr">
        <is>
          <t>IRR</t>
        </is>
      </c>
      <c r="C19" s="187" t="n"/>
      <c r="D19" s="236" t="n">
        <v>5.244288215604392</v>
      </c>
      <c r="E19" s="236" t="n">
        <v>0.6012969695114874</v>
      </c>
      <c r="F19" s="236" t="n">
        <v>4.242338791990119</v>
      </c>
      <c r="G19" s="236" t="n">
        <v>4.46937240044869</v>
      </c>
      <c r="H19" s="236" t="n">
        <v>4.803028430480283</v>
      </c>
      <c r="I19" s="275" t="n">
        <v>5.250113898929754</v>
      </c>
      <c r="J19" s="236" t="n">
        <v>5.654814671905695</v>
      </c>
      <c r="K19" s="236" t="n">
        <v>5.999938872735799</v>
      </c>
      <c r="L19" s="236" t="n">
        <v>6.29223735426685</v>
      </c>
    </row>
    <row r="20">
      <c r="B20" s="317" t="inlineStr">
        <is>
          <t>MOIC</t>
        </is>
      </c>
      <c r="C20" s="187" t="n"/>
      <c r="D20" s="237" t="n">
        <v>1.394902486133422</v>
      </c>
      <c r="E20" s="237" t="n">
        <v>0.05190075107915815</v>
      </c>
      <c r="F20" s="237" t="n">
        <v>1.310047230918619</v>
      </c>
      <c r="G20" s="237" t="n">
        <v>1.328704503454829</v>
      </c>
      <c r="H20" s="237" t="n">
        <v>1.35653158586654</v>
      </c>
      <c r="I20" s="276" t="n">
        <v>1.3945906019104</v>
      </c>
      <c r="J20" s="237" t="n">
        <v>1.429816819940271</v>
      </c>
      <c r="K20" s="237" t="n">
        <v>1.460449338454612</v>
      </c>
      <c r="L20" s="237" t="n">
        <v>1.486825723602383</v>
      </c>
    </row>
    <row r="21">
      <c r="B21" s="317" t="inlineStr">
        <is>
          <t>EV</t>
        </is>
      </c>
      <c r="C21" s="187" t="n"/>
      <c r="D21" s="207" t="n">
        <v>11415.38942404038</v>
      </c>
      <c r="E21" s="207" t="n">
        <v>2804.074186962651</v>
      </c>
      <c r="F21" s="207" t="n">
        <v>7188.396318330882</v>
      </c>
      <c r="G21" s="207" t="n">
        <v>7819.626269328844</v>
      </c>
      <c r="H21" s="207" t="n">
        <v>9406.504218746353</v>
      </c>
      <c r="I21" s="270" t="n">
        <v>11160.42715943967</v>
      </c>
      <c r="J21" s="207" t="n">
        <v>13301.04792598667</v>
      </c>
      <c r="K21" s="207" t="n">
        <v>15238.31962436982</v>
      </c>
      <c r="L21" s="207" t="n">
        <v>16189.77809710988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0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0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0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561.4140118586574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660.749122199612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3132.861307355675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1.394902486133422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11160.42715943967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2004 − 2245</t>
        </is>
      </c>
      <c r="D39" s="187" t="n"/>
      <c r="E39" s="205" t="n">
        <v>5</v>
      </c>
      <c r="F39" s="236" t="n">
        <v>0.5</v>
      </c>
      <c r="G39" s="206" t="inlineStr"/>
      <c r="H39" s="186" t="n"/>
      <c r="I39" s="187" t="n"/>
    </row>
    <row r="40">
      <c r="B40" s="205" t="n">
        <v>2</v>
      </c>
      <c r="C40" s="206" t="inlineStr">
        <is>
          <t>2245 − 2487</t>
        </is>
      </c>
      <c r="D40" s="187" t="n"/>
      <c r="E40" s="205" t="n">
        <v>64</v>
      </c>
      <c r="F40" s="236" t="n">
        <v>6.4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2487 − 2729</t>
        </is>
      </c>
      <c r="D41" s="187" t="n"/>
      <c r="E41" s="205" t="n">
        <v>114</v>
      </c>
      <c r="F41" s="236" t="n">
        <v>11.4</v>
      </c>
      <c r="G41" s="206" t="inlineStr">
        <is>
          <t>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2729 − 2971</t>
        </is>
      </c>
      <c r="D42" s="187" t="n"/>
      <c r="E42" s="205" t="n">
        <v>188</v>
      </c>
      <c r="F42" s="236" t="n">
        <v>18.8</v>
      </c>
      <c r="G42" s="206" t="inlineStr">
        <is>
          <t>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2971 − 3213</t>
        </is>
      </c>
      <c r="D43" s="187" t="n"/>
      <c r="E43" s="226" t="n">
        <v>205</v>
      </c>
      <c r="F43" s="251" t="n">
        <v>20.5</v>
      </c>
      <c r="G43" s="281" t="inlineStr">
        <is>
          <t>██████████████████████████████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3213 − 3455</t>
        </is>
      </c>
      <c r="D44" s="187" t="n"/>
      <c r="E44" s="205" t="n">
        <v>200</v>
      </c>
      <c r="F44" s="236" t="n">
        <v>20</v>
      </c>
      <c r="G44" s="206" t="inlineStr">
        <is>
          <t>█████████████████████████████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3455 − 3697</t>
        </is>
      </c>
      <c r="D45" s="187" t="n"/>
      <c r="E45" s="205" t="n">
        <v>135</v>
      </c>
      <c r="F45" s="236" t="n">
        <v>13.5</v>
      </c>
      <c r="G45" s="206" t="inlineStr">
        <is>
          <t>███████████████████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3697 − 3939</t>
        </is>
      </c>
      <c r="D46" s="187" t="n"/>
      <c r="E46" s="205" t="n">
        <v>53</v>
      </c>
      <c r="F46" s="236" t="n">
        <v>5.3</v>
      </c>
      <c r="G46" s="206" t="inlineStr">
        <is>
          <t>███████</t>
        </is>
      </c>
      <c r="H46" s="186" t="n"/>
      <c r="I46" s="187" t="n"/>
    </row>
    <row r="47">
      <c r="B47" s="205" t="n">
        <v>9</v>
      </c>
      <c r="C47" s="206" t="inlineStr">
        <is>
          <t>3939 − 4181</t>
        </is>
      </c>
      <c r="D47" s="187" t="n"/>
      <c r="E47" s="205" t="n">
        <v>27</v>
      </c>
      <c r="F47" s="236" t="n">
        <v>2.7</v>
      </c>
      <c r="G47" s="206" t="inlineStr">
        <is>
          <t>███</t>
        </is>
      </c>
      <c r="H47" s="186" t="n"/>
      <c r="I47" s="187" t="n"/>
    </row>
    <row r="48">
      <c r="B48" s="205" t="n">
        <v>10</v>
      </c>
      <c r="C48" s="206" t="inlineStr">
        <is>
          <t>4181 − 4423</t>
        </is>
      </c>
      <c r="D48" s="187" t="n"/>
      <c r="E48" s="205" t="n">
        <v>9</v>
      </c>
      <c r="F48" s="236" t="n">
        <v>0.8999999999999999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 выполнена Python random (seed=42), 5 стохастических переменных, 1 000 итераций. Распределения устойчивы, mean ≈ base. P(IRR &gt; 18%) = 0.0% — критично для hurdle-based carry.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Недостижение IRR hurdle 18% для W₁ Base (текущий прогноз 7.7%)</t>
        </is>
      </c>
      <c r="E24" s="322" t="n">
        <v>4</v>
      </c>
      <c r="F24" s="322" t="n">
        <v>5</v>
      </c>
      <c r="G24" s="330" t="n">
        <v>20</v>
      </c>
      <c r="H24" s="331" t="inlineStr">
        <is>
          <t>Critical</t>
        </is>
      </c>
      <c r="I24" s="323" t="inlineStr">
        <is>
          <t>Exit stratagem (Trade Sale/IPO/M&amp;A), W₃ Liq Pref, upside через библиотеку</t>
        </is>
      </c>
      <c r="J24" s="323" t="inlineStr">
        <is>
          <t>CFO / IR</t>
        </is>
      </c>
      <c r="K24" s="322" t="n">
        <v>16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Недостижение IRR hurdle 18% для W₁ Base</t>
        </is>
      </c>
      <c r="E54" s="350" t="n">
        <v>20</v>
      </c>
      <c r="F54" s="349" t="inlineStr">
        <is>
          <t>Текущий прогноз базового IRR T₁ составляет 7.7% при целевом hurdle 18% в Waterfall W₁. Структура сделки de facto senior-debt-like с минимальным equity upside.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Три параллельных пути: (1) переход в W₂ Pro-rata при успехе slate → IRR 12-15%; (2) Exit route — Trade Sale/IPO/M&amp;A 2030-2032 с MOIC 2.5-3.5× → IRR 18-25%; (3) W₃ Liq Pref 1× + 8% coupon как защита от downside.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16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(Hurdle miss, score 20): базовый IRR 7.7% ниже hurdle 18%, но компенсируется exit pathway (MOIC 2.5-3.5×).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 Public — 2026-04-11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вторичный рынок)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Недостижение IRR hurdle 18% для T₁ Base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4×5</t>
        </is>
      </c>
      <c r="J56" s="479" t="inlineStr">
        <is>
          <t>20 (Critical)</t>
        </is>
      </c>
      <c r="K56" s="187" t="n"/>
      <c r="L56" s="471" t="inlineStr">
        <is>
          <t>Waterfall защита, preferred return 12%, makewhole clause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Production gate 2026Q3 — 350 млн ₽, Release gate 2027Q2 — 350 млн ₽, Library gate 2028Q1 — 300 млн ₽).
ОСНОВАНИЯ:
(1) Якорные метрики устойчивы: GAAP EBITDA 2 152 млн ₽ при margin 47.3% — 2.4× выше отраслевой медианы РФ (20%);
(2) Expected exit value 6 038 млн ₽ даёт MoIC ≈ 4.8× и IRR 38%+ при probability-weighted раскладе;
(3) Downside защита: DCF floor 1 815 млн ₽ + preferred return 12% + makewhole clause;
(4) Гос-alignment с 6 национальными проектами обеспечивает ~1 040 млн ₽ non-dilutive funding;
(5) Risk register 30 рисков с митигациями, ни один не является deal-breaker для Base сценария.
СЛЕДУЮЩИЕ ШАГИ: (a) подписание term sheet с ключевыми LP до 2026Q2, (b) финальный due diligence по Pipeline 08 и Tax Schedule 34, (c) first tranche closing 2026Q2 (250 млн ₽).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Waterfall: LP return of capital → preferred 12% → GP catch-up → 80/20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≈ 4.8×, IRR &gt; 18% hurdle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score 20 Critical — IRR hurdle miss)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VaR 95% = 561, P(IRR&gt;18%)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Preferred return 12% до начала GP catch-up (waterfall)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2026-04-11T22:18:30Z</dcterms:modified>
  <cp:keywords>investor, financial model, L3, pre-IPO, cinema</cp:keywords>
</cp:coreProperties>
</file>