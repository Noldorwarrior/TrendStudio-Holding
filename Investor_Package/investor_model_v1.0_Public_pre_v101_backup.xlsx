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29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</numFmts>
  <fonts count="10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</fonts>
  <fills count="30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</fills>
  <borders count="24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</borders>
  <cellStyleXfs count="1">
    <xf numFmtId="0" fontId="0" fillId="0" borderId="0"/>
  </cellStyleXfs>
  <cellXfs count="5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L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 t="n"/>
    </row>
    <row r="8" ht="36" customHeight="1">
      <c r="B8" s="137" t="inlineStr">
        <is>
          <t>4 545</t>
        </is>
      </c>
      <c r="C8" s="185" t="n"/>
      <c r="D8" s="137" t="inlineStr">
        <is>
          <t>2 152</t>
        </is>
      </c>
      <c r="E8" s="185" t="n"/>
      <c r="F8" s="138" t="inlineStr">
        <is>
          <t>3 000</t>
        </is>
      </c>
      <c r="G8" s="185" t="n"/>
      <c r="H8" s="137" t="inlineStr">
        <is>
          <t>1 689</t>
        </is>
      </c>
      <c r="I8" s="185" t="n"/>
      <c r="J8" s="137" t="inlineStr">
        <is>
          <t>1 250</t>
        </is>
      </c>
      <c r="K8" s="185" t="n"/>
      <c r="L8" s="136" t="n"/>
    </row>
    <row r="9" ht="20" customHeight="1">
      <c r="B9" s="139" t="inlineStr">
        <is>
          <t>Revenue  ·  Σ 2026–2028</t>
        </is>
      </c>
      <c r="C9" s="185" t="n"/>
      <c r="D9" s="139" t="inlineStr">
        <is>
          <t xml:space="preserve">EBITDA (GAAP) </t>
        </is>
      </c>
      <c r="E9" s="185" t="n"/>
      <c r="F9" s="140" t="inlineStr">
        <is>
          <t>NDP (Net Distrib. Proc.)</t>
        </is>
      </c>
      <c r="G9" s="185" t="n"/>
      <c r="H9" s="139" t="inlineStr">
        <is>
          <t>Net Profit</t>
        </is>
      </c>
      <c r="I9" s="185" t="n"/>
      <c r="J9" s="139" t="inlineStr">
        <is>
          <t>Investment  ·  T₁</t>
        </is>
      </c>
      <c r="K9" s="185" t="n"/>
      <c r="L9" s="136" t="n"/>
    </row>
    <row r="10" ht="18" customHeight="1">
      <c r="B10" s="141" t="inlineStr">
        <is>
          <t>млн ₽</t>
        </is>
      </c>
      <c r="C10" s="185" t="n"/>
      <c r="D10" s="141" t="inlineStr">
        <is>
          <t>млн ₽  ·  стандарт</t>
        </is>
      </c>
      <c r="E10" s="185" t="n"/>
      <c r="F10" s="142" t="inlineStr">
        <is>
          <t>млн ₽  ·  legacy</t>
        </is>
      </c>
      <c r="G10" s="185" t="n"/>
      <c r="H10" s="141" t="inlineStr">
        <is>
          <t>млн ₽  ·  после 20% налога</t>
        </is>
      </c>
      <c r="I10" s="185" t="n"/>
      <c r="J10" s="141" t="inlineStr">
        <is>
          <t>млн ₽  ·  4 транша</t>
        </is>
      </c>
      <c r="K10" s="185" t="n"/>
      <c r="L10" s="136" t="n"/>
    </row>
    <row r="11"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</row>
    <row r="12" ht="18" customHeight="1">
      <c r="B12" s="143" t="inlineStr">
        <is>
      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      </is>
      </c>
      <c r="L12" s="136" t="n"/>
    </row>
    <row r="13" ht="18" customHeight="1">
      <c r="L13" s="136" t="n"/>
    </row>
    <row r="14" ht="30" customHeight="1"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</row>
    <row r="15" ht="22" customHeight="1">
      <c r="B15" s="144" t="inlineStr">
        <is>
          <t>СЦЕНАРИИ  ·  Bear  /  Base  /  Bull</t>
        </is>
      </c>
      <c r="L15" s="136" t="n"/>
    </row>
    <row r="16">
      <c r="B16" s="145" t="inlineStr">
        <is>
          <t>Показатель</t>
        </is>
      </c>
      <c r="C16" s="186" t="n"/>
      <c r="D16" s="186" t="n"/>
      <c r="E16" s="187" t="n"/>
      <c r="F16" s="145" t="inlineStr">
        <is>
          <t>Bear (0.70×)</t>
        </is>
      </c>
      <c r="G16" s="187" t="n"/>
      <c r="H16" s="146" t="inlineStr">
        <is>
          <t>Base (1.00×)</t>
        </is>
      </c>
      <c r="I16" s="187" t="n"/>
      <c r="J16" s="145" t="inlineStr">
        <is>
          <t>Bull (1.25×)</t>
        </is>
      </c>
      <c r="K16" s="187" t="n"/>
      <c r="L16" s="136" t="n"/>
    </row>
    <row r="17" ht="18" customHeight="1">
      <c r="B17" s="147" t="inlineStr">
        <is>
          <t>Revenue Σ, млн ₽</t>
        </is>
      </c>
      <c r="C17" s="186" t="n"/>
      <c r="D17" s="186" t="n"/>
      <c r="E17" s="187" t="n"/>
      <c r="F17" s="148" t="inlineStr">
        <is>
          <t>3 181</t>
        </is>
      </c>
      <c r="G17" s="187" t="n"/>
      <c r="H17" s="146" t="inlineStr">
        <is>
          <t>4 545</t>
        </is>
      </c>
      <c r="I17" s="187" t="n"/>
      <c r="J17" s="148" t="inlineStr">
        <is>
          <t>5 681</t>
        </is>
      </c>
      <c r="K17" s="187" t="n"/>
      <c r="L17" s="136" t="n"/>
    </row>
    <row r="18" ht="18" customHeight="1">
      <c r="B18" s="147" t="inlineStr">
        <is>
          <t>EBITDA (GAAP), млн ₽</t>
        </is>
      </c>
      <c r="C18" s="186" t="n"/>
      <c r="D18" s="186" t="n"/>
      <c r="E18" s="187" t="n"/>
      <c r="F18" s="148" t="inlineStr">
        <is>
          <t>1 506</t>
        </is>
      </c>
      <c r="G18" s="187" t="n"/>
      <c r="H18" s="146" t="inlineStr">
        <is>
          <t>2 152</t>
        </is>
      </c>
      <c r="I18" s="187" t="n"/>
      <c r="J18" s="148" t="inlineStr">
        <is>
          <t>2 690</t>
        </is>
      </c>
      <c r="K18" s="187" t="n"/>
      <c r="L18" s="136" t="n"/>
    </row>
    <row r="19" ht="18" customHeight="1">
      <c r="B19" s="147" t="inlineStr">
        <is>
          <t>NDP Σ, млн ₽</t>
        </is>
      </c>
      <c r="C19" s="186" t="n"/>
      <c r="D19" s="186" t="n"/>
      <c r="E19" s="187" t="n"/>
      <c r="F19" s="148" t="inlineStr">
        <is>
          <t>2 100</t>
        </is>
      </c>
      <c r="G19" s="187" t="n"/>
      <c r="H19" s="146" t="inlineStr">
        <is>
          <t>3 000</t>
        </is>
      </c>
      <c r="I19" s="187" t="n"/>
      <c r="J19" s="148" t="inlineStr">
        <is>
          <t>3 750</t>
        </is>
      </c>
      <c r="K19" s="187" t="n"/>
      <c r="L19" s="136" t="n"/>
    </row>
    <row r="20" ht="18" customHeight="1">
      <c r="B20" s="147" t="inlineStr">
        <is>
          <t>Net Profit, млн ₽</t>
        </is>
      </c>
      <c r="C20" s="186" t="n"/>
      <c r="D20" s="186" t="n"/>
      <c r="E20" s="187" t="n"/>
      <c r="F20" s="148" t="inlineStr">
        <is>
          <t>1 182</t>
        </is>
      </c>
      <c r="G20" s="187" t="n"/>
      <c r="H20" s="146" t="inlineStr">
        <is>
          <t>1 689</t>
        </is>
      </c>
      <c r="I20" s="187" t="n"/>
      <c r="J20" s="148" t="inlineStr">
        <is>
          <t>2 111</t>
        </is>
      </c>
      <c r="K20" s="187" t="n"/>
      <c r="L20" s="136" t="n"/>
    </row>
    <row r="21" ht="18" customHeight="1">
      <c r="B21" s="147" t="inlineStr">
        <is>
          <t>IRR (5-year), %</t>
        </is>
      </c>
      <c r="C21" s="186" t="n"/>
      <c r="D21" s="186" t="n"/>
      <c r="E21" s="187" t="n"/>
      <c r="F21" s="148" t="inlineStr">
        <is>
          <t>~14 %</t>
        </is>
      </c>
      <c r="G21" s="187" t="n"/>
      <c r="H21" s="146" t="inlineStr">
        <is>
          <t>~22 %</t>
        </is>
      </c>
      <c r="I21" s="187" t="n"/>
      <c r="J21" s="148" t="inlineStr">
        <is>
          <t>~31 %</t>
        </is>
      </c>
      <c r="K21" s="187" t="n"/>
      <c r="L21" s="136" t="n"/>
    </row>
    <row r="22" ht="20" customHeight="1"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</row>
    <row r="23" ht="18" customHeight="1"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</row>
    <row r="24" ht="18" customHeight="1"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</row>
    <row r="25" ht="18" customHeight="1"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v1.4.4 (348 тестов, П5 «Максимум» 32/32) + legacy Холдинг Кино.xlsx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</sheetData>
  <mergeCells count="55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14% 2026</t>
        </is>
      </c>
    </row>
    <row r="9" ht="18" customHeight="1">
      <c r="B9" s="22" t="n">
        <v>3</v>
      </c>
      <c r="C9" s="23" t="inlineStr">
        <is>
          <t>WACC для DCF (Russian media)</t>
        </is>
      </c>
      <c r="D9" s="24" t="n">
        <v>0.2</v>
      </c>
      <c r="E9" s="22" t="inlineStr">
        <is>
          <t>%</t>
        </is>
      </c>
      <c r="F9" s="25" t="inlineStr">
        <is>
          <t>Russian media benchmark 18–22%, Base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(nominal)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3%</t>
        </is>
      </c>
    </row>
    <row r="14" ht="18" customHeight="1">
      <c r="B14" s="22" t="n">
        <v>8</v>
      </c>
      <c r="C14" s="23" t="inlineStr">
        <is>
          <t>Курс USD/RUB (плановый, ср.год)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legacy)</t>
        </is>
      </c>
    </row>
    <row r="17" ht="18" customHeight="1">
      <c r="B17" s="22" t="n">
        <v>9</v>
      </c>
      <c r="C17" s="23" t="inlineStr">
        <is>
          <t>Cumulative EBITDA 2026–2028 Base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investment (входящие средства)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(legacy)</t>
        </is>
      </c>
    </row>
    <row r="19" ht="18" customHeight="1">
      <c r="B19" s="22" t="n">
        <v>11</v>
      </c>
      <c r="C19" s="23" t="inlineStr">
        <is>
          <t>Total content budget (12 films)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600</t>
        </is>
      </c>
    </row>
    <row r="20" ht="18" customHeight="1">
      <c r="B20" s="22" t="n">
        <v>12</v>
      </c>
      <c r="C20" s="23" t="inlineStr">
        <is>
          <t>Target revenue 2026–2028 Base</t>
        </is>
      </c>
      <c r="D20" s="26" t="n">
        <v>4545</v>
      </c>
      <c r="E20" s="22" t="inlineStr">
        <is>
          <t>млн ₽</t>
        </is>
      </c>
      <c r="F20" s="25" t="inlineStr">
        <is>
          <t>12 фильмов × 378.75 млн средняя</t>
        </is>
      </c>
    </row>
    <row r="21" ht="18" customHeight="1">
      <c r="B21" s="22" t="n">
        <v>13</v>
      </c>
      <c r="C21" s="23" t="inlineStr">
        <is>
          <t>Target Net Profit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фильмов в портфеле</t>
        </is>
      </c>
      <c r="D22" s="27" t="n">
        <v>12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фильма</t>
        </is>
      </c>
      <c r="D23" s="26" t="n">
        <v>154.2</v>
      </c>
      <c r="E23" s="22" t="inlineStr">
        <is>
          <t>млн ₽</t>
        </is>
      </c>
      <c r="F23" s="25" t="inlineStr">
        <is>
          <t>1850 / 12</t>
        </is>
      </c>
    </row>
    <row r="25" ht="20" customHeight="1">
      <c r="B25" s="14" t="inlineStr">
        <is>
          <t>C. РАСПИСАНИЕ ТРАНШЕЙ (T₁ Legacy)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equity, slider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slider 10–30%</t>
        </is>
      </c>
    </row>
    <row r="34" ht="18" customHeight="1">
      <c r="B34" s="22" t="n">
        <v>22</v>
      </c>
      <c r="C34" s="23" t="inlineStr">
        <is>
          <t>Pre-money valuation (Base)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(Base)</t>
        </is>
      </c>
      <c r="D35" s="26" t="n">
        <v>2500</v>
      </c>
      <c r="E35" s="22" t="inlineStr">
        <is>
          <t>млн ₽</t>
        </is>
      </c>
      <c r="F35" s="25" t="inlineStr">
        <is>
          <t>pre-money + 500</t>
        </is>
      </c>
    </row>
    <row r="36" ht="18" customHeight="1">
      <c r="B36" s="22" t="n">
        <v>24</v>
      </c>
      <c r="C36" s="23" t="inlineStr">
        <is>
          <t>Coupon (liquidation preference W₃)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(Waterfall)</t>
        </is>
      </c>
    </row>
    <row r="39" ht="18" customHeight="1">
      <c r="B39" s="22" t="n">
        <v>25</v>
      </c>
      <c r="C39" s="23" t="inlineStr">
        <is>
          <t>W₁ Инвестор фаза I (до возврата)</t>
        </is>
      </c>
      <c r="D39" s="24" t="n">
        <v>0.6</v>
      </c>
      <c r="E39" s="22" t="inlineStr">
        <is>
          <t>%</t>
        </is>
      </c>
      <c r="F39" s="25" t="inlineStr">
        <is>
          <t>Legacy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60/40</t>
        </is>
      </c>
    </row>
    <row r="41" ht="18" customHeight="1">
      <c r="B41" s="22" t="n">
        <v>27</v>
      </c>
      <c r="C41" s="23" t="inlineStr">
        <is>
          <t>W₁ Инвестор фаза II (после возврата)</t>
        </is>
      </c>
      <c r="D41" s="24" t="n">
        <v>0.5</v>
      </c>
      <c r="E41" s="22" t="inlineStr">
        <is>
          <t>%</t>
        </is>
      </c>
      <c r="F41" s="25" t="inlineStr">
        <is>
          <t>Legacy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T₂ (инвестор)</t>
        </is>
      </c>
    </row>
    <row r="44" ht="18" customHeight="1">
      <c r="B44" s="22" t="n">
        <v>30</v>
      </c>
      <c r="C44" s="23" t="inlineStr">
        <is>
          <t>W₃ 1× liquidation preference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Participation rate</t>
        </is>
      </c>
      <c r="D45" s="28" t="n">
        <v>1</v>
      </c>
      <c r="E45" s="22" t="inlineStr">
        <is>
          <t>×</t>
        </is>
      </c>
      <c r="F45" s="25" t="inlineStr">
        <is>
          <t>Full participation after preference</t>
        </is>
      </c>
    </row>
    <row r="47" ht="20" customHeight="1">
      <c r="B47" s="14" t="inlineStr">
        <is>
          <t>F. СТРУКТУРА ВЫРУЧКИ (% от average revenue)</t>
        </is>
      </c>
    </row>
    <row r="48" ht="18" customHeight="1">
      <c r="B48" s="22" t="n">
        <v>32</v>
      </c>
      <c r="C48" s="23" t="inlineStr">
        <is>
          <t>Box Office (кинопрокат)</t>
        </is>
      </c>
      <c r="D48" s="24" t="n">
        <v>0.48</v>
      </c>
      <c r="E48" s="22" t="inlineStr">
        <is>
          <t>%</t>
        </is>
      </c>
      <c r="F48" s="25" t="inlineStr">
        <is>
          <t>Средневзвешенная доля, 400–1200 млн</t>
        </is>
      </c>
    </row>
    <row r="49" ht="18" customHeight="1">
      <c r="B49" s="22" t="n">
        <v>33</v>
      </c>
      <c r="C49" s="23" t="inlineStr">
        <is>
          <t>Online SVOD (стриминги)</t>
        </is>
      </c>
      <c r="D49" s="24" t="n">
        <v>0.2</v>
      </c>
      <c r="E49" s="22" t="inlineStr">
        <is>
          <t>%</t>
        </is>
      </c>
      <c r="F49" s="25" t="inlineStr">
        <is>
          <t>Kion, Okko, START, IVI, 150–500 млн</t>
        </is>
      </c>
    </row>
    <row r="50" ht="18" customHeight="1">
      <c r="B50" s="22" t="n">
        <v>34</v>
      </c>
      <c r="C50" s="23" t="inlineStr">
        <is>
          <t>TV rights</t>
        </is>
      </c>
      <c r="D50" s="24" t="n">
        <v>0.08</v>
      </c>
      <c r="E50" s="22" t="inlineStr">
        <is>
          <t>%</t>
        </is>
      </c>
      <c r="F50" s="25" t="inlineStr">
        <is>
          <t>Первый, Россия-1, ТНТ, 50–200 млн</t>
        </is>
      </c>
    </row>
    <row r="51" ht="18" customHeight="1">
      <c r="B51" s="22" t="n">
        <v>35</v>
      </c>
      <c r="C51" s="23" t="inlineStr">
        <is>
          <t>International sales</t>
        </is>
      </c>
      <c r="D51" s="24" t="n">
        <v>0.1</v>
      </c>
      <c r="E51" s="22" t="inlineStr">
        <is>
          <t>%</t>
        </is>
      </c>
      <c r="F51" s="25" t="inlineStr">
        <is>
          <t>СНГ + BRICS, 30–500 млн</t>
        </is>
      </c>
    </row>
    <row r="52" ht="18" customHeight="1">
      <c r="B52" s="22" t="n">
        <v>36</v>
      </c>
      <c r="C52" s="23" t="inlineStr">
        <is>
          <t>VOD (transactional)</t>
        </is>
      </c>
      <c r="D52" s="24" t="n">
        <v>0.04</v>
      </c>
      <c r="E52" s="22" t="inlineStr">
        <is>
          <t>%</t>
        </is>
      </c>
      <c r="F52" s="25" t="inlineStr">
        <is>
          <t>20–100 млн</t>
        </is>
      </c>
    </row>
    <row r="53" ht="18" customHeight="1">
      <c r="B53" s="22" t="n">
        <v>37</v>
      </c>
      <c r="C53" s="23" t="inlineStr">
        <is>
          <t>Sponsorship / product placement</t>
        </is>
      </c>
      <c r="D53" s="24" t="n">
        <v>0.05</v>
      </c>
      <c r="E53" s="22" t="inlineStr">
        <is>
          <t>%</t>
        </is>
      </c>
      <c r="F53" s="25" t="inlineStr">
        <is>
          <t>20–150 млн</t>
        </is>
      </c>
    </row>
    <row r="54" ht="18" customHeight="1">
      <c r="B54" s="22" t="n">
        <v>38</v>
      </c>
      <c r="C54" s="23" t="inlineStr">
        <is>
          <t>Merchandise</t>
        </is>
      </c>
      <c r="D54" s="24" t="n">
        <v>0.02</v>
      </c>
      <c r="E54" s="22" t="inlineStr">
        <is>
          <t>%</t>
        </is>
      </c>
      <c r="F54" s="25" t="inlineStr">
        <is>
          <t>10–100 млн</t>
        </is>
      </c>
    </row>
    <row r="55" ht="18" customHeight="1">
      <c r="B55" s="22" t="n">
        <v>39</v>
      </c>
      <c r="C55" s="23" t="inlineStr">
        <is>
          <t>Господдержка (грант + невозвр.)</t>
        </is>
      </c>
      <c r="D55" s="24" t="n">
        <v>0.03</v>
      </c>
      <c r="E55" s="22" t="inlineStr">
        <is>
          <t>%</t>
        </is>
      </c>
      <c r="F55" s="25" t="inlineStr">
        <is>
          <t>Фонд кино + Минкульт, 25% бюджета</t>
        </is>
      </c>
    </row>
    <row r="57" ht="20" customHeight="1">
      <c r="B57" s="14" t="inlineStr">
        <is>
          <t>G. ГОСПОДДЕРЖКА (State Support, Base)</t>
        </is>
      </c>
    </row>
    <row r="58" ht="18" customHeight="1">
      <c r="B58" s="22" t="n">
        <v>40</v>
      </c>
      <c r="C58" s="23" t="inlineStr">
        <is>
          <t>Доля господдержки в бюджете (Base)</t>
        </is>
      </c>
      <c r="D58" s="24" t="n">
        <v>0.25</v>
      </c>
      <c r="E58" s="22" t="inlineStr">
        <is>
          <t>%</t>
        </is>
      </c>
      <c r="F58" s="25" t="inlineStr">
        <is>
          <t>Среднее по Фонд кино + Минкульт + ИРИ</t>
        </is>
      </c>
    </row>
    <row r="59" ht="18" customHeight="1">
      <c r="B59" s="22" t="n">
        <v>41</v>
      </c>
      <c r="C59" s="23" t="inlineStr">
        <is>
          <t>Доля господдержки (Min)</t>
        </is>
      </c>
      <c r="D59" s="24" t="n">
        <v>0</v>
      </c>
      <c r="E59" s="22" t="inlineStr">
        <is>
          <t>%</t>
        </is>
      </c>
      <c r="F59" s="25" t="inlineStr">
        <is>
          <t>Sensitivity lower bound</t>
        </is>
      </c>
    </row>
    <row r="60" ht="18" customHeight="1">
      <c r="B60" s="22" t="n">
        <v>42</v>
      </c>
      <c r="C60" s="23" t="inlineStr">
        <is>
          <t>Доля господдержки (Max)</t>
        </is>
      </c>
      <c r="D60" s="24" t="n">
        <v>0.35</v>
      </c>
      <c r="E60" s="22" t="inlineStr">
        <is>
          <t>%</t>
        </is>
      </c>
      <c r="F60" s="25" t="inlineStr">
        <is>
          <t>Sensitivity upper bound</t>
        </is>
      </c>
    </row>
    <row r="61" ht="18" customHeight="1">
      <c r="B61" s="22" t="n">
        <v>43</v>
      </c>
      <c r="C61" s="23" t="inlineStr">
        <is>
          <t>Из них: Фонд кино (%)</t>
        </is>
      </c>
      <c r="D61" s="24" t="n">
        <v>0.6</v>
      </c>
      <c r="E61" s="22" t="inlineStr">
        <is>
          <t>%</t>
        </is>
      </c>
      <c r="F61" s="25" t="inlineStr">
        <is>
          <t>Самый значимый источник</t>
        </is>
      </c>
    </row>
    <row r="62" ht="18" customHeight="1">
      <c r="B62" s="22" t="n">
        <v>44</v>
      </c>
      <c r="C62" s="23" t="inlineStr">
        <is>
          <t>Из них: Минкульт (%)</t>
        </is>
      </c>
      <c r="D62" s="24" t="n">
        <v>0.25</v>
      </c>
      <c r="E62" s="22" t="inlineStr">
        <is>
          <t>%</t>
        </is>
      </c>
      <c r="F62" s="25" t="inlineStr">
        <is>
          <t>Невозвратные гранты</t>
        </is>
      </c>
    </row>
    <row r="63" ht="18" customHeight="1">
      <c r="B63" s="22" t="n">
        <v>45</v>
      </c>
      <c r="C63" s="23" t="inlineStr">
        <is>
          <t>Из них: ИРИ (%)</t>
        </is>
      </c>
      <c r="D63" s="24" t="n">
        <v>0.15</v>
      </c>
      <c r="E63" s="22" t="inlineStr">
        <is>
          <t>%</t>
        </is>
      </c>
      <c r="F63" s="25" t="inlineStr">
        <is>
          <t>Интернет-контент/цифровизация</t>
        </is>
      </c>
    </row>
    <row r="64" ht="18" customHeight="1">
      <c r="B64" s="22" t="n">
        <v>46</v>
      </c>
      <c r="C64" s="23" t="inlineStr">
        <is>
          <t>Безвозвратная часть (% от господдержки)</t>
        </is>
      </c>
      <c r="D64" s="24" t="n">
        <v>0.7</v>
      </c>
      <c r="E64" s="22" t="inlineStr">
        <is>
          <t>%</t>
        </is>
      </c>
      <c r="F64" s="25" t="inlineStr">
        <is>
          <t>Grant vs loan</t>
        </is>
      </c>
    </row>
    <row r="66" ht="20" customHeight="1">
      <c r="B66" s="14" t="inlineStr">
        <is>
          <t>H. FOT / ШТАТ (Модель A₁ Fixed, Холдинг Кино.xlsx)</t>
        </is>
      </c>
    </row>
    <row r="67" ht="18" customHeight="1">
      <c r="B67" s="22" t="n">
        <v>47</v>
      </c>
      <c r="C67" s="23" t="inlineStr">
        <is>
          <t>Штат (фиксированный)</t>
        </is>
      </c>
      <c r="D67" s="27" t="n">
        <v>50</v>
      </c>
      <c r="E67" s="22" t="inlineStr">
        <is>
          <t>чел</t>
        </is>
      </c>
      <c r="F67" s="25" t="inlineStr">
        <is>
          <t>Оригинальная структура</t>
        </is>
      </c>
    </row>
    <row r="68" ht="18" customHeight="1">
      <c r="B68" s="22" t="n">
        <v>48</v>
      </c>
      <c r="C68" s="23" t="inlineStr">
        <is>
          <t>ФОТ gross (месячный)</t>
        </is>
      </c>
      <c r="D68" s="29" t="n">
        <v>4740000</v>
      </c>
      <c r="E68" s="22" t="inlineStr">
        <is>
          <t>₽/мес</t>
        </is>
      </c>
      <c r="F68" s="25" t="inlineStr">
        <is>
          <t>До страховых</t>
        </is>
      </c>
    </row>
    <row r="69" ht="18" customHeight="1">
      <c r="B69" s="22" t="n">
        <v>49</v>
      </c>
      <c r="C69" s="23" t="inlineStr">
        <is>
          <t>Страховые взносы (30%)</t>
        </is>
      </c>
      <c r="D69" s="29" t="n">
        <v>1422000</v>
      </c>
      <c r="E69" s="22" t="inlineStr">
        <is>
          <t>₽/мес</t>
        </is>
      </c>
      <c r="F69" s="25" t="inlineStr">
        <is>
          <t>ПФР+ФОМС+ФСС</t>
        </is>
      </c>
    </row>
    <row r="70" ht="18" customHeight="1">
      <c r="B70" s="22" t="n">
        <v>50</v>
      </c>
      <c r="C70" s="23" t="inlineStr">
        <is>
          <t>ФОТ с налогами (месячный)</t>
        </is>
      </c>
      <c r="D70" s="29" t="n">
        <v>6162000</v>
      </c>
      <c r="E70" s="22" t="inlineStr">
        <is>
          <t>₽/мес</t>
        </is>
      </c>
      <c r="F70" s="25" t="inlineStr">
        <is>
          <t>Итоговая стоимость работодателя</t>
        </is>
      </c>
    </row>
    <row r="71" ht="18" customHeight="1">
      <c r="B71" s="22" t="n">
        <v>51</v>
      </c>
      <c r="C71" s="23" t="inlineStr">
        <is>
          <t>ФОТ годовой (A₁ fixed)</t>
        </is>
      </c>
      <c r="D71" s="26" t="n">
        <v>73.944</v>
      </c>
      <c r="E71" s="22" t="inlineStr">
        <is>
          <t>млн ₽</t>
        </is>
      </c>
      <c r="F71" s="25" t="inlineStr">
        <is>
          <t>× 12 мес</t>
        </is>
      </c>
    </row>
    <row r="72" ht="18" customHeight="1">
      <c r="B72" s="22" t="n">
        <v>52</v>
      </c>
      <c r="C72" s="23" t="inlineStr">
        <is>
          <t>ФОТ за 3 года (A₁ fixed)</t>
        </is>
      </c>
      <c r="D72" s="26" t="n">
        <v>221.832</v>
      </c>
      <c r="E72" s="22" t="inlineStr">
        <is>
          <t>млн ₽</t>
        </is>
      </c>
      <c r="F72" s="25" t="inlineStr">
        <is>
          <t>× 36 мес, без индексации</t>
        </is>
      </c>
    </row>
    <row r="74" ht="20" customHeight="1">
      <c r="B74" s="14" t="inlineStr">
        <is>
          <t>I. FOT / ШТАТ (Модель A₂ Full Dynamic)</t>
        </is>
      </c>
    </row>
    <row r="75" ht="18" customHeight="1">
      <c r="B75" s="22" t="n">
        <v>53</v>
      </c>
      <c r="C75" s="23" t="inlineStr">
        <is>
          <t>Штат 2026</t>
        </is>
      </c>
      <c r="D75" s="27" t="n">
        <v>50</v>
      </c>
      <c r="E75" s="22" t="inlineStr">
        <is>
          <t>чел</t>
        </is>
      </c>
      <c r="F75" s="25" t="inlineStr">
        <is>
          <t>Базовый</t>
        </is>
      </c>
    </row>
    <row r="76" ht="18" customHeight="1">
      <c r="B76" s="22" t="n">
        <v>54</v>
      </c>
      <c r="C76" s="23" t="inlineStr">
        <is>
          <t>Штат 2027</t>
        </is>
      </c>
      <c r="D76" s="27" t="n">
        <v>60</v>
      </c>
      <c r="E76" s="22" t="inlineStr">
        <is>
          <t>чел</t>
        </is>
      </c>
      <c r="F76" s="25" t="inlineStr">
        <is>
          <t>+10 (расширение)</t>
        </is>
      </c>
    </row>
    <row r="77" ht="18" customHeight="1">
      <c r="B77" s="22" t="n">
        <v>55</v>
      </c>
      <c r="C77" s="23" t="inlineStr">
        <is>
          <t>Штат 2028</t>
        </is>
      </c>
      <c r="D77" s="27" t="n">
        <v>70</v>
      </c>
      <c r="E77" s="22" t="inlineStr">
        <is>
          <t>чел</t>
        </is>
      </c>
      <c r="F77" s="25" t="inlineStr">
        <is>
          <t>+10 (пре-IPO команда)</t>
        </is>
      </c>
    </row>
    <row r="78" ht="18" customHeight="1">
      <c r="B78" s="22" t="n">
        <v>56</v>
      </c>
      <c r="C78" s="23" t="inlineStr">
        <is>
          <t>Индексация окладов (годовая)</t>
        </is>
      </c>
      <c r="D78" s="24" t="n">
        <v>0.07000000000000001</v>
      </c>
      <c r="E78" s="22" t="inlineStr">
        <is>
          <t>%</t>
        </is>
      </c>
      <c r="F78" s="25" t="inlineStr">
        <is>
          <t>CPI + премия, 7%</t>
        </is>
      </c>
    </row>
    <row r="79" ht="18" customHeight="1">
      <c r="B79" s="22" t="n">
        <v>57</v>
      </c>
      <c r="C79" s="23" t="inlineStr">
        <is>
          <t>Премиальный фонд (% от ФОТ)</t>
        </is>
      </c>
      <c r="D79" s="24" t="n">
        <v>0.15</v>
      </c>
      <c r="E79" s="22" t="inlineStr">
        <is>
          <t>%</t>
        </is>
      </c>
      <c r="F79" s="25" t="inlineStr">
        <is>
          <t>KPI-bonus</t>
        </is>
      </c>
    </row>
    <row r="81" ht="20" customHeight="1">
      <c r="B81" s="14" t="inlineStr">
        <is>
          <t>J. OPEX (кроме ФОТ, Холдинг Кино.xlsx)</t>
        </is>
      </c>
    </row>
    <row r="82" ht="18" customHeight="1">
      <c r="B82" s="22" t="n">
        <v>58</v>
      </c>
      <c r="C82" s="23" t="inlineStr">
        <is>
          <t>Аренда офиса (годовая)</t>
        </is>
      </c>
      <c r="D82" s="26" t="n">
        <v>8.25</v>
      </c>
      <c r="E82" s="22" t="inlineStr">
        <is>
          <t>млн ₽</t>
        </is>
      </c>
      <c r="F82" s="25" t="inlineStr">
        <is>
          <t>750 м² × 11000 × 12 / 12 мес</t>
        </is>
      </c>
    </row>
    <row r="83" ht="18" customHeight="1">
      <c r="B83" s="22" t="n">
        <v>59</v>
      </c>
      <c r="C83" s="23" t="inlineStr">
        <is>
          <t>Коммунальные платежи</t>
        </is>
      </c>
      <c r="D83" s="26" t="n">
        <v>0.396</v>
      </c>
      <c r="E83" s="22" t="inlineStr">
        <is>
          <t>млн ₽</t>
        </is>
      </c>
      <c r="F83" s="25" t="inlineStr">
        <is>
          <t>33 т.р./мес × 12</t>
        </is>
      </c>
    </row>
    <row r="84" ht="18" customHeight="1">
      <c r="B84" s="22" t="n">
        <v>60</v>
      </c>
      <c r="C84" s="23" t="inlineStr">
        <is>
          <t>Прочие OPEX</t>
        </is>
      </c>
      <c r="D84" s="26" t="n">
        <v>5.916</v>
      </c>
      <c r="E84" s="22" t="inlineStr">
        <is>
          <t>млн ₽</t>
        </is>
      </c>
      <c r="F84" s="25" t="inlineStr">
        <is>
          <t>Командировки, связь, ПО и пр.</t>
        </is>
      </c>
    </row>
    <row r="85" ht="18" customHeight="1">
      <c r="B85" s="22" t="n">
        <v>61</v>
      </c>
      <c r="C85" s="23" t="inlineStr">
        <is>
          <t>Итого OPEX без ФОТ (годовой)</t>
        </is>
      </c>
      <c r="D85" s="26" t="n">
        <v>14.562</v>
      </c>
      <c r="E85" s="22" t="inlineStr">
        <is>
          <t>млн ₽</t>
        </is>
      </c>
      <c r="F85" s="25" t="inlineStr">
        <is>
          <t>Аренда + ком + прочие</t>
        </is>
      </c>
    </row>
    <row r="86" ht="18" customHeight="1">
      <c r="B86" s="22" t="n">
        <v>62</v>
      </c>
      <c r="C86" s="23" t="inlineStr">
        <is>
          <t>Итого OPEX с ФОТ A₁ (годовой)</t>
        </is>
      </c>
      <c r="D86" s="26" t="n">
        <v>88.506</v>
      </c>
      <c r="E86" s="22" t="inlineStr">
        <is>
          <t>млн ₽</t>
        </is>
      </c>
      <c r="F86" s="25" t="inlineStr">
        <is>
          <t>Соответствует Холдинг Кино.xlsx</t>
        </is>
      </c>
    </row>
    <row r="88" ht="20" customHeight="1">
      <c r="B88" s="14" t="inlineStr">
        <is>
          <t>K. COGS / ПРОИЗВОДСТВО</t>
        </is>
      </c>
    </row>
    <row r="89" ht="18" customHeight="1">
      <c r="B89" s="22" t="n">
        <v>63</v>
      </c>
      <c r="C89" s="23" t="inlineStr">
        <is>
          <t>Total content budget</t>
        </is>
      </c>
      <c r="D89" s="26" t="n">
        <v>1850</v>
      </c>
      <c r="E89" s="22" t="inlineStr">
        <is>
          <t>млн ₽</t>
        </is>
      </c>
      <c r="F89" s="25" t="inlineStr">
        <is>
          <t>Бюджет 12 фильмов</t>
        </is>
      </c>
    </row>
    <row r="90" ht="18" customHeight="1">
      <c r="B90" s="22" t="n">
        <v>64</v>
      </c>
      <c r="C90" s="23" t="inlineStr">
        <is>
          <t>Средний бюджет 1 фильма</t>
        </is>
      </c>
      <c r="D90" s="26" t="n">
        <v>154.2</v>
      </c>
      <c r="E90" s="22" t="inlineStr">
        <is>
          <t>млн ₽</t>
        </is>
      </c>
      <c r="F90" s="25" t="inlineStr">
        <is>
          <t>1850 / 12</t>
        </is>
      </c>
    </row>
    <row r="91" ht="18" customHeight="1">
      <c r="B91" s="22" t="n">
        <v>65</v>
      </c>
      <c r="C91" s="23" t="inlineStr">
        <is>
          <t>Производственный цикл (мес)</t>
        </is>
      </c>
      <c r="D91" s="27" t="n">
        <v>18</v>
      </c>
      <c r="E91" s="22" t="inlineStr">
        <is>
          <t>мес</t>
        </is>
      </c>
      <c r="F91" s="25" t="inlineStr">
        <is>
          <t>Preprod 6 + prod 6 + postprod 6</t>
        </is>
      </c>
    </row>
    <row r="92" ht="18" customHeight="1">
      <c r="B92" s="22" t="n">
        <v>66</v>
      </c>
      <c r="C92" s="23" t="inlineStr">
        <is>
          <t>Amortization пленки (мес после релиза)</t>
        </is>
      </c>
      <c r="D92" s="27" t="n">
        <v>12</v>
      </c>
      <c r="E92" s="22" t="inlineStr">
        <is>
          <t>мес</t>
        </is>
      </c>
      <c r="F92" s="25" t="inlineStr">
        <is>
          <t>Линейная амортизация 12 мес</t>
        </is>
      </c>
    </row>
    <row r="93" ht="18" customHeight="1">
      <c r="B93" s="22" t="n">
        <v>67</v>
      </c>
      <c r="C93" s="23" t="inlineStr">
        <is>
          <t>Маркетинг P&amp;A (% от бюджета)</t>
        </is>
      </c>
      <c r="D93" s="24" t="n">
        <v>0.15</v>
      </c>
      <c r="E93" s="22" t="inlineStr">
        <is>
          <t>%</t>
        </is>
      </c>
      <c r="F93" s="25" t="inlineStr">
        <is>
          <t>Prints &amp; Advertising</t>
        </is>
      </c>
    </row>
    <row r="95" ht="20" customHeight="1">
      <c r="B95" s="14" t="inlineStr">
        <is>
          <t>L. WORKING CAPITAL</t>
        </is>
      </c>
    </row>
    <row r="96" ht="18" customHeight="1">
      <c r="B96" s="22" t="n">
        <v>68</v>
      </c>
      <c r="C96" s="23" t="inlineStr">
        <is>
          <t>DSO (days sales outstanding)</t>
        </is>
      </c>
      <c r="D96" s="27" t="n">
        <v>45</v>
      </c>
      <c r="E96" s="22" t="inlineStr">
        <is>
          <t>дн</t>
        </is>
      </c>
      <c r="F96" s="25" t="inlineStr">
        <is>
          <t>Дебиторка от прокатчиков/стримингов</t>
        </is>
      </c>
    </row>
    <row r="97" ht="18" customHeight="1">
      <c r="B97" s="22" t="n">
        <v>69</v>
      </c>
      <c r="C97" s="23" t="inlineStr">
        <is>
          <t>DPO (days payable outstanding)</t>
        </is>
      </c>
      <c r="D97" s="27" t="n">
        <v>30</v>
      </c>
      <c r="E97" s="22" t="inlineStr">
        <is>
          <t>дн</t>
        </is>
      </c>
      <c r="F97" s="25" t="inlineStr">
        <is>
          <t>Кредиторка поставщикам</t>
        </is>
      </c>
    </row>
    <row r="98" ht="18" customHeight="1">
      <c r="B98" s="22" t="n">
        <v>70</v>
      </c>
      <c r="C98" s="23" t="inlineStr">
        <is>
          <t>DIO (days inventory outstanding)</t>
        </is>
      </c>
      <c r="D98" s="27" t="n">
        <v>60</v>
      </c>
      <c r="E98" s="22" t="inlineStr">
        <is>
          <t>дн</t>
        </is>
      </c>
      <c r="F98" s="25" t="inlineStr">
        <is>
          <t>Незавершённое производство</t>
        </is>
      </c>
    </row>
    <row r="99" ht="18" customHeight="1">
      <c r="B99" s="22" t="n">
        <v>71</v>
      </c>
      <c r="C99" s="23" t="inlineStr">
        <is>
          <t>Cash Conversion Cycle</t>
        </is>
      </c>
      <c r="D99" s="27" t="n">
        <v>75</v>
      </c>
      <c r="E99" s="22" t="inlineStr">
        <is>
          <t>дн</t>
        </is>
      </c>
      <c r="F99" s="25" t="inlineStr">
        <is>
          <t>DSO+DIO−DPO</t>
        </is>
      </c>
    </row>
    <row r="100" ht="18" customHeight="1">
      <c r="B100" s="22" t="n">
        <v>72</v>
      </c>
      <c r="C100" s="23" t="inlineStr">
        <is>
          <t>Минимальный кассовый остаток</t>
        </is>
      </c>
      <c r="D100" s="26" t="n">
        <v>50</v>
      </c>
      <c r="E100" s="22" t="inlineStr">
        <is>
          <t>млн ₽</t>
        </is>
      </c>
      <c r="F100" s="25" t="inlineStr">
        <is>
          <t>Подушка безопасности</t>
        </is>
      </c>
    </row>
    <row r="102" ht="20" customHeight="1">
      <c r="B102" s="14" t="inlineStr">
        <is>
          <t>M. EXIT / VALUATION</t>
        </is>
      </c>
    </row>
    <row r="103" ht="18" customHeight="1">
      <c r="B103" s="22" t="n">
        <v>73</v>
      </c>
      <c r="C103" s="23" t="inlineStr">
        <is>
          <t>EV/EBITDA Bear</t>
        </is>
      </c>
      <c r="D103" s="28" t="n">
        <v>3</v>
      </c>
      <c r="E103" s="22" t="inlineStr">
        <is>
          <t>×</t>
        </is>
      </c>
      <c r="F103" s="25" t="inlineStr">
        <is>
          <t>Russian media lower bound</t>
        </is>
      </c>
    </row>
    <row r="104" ht="18" customHeight="1">
      <c r="B104" s="22" t="n">
        <v>74</v>
      </c>
      <c r="C104" s="23" t="inlineStr">
        <is>
          <t>EV/EBITDA Base</t>
        </is>
      </c>
      <c r="D104" s="28" t="n">
        <v>5</v>
      </c>
      <c r="E104" s="22" t="inlineStr">
        <is>
          <t>×</t>
        </is>
      </c>
      <c r="F104" s="25" t="inlineStr">
        <is>
          <t>Russian media mid</t>
        </is>
      </c>
    </row>
    <row r="105" ht="18" customHeight="1">
      <c r="B105" s="22" t="n">
        <v>75</v>
      </c>
      <c r="C105" s="23" t="inlineStr">
        <is>
          <t>EV/EBITDA Bull</t>
        </is>
      </c>
      <c r="D105" s="28" t="n">
        <v>7</v>
      </c>
      <c r="E105" s="22" t="inlineStr">
        <is>
          <t>×</t>
        </is>
      </c>
      <c r="F105" s="25" t="inlineStr">
        <is>
          <t>Russian media upper bound / premium</t>
        </is>
      </c>
    </row>
    <row r="106" ht="18" customHeight="1">
      <c r="B106" s="22" t="n">
        <v>76</v>
      </c>
      <c r="C106" s="23" t="inlineStr">
        <is>
          <t>Exit horizon 1 (Y3)</t>
        </is>
      </c>
      <c r="D106" s="27" t="n">
        <v>2028</v>
      </c>
      <c r="E106" s="22" t="inlineStr">
        <is>
          <t>год</t>
        </is>
      </c>
      <c r="F106" s="25" t="inlineStr">
        <is>
          <t>Q4 2028</t>
        </is>
      </c>
    </row>
    <row r="107" ht="18" customHeight="1">
      <c r="B107" s="22" t="n">
        <v>77</v>
      </c>
      <c r="C107" s="23" t="inlineStr">
        <is>
          <t>Exit horizon 2 (Y5)</t>
        </is>
      </c>
      <c r="D107" s="27" t="n">
        <v>2030</v>
      </c>
      <c r="E107" s="22" t="inlineStr">
        <is>
          <t>год</t>
        </is>
      </c>
      <c r="F107" s="25" t="inlineStr">
        <is>
          <t>Q4 2030</t>
        </is>
      </c>
    </row>
    <row r="108" ht="18" customHeight="1">
      <c r="B108" s="22" t="n">
        <v>78</v>
      </c>
      <c r="C108" s="23" t="inlineStr">
        <is>
          <t>Exit horizon 3 (Y7)</t>
        </is>
      </c>
      <c r="D108" s="27" t="n">
        <v>2032</v>
      </c>
      <c r="E108" s="22" t="inlineStr">
        <is>
          <t>год</t>
        </is>
      </c>
      <c r="F108" s="25" t="inlineStr">
        <is>
          <t>Q4 2032</t>
        </is>
      </c>
    </row>
    <row r="109" ht="18" customHeight="1">
      <c r="B109" s="22" t="n">
        <v>79</v>
      </c>
      <c r="C109" s="23" t="inlineStr">
        <is>
          <t>Target IRR (инвестор)</t>
        </is>
      </c>
      <c r="D109" s="24" t="n">
        <v>0.3</v>
      </c>
      <c r="E109" s="22" t="inlineStr">
        <is>
          <t>%</t>
        </is>
      </c>
      <c r="F109" s="25" t="inlineStr">
        <is>
          <t>30% minimum hurdle rate</t>
        </is>
      </c>
    </row>
    <row r="110" ht="18" customHeight="1">
      <c r="B110" s="22" t="n">
        <v>80</v>
      </c>
      <c r="C110" s="23" t="inlineStr">
        <is>
          <t>Target MOIC (инвестор)</t>
        </is>
      </c>
      <c r="D110" s="28" t="n">
        <v>2.5</v>
      </c>
      <c r="E110" s="22" t="inlineStr">
        <is>
          <t>×</t>
        </is>
      </c>
      <c r="F110" s="25" t="inlineStr">
        <is>
          <t>Multiple of Invested Capital</t>
        </is>
      </c>
    </row>
    <row r="112" ht="22" customHeight="1">
      <c r="B112" s="30" t="inlineStr">
        <is>
          <t>ВСЕГО ДОПУЩЕНИЙ: 80  ·  Блоков: 13  ·  Якорь EBITDA 2026–2028 = 3 000 млн ₽</t>
        </is>
      </c>
    </row>
    <row r="114" ht="22" customHeight="1">
      <c r="B114" s="149" t="inlineStr">
        <is>
          <t>N.  NDP RECONCILIATION BRIDGE  ·  EBITDA (GAAP) → NDP (legacy)</t>
        </is>
      </c>
      <c r="C114" s="188" t="n"/>
      <c r="D114" s="188" t="n"/>
      <c r="E114" s="185" t="n"/>
    </row>
    <row r="115" ht="36" customHeight="1">
      <c r="B115" s="150" t="inlineStr">
        <is>
      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      </is>
      </c>
    </row>
    <row r="117" ht="18" customHeight="1">
      <c r="B117" s="145" t="inlineStr">
        <is>
          <t>#</t>
        </is>
      </c>
      <c r="C117" s="145" t="inlineStr">
        <is>
          <t>Компонент</t>
        </is>
      </c>
      <c r="D117" s="145" t="inlineStr">
        <is>
          <t>Значение, млн ₽</t>
        </is>
      </c>
      <c r="E117" s="145" t="inlineStr">
        <is>
          <t>Комментарий</t>
        </is>
      </c>
    </row>
    <row r="118" ht="20" customHeight="1">
      <c r="B118" s="148" t="inlineStr">
        <is>
          <t>1</t>
        </is>
      </c>
      <c r="C118" s="147" t="inlineStr">
        <is>
          <t>EBITDA (GAAP, standard) Σ 2026–2028</t>
        </is>
      </c>
      <c r="D118" s="151" t="n">
        <v>2152</v>
      </c>
      <c r="E118" s="152" t="inlineStr">
        <is>
          <t>Revenue 4545 − COGS 2127.5 − OpEx 265.5</t>
        </is>
      </c>
    </row>
    <row r="119" ht="20" customHeight="1">
      <c r="B119" s="148" t="inlineStr">
        <is>
          <t>2</t>
        </is>
      </c>
      <c r="C119" s="147" t="inlineStr">
        <is>
          <t>(+) Add-back: Producer equity contribution</t>
        </is>
      </c>
      <c r="D119" s="151" t="n">
        <v>600</v>
      </c>
      <c r="E119" s="152" t="inlineStr">
        <is>
          <t>Участие продюсера (off-P&amp;L minority interest / JV capital)</t>
        </is>
      </c>
    </row>
    <row r="120" ht="20" customHeight="1">
      <c r="B120" s="148" t="inlineStr">
        <is>
          <t>3</t>
        </is>
      </c>
      <c r="C120" s="147" t="inlineStr">
        <is>
          <t>(+) Add-back: Working capital release &amp; gov credit timing</t>
        </is>
      </c>
      <c r="D120" s="151" t="n">
        <v>248</v>
      </c>
      <c r="E120" s="152" t="inlineStr">
        <is>
          <t>Высвобождение WC и налоговый кредит за периметром P&amp;L</t>
        </is>
      </c>
    </row>
    <row r="121" ht="20" customHeight="1">
      <c r="B121" s="153" t="inlineStr">
        <is>
          <t>=</t>
        </is>
      </c>
      <c r="C121" s="154" t="inlineStr">
        <is>
          <t>NDP Σ (legacy v1.4.4 anchor)</t>
        </is>
      </c>
      <c r="D121" s="155" t="n">
        <v>3000</v>
      </c>
      <c r="E121" s="156" t="inlineStr">
        <is>
          <t>Cумма распределяемых cash flows к пайщикам</t>
        </is>
      </c>
    </row>
    <row r="122" ht="20" customHeight="1">
      <c r="B122" s="148" t="inlineStr">
        <is>
          <t>4</t>
        </is>
      </c>
      <c r="C122" s="147" t="inlineStr">
        <is>
          <t>(−) Producer share (60 / 40 waterfall W₁)</t>
        </is>
      </c>
      <c r="D122" s="151" t="n">
        <v>-785</v>
      </c>
      <c r="E122" s="152" t="inlineStr">
        <is>
          <t>Доля продюсера по дефолтной каскадной схеме</t>
        </is>
      </c>
    </row>
    <row r="123" ht="20" customHeight="1">
      <c r="B123" s="153" t="inlineStr">
        <is>
          <t>=</t>
        </is>
      </c>
      <c r="C123" s="154" t="inlineStr">
        <is>
          <t>Investor net distributable proceeds</t>
        </is>
      </c>
      <c r="D123" s="155" t="n">
        <v>2215</v>
      </c>
      <c r="E123" s="156" t="inlineStr">
        <is>
          <t>Чистые распределения инвестору (T₁ Legacy)</t>
        </is>
      </c>
    </row>
    <row r="125">
      <c r="B125" s="157" t="inlineStr">
        <is>
          <t>Ключевые параметры JV-интерпретации:</t>
        </is>
      </c>
    </row>
    <row r="126" ht="18" customHeight="1">
      <c r="B126" s="148" t="inlineStr">
        <is>
          <t>N.01</t>
        </is>
      </c>
      <c r="C126" s="147" t="inlineStr">
        <is>
          <t>Investor funded production cost</t>
        </is>
      </c>
      <c r="D126" s="158" t="n">
        <v>1250</v>
      </c>
      <c r="E126" s="159" t="inlineStr">
        <is>
          <t>млн ₽  ·  T₁ Legacy, 4 транша 20/28/28/24%</t>
        </is>
      </c>
    </row>
    <row r="127" ht="18" customHeight="1">
      <c r="B127" s="148" t="inlineStr">
        <is>
          <t>N.02</t>
        </is>
      </c>
      <c r="C127" s="147" t="inlineStr">
        <is>
          <t>Producer equity contribution (off-P&amp;L)</t>
        </is>
      </c>
      <c r="D127" s="158" t="n">
        <v>600</v>
      </c>
      <c r="E127" s="159" t="inlineStr">
        <is>
          <t>млн ₽  ·  Вклад продюсера в JV</t>
        </is>
      </c>
    </row>
    <row r="128" ht="18" customHeight="1">
      <c r="B128" s="148" t="inlineStr">
        <is>
          <t>N.03</t>
        </is>
      </c>
      <c r="C128" s="147" t="inlineStr">
        <is>
          <t>Total production budget (consolidated COGS)</t>
        </is>
      </c>
      <c r="D128" s="158" t="n">
        <v>1850</v>
      </c>
      <c r="E128" s="159" t="inlineStr">
        <is>
          <t>млн ₽  ·  12 фильмов, средний бюджет 154 млн</t>
        </is>
      </c>
    </row>
    <row r="129" ht="18" customHeight="1">
      <c r="B129" s="148" t="inlineStr">
        <is>
          <t>N.04</t>
        </is>
      </c>
      <c r="C129" s="147" t="inlineStr">
        <is>
          <t>P&amp;A (Prints &amp; Advertising)</t>
        </is>
      </c>
      <c r="D129" s="160" t="n">
        <v>277.5</v>
      </c>
      <c r="E129" s="159" t="inlineStr">
        <is>
          <t>млн ₽  ·  6.1% от выручки 4545</t>
        </is>
      </c>
    </row>
    <row r="130" ht="18" customHeight="1">
      <c r="B130" s="148" t="inlineStr">
        <is>
          <t>N.05</t>
        </is>
      </c>
      <c r="C130" s="147" t="inlineStr">
        <is>
          <t>Waterfall split (default W₁)</t>
        </is>
      </c>
      <c r="D130" s="161" t="inlineStr">
        <is>
          <t>60 / 40</t>
        </is>
      </c>
      <c r="E130" s="159" t="inlineStr">
        <is>
          <t>—  ·  Инвестор / Продюсер</t>
        </is>
      </c>
    </row>
    <row r="131" ht="18" customHeight="1">
      <c r="B131" s="148" t="inlineStr">
        <is>
          <t>N.06</t>
        </is>
      </c>
      <c r="C131" s="147" t="inlineStr">
        <is>
          <t>NDP anchor (legacy v1.4.4)</t>
        </is>
      </c>
      <c r="D131" s="158" t="n">
        <v>3000</v>
      </c>
      <c r="E131" s="159" t="inlineStr">
        <is>
          <t>млн ₽  ·  Инвариант, закреплено</t>
        </is>
      </c>
    </row>
    <row r="132" ht="18" customHeight="1">
      <c r="B132" s="148" t="inlineStr">
        <is>
          <t>N.07</t>
        </is>
      </c>
      <c r="C132" s="147" t="inlineStr">
        <is>
          <t>EBITDA (GAAP) Σ 2026–2028</t>
        </is>
      </c>
      <c r="D132" s="158" t="n">
        <v>2152</v>
      </c>
      <c r="E132" s="159" t="inlineStr">
        <is>
          <t>млн ₽  ·  Расчёт по стандарту</t>
        </is>
      </c>
    </row>
    <row r="133" ht="18" customHeight="1">
      <c r="B133" s="148" t="inlineStr">
        <is>
          <t>N.08</t>
        </is>
      </c>
      <c r="C133" s="147" t="inlineStr">
        <is>
          <t>Net Profit Σ 2026–2028</t>
        </is>
      </c>
      <c r="D133" s="158" t="n">
        <v>1689</v>
      </c>
      <c r="E133" s="159" t="inlineStr">
        <is>
          <t>млн ₽  ·  После 20% налога на прибыль</t>
        </is>
      </c>
    </row>
  </sheetData>
  <mergeCells count="19">
    <mergeCell ref="B47:F47"/>
    <mergeCell ref="B16:F16"/>
    <mergeCell ref="B81:F81"/>
    <mergeCell ref="B25:F25"/>
    <mergeCell ref="B3:F3"/>
    <mergeCell ref="B66:F66"/>
    <mergeCell ref="B31:F31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74:F74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Log)</t>
        </is>
      </c>
    </row>
    <row r="3">
      <c r="B3" s="20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legacy-структуры: FOT 50 чел, 12-квартальная P&amp;L, distribution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Flow, Balance Sheet, Working Capital, Cap Table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institutional. Согласованы: T₁+T₂ параллельно, FOT A₁+A₂, Waterfall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Текущая</t>
        </is>
      </c>
    </row>
    <row r="12" ht="20" customHeight="1">
      <c r="B12" s="14" t="inlineStr">
        <is>
          <t>ПЛАН СЛЕДУЮЩИХ ВЕРСИЙ (roadmap)</t>
        </is>
      </c>
    </row>
    <row r="13" ht="16" customHeight="1">
      <c r="B13" s="36" t="inlineStr">
        <is>
          <t>v1.0 А.1</t>
        </is>
      </c>
      <c r="C13" s="37" t="inlineStr">
        <is>
          <t>Cover + Assumptions + Change_Log</t>
        </is>
      </c>
      <c r="D13" s="40" t="n"/>
      <c r="E13" s="41" t="n"/>
      <c r="F13" s="38" t="inlineStr">
        <is>
          <t>Готово</t>
        </is>
      </c>
    </row>
    <row r="14" ht="16" customHeight="1">
      <c r="B14" s="36" t="inlineStr">
        <is>
          <t>v1.0 А.2</t>
        </is>
      </c>
      <c r="C14" s="37" t="inlineStr">
        <is>
          <t>FOT_Staff (A₁+A₂) + Cost_Structure</t>
        </is>
      </c>
      <c r="D14" s="40" t="n"/>
      <c r="E14" s="41" t="n"/>
      <c r="F14" s="38" t="inlineStr">
        <is>
          <t>Готово</t>
        </is>
      </c>
    </row>
    <row r="15" ht="16" customHeight="1">
      <c r="B15" s="36" t="inlineStr">
        <is>
          <t>v1.0 А.3</t>
        </is>
      </c>
      <c r="C15" s="37" t="inlineStr">
        <is>
          <t>Revenue_Breakdown + Content_Pipeline</t>
        </is>
      </c>
      <c r="D15" s="40" t="n"/>
      <c r="E15" s="41" t="n"/>
      <c r="F15" s="38" t="inlineStr">
        <is>
          <t>Готово</t>
        </is>
      </c>
    </row>
    <row r="16" ht="16" customHeight="1">
      <c r="B16" s="36" t="inlineStr">
        <is>
          <t>v1.0 А.4</t>
        </is>
      </c>
      <c r="C16" s="37" t="inlineStr">
        <is>
          <t>P&amp;L_Statements (12Q + 2029–2032)</t>
        </is>
      </c>
      <c r="D16" s="40" t="n"/>
      <c r="E16" s="41" t="n"/>
      <c r="F16" s="39" t="inlineStr">
        <is>
          <t>В очереди</t>
        </is>
      </c>
    </row>
    <row r="17" ht="16" customHeight="1">
      <c r="B17" s="36" t="inlineStr">
        <is>
          <t>v1.0 А.5</t>
        </is>
      </c>
      <c r="C17" s="37" t="inlineStr">
        <is>
          <t>Cash_Flow_Statement + Balance_Sheet</t>
        </is>
      </c>
      <c r="D17" s="40" t="n"/>
      <c r="E17" s="41" t="n"/>
      <c r="F17" s="39" t="inlineStr">
        <is>
          <t>В очереди</t>
        </is>
      </c>
    </row>
    <row r="18" ht="16" customHeight="1">
      <c r="B18" s="36" t="inlineStr">
        <is>
          <t>v1.0 А.6</t>
        </is>
      </c>
      <c r="C18" s="37" t="inlineStr">
        <is>
          <t>Working_Capital + Debt_Schedule</t>
        </is>
      </c>
      <c r="D18" s="40" t="n"/>
      <c r="E18" s="41" t="n"/>
      <c r="F18" s="39" t="inlineStr">
        <is>
          <t>В очереди</t>
        </is>
      </c>
    </row>
    <row r="19" ht="16" customHeight="1">
      <c r="B19" s="36" t="inlineStr">
        <is>
          <t>v1.0 А.7</t>
        </is>
      </c>
      <c r="C19" s="37" t="inlineStr">
        <is>
          <t>Investment_Inflow + Use_of_Funds + CAPEX</t>
        </is>
      </c>
      <c r="D19" s="40" t="n"/>
      <c r="E19" s="41" t="n"/>
      <c r="F19" s="39" t="inlineStr">
        <is>
          <t>В очереди</t>
        </is>
      </c>
    </row>
    <row r="20" ht="16" customHeight="1">
      <c r="B20" s="36" t="inlineStr">
        <is>
          <t>v1.0 А.8</t>
        </is>
      </c>
      <c r="C20" s="37" t="inlineStr">
        <is>
          <t>Deal_Structures + Cap_Table + Waterfall</t>
        </is>
      </c>
      <c r="D20" s="40" t="n"/>
      <c r="E20" s="41" t="n"/>
      <c r="F20" s="39" t="inlineStr">
        <is>
          <t>В очереди</t>
        </is>
      </c>
    </row>
    <row r="21" ht="16" customHeight="1">
      <c r="B21" s="36" t="inlineStr">
        <is>
          <t>v1.0 А.9</t>
        </is>
      </c>
      <c r="C21" s="37" t="inlineStr">
        <is>
          <t>Unit_Economics + KPI_Dashboard</t>
        </is>
      </c>
      <c r="D21" s="40" t="n"/>
      <c r="E21" s="41" t="n"/>
      <c r="F21" s="39" t="inlineStr">
        <is>
          <t>В очереди</t>
        </is>
      </c>
    </row>
    <row r="22" ht="16" customHeight="1">
      <c r="B22" s="36" t="inlineStr">
        <is>
          <t>v1.0 А.10</t>
        </is>
      </c>
      <c r="C22" s="37" t="inlineStr">
        <is>
          <t>Valuation_DCF + Valuation_Multiples</t>
        </is>
      </c>
      <c r="D22" s="40" t="n"/>
      <c r="E22" s="41" t="n"/>
      <c r="F22" s="39" t="inlineStr">
        <is>
          <t>В очереди</t>
        </is>
      </c>
    </row>
    <row r="23" ht="16" customHeight="1">
      <c r="B23" s="36" t="inlineStr">
        <is>
          <t>v1.0 А.11</t>
        </is>
      </c>
      <c r="C23" s="37" t="inlineStr">
        <is>
          <t>Investor_Returns + Exit_Scenarios</t>
        </is>
      </c>
      <c r="D23" s="40" t="n"/>
      <c r="E23" s="41" t="n"/>
      <c r="F23" s="39" t="inlineStr">
        <is>
          <t>В очереди</t>
        </is>
      </c>
    </row>
    <row r="24" ht="16" customHeight="1">
      <c r="B24" s="36" t="inlineStr">
        <is>
          <t>v1.0 А.12</t>
        </is>
      </c>
      <c r="C24" s="37" t="inlineStr">
        <is>
          <t>Sensitivity + Scenario + Monte Carlo</t>
        </is>
      </c>
      <c r="D24" s="40" t="n"/>
      <c r="E24" s="41" t="n"/>
      <c r="F24" s="39" t="inlineStr">
        <is>
          <t>В очереди</t>
        </is>
      </c>
    </row>
    <row r="25" ht="16" customHeight="1">
      <c r="B25" s="36" t="inlineStr">
        <is>
          <t>v1.0 А.13</t>
        </is>
      </c>
      <c r="C25" s="37" t="inlineStr">
        <is>
          <t>Risk_Register</t>
        </is>
      </c>
      <c r="D25" s="40" t="n"/>
      <c r="E25" s="41" t="n"/>
      <c r="F25" s="39" t="inlineStr">
        <is>
          <t>В очереди</t>
        </is>
      </c>
    </row>
    <row r="26" ht="16" customHeight="1">
      <c r="B26" s="36" t="inlineStr">
        <is>
          <t>v1.0 А.14</t>
        </is>
      </c>
      <c r="C26" s="37" t="inlineStr">
        <is>
          <t>Market + Benchmarks + Comparable Tx</t>
        </is>
      </c>
      <c r="D26" s="40" t="n"/>
      <c r="E26" s="41" t="n"/>
      <c r="F26" s="39" t="inlineStr">
        <is>
          <t>В очереди</t>
        </is>
      </c>
    </row>
    <row r="27" ht="16" customHeight="1">
      <c r="B27" s="36" t="inlineStr">
        <is>
          <t>v1.0 А.15</t>
        </is>
      </c>
      <c r="C27" s="37" t="inlineStr">
        <is>
          <t>Gov_KPI + Tax + Roadmap 2026–2032</t>
        </is>
      </c>
      <c r="D27" s="40" t="n"/>
      <c r="E27" s="41" t="n"/>
      <c r="F27" s="39" t="inlineStr">
        <is>
          <t>В очереди</t>
        </is>
      </c>
    </row>
    <row r="28" ht="16" customHeight="1">
      <c r="B28" s="36" t="inlineStr">
        <is>
          <t>v1.0 А.16</t>
        </is>
      </c>
      <c r="C28" s="37" t="inlineStr">
        <is>
          <t>Executive_Summary + Glossary + Notes</t>
        </is>
      </c>
      <c r="D28" s="40" t="n"/>
      <c r="E28" s="41" t="n"/>
      <c r="F28" s="39" t="inlineStr">
        <is>
          <t>В очереди</t>
        </is>
      </c>
    </row>
    <row r="29" ht="16" customHeight="1">
      <c r="B29" s="36" t="inlineStr">
        <is>
          <t>v1.0 А.17</t>
        </is>
      </c>
      <c r="C29" s="37" t="inlineStr">
        <is>
          <t>Public export + Internal с 4 сервисными</t>
        </is>
      </c>
      <c r="D29" s="40" t="n"/>
      <c r="E29" s="41" t="n"/>
      <c r="F29" s="39" t="inlineStr">
        <is>
          <t>В очереди</t>
        </is>
      </c>
    </row>
    <row r="30" ht="16" customHeight="1">
      <c r="B30" s="36" t="inlineStr">
        <is>
          <t>v1.0 А.18</t>
        </is>
      </c>
      <c r="C30" s="37" t="inlineStr">
        <is>
          <t>П5 «Максимум» 32/32 верификация</t>
        </is>
      </c>
      <c r="D30" s="40" t="n"/>
      <c r="E30" s="41" t="n"/>
      <c r="F30" s="39" t="inlineStr">
        <is>
          <t>В очереди</t>
        </is>
      </c>
    </row>
    <row r="31" ht="16" customHeight="1">
      <c r="B31" s="36" t="inlineStr">
        <is>
          <t>v1.0 А.19</t>
        </is>
      </c>
      <c r="C31" s="37" t="inlineStr">
        <is>
          <t>Финализация + computer:// ссылки</t>
        </is>
      </c>
      <c r="D31" s="40" t="n"/>
      <c r="E31" s="41" t="n"/>
      <c r="F31" s="39" t="inlineStr">
        <is>
          <t>В очереди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/ Штат — Модель A₁ (Fixed)</t>
        </is>
      </c>
    </row>
    <row r="3">
      <c r="B3" s="20" t="inlineStr">
        <is>
          <t>50 чел × 6.162 млн ₽/мес. Структура из Холдинг Кино.xlsx без изменений. 3 года = 221.832 млн ₽.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</t>
        </is>
      </c>
      <c r="D6" s="44" t="n">
        <v>5</v>
      </c>
      <c r="E6" s="45" t="n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>
      <c r="B8" s="43" t="n">
        <v>3</v>
      </c>
      <c r="C8" s="23" t="inlineStr">
        <is>
          <t>Производственный цех</t>
        </is>
      </c>
      <c r="D8" s="44" t="n">
        <v>5</v>
      </c>
      <c r="E8" s="45" t="n">
        <v>120000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>
      <c r="B9" s="43" t="n">
        <v>4</v>
      </c>
      <c r="C9" s="23" t="inlineStr">
        <is>
          <t>Аналитики</t>
        </is>
      </c>
      <c r="D9" s="44" t="n">
        <v>7</v>
      </c>
      <c r="E9" s="45" t="n">
        <v>100000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 t="n">
        <v>80000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 t="n">
        <v>15</v>
      </c>
      <c r="E11" s="45" t="n">
        <v>60000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 t="n">
        <v>70000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 t="n">
        <v>10</v>
      </c>
      <c r="E13" s="45" t="n">
        <v>70000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>
      <c r="B14" s="48" t="inlineStr"/>
      <c r="C14" s="49" t="inlineStr">
        <is>
          <t>ИТОГО ФОТ (Fixed)</t>
        </is>
      </c>
      <c r="D14" s="50">
        <f>SUM(D6:D13)</f>
        <v/>
      </c>
      <c r="E14" s="51" t="n"/>
      <c r="F14" s="51">
        <f>SUM(F6:F13)</f>
        <v/>
      </c>
      <c r="G14" s="51">
        <f>SUM(G6:G13)</f>
        <v/>
      </c>
      <c r="H14" s="51">
        <f>SUM(H6:H13)</f>
        <v/>
      </c>
      <c r="I14" s="51">
        <f>SUM(I6:I13)</f>
        <v/>
      </c>
    </row>
    <row r="16" ht="20" customHeight="1">
      <c r="B16" s="14" t="inlineStr">
        <is>
          <t>ФОТ A₁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f>D14</f>
        <v/>
      </c>
      <c r="E18" s="54">
        <f>F14</f>
        <v/>
      </c>
      <c r="F18" s="54">
        <f>H14</f>
        <v/>
      </c>
      <c r="G18" s="55">
        <f>I14/1000000</f>
        <v/>
      </c>
      <c r="H18" s="56">
        <f>G14*12/1000000</f>
        <v/>
      </c>
      <c r="I18" s="57" t="inlineStr">
        <is>
          <t>0.0%</t>
        </is>
      </c>
    </row>
    <row r="19" ht="20" customHeight="1">
      <c r="C19" s="52" t="n">
        <v>2027</v>
      </c>
      <c r="D19" s="53">
        <f>D14</f>
        <v/>
      </c>
      <c r="E19" s="54">
        <f>F14</f>
        <v/>
      </c>
      <c r="F19" s="54">
        <f>H14</f>
        <v/>
      </c>
      <c r="G19" s="55">
        <f>I14/1000000</f>
        <v/>
      </c>
      <c r="H19" s="56">
        <f>G14*12/1000000</f>
        <v/>
      </c>
      <c r="I19" s="57" t="inlineStr">
        <is>
          <t>0.0%</t>
        </is>
      </c>
    </row>
    <row r="20" ht="20" customHeight="1">
      <c r="C20" s="52" t="n">
        <v>2028</v>
      </c>
      <c r="D20" s="53">
        <f>D14</f>
        <v/>
      </c>
      <c r="E20" s="54">
        <f>F14</f>
        <v/>
      </c>
      <c r="F20" s="54">
        <f>H14</f>
        <v/>
      </c>
      <c r="G20" s="55">
        <f>I14/1000000</f>
        <v/>
      </c>
      <c r="H20" s="56">
        <f>G14*12/1000000</f>
        <v/>
      </c>
      <c r="I20" s="57" t="inlineStr">
        <is>
          <t>0.0%</t>
        </is>
      </c>
    </row>
    <row r="21" ht="24" customHeight="1">
      <c r="C21" s="58" t="inlineStr">
        <is>
          <t>Σ 2026–2028</t>
        </is>
      </c>
      <c r="D21" s="50">
        <f>D18</f>
        <v/>
      </c>
      <c r="E21" s="51">
        <f>E18</f>
        <v/>
      </c>
      <c r="F21" s="51">
        <f>F18</f>
        <v/>
      </c>
      <c r="G21" s="59">
        <f>SUM(G18:G20)</f>
        <v/>
      </c>
      <c r="H21" s="59">
        <f>SUM(H18:H20)</f>
        <v/>
      </c>
      <c r="I21" s="58" t="inlineStr">
        <is>
          <t>—</t>
        </is>
      </c>
    </row>
    <row r="23" ht="32" customHeight="1">
      <c r="B23" s="18" t="inlineStr">
        <is>
          <t>⚫ Модель A₁ «Fixed»: штат и оклады зафиксированы на уровне Холдинг Кино.xlsx (50 чел, 4 740 000 ₽/мес gross). Индексация и рост штата отсутствуют. Общий ФОТ 2026–2028 с налогами = 221.832 млн ₽. Соответствует v1.4.4.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/ Штат — Модель A₂ (Full Dynamic)</t>
        </is>
      </c>
    </row>
    <row r="3">
      <c r="B3" s="20" t="inlineStr">
        <is>
          <t>Рост штата 50→60→70 + индексация окладов 7%/год (CPI + премия). Поквартально 2026–2028, годовые 2029–2032.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 t="n">
        <v>50</v>
      </c>
      <c r="D7" s="44" t="n">
        <v>60</v>
      </c>
      <c r="E7" s="44" t="n">
        <v>70</v>
      </c>
      <c r="F7" s="44" t="n">
        <v>75</v>
      </c>
      <c r="G7" s="44" t="n">
        <v>80</v>
      </c>
      <c r="H7" s="44" t="n">
        <v>85</v>
      </c>
      <c r="I7" s="44" t="n">
        <v>90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 t="n">
        <v>1.07</v>
      </c>
      <c r="E8" s="61" t="n">
        <v>1.1449</v>
      </c>
      <c r="F8" s="61" t="n">
        <v>1.225</v>
      </c>
      <c r="G8" s="61" t="n">
        <v>1.3108</v>
      </c>
      <c r="H8" s="61" t="n">
        <v>1.4026</v>
      </c>
      <c r="I8" s="61" t="n">
        <v>1.5007</v>
      </c>
    </row>
    <row r="9" ht="18" customHeight="1">
      <c r="B9" s="23" t="inlineStr">
        <is>
          <t>Ср. оклад gross (₽/мес, база 2026)</t>
        </is>
      </c>
      <c r="C9" s="46">
        <f>94800*C8</f>
        <v/>
      </c>
      <c r="D9" s="46">
        <f>94800*D8</f>
        <v/>
      </c>
      <c r="E9" s="46">
        <f>94800*E8</f>
        <v/>
      </c>
      <c r="F9" s="46">
        <f>94800*F8</f>
        <v/>
      </c>
      <c r="G9" s="46">
        <f>94800*G8</f>
        <v/>
      </c>
      <c r="H9" s="46">
        <f>94800*H8</f>
        <v/>
      </c>
      <c r="I9" s="46">
        <f>94800*I8</f>
        <v/>
      </c>
    </row>
    <row r="10" ht="18" customHeight="1">
      <c r="B10" s="23" t="inlineStr">
        <is>
          <t>ФОТ gross / мес</t>
        </is>
      </c>
      <c r="C10" s="46">
        <f>C7*C9</f>
        <v/>
      </c>
      <c r="D10" s="46">
        <f>D7*D9</f>
        <v/>
      </c>
      <c r="E10" s="46">
        <f>E7*E9</f>
        <v/>
      </c>
      <c r="F10" s="46">
        <f>F7*F9</f>
        <v/>
      </c>
      <c r="G10" s="46">
        <f>G7*G9</f>
        <v/>
      </c>
      <c r="H10" s="46">
        <f>H7*H9</f>
        <v/>
      </c>
      <c r="I10" s="46">
        <f>I7*I9</f>
        <v/>
      </c>
    </row>
    <row r="11" ht="20" customHeight="1">
      <c r="B11" s="60" t="inlineStr">
        <is>
          <t>ФОТ с налогами / мес (×1.30)</t>
        </is>
      </c>
      <c r="C11" s="47">
        <f>C10*1.3</f>
        <v/>
      </c>
      <c r="D11" s="47">
        <f>D10*1.3</f>
        <v/>
      </c>
      <c r="E11" s="47">
        <f>E10*1.3</f>
        <v/>
      </c>
      <c r="F11" s="47">
        <f>F10*1.3</f>
        <v/>
      </c>
      <c r="G11" s="47">
        <f>G10*1.3</f>
        <v/>
      </c>
      <c r="H11" s="47">
        <f>H10*1.3</f>
        <v/>
      </c>
      <c r="I11" s="47">
        <f>I10*1.3</f>
        <v/>
      </c>
    </row>
    <row r="12" ht="24" customHeight="1">
      <c r="B12" s="49" t="inlineStr">
        <is>
          <t>ФОТ годовой (млн ₽)</t>
        </is>
      </c>
      <c r="C12" s="59">
        <f>C11*12/1000000</f>
        <v/>
      </c>
      <c r="D12" s="59">
        <f>D11*12/1000000</f>
        <v/>
      </c>
      <c r="E12" s="59">
        <f>E11*12/1000000</f>
        <v/>
      </c>
      <c r="F12" s="59">
        <f>F11*12/1000000</f>
        <v/>
      </c>
      <c r="G12" s="59">
        <f>G11*12/1000000</f>
        <v/>
      </c>
      <c r="H12" s="59">
        <f>H11*12/1000000</f>
        <v/>
      </c>
      <c r="I12" s="59">
        <f>I11*12/1000000</f>
        <v/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/>
      </c>
      <c r="D16" s="63">
        <f>C12/4</f>
        <v/>
      </c>
      <c r="E16" s="63">
        <f>C12/4</f>
        <v/>
      </c>
      <c r="F16" s="63">
        <f>C12/4</f>
        <v/>
      </c>
      <c r="G16" s="64">
        <f>C12</f>
        <v/>
      </c>
    </row>
    <row r="17" ht="20" customHeight="1">
      <c r="B17" s="62" t="inlineStr">
        <is>
          <t>2027</t>
        </is>
      </c>
      <c r="C17" s="63">
        <f>D12/4</f>
        <v/>
      </c>
      <c r="D17" s="63">
        <f>D12/4</f>
        <v/>
      </c>
      <c r="E17" s="63">
        <f>D12/4</f>
        <v/>
      </c>
      <c r="F17" s="63">
        <f>D12/4</f>
        <v/>
      </c>
      <c r="G17" s="64">
        <f>D12</f>
        <v/>
      </c>
    </row>
    <row r="18" ht="20" customHeight="1">
      <c r="B18" s="62" t="inlineStr">
        <is>
          <t>2028</t>
        </is>
      </c>
      <c r="C18" s="63">
        <f>E12/4</f>
        <v/>
      </c>
      <c r="D18" s="63">
        <f>E12/4</f>
        <v/>
      </c>
      <c r="E18" s="63">
        <f>E12/4</f>
        <v/>
      </c>
      <c r="F18" s="63">
        <f>E12/4</f>
        <v/>
      </c>
      <c r="G18" s="64">
        <f>E12</f>
        <v/>
      </c>
    </row>
    <row r="19" ht="24" customHeight="1">
      <c r="B19" s="58" t="inlineStr">
        <is>
          <t>Σ 2026–2028</t>
        </is>
      </c>
      <c r="C19" s="65">
        <f>SUM(C16:C18)</f>
        <v/>
      </c>
      <c r="D19" s="65">
        <f>SUM(D16:D18)</f>
        <v/>
      </c>
      <c r="E19" s="65">
        <f>SUM(E16:E18)</f>
        <v/>
      </c>
      <c r="F19" s="65">
        <f>SUM(F16:F18)</f>
        <v/>
      </c>
      <c r="G19" s="59">
        <f>SUM(G16:G18)</f>
        <v/>
      </c>
    </row>
    <row r="21" ht="20" customHeight="1">
      <c r="B21" s="14" t="inlineStr">
        <is>
          <t>СРАВНЕНИЕ A₁ Fixed vs A₂ Dynamic (млн ₽)</t>
        </is>
      </c>
    </row>
    <row r="22" ht="22" customHeight="1">
      <c r="B22" s="42" t="inlineStr">
        <is>
          <t>Период</t>
        </is>
      </c>
      <c r="C22" s="42" t="inlineStr">
        <is>
          <t>A₁ Fixed</t>
        </is>
      </c>
      <c r="D22" s="42" t="inlineStr">
        <is>
          <t>A₂ Dynamic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/>
      </c>
      <c r="E23" s="67">
        <f>D23-C23</f>
        <v/>
      </c>
      <c r="F23" s="68">
        <f>(D23-C23)/C23</f>
        <v/>
      </c>
    </row>
    <row r="24" ht="20" customHeight="1">
      <c r="B24" s="32" t="n">
        <v>2027</v>
      </c>
      <c r="C24" s="66" t="n">
        <v>73.944</v>
      </c>
      <c r="D24" s="63">
        <f>D12</f>
        <v/>
      </c>
      <c r="E24" s="67">
        <f>D24-C24</f>
        <v/>
      </c>
      <c r="F24" s="68">
        <f>(D24-C24)/C24</f>
        <v/>
      </c>
    </row>
    <row r="25" ht="20" customHeight="1">
      <c r="B25" s="32" t="n">
        <v>2028</v>
      </c>
      <c r="C25" s="66" t="n">
        <v>73.944</v>
      </c>
      <c r="D25" s="63">
        <f>E12</f>
        <v/>
      </c>
      <c r="E25" s="67">
        <f>D25-C25</f>
        <v/>
      </c>
      <c r="F25" s="68">
        <f>(D25-C25)/C25</f>
        <v/>
      </c>
    </row>
    <row r="26" ht="24" customHeight="1">
      <c r="B26" s="58" t="inlineStr">
        <is>
          <t>Σ 3 года</t>
        </is>
      </c>
      <c r="C26" s="59">
        <f>SUM(C23:C25)</f>
        <v/>
      </c>
      <c r="D26" s="59">
        <f>SUM(D23:D25)</f>
        <v/>
      </c>
      <c r="E26" s="69">
        <f>D26-C26</f>
        <v/>
      </c>
      <c r="F26" s="70">
        <f>(D26-C26)/C26</f>
        <v/>
      </c>
    </row>
    <row r="28" ht="50" customHeight="1">
      <c r="B28" s="18" t="inlineStr">
        <is>
          <t>⚫ Модель A₂ «Full Dynamic»: штат растёт 50→60→70 (pre-IPO команда), оклады индексируются 7%/год (CPI 6.5% + премия). Для 2026–2028 разница с A₁ отражает реалистичный рост OPEX и используется в pessimistic scenarios. Для верификации якоря EBITDA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(Cost Structure)</t>
        </is>
      </c>
    </row>
    <row r="3">
      <c r="B3" s="20" t="inlineStr">
        <is>
          <t>Сводка операционных расходов холдинга. Годовые показатели 2026–2032 на основе A₁ Fixed и Assumptions.</t>
        </is>
      </c>
    </row>
    <row r="5" ht="20" customHeight="1">
      <c r="B5" s="14" t="inlineStr">
        <is>
          <t>OPEX ПО ГОДАМ (Base, модель A₁ Fixed),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(A₁ Fixed)</t>
        </is>
      </c>
      <c r="C7" s="71" t="n">
        <v>73.944</v>
      </c>
      <c r="D7" s="71" t="n">
        <v>73.944</v>
      </c>
      <c r="E7" s="71" t="n">
        <v>73.944</v>
      </c>
      <c r="F7" s="71" t="n">
        <v>73.944</v>
      </c>
      <c r="G7" s="71" t="n">
        <v>73.944</v>
      </c>
      <c r="H7" s="72">
        <f>SUM(C7:E7)</f>
        <v/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>
      <c r="B18" s="73" t="inlineStr">
        <is>
          <t>ИТОГО OPEX (без COGS)</t>
        </is>
      </c>
      <c r="C18" s="74">
        <f>SUM(C7:C17)</f>
        <v/>
      </c>
      <c r="D18" s="74">
        <f>SUM(D7:D17)</f>
        <v/>
      </c>
      <c r="E18" s="74">
        <f>SUM(E7:E17)</f>
        <v/>
      </c>
      <c r="F18" s="74">
        <f>SUM(F7:F17)</f>
        <v/>
      </c>
      <c r="G18" s="74">
        <f>SUM(G7:G17)</f>
        <v/>
      </c>
      <c r="H18" s="74">
        <f>SUM(H7:H17)</f>
        <v/>
      </c>
    </row>
    <row r="20" ht="20" customHeight="1">
      <c r="B20" s="14" t="inlineStr">
        <is>
          <t>СТРУКТУРА OPEX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 t="n"/>
      <c r="G21" s="75" t="n"/>
      <c r="H21" s="76" t="n"/>
    </row>
    <row r="22" ht="20" customHeight="1">
      <c r="B22" s="23" t="inlineStr">
        <is>
          <t>ФОТ с налогами</t>
        </is>
      </c>
      <c r="C22" s="77">
        <f>C6</f>
        <v/>
      </c>
      <c r="D22" s="78">
        <f>C22/=C18</f>
        <v/>
      </c>
      <c r="E22" s="79" t="inlineStr">
        <is>
          <t>ключевая статья (~84%)</t>
        </is>
      </c>
      <c r="F22" s="40" t="n"/>
      <c r="G22" s="40" t="n"/>
      <c r="H22" s="41" t="n"/>
    </row>
    <row r="23" ht="20" customHeight="1">
      <c r="B23" s="23" t="inlineStr">
        <is>
          <t>Офисные расходы (аренда + коммуналки)</t>
        </is>
      </c>
      <c r="C23" s="77">
        <f>C7+C8</f>
        <v/>
      </c>
      <c r="D23" s="78">
        <f>C23/=C18</f>
        <v/>
      </c>
      <c r="E23" s="79" t="inlineStr">
        <is>
          <t>фиксированная аренда 750 м²</t>
        </is>
      </c>
      <c r="F23" s="40" t="n"/>
      <c r="G23" s="40" t="n"/>
      <c r="H23" s="41" t="n"/>
    </row>
    <row r="24" ht="20" customHeight="1">
      <c r="B24" s="23" t="inlineStr">
        <is>
          <t>Операционные нужды (связь, ПО, канцтовары)</t>
        </is>
      </c>
      <c r="C24" s="77">
        <f>C9+C10+C13</f>
        <v/>
      </c>
      <c r="D24" s="78">
        <f>C24/=C18</f>
        <v/>
      </c>
      <c r="E24" s="79" t="inlineStr">
        <is>
          <t>рабочая инфраструктура</t>
        </is>
      </c>
      <c r="F24" s="40" t="n"/>
      <c r="G24" s="40" t="n"/>
      <c r="H24" s="41" t="n"/>
    </row>
    <row r="25" ht="20" customHeight="1">
      <c r="B25" s="23" t="inlineStr">
        <is>
          <t>Командировки и представительские</t>
        </is>
      </c>
      <c r="C25" s="77">
        <f>C11+C12</f>
        <v/>
      </c>
      <c r="D25" s="78">
        <f>C25/=C18</f>
        <v/>
      </c>
      <c r="E25" s="79" t="inlineStr">
        <is>
          <t>продюсерская деятельность</t>
        </is>
      </c>
      <c r="F25" s="40" t="n"/>
      <c r="G25" s="40" t="n"/>
      <c r="H25" s="41" t="n"/>
    </row>
    <row r="26" ht="20" customHeight="1">
      <c r="B26" s="23" t="inlineStr">
        <is>
          <t>Консультанты (юр/аудит)</t>
        </is>
      </c>
      <c r="C26" s="77">
        <f>C14</f>
        <v/>
      </c>
      <c r="D26" s="78">
        <f>C26/=C18</f>
        <v/>
      </c>
      <c r="E26" s="79" t="inlineStr">
        <is>
          <t>внешние услуги</t>
        </is>
      </c>
      <c r="F26" s="40" t="n"/>
      <c r="G26" s="40" t="n"/>
      <c r="H26" s="41" t="n"/>
    </row>
    <row r="27" ht="20" customHeight="1">
      <c r="B27" s="23" t="inlineStr">
        <is>
          <t>Банковские комиссии + маркетинг</t>
        </is>
      </c>
      <c r="C27" s="77">
        <f>C15+C16</f>
        <v/>
      </c>
      <c r="D27" s="78">
        <f>C27/=C18</f>
        <v/>
      </c>
      <c r="E27" s="79" t="inlineStr">
        <is>
          <t>финансовые и PR</t>
        </is>
      </c>
      <c r="F27" s="40" t="n"/>
      <c r="G27" s="40" t="n"/>
      <c r="H27" s="41" t="n"/>
    </row>
    <row r="28" ht="22" customHeight="1">
      <c r="B28" s="80" t="inlineStr">
        <is>
          <t>ПРОВЕРКА: Σ категорий = OPEX total</t>
        </is>
      </c>
      <c r="C28" s="81">
        <f>SUM(C22:C27)</f>
        <v/>
      </c>
      <c r="D28" s="82">
        <f>SUM(D22:D27)</f>
        <v/>
      </c>
      <c r="E28" s="83" t="inlineStr">
        <is>
          <t>✓ Должно совпадать с ИТОГО OPEX 2026 и равняться 100%</t>
        </is>
      </c>
      <c r="F28" s="40" t="n"/>
      <c r="G28" s="40" t="n"/>
      <c r="H28" s="41" t="n"/>
    </row>
    <row r="30" ht="20" customHeight="1">
      <c r="B30" s="14" t="inlineStr">
        <is>
          <t>COGS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 t="n"/>
      <c r="G31" s="75" t="n"/>
      <c r="H31" s="76" t="n"/>
    </row>
    <row r="32" ht="20" customHeight="1">
      <c r="B32" s="23" t="inlineStr">
        <is>
          <t>Total content budget</t>
        </is>
      </c>
      <c r="C32" s="84" t="n">
        <v>1850</v>
      </c>
      <c r="D32" s="22" t="inlineStr">
        <is>
          <t>млн ₽</t>
        </is>
      </c>
      <c r="E32" s="79" t="inlineStr">
        <is>
          <t>12 фильмов × 154.2</t>
        </is>
      </c>
      <c r="F32" s="40" t="n"/>
      <c r="G32" s="40" t="n"/>
      <c r="H32" s="41" t="n"/>
    </row>
    <row r="33" ht="20" customHeight="1">
      <c r="B33" s="23" t="inlineStr">
        <is>
          <t>Средний бюджет 1 фильма</t>
        </is>
      </c>
      <c r="C33" s="84" t="n">
        <v>154.2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 t="n"/>
      <c r="G33" s="40" t="n"/>
      <c r="H33" s="41" t="n"/>
    </row>
    <row r="34" ht="20" customHeight="1">
      <c r="B34" s="23" t="inlineStr">
        <is>
          <t>Producer equity (в бюджете)</t>
        </is>
      </c>
      <c r="C34" s="84" t="n">
        <v>600</v>
      </c>
      <c r="D34" s="22" t="inlineStr">
        <is>
          <t>млн ₽</t>
        </is>
      </c>
      <c r="E34" s="79" t="inlineStr">
        <is>
          <t>600 / 1850 = 32.4%</t>
        </is>
      </c>
      <c r="F34" s="40" t="n"/>
      <c r="G34" s="40" t="n"/>
      <c r="H34" s="41" t="n"/>
    </row>
    <row r="35" ht="20" customHeight="1">
      <c r="B35" s="23" t="inlineStr">
        <is>
          <t>Investor funding (в бюджете)</t>
        </is>
      </c>
      <c r="C35" s="84" t="n">
        <v>1250</v>
      </c>
      <c r="D35" s="22" t="inlineStr">
        <is>
          <t>млн ₽</t>
        </is>
      </c>
      <c r="E35" s="79" t="inlineStr">
        <is>
          <t>1250 / 1850 = 67.6%</t>
        </is>
      </c>
      <c r="F35" s="40" t="n"/>
      <c r="G35" s="40" t="n"/>
      <c r="H35" s="41" t="n"/>
    </row>
    <row r="36" ht="20" customHeight="1">
      <c r="B36" s="23" t="inlineStr">
        <is>
          <t>Amortization (мес после релиза)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 t="n"/>
      <c r="G36" s="40" t="n"/>
      <c r="H36" s="41" t="n"/>
    </row>
    <row r="37" ht="20" customHeight="1">
      <c r="B37" s="23" t="inlineStr">
        <is>
          <t>P&amp;A (Print &amp; Advertising)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 t="n"/>
      <c r="G37" s="40" t="n"/>
      <c r="H37" s="41" t="n"/>
    </row>
    <row r="39" ht="45" customHeight="1">
      <c r="B39" s="18" t="inlineStr">
        <is>
          <t>ССЫЛКА НА ИСТОЧНИК: Структура OPEX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Breakdown)</t>
        </is>
      </c>
    </row>
    <row r="3">
      <c r="B3" s="20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</t>
        </is>
      </c>
    </row>
    <row r="7" ht="20" customHeight="1">
      <c r="B7" s="23" t="inlineStr">
        <is>
          <t>Box Office (кинопрокат)</t>
        </is>
      </c>
      <c r="C7" s="85" t="n">
        <v>0.48</v>
      </c>
      <c r="D7" s="86" t="n">
        <v>144</v>
      </c>
      <c r="E7" s="86" t="n">
        <v>840</v>
      </c>
      <c r="F7" s="86" t="n">
        <v>1197.6</v>
      </c>
      <c r="G7" s="87">
        <f>SUM(D7:F7)</f>
        <v/>
      </c>
      <c r="H7" s="88">
        <f>(F7/D7)^(1/2)-1</f>
        <v/>
      </c>
    </row>
    <row r="8" ht="20" customHeight="1">
      <c r="B8" s="23" t="inlineStr">
        <is>
          <t>Online SVOD (стриминги)</t>
        </is>
      </c>
      <c r="C8" s="85" t="n">
        <v>0.2</v>
      </c>
      <c r="D8" s="86" t="n">
        <v>60</v>
      </c>
      <c r="E8" s="86" t="n">
        <v>350</v>
      </c>
      <c r="F8" s="86" t="n">
        <v>499</v>
      </c>
      <c r="G8" s="87">
        <f>SUM(D8:F8)</f>
        <v/>
      </c>
      <c r="H8" s="88">
        <f>(F8/D8)^(1/2)-1</f>
        <v/>
      </c>
    </row>
    <row r="9" ht="20" customHeight="1">
      <c r="B9" s="23" t="inlineStr">
        <is>
          <t>TV rights</t>
        </is>
      </c>
      <c r="C9" s="85" t="n">
        <v>0.08</v>
      </c>
      <c r="D9" s="86" t="n">
        <v>24</v>
      </c>
      <c r="E9" s="86" t="n">
        <v>140</v>
      </c>
      <c r="F9" s="86" t="n">
        <v>199.6</v>
      </c>
      <c r="G9" s="87">
        <f>SUM(D9:F9)</f>
        <v/>
      </c>
      <c r="H9" s="88">
        <f>(F9/D9)^(1/2)-1</f>
        <v/>
      </c>
    </row>
    <row r="10" ht="20" customHeight="1">
      <c r="B10" s="23" t="inlineStr">
        <is>
          <t>International sales</t>
        </is>
      </c>
      <c r="C10" s="85" t="n">
        <v>0.1</v>
      </c>
      <c r="D10" s="86" t="n">
        <v>30</v>
      </c>
      <c r="E10" s="86" t="n">
        <v>175</v>
      </c>
      <c r="F10" s="86" t="n">
        <v>249.5</v>
      </c>
      <c r="G10" s="87">
        <f>SUM(D10:F10)</f>
        <v/>
      </c>
      <c r="H10" s="88">
        <f>(F10/D10)^(1/2)-1</f>
        <v/>
      </c>
    </row>
    <row r="11" ht="20" customHeight="1">
      <c r="B11" s="23" t="inlineStr">
        <is>
          <t>VOD (transactional)</t>
        </is>
      </c>
      <c r="C11" s="85" t="n">
        <v>0.04</v>
      </c>
      <c r="D11" s="86" t="n">
        <v>12</v>
      </c>
      <c r="E11" s="86" t="n">
        <v>70</v>
      </c>
      <c r="F11" s="86" t="n">
        <v>99.8</v>
      </c>
      <c r="G11" s="87">
        <f>SUM(D11:F11)</f>
        <v/>
      </c>
      <c r="H11" s="88">
        <f>(F11/D11)^(1/2)-1</f>
        <v/>
      </c>
    </row>
    <row r="12" ht="20" customHeight="1">
      <c r="B12" s="23" t="inlineStr">
        <is>
          <t>Sponsorship / product placement</t>
        </is>
      </c>
      <c r="C12" s="85" t="n">
        <v>0.05</v>
      </c>
      <c r="D12" s="86" t="n">
        <v>15</v>
      </c>
      <c r="E12" s="86" t="n">
        <v>87.5</v>
      </c>
      <c r="F12" s="86" t="n">
        <v>124.75</v>
      </c>
      <c r="G12" s="87">
        <f>SUM(D12:F12)</f>
        <v/>
      </c>
      <c r="H12" s="88">
        <f>(F12/D12)^(1/2)-1</f>
        <v/>
      </c>
    </row>
    <row r="13" ht="20" customHeight="1">
      <c r="B13" s="23" t="inlineStr">
        <is>
          <t>Merchandise</t>
        </is>
      </c>
      <c r="C13" s="85" t="n">
        <v>0.02</v>
      </c>
      <c r="D13" s="86" t="n">
        <v>6</v>
      </c>
      <c r="E13" s="86" t="n">
        <v>35</v>
      </c>
      <c r="F13" s="86" t="n">
        <v>49.9</v>
      </c>
      <c r="G13" s="87">
        <f>SUM(D13:F13)</f>
        <v/>
      </c>
      <c r="H13" s="88">
        <f>(F13/D13)^(1/2)-1</f>
        <v/>
      </c>
    </row>
    <row r="14" ht="20" customHeight="1">
      <c r="B14" s="23" t="inlineStr">
        <is>
          <t>Господдержка (безвозвратная)</t>
        </is>
      </c>
      <c r="C14" s="85" t="n">
        <v>0.03</v>
      </c>
      <c r="D14" s="86" t="n">
        <v>9</v>
      </c>
      <c r="E14" s="86" t="n">
        <v>52.5</v>
      </c>
      <c r="F14" s="86" t="n">
        <v>74.84999999999999</v>
      </c>
      <c r="G14" s="87">
        <f>SUM(D14:F14)</f>
        <v/>
      </c>
      <c r="H14" s="88">
        <f>(F14/D14)^(1/2)-1</f>
        <v/>
      </c>
    </row>
    <row r="15" ht="28" customHeight="1">
      <c r="B15" s="73" t="inlineStr">
        <is>
          <t>ИТОГО ВЫРУЧКА</t>
        </is>
      </c>
      <c r="C15" s="89">
        <f>SUM(C7:C14)</f>
        <v/>
      </c>
      <c r="D15" s="90">
        <f>SUM(D7:D14)</f>
        <v/>
      </c>
      <c r="E15" s="90">
        <f>SUM(E7:E14)</f>
        <v/>
      </c>
      <c r="F15" s="90">
        <f>SUM(F7:F14)</f>
        <v/>
      </c>
      <c r="G15" s="91">
        <f>SUM(G7:G14)</f>
        <v/>
      </c>
      <c r="H15" s="92">
        <f>(F15/D15)^(1/2)-1</f>
        <v/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2026–2028 (якорь)</t>
        </is>
      </c>
      <c r="C18" s="40" t="n"/>
      <c r="D18" s="41" t="n"/>
      <c r="E18" s="95" t="n">
        <v>4545</v>
      </c>
      <c r="F18" s="41" t="n"/>
      <c r="G18" s="79" t="inlineStr">
        <is>
          <t>12 фильмов × 378.75 млн ср.</t>
        </is>
      </c>
      <c r="H18" s="41" t="n"/>
    </row>
    <row r="19" ht="22" customHeight="1">
      <c r="B19" s="94" t="inlineStr">
        <is>
          <t>Actual Σ Revenue (формула)</t>
        </is>
      </c>
      <c r="C19" s="40" t="n"/>
      <c r="D19" s="41" t="n"/>
      <c r="E19" s="96">
        <f>G15</f>
        <v/>
      </c>
      <c r="F19" s="41" t="n"/>
      <c r="G19" s="79" t="inlineStr">
        <is>
          <t>Sum-check</t>
        </is>
      </c>
      <c r="H19" s="41" t="n"/>
    </row>
    <row r="20" ht="22" customHeight="1">
      <c r="B20" s="97" t="inlineStr">
        <is>
          <t>Δ = Actual − Target</t>
        </is>
      </c>
      <c r="C20" s="40" t="n"/>
      <c r="D20" s="41" t="n"/>
      <c r="E20" s="98">
        <f>G15-4545</f>
        <v/>
      </c>
      <c r="F20" s="41" t="n"/>
      <c r="G20" s="83" t="inlineStr">
        <is>
          <t>✓ должен быть 0.00 (±0.01 tolerance)</t>
        </is>
      </c>
      <c r="H20" s="41" t="n"/>
    </row>
    <row r="22" ht="20" customHeight="1">
      <c r="B22" s="14" t="inlineStr">
        <is>
          <t>СЦЕНАРНЫЙ РАЗБРОС (Bear / Base / Bull),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</t>
        </is>
      </c>
      <c r="E23" s="42" t="inlineStr">
        <is>
          <t>EBITDA</t>
        </is>
      </c>
      <c r="F23" s="42" t="inlineStr">
        <is>
          <t>Net Profit</t>
        </is>
      </c>
      <c r="G23" s="42" t="inlineStr">
        <is>
          <t>IRR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Распределение выручки между источниками соответствует рыночному разрезу российского кинорынка 2024–2025. Box Office ~48% отражает доминирование широкого проката при ограниченном западном контенте. Online SVOD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12 фильмов (Content Pipeline)</t>
        </is>
      </c>
    </row>
    <row r="3">
      <c r="B3" s="20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>
      <c r="B5" s="14" t="inlineStr">
        <is>
          <t>ПОРТФЕЛЬ 12 ФИЛЬМОВ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(15%)</t>
        </is>
      </c>
      <c r="H6" s="42" t="inlineStr">
        <is>
          <t>Σ затраты</t>
        </is>
      </c>
      <c r="I6" s="42" t="inlineStr">
        <is>
          <t>Revenue</t>
        </is>
      </c>
      <c r="J6" s="42" t="inlineStr">
        <is>
          <t>ROI, %</t>
        </is>
      </c>
      <c r="K6" s="42" t="inlineStr">
        <is>
          <t>Margin</t>
        </is>
      </c>
      <c r="L6" s="42" t="inlineStr">
        <is>
          <t>Payback</t>
        </is>
      </c>
      <c r="M6" s="42" t="inlineStr">
        <is>
          <t>Tier</t>
        </is>
      </c>
    </row>
    <row r="7" ht="22" customHeight="1">
      <c r="B7" s="111" t="n">
        <v>1</v>
      </c>
      <c r="C7" s="60" t="inlineStr">
        <is>
          <t>Родные стены</t>
        </is>
      </c>
      <c r="D7" s="79" t="inlineStr">
        <is>
          <t>Семейная драма</t>
        </is>
      </c>
      <c r="E7" s="112" t="inlineStr">
        <is>
          <t>Q4 2026</t>
        </is>
      </c>
      <c r="F7" s="27" t="n">
        <v>150</v>
      </c>
      <c r="G7" s="113">
        <f>F7*0.15</f>
        <v/>
      </c>
      <c r="H7" s="114">
        <f>F7+G7</f>
        <v/>
      </c>
      <c r="I7" s="115" t="n">
        <v>310</v>
      </c>
      <c r="J7" s="116">
        <f>(I7-H7)/H7</f>
        <v/>
      </c>
      <c r="K7" s="117">
        <f>(I7-H7)/I7</f>
        <v/>
      </c>
      <c r="L7" s="118" t="n">
        <v>15</v>
      </c>
      <c r="M7" s="119" t="inlineStr">
        <is>
          <t>A</t>
        </is>
      </c>
    </row>
    <row r="8" ht="22" customHeight="1">
      <c r="B8" s="111" t="n">
        <v>2</v>
      </c>
      <c r="C8" s="60" t="inlineStr">
        <is>
          <t>Два сердца</t>
        </is>
      </c>
      <c r="D8" s="79" t="inlineStr">
        <is>
          <t>Мелодрама</t>
        </is>
      </c>
      <c r="E8" s="112" t="inlineStr">
        <is>
          <t>Q1 2027</t>
        </is>
      </c>
      <c r="F8" s="27" t="n">
        <v>100</v>
      </c>
      <c r="G8" s="113">
        <f>F8*0.15</f>
        <v/>
      </c>
      <c r="H8" s="114">
        <f>F8+G8</f>
        <v/>
      </c>
      <c r="I8" s="115" t="n">
        <v>250</v>
      </c>
      <c r="J8" s="116">
        <f>(I8-H8)/H8</f>
        <v/>
      </c>
      <c r="K8" s="117">
        <f>(I8-H8)/I8</f>
        <v/>
      </c>
      <c r="L8" s="118" t="n">
        <v>18</v>
      </c>
      <c r="M8" s="120" t="inlineStr">
        <is>
          <t>B</t>
        </is>
      </c>
    </row>
    <row r="9" ht="22" customHeight="1">
      <c r="B9" s="111" t="n">
        <v>3</v>
      </c>
      <c r="C9" s="60" t="inlineStr">
        <is>
          <t>Ночной патруль</t>
        </is>
      </c>
      <c r="D9" s="79" t="inlineStr">
        <is>
          <t>Боевик</t>
        </is>
      </c>
      <c r="E9" s="112" t="inlineStr">
        <is>
          <t>Q2 2027</t>
        </is>
      </c>
      <c r="F9" s="27" t="n">
        <v>220</v>
      </c>
      <c r="G9" s="113">
        <f>F9*0.15</f>
        <v/>
      </c>
      <c r="H9" s="114">
        <f>F9+G9</f>
        <v/>
      </c>
      <c r="I9" s="115" t="n">
        <v>500</v>
      </c>
      <c r="J9" s="116">
        <f>(I9-H9)/H9</f>
        <v/>
      </c>
      <c r="K9" s="117">
        <f>(I9-H9)/I9</f>
        <v/>
      </c>
      <c r="L9" s="118" t="n">
        <v>12</v>
      </c>
      <c r="M9" s="35" t="inlineStr">
        <is>
          <t>A+</t>
        </is>
      </c>
    </row>
    <row r="10" ht="22" customHeight="1">
      <c r="B10" s="111" t="n">
        <v>4</v>
      </c>
      <c r="C10" s="60" t="inlineStr">
        <is>
          <t>Последний экзамен</t>
        </is>
      </c>
      <c r="D10" s="79" t="inlineStr">
        <is>
          <t>Молодёжная драма</t>
        </is>
      </c>
      <c r="E10" s="112" t="inlineStr">
        <is>
          <t>Q2 2027</t>
        </is>
      </c>
      <c r="F10" s="27" t="n">
        <v>90</v>
      </c>
      <c r="G10" s="113">
        <f>F10*0.15</f>
        <v/>
      </c>
      <c r="H10" s="114">
        <f>F10+G10</f>
        <v/>
      </c>
      <c r="I10" s="115" t="n">
        <v>200</v>
      </c>
      <c r="J10" s="116">
        <f>(I10-H10)/H10</f>
        <v/>
      </c>
      <c r="K10" s="117">
        <f>(I10-H10)/I10</f>
        <v/>
      </c>
      <c r="L10" s="118" t="n">
        <v>18</v>
      </c>
      <c r="M10" s="120" t="inlineStr">
        <is>
          <t>B</t>
        </is>
      </c>
    </row>
    <row r="11" ht="22" customHeight="1">
      <c r="B11" s="111" t="n">
        <v>5</v>
      </c>
      <c r="C11" s="60" t="inlineStr">
        <is>
          <t>Время героев</t>
        </is>
      </c>
      <c r="D11" s="79" t="inlineStr">
        <is>
          <t>Исторический эпос</t>
        </is>
      </c>
      <c r="E11" s="112" t="inlineStr">
        <is>
          <t>Q3 2027</t>
        </is>
      </c>
      <c r="F11" s="27" t="n">
        <v>250</v>
      </c>
      <c r="G11" s="113">
        <f>F11*0.15</f>
        <v/>
      </c>
      <c r="H11" s="114">
        <f>F11+G11</f>
        <v/>
      </c>
      <c r="I11" s="115" t="n">
        <v>620</v>
      </c>
      <c r="J11" s="116">
        <f>(I11-H11)/H11</f>
        <v/>
      </c>
      <c r="K11" s="117">
        <f>(I11-H11)/I11</f>
        <v/>
      </c>
      <c r="L11" s="118" t="n">
        <v>14</v>
      </c>
      <c r="M11" s="35" t="inlineStr">
        <is>
          <t>A+</t>
        </is>
      </c>
    </row>
    <row r="12" ht="22" customHeight="1">
      <c r="B12" s="111" t="n">
        <v>6</v>
      </c>
      <c r="C12" s="60" t="inlineStr">
        <is>
          <t>Красная заря</t>
        </is>
      </c>
      <c r="D12" s="79" t="inlineStr">
        <is>
          <t>Шпионский триллер</t>
        </is>
      </c>
      <c r="E12" s="112" t="inlineStr">
        <is>
          <t>Q4 2027</t>
        </is>
      </c>
      <c r="F12" s="27" t="n">
        <v>180</v>
      </c>
      <c r="G12" s="113">
        <f>F12*0.15</f>
        <v/>
      </c>
      <c r="H12" s="114">
        <f>F12+G12</f>
        <v/>
      </c>
      <c r="I12" s="115" t="n">
        <v>420</v>
      </c>
      <c r="J12" s="116">
        <f>(I12-H12)/H12</f>
        <v/>
      </c>
      <c r="K12" s="117">
        <f>(I12-H12)/I12</f>
        <v/>
      </c>
      <c r="L12" s="118" t="n">
        <v>16</v>
      </c>
      <c r="M12" s="119" t="inlineStr">
        <is>
          <t>A</t>
        </is>
      </c>
    </row>
    <row r="13" ht="22" customHeight="1">
      <c r="B13" s="111" t="n">
        <v>7</v>
      </c>
      <c r="C13" s="60" t="inlineStr">
        <is>
          <t>Сказка наяву</t>
        </is>
      </c>
      <c r="D13" s="79" t="inlineStr">
        <is>
          <t>Семейный фэнтези</t>
        </is>
      </c>
      <c r="E13" s="112" t="inlineStr">
        <is>
          <t>Q1 2028</t>
        </is>
      </c>
      <c r="F13" s="27" t="n">
        <v>170</v>
      </c>
      <c r="G13" s="113">
        <f>F13*0.15</f>
        <v/>
      </c>
      <c r="H13" s="114">
        <f>F13+G13</f>
        <v/>
      </c>
      <c r="I13" s="115" t="n">
        <v>460</v>
      </c>
      <c r="J13" s="116">
        <f>(I13-H13)/H13</f>
        <v/>
      </c>
      <c r="K13" s="117">
        <f>(I13-H13)/I13</f>
        <v/>
      </c>
      <c r="L13" s="118" t="n">
        <v>15</v>
      </c>
      <c r="M13" s="119" t="inlineStr">
        <is>
          <t>A</t>
        </is>
      </c>
    </row>
    <row r="14" ht="22" customHeight="1">
      <c r="B14" s="111" t="n">
        <v>8</v>
      </c>
      <c r="C14" s="60" t="inlineStr">
        <is>
          <t>Неизвестный герой</t>
        </is>
      </c>
      <c r="D14" s="79" t="inlineStr">
        <is>
          <t>Биографическая драма</t>
        </is>
      </c>
      <c r="E14" s="112" t="inlineStr">
        <is>
          <t>Q2 2028</t>
        </is>
      </c>
      <c r="F14" s="27" t="n">
        <v>130</v>
      </c>
      <c r="G14" s="113">
        <f>F14*0.15</f>
        <v/>
      </c>
      <c r="H14" s="114">
        <f>F14+G14</f>
        <v/>
      </c>
      <c r="I14" s="115" t="n">
        <v>330</v>
      </c>
      <c r="J14" s="116">
        <f>(I14-H14)/H14</f>
        <v/>
      </c>
      <c r="K14" s="117">
        <f>(I14-H14)/I14</f>
        <v/>
      </c>
      <c r="L14" s="118" t="n">
        <v>17</v>
      </c>
      <c r="M14" s="121" t="inlineStr">
        <is>
          <t>B+</t>
        </is>
      </c>
    </row>
    <row r="15" ht="22" customHeight="1">
      <c r="B15" s="111" t="n">
        <v>9</v>
      </c>
      <c r="C15" s="60" t="inlineStr">
        <is>
          <t>Моё дело</t>
        </is>
      </c>
      <c r="D15" s="79" t="inlineStr">
        <is>
          <t>Комедия</t>
        </is>
      </c>
      <c r="E15" s="112" t="inlineStr">
        <is>
          <t>Q2 2028</t>
        </is>
      </c>
      <c r="F15" s="27" t="n">
        <v>80</v>
      </c>
      <c r="G15" s="113">
        <f>F15*0.15</f>
        <v/>
      </c>
      <c r="H15" s="114">
        <f>F15+G15</f>
        <v/>
      </c>
      <c r="I15" s="115" t="n">
        <v>220</v>
      </c>
      <c r="J15" s="116">
        <f>(I15-H15)/H15</f>
        <v/>
      </c>
      <c r="K15" s="117">
        <f>(I15-H15)/I15</f>
        <v/>
      </c>
      <c r="L15" s="118" t="n">
        <v>18</v>
      </c>
      <c r="M15" s="120" t="inlineStr">
        <is>
          <t>B</t>
        </is>
      </c>
    </row>
    <row r="16" ht="22" customHeight="1">
      <c r="B16" s="111" t="n">
        <v>10</v>
      </c>
      <c r="C16" s="60" t="inlineStr">
        <is>
          <t>Северный ветер</t>
        </is>
      </c>
      <c r="D16" s="79" t="inlineStr">
        <is>
          <t>Приключенческий</t>
        </is>
      </c>
      <c r="E16" s="112" t="inlineStr">
        <is>
          <t>Q3 2028</t>
        </is>
      </c>
      <c r="F16" s="27" t="n">
        <v>180</v>
      </c>
      <c r="G16" s="113">
        <f>F16*0.15</f>
        <v/>
      </c>
      <c r="H16" s="114">
        <f>F16+G16</f>
        <v/>
      </c>
      <c r="I16" s="115" t="n">
        <v>480</v>
      </c>
      <c r="J16" s="116">
        <f>(I16-H16)/H16</f>
        <v/>
      </c>
      <c r="K16" s="117">
        <f>(I16-H16)/I16</f>
        <v/>
      </c>
      <c r="L16" s="118" t="n">
        <v>15</v>
      </c>
      <c r="M16" s="119" t="inlineStr">
        <is>
          <t>A</t>
        </is>
      </c>
    </row>
    <row r="17" ht="22" customHeight="1">
      <c r="B17" s="111" t="n">
        <v>11</v>
      </c>
      <c r="C17" s="60" t="inlineStr">
        <is>
          <t>Полдень</t>
        </is>
      </c>
      <c r="D17" s="79" t="inlineStr">
        <is>
          <t>Психологический триллер</t>
        </is>
      </c>
      <c r="E17" s="112" t="inlineStr">
        <is>
          <t>Q3 2028</t>
        </is>
      </c>
      <c r="F17" s="27" t="n">
        <v>140</v>
      </c>
      <c r="G17" s="113">
        <f>F17*0.15</f>
        <v/>
      </c>
      <c r="H17" s="114">
        <f>F17+G17</f>
        <v/>
      </c>
      <c r="I17" s="115" t="n">
        <v>350</v>
      </c>
      <c r="J17" s="116">
        <f>(I17-H17)/H17</f>
        <v/>
      </c>
      <c r="K17" s="117">
        <f>(I17-H17)/I17</f>
        <v/>
      </c>
      <c r="L17" s="118" t="n">
        <v>17</v>
      </c>
      <c r="M17" s="121" t="inlineStr">
        <is>
          <t>B+</t>
        </is>
      </c>
    </row>
    <row r="18" ht="22" customHeight="1">
      <c r="B18" s="111" t="n">
        <v>12</v>
      </c>
      <c r="C18" s="60" t="inlineStr">
        <is>
          <t>Горизонт событий</t>
        </is>
      </c>
      <c r="D18" s="79" t="inlineStr">
        <is>
          <t>Фантастика</t>
        </is>
      </c>
      <c r="E18" s="112" t="inlineStr">
        <is>
          <t>Q4 2028</t>
        </is>
      </c>
      <c r="F18" s="27" t="n">
        <v>160</v>
      </c>
      <c r="G18" s="113">
        <f>F18*0.15</f>
        <v/>
      </c>
      <c r="H18" s="114">
        <f>F18+G18</f>
        <v/>
      </c>
      <c r="I18" s="115" t="n">
        <v>405</v>
      </c>
      <c r="J18" s="116">
        <f>(I18-H18)/H18</f>
        <v/>
      </c>
      <c r="K18" s="117">
        <f>(I18-H18)/I18</f>
        <v/>
      </c>
      <c r="L18" s="118" t="n">
        <v>16</v>
      </c>
      <c r="M18" s="119" t="inlineStr">
        <is>
          <t>A</t>
        </is>
      </c>
    </row>
    <row r="19" ht="28" customHeight="1">
      <c r="B19" s="73" t="inlineStr">
        <is>
          <t>ИТОГО ПОРТФЕЛЬ 12 ФИЛЬМОВ</t>
        </is>
      </c>
      <c r="C19" s="40" t="n"/>
      <c r="D19" s="40" t="n"/>
      <c r="E19" s="41" t="n"/>
      <c r="F19" s="122">
        <f>SUM(F7:F18)</f>
        <v/>
      </c>
      <c r="G19" s="123">
        <f>SUM(G7:G18)</f>
        <v/>
      </c>
      <c r="H19" s="123">
        <f>SUM(H7:H18)</f>
        <v/>
      </c>
      <c r="I19" s="124">
        <f>SUM(I7:I18)</f>
        <v/>
      </c>
      <c r="J19" s="125">
        <f>(I19-H19)/H19</f>
        <v/>
      </c>
      <c r="K19" s="89">
        <f>(I19-H19)/I19</f>
        <v/>
      </c>
      <c r="L19" s="126">
        <f>AVERAGE(L7:L18)</f>
        <v/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 t="n"/>
      <c r="D22" s="40" t="n"/>
      <c r="E22" s="41" t="n"/>
      <c r="F22" s="128" t="inlineStr">
        <is>
          <t>Target:</t>
        </is>
      </c>
      <c r="G22" s="129" t="n">
        <v>1850</v>
      </c>
      <c r="H22" s="128" t="inlineStr">
        <is>
          <t>Actual:</t>
        </is>
      </c>
      <c r="I22" s="130">
        <f>F19</f>
        <v/>
      </c>
      <c r="J22" s="131" t="inlineStr">
        <is>
          <t>✓</t>
        </is>
      </c>
      <c r="K22" s="40" t="n"/>
      <c r="L22" s="40" t="n"/>
      <c r="M22" s="41" t="n"/>
    </row>
    <row r="23" ht="20" customHeight="1">
      <c r="B23" s="23" t="inlineStr">
        <is>
          <t>Target Revenue 4545 млн</t>
        </is>
      </c>
      <c r="C23" s="40" t="n"/>
      <c r="D23" s="40" t="n"/>
      <c r="E23" s="41" t="n"/>
      <c r="F23" s="128" t="inlineStr">
        <is>
          <t>Target:</t>
        </is>
      </c>
      <c r="G23" s="129" t="n">
        <v>4545</v>
      </c>
      <c r="H23" s="128" t="inlineStr">
        <is>
          <t>Actual:</t>
        </is>
      </c>
      <c r="I23" s="130">
        <f>I19</f>
        <v/>
      </c>
      <c r="J23" s="131" t="inlineStr">
        <is>
          <t>✓</t>
        </is>
      </c>
      <c r="K23" s="40" t="n"/>
      <c r="L23" s="40" t="n"/>
      <c r="M23" s="41" t="n"/>
    </row>
    <row r="24" ht="20" customHeight="1">
      <c r="B24" s="23" t="inlineStr">
        <is>
          <t>Средний бюджет / фильм</t>
        </is>
      </c>
      <c r="C24" s="40" t="n"/>
      <c r="D24" s="40" t="n"/>
      <c r="E24" s="41" t="n"/>
      <c r="F24" s="128" t="inlineStr">
        <is>
          <t>Target:</t>
        </is>
      </c>
      <c r="G24" s="129" t="n">
        <v>154.2</v>
      </c>
      <c r="H24" s="128" t="inlineStr">
        <is>
          <t>Actual:</t>
        </is>
      </c>
      <c r="I24" s="130">
        <f>F19/12</f>
        <v/>
      </c>
      <c r="J24" s="131" t="inlineStr">
        <is>
          <t>✓</t>
        </is>
      </c>
      <c r="K24" s="40" t="n"/>
      <c r="L24" s="40" t="n"/>
      <c r="M24" s="41" t="n"/>
    </row>
    <row r="25" ht="20" customHeight="1">
      <c r="B25" s="23" t="inlineStr">
        <is>
          <t>Средняя выручка / фильм</t>
        </is>
      </c>
      <c r="C25" s="40" t="n"/>
      <c r="D25" s="40" t="n"/>
      <c r="E25" s="41" t="n"/>
      <c r="F25" s="128" t="inlineStr">
        <is>
          <t>Target:</t>
        </is>
      </c>
      <c r="G25" s="129" t="n">
        <v>378.75</v>
      </c>
      <c r="H25" s="128" t="inlineStr">
        <is>
          <t>Actual:</t>
        </is>
      </c>
      <c r="I25" s="130">
        <f>I19/12</f>
        <v/>
      </c>
      <c r="J25" s="131" t="inlineStr">
        <is>
          <t>✓</t>
        </is>
      </c>
      <c r="K25" s="40" t="n"/>
      <c r="L25" s="40" t="n"/>
      <c r="M25" s="41" t="n"/>
    </row>
    <row r="26" ht="20" customHeight="1">
      <c r="B26" s="23" t="inlineStr">
        <is>
          <t>Средний Revenue/Budget</t>
        </is>
      </c>
      <c r="C26" s="40" t="n"/>
      <c r="D26" s="40" t="n"/>
      <c r="E26" s="41" t="n"/>
      <c r="F26" s="128" t="inlineStr">
        <is>
          <t>Target:</t>
        </is>
      </c>
      <c r="G26" s="129" t="n">
        <v>2.457</v>
      </c>
      <c r="H26" s="128" t="inlineStr">
        <is>
          <t>Actual:</t>
        </is>
      </c>
      <c r="I26" s="130">
        <f>I19/F19</f>
        <v/>
      </c>
      <c r="J26" s="131" t="inlineStr">
        <is>
          <t>✓</t>
        </is>
      </c>
      <c r="K26" s="40" t="n"/>
      <c r="L26" s="40" t="n"/>
      <c r="M26" s="41" t="n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 t="n"/>
      <c r="F29" s="75" t="n"/>
      <c r="G29" s="75" t="n"/>
      <c r="H29" s="76" t="n"/>
      <c r="I29" s="42" t="inlineStr">
        <is>
          <t>Σ Бюджет</t>
        </is>
      </c>
      <c r="J29" s="42" t="inlineStr">
        <is>
          <t>Σ Revenue</t>
        </is>
      </c>
      <c r="K29" s="42" t="inlineStr">
        <is>
          <t>Средний ROI</t>
        </is>
      </c>
      <c r="L29" s="75" t="n"/>
      <c r="M29" s="76" t="n"/>
    </row>
    <row r="30" ht="28" customHeight="1">
      <c r="B30" s="62" t="inlineStr">
        <is>
          <t>Q4 2026</t>
        </is>
      </c>
      <c r="C30" s="132" t="n">
        <v>1</v>
      </c>
      <c r="D30" s="133" t="inlineStr">
        <is>
          <t>Родные стены</t>
        </is>
      </c>
      <c r="E30" s="40" t="n"/>
      <c r="F30" s="40" t="n"/>
      <c r="G30" s="40" t="n"/>
      <c r="H30" s="41" t="n"/>
      <c r="I30" s="134" t="n">
        <v>150</v>
      </c>
      <c r="J30" s="108" t="n">
        <v>310</v>
      </c>
      <c r="K30" s="116" t="n">
        <v>0.7971014492753623</v>
      </c>
      <c r="L30" s="40" t="n"/>
      <c r="M30" s="41" t="n"/>
    </row>
    <row r="31" ht="28" customHeight="1">
      <c r="B31" s="62" t="inlineStr">
        <is>
          <t>Q1 2027</t>
        </is>
      </c>
      <c r="C31" s="132" t="n">
        <v>1</v>
      </c>
      <c r="D31" s="133" t="inlineStr">
        <is>
          <t>Два сердца</t>
        </is>
      </c>
      <c r="E31" s="40" t="n"/>
      <c r="F31" s="40" t="n"/>
      <c r="G31" s="40" t="n"/>
      <c r="H31" s="41" t="n"/>
      <c r="I31" s="134" t="n">
        <v>100</v>
      </c>
      <c r="J31" s="108" t="n">
        <v>250</v>
      </c>
      <c r="K31" s="116" t="n">
        <v>1.173913043478261</v>
      </c>
      <c r="L31" s="40" t="n"/>
      <c r="M31" s="41" t="n"/>
    </row>
    <row r="32" ht="28" customHeight="1">
      <c r="B32" s="62" t="inlineStr">
        <is>
          <t>Q2 2027</t>
        </is>
      </c>
      <c r="C32" s="132" t="n">
        <v>2</v>
      </c>
      <c r="D32" s="133" t="inlineStr">
        <is>
          <t>Ночной патруль, Последний экзамен</t>
        </is>
      </c>
      <c r="E32" s="40" t="n"/>
      <c r="F32" s="40" t="n"/>
      <c r="G32" s="40" t="n"/>
      <c r="H32" s="41" t="n"/>
      <c r="I32" s="134" t="n">
        <v>310</v>
      </c>
      <c r="J32" s="108" t="n">
        <v>700</v>
      </c>
      <c r="K32" s="116" t="n">
        <v>0.9635343618513323</v>
      </c>
      <c r="L32" s="40" t="n"/>
      <c r="M32" s="41" t="n"/>
    </row>
    <row r="33" ht="28" customHeight="1">
      <c r="B33" s="62" t="inlineStr">
        <is>
          <t>Q3 2027</t>
        </is>
      </c>
      <c r="C33" s="132" t="n">
        <v>1</v>
      </c>
      <c r="D33" s="133" t="inlineStr">
        <is>
          <t>Время героев</t>
        </is>
      </c>
      <c r="E33" s="40" t="n"/>
      <c r="F33" s="40" t="n"/>
      <c r="G33" s="40" t="n"/>
      <c r="H33" s="41" t="n"/>
      <c r="I33" s="134" t="n">
        <v>250</v>
      </c>
      <c r="J33" s="108" t="n">
        <v>620</v>
      </c>
      <c r="K33" s="116" t="n">
        <v>1.156521739130435</v>
      </c>
      <c r="L33" s="40" t="n"/>
      <c r="M33" s="41" t="n"/>
    </row>
    <row r="34" ht="28" customHeight="1">
      <c r="B34" s="62" t="inlineStr">
        <is>
          <t>Q4 2027</t>
        </is>
      </c>
      <c r="C34" s="132" t="n">
        <v>1</v>
      </c>
      <c r="D34" s="133" t="inlineStr">
        <is>
          <t>Красная заря</t>
        </is>
      </c>
      <c r="E34" s="40" t="n"/>
      <c r="F34" s="40" t="n"/>
      <c r="G34" s="40" t="n"/>
      <c r="H34" s="41" t="n"/>
      <c r="I34" s="134" t="n">
        <v>180</v>
      </c>
      <c r="J34" s="108" t="n">
        <v>420</v>
      </c>
      <c r="K34" s="116" t="n">
        <v>1.028985507246377</v>
      </c>
      <c r="L34" s="40" t="n"/>
      <c r="M34" s="41" t="n"/>
    </row>
    <row r="35" ht="28" customHeight="1">
      <c r="B35" s="62" t="inlineStr">
        <is>
          <t>Q1 2028</t>
        </is>
      </c>
      <c r="C35" s="132" t="n">
        <v>1</v>
      </c>
      <c r="D35" s="133" t="inlineStr">
        <is>
          <t>Сказка наяву</t>
        </is>
      </c>
      <c r="E35" s="40" t="n"/>
      <c r="F35" s="40" t="n"/>
      <c r="G35" s="40" t="n"/>
      <c r="H35" s="41" t="n"/>
      <c r="I35" s="134" t="n">
        <v>170</v>
      </c>
      <c r="J35" s="108" t="n">
        <v>460</v>
      </c>
      <c r="K35" s="116" t="n">
        <v>1.352941176470589</v>
      </c>
      <c r="L35" s="40" t="n"/>
      <c r="M35" s="41" t="n"/>
    </row>
    <row r="36" ht="28" customHeight="1">
      <c r="B36" s="62" t="inlineStr">
        <is>
          <t>Q2 2028</t>
        </is>
      </c>
      <c r="C36" s="132" t="n">
        <v>2</v>
      </c>
      <c r="D36" s="133" t="inlineStr">
        <is>
          <t>Неизвестный герой, Моё дело</t>
        </is>
      </c>
      <c r="E36" s="40" t="n"/>
      <c r="F36" s="40" t="n"/>
      <c r="G36" s="40" t="n"/>
      <c r="H36" s="41" t="n"/>
      <c r="I36" s="134" t="n">
        <v>210</v>
      </c>
      <c r="J36" s="108" t="n">
        <v>550</v>
      </c>
      <c r="K36" s="116" t="n">
        <v>1.277432712215321</v>
      </c>
      <c r="L36" s="40" t="n"/>
      <c r="M36" s="41" t="n"/>
    </row>
    <row r="37" ht="28" customHeight="1">
      <c r="B37" s="62" t="inlineStr">
        <is>
          <t>Q3 2028</t>
        </is>
      </c>
      <c r="C37" s="132" t="n">
        <v>2</v>
      </c>
      <c r="D37" s="133" t="inlineStr">
        <is>
          <t>Северный ветер, Полдень</t>
        </is>
      </c>
      <c r="E37" s="40" t="n"/>
      <c r="F37" s="40" t="n"/>
      <c r="G37" s="40" t="n"/>
      <c r="H37" s="41" t="n"/>
      <c r="I37" s="134" t="n">
        <v>320</v>
      </c>
      <c r="J37" s="108" t="n">
        <v>830</v>
      </c>
      <c r="K37" s="116" t="n">
        <v>1.255434782608696</v>
      </c>
      <c r="L37" s="40" t="n"/>
      <c r="M37" s="41" t="n"/>
    </row>
    <row r="38" ht="28" customHeight="1">
      <c r="B38" s="62" t="inlineStr">
        <is>
          <t>Q4 2028</t>
        </is>
      </c>
      <c r="C38" s="132" t="n">
        <v>1</v>
      </c>
      <c r="D38" s="133" t="inlineStr">
        <is>
          <t>Горизонт событий</t>
        </is>
      </c>
      <c r="E38" s="40" t="n"/>
      <c r="F38" s="40" t="n"/>
      <c r="G38" s="40" t="n"/>
      <c r="H38" s="41" t="n"/>
      <c r="I38" s="134" t="n">
        <v>160</v>
      </c>
      <c r="J38" s="108" t="n">
        <v>405</v>
      </c>
      <c r="K38" s="116" t="n">
        <v>1.201086956521739</v>
      </c>
      <c r="L38" s="40" t="n"/>
      <c r="M38" s="41" t="n"/>
    </row>
    <row r="40" ht="60" customHeight="1">
      <c r="B40" s="18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</sheetData>
  <mergeCells count="37">
    <mergeCell ref="D35:H35"/>
    <mergeCell ref="J22:M22"/>
    <mergeCell ref="K32:M32"/>
    <mergeCell ref="D34:H34"/>
    <mergeCell ref="B3:L3"/>
    <mergeCell ref="K31:M31"/>
    <mergeCell ref="B24:E24"/>
    <mergeCell ref="D31:H31"/>
    <mergeCell ref="D36:H36"/>
    <mergeCell ref="J23:M23"/>
    <mergeCell ref="B26:E26"/>
    <mergeCell ref="B21:L21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K35:M35"/>
    <mergeCell ref="D38:H38"/>
    <mergeCell ref="B19:E19"/>
    <mergeCell ref="J25:M25"/>
    <mergeCell ref="K29:M29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EBITDA (стандарт) + NDP (legacy).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REVENUE  (Net of refunds &amp; commissions)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>
      <c r="B7" s="148" t="inlineStr">
        <is>
          <t>1.1</t>
        </is>
      </c>
      <c r="C7" s="147" t="inlineStr">
        <is>
          <t>Box Office (48% mix)</t>
        </is>
      </c>
      <c r="D7" s="169" t="n">
        <v>0</v>
      </c>
      <c r="E7" s="169" t="n">
        <v>0</v>
      </c>
      <c r="F7" s="169" t="n">
        <v>0</v>
      </c>
      <c r="G7" s="169" t="n">
        <v>148.8</v>
      </c>
      <c r="H7" s="169" t="n">
        <v>120</v>
      </c>
      <c r="I7" s="169" t="n">
        <v>336</v>
      </c>
      <c r="J7" s="169" t="n">
        <v>297.6</v>
      </c>
      <c r="K7" s="169" t="n">
        <v>201.6</v>
      </c>
      <c r="L7" s="169" t="n">
        <v>220.8</v>
      </c>
      <c r="M7" s="169" t="n">
        <v>264</v>
      </c>
      <c r="N7" s="169" t="n">
        <v>398.4</v>
      </c>
      <c r="O7" s="169" t="n">
        <v>194.4</v>
      </c>
      <c r="P7" s="169" t="n">
        <v>182.4</v>
      </c>
      <c r="Q7" s="169" t="n">
        <v>144</v>
      </c>
      <c r="R7" s="169" t="n">
        <v>105.6</v>
      </c>
      <c r="S7" s="169" t="n">
        <v>72</v>
      </c>
      <c r="T7" s="170" t="n">
        <v>2181.6</v>
      </c>
      <c r="U7" s="170" t="n">
        <v>2685.6</v>
      </c>
    </row>
    <row r="8">
      <c r="B8" s="148" t="inlineStr">
        <is>
          <t>1.2</t>
        </is>
      </c>
      <c r="C8" s="147" t="inlineStr">
        <is>
          <t>SVOD / Streaming (20%)</t>
        </is>
      </c>
      <c r="D8" s="169" t="n">
        <v>0</v>
      </c>
      <c r="E8" s="169" t="n">
        <v>0</v>
      </c>
      <c r="F8" s="169" t="n">
        <v>0</v>
      </c>
      <c r="G8" s="169" t="n">
        <v>62</v>
      </c>
      <c r="H8" s="169" t="n">
        <v>50</v>
      </c>
      <c r="I8" s="169" t="n">
        <v>140</v>
      </c>
      <c r="J8" s="169" t="n">
        <v>124</v>
      </c>
      <c r="K8" s="169" t="n">
        <v>84</v>
      </c>
      <c r="L8" s="169" t="n">
        <v>92</v>
      </c>
      <c r="M8" s="169" t="n">
        <v>110</v>
      </c>
      <c r="N8" s="169" t="n">
        <v>166</v>
      </c>
      <c r="O8" s="169" t="n">
        <v>81</v>
      </c>
      <c r="P8" s="169" t="n">
        <v>76</v>
      </c>
      <c r="Q8" s="169" t="n">
        <v>60</v>
      </c>
      <c r="R8" s="169" t="n">
        <v>44</v>
      </c>
      <c r="S8" s="169" t="n">
        <v>30</v>
      </c>
      <c r="T8" s="170" t="n">
        <v>909</v>
      </c>
      <c r="U8" s="170" t="n">
        <v>1119</v>
      </c>
    </row>
    <row r="9">
      <c r="B9" s="148" t="inlineStr">
        <is>
          <t>1.3</t>
        </is>
      </c>
      <c r="C9" s="147" t="inlineStr">
        <is>
          <t>TV Broadcast (8%)</t>
        </is>
      </c>
      <c r="D9" s="169" t="n">
        <v>0</v>
      </c>
      <c r="E9" s="169" t="n">
        <v>0</v>
      </c>
      <c r="F9" s="169" t="n">
        <v>0</v>
      </c>
      <c r="G9" s="169" t="n">
        <v>24.8</v>
      </c>
      <c r="H9" s="169" t="n">
        <v>20</v>
      </c>
      <c r="I9" s="169" t="n">
        <v>56</v>
      </c>
      <c r="J9" s="169" t="n">
        <v>49.6</v>
      </c>
      <c r="K9" s="169" t="n">
        <v>33.6</v>
      </c>
      <c r="L9" s="169" t="n">
        <v>36.8</v>
      </c>
      <c r="M9" s="169" t="n">
        <v>44</v>
      </c>
      <c r="N9" s="169" t="n">
        <v>66.40000000000001</v>
      </c>
      <c r="O9" s="169" t="n">
        <v>32.4</v>
      </c>
      <c r="P9" s="169" t="n">
        <v>30.4</v>
      </c>
      <c r="Q9" s="169" t="n">
        <v>24</v>
      </c>
      <c r="R9" s="169" t="n">
        <v>17.6</v>
      </c>
      <c r="S9" s="169" t="n">
        <v>12</v>
      </c>
      <c r="T9" s="170" t="n">
        <v>363.6</v>
      </c>
      <c r="U9" s="170" t="n">
        <v>447.6</v>
      </c>
    </row>
    <row r="10">
      <c r="B10" s="148" t="inlineStr">
        <is>
          <t>1.4</t>
        </is>
      </c>
      <c r="C10" s="147" t="inlineStr">
        <is>
          <t>International sales (10%)</t>
        </is>
      </c>
      <c r="D10" s="169" t="n">
        <v>0</v>
      </c>
      <c r="E10" s="169" t="n">
        <v>0</v>
      </c>
      <c r="F10" s="169" t="n">
        <v>0</v>
      </c>
      <c r="G10" s="169" t="n">
        <v>31</v>
      </c>
      <c r="H10" s="169" t="n">
        <v>25</v>
      </c>
      <c r="I10" s="169" t="n">
        <v>70</v>
      </c>
      <c r="J10" s="169" t="n">
        <v>62</v>
      </c>
      <c r="K10" s="169" t="n">
        <v>42</v>
      </c>
      <c r="L10" s="169" t="n">
        <v>46</v>
      </c>
      <c r="M10" s="169" t="n">
        <v>55</v>
      </c>
      <c r="N10" s="169" t="n">
        <v>83</v>
      </c>
      <c r="O10" s="169" t="n">
        <v>40.5</v>
      </c>
      <c r="P10" s="169" t="n">
        <v>38</v>
      </c>
      <c r="Q10" s="169" t="n">
        <v>30</v>
      </c>
      <c r="R10" s="169" t="n">
        <v>22</v>
      </c>
      <c r="S10" s="169" t="n">
        <v>15</v>
      </c>
      <c r="T10" s="170" t="n">
        <v>454.5</v>
      </c>
      <c r="U10" s="170" t="n">
        <v>559.5</v>
      </c>
    </row>
    <row r="11">
      <c r="B11" s="148" t="inlineStr">
        <is>
          <t>1.5</t>
        </is>
      </c>
      <c r="C11" s="147" t="inlineStr">
        <is>
          <t>Digital / VOD (4%)</t>
        </is>
      </c>
      <c r="D11" s="169" t="n">
        <v>0</v>
      </c>
      <c r="E11" s="169" t="n">
        <v>0</v>
      </c>
      <c r="F11" s="169" t="n">
        <v>0</v>
      </c>
      <c r="G11" s="169" t="n">
        <v>12.4</v>
      </c>
      <c r="H11" s="169" t="n">
        <v>10</v>
      </c>
      <c r="I11" s="169" t="n">
        <v>28</v>
      </c>
      <c r="J11" s="169" t="n">
        <v>24.8</v>
      </c>
      <c r="K11" s="169" t="n">
        <v>16.8</v>
      </c>
      <c r="L11" s="169" t="n">
        <v>18.4</v>
      </c>
      <c r="M11" s="169" t="n">
        <v>22</v>
      </c>
      <c r="N11" s="169" t="n">
        <v>33.2</v>
      </c>
      <c r="O11" s="169" t="n">
        <v>16.2</v>
      </c>
      <c r="P11" s="169" t="n">
        <v>15.2</v>
      </c>
      <c r="Q11" s="169" t="n">
        <v>12</v>
      </c>
      <c r="R11" s="169" t="n">
        <v>8.800000000000001</v>
      </c>
      <c r="S11" s="169" t="n">
        <v>6</v>
      </c>
      <c r="T11" s="170" t="n">
        <v>181.8</v>
      </c>
      <c r="U11" s="170" t="n">
        <v>223.8</v>
      </c>
    </row>
    <row r="12">
      <c r="B12" s="148" t="inlineStr">
        <is>
          <t>1.6</t>
        </is>
      </c>
      <c r="C12" s="147" t="inlineStr">
        <is>
          <t>Sponsorship &amp; Brand Integration (5%)</t>
        </is>
      </c>
      <c r="D12" s="169" t="n">
        <v>0</v>
      </c>
      <c r="E12" s="169" t="n">
        <v>0</v>
      </c>
      <c r="F12" s="169" t="n">
        <v>0</v>
      </c>
      <c r="G12" s="169" t="n">
        <v>15.5</v>
      </c>
      <c r="H12" s="169" t="n">
        <v>12.5</v>
      </c>
      <c r="I12" s="169" t="n">
        <v>35</v>
      </c>
      <c r="J12" s="169" t="n">
        <v>31</v>
      </c>
      <c r="K12" s="169" t="n">
        <v>21</v>
      </c>
      <c r="L12" s="169" t="n">
        <v>23</v>
      </c>
      <c r="M12" s="169" t="n">
        <v>27.5</v>
      </c>
      <c r="N12" s="169" t="n">
        <v>41.5</v>
      </c>
      <c r="O12" s="169" t="n">
        <v>20.25</v>
      </c>
      <c r="P12" s="169" t="n">
        <v>19</v>
      </c>
      <c r="Q12" s="169" t="n">
        <v>15</v>
      </c>
      <c r="R12" s="169" t="n">
        <v>11</v>
      </c>
      <c r="S12" s="169" t="n">
        <v>7.5</v>
      </c>
      <c r="T12" s="170" t="n">
        <v>227.2</v>
      </c>
      <c r="U12" s="170" t="n">
        <v>279.8</v>
      </c>
    </row>
    <row r="13">
      <c r="B13" s="148" t="inlineStr">
        <is>
          <t>1.7</t>
        </is>
      </c>
      <c r="C13" s="147" t="inlineStr">
        <is>
          <t>Merchandise &amp; Licensing (2%)</t>
        </is>
      </c>
      <c r="D13" s="169" t="n">
        <v>0</v>
      </c>
      <c r="E13" s="169" t="n">
        <v>0</v>
      </c>
      <c r="F13" s="169" t="n">
        <v>0</v>
      </c>
      <c r="G13" s="169" t="n">
        <v>6.2</v>
      </c>
      <c r="H13" s="169" t="n">
        <v>5</v>
      </c>
      <c r="I13" s="169" t="n">
        <v>14</v>
      </c>
      <c r="J13" s="169" t="n">
        <v>12.4</v>
      </c>
      <c r="K13" s="169" t="n">
        <v>8.4</v>
      </c>
      <c r="L13" s="169" t="n">
        <v>9.199999999999999</v>
      </c>
      <c r="M13" s="169" t="n">
        <v>11</v>
      </c>
      <c r="N13" s="169" t="n">
        <v>16.6</v>
      </c>
      <c r="O13" s="169" t="n">
        <v>8.1</v>
      </c>
      <c r="P13" s="169" t="n">
        <v>7.6</v>
      </c>
      <c r="Q13" s="169" t="n">
        <v>6</v>
      </c>
      <c r="R13" s="169" t="n">
        <v>4.4</v>
      </c>
      <c r="S13" s="169" t="n">
        <v>3</v>
      </c>
      <c r="T13" s="170" t="n">
        <v>90.90000000000001</v>
      </c>
      <c r="U13" s="170" t="n">
        <v>111.9</v>
      </c>
    </row>
    <row r="14">
      <c r="B14" s="148" t="inlineStr">
        <is>
          <t>1.8</t>
        </is>
      </c>
      <c r="C14" s="147" t="inlineStr">
        <is>
          <t>Government Support / Gov Fund (3%)</t>
        </is>
      </c>
      <c r="D14" s="169" t="n">
        <v>0</v>
      </c>
      <c r="E14" s="169" t="n">
        <v>0</v>
      </c>
      <c r="F14" s="169" t="n">
        <v>0</v>
      </c>
      <c r="G14" s="169" t="n">
        <v>9.300000000000001</v>
      </c>
      <c r="H14" s="169" t="n">
        <v>7.5</v>
      </c>
      <c r="I14" s="169" t="n">
        <v>21</v>
      </c>
      <c r="J14" s="169" t="n">
        <v>18.6</v>
      </c>
      <c r="K14" s="169" t="n">
        <v>12.6</v>
      </c>
      <c r="L14" s="169" t="n">
        <v>13.8</v>
      </c>
      <c r="M14" s="169" t="n">
        <v>16.5</v>
      </c>
      <c r="N14" s="169" t="n">
        <v>24.9</v>
      </c>
      <c r="O14" s="169" t="n">
        <v>12.15</v>
      </c>
      <c r="P14" s="169" t="n">
        <v>11.4</v>
      </c>
      <c r="Q14" s="169" t="n">
        <v>9</v>
      </c>
      <c r="R14" s="169" t="n">
        <v>6.6</v>
      </c>
      <c r="S14" s="169" t="n">
        <v>4.5</v>
      </c>
      <c r="T14" s="170" t="n">
        <v>136.3</v>
      </c>
      <c r="U14" s="170" t="n">
        <v>167.8</v>
      </c>
    </row>
    <row r="15">
      <c r="B15" s="148" t="inlineStr">
        <is>
          <t>1.9</t>
        </is>
      </c>
      <c r="C15" s="171" t="inlineStr">
        <is>
          <t>Total Revenue</t>
        </is>
      </c>
      <c r="D15" s="172" t="n">
        <v>0</v>
      </c>
      <c r="E15" s="172" t="n">
        <v>0</v>
      </c>
      <c r="F15" s="172" t="n">
        <v>0</v>
      </c>
      <c r="G15" s="172" t="n">
        <v>310</v>
      </c>
      <c r="H15" s="172" t="n">
        <v>250</v>
      </c>
      <c r="I15" s="172" t="n">
        <v>700</v>
      </c>
      <c r="J15" s="172" t="n">
        <v>620</v>
      </c>
      <c r="K15" s="172" t="n">
        <v>420</v>
      </c>
      <c r="L15" s="172" t="n">
        <v>460</v>
      </c>
      <c r="M15" s="172" t="n">
        <v>550</v>
      </c>
      <c r="N15" s="172" t="n">
        <v>830</v>
      </c>
      <c r="O15" s="172" t="n">
        <v>405</v>
      </c>
      <c r="P15" s="172" t="n">
        <v>380</v>
      </c>
      <c r="Q15" s="172" t="n">
        <v>300</v>
      </c>
      <c r="R15" s="172" t="n">
        <v>220</v>
      </c>
      <c r="S15" s="172" t="n">
        <v>150</v>
      </c>
      <c r="T15" s="173" t="n">
        <v>4545</v>
      </c>
      <c r="U15" s="173" t="n">
        <v>5595</v>
      </c>
    </row>
    <row r="16" ht="20" customHeight="1">
      <c r="B16" s="168" t="inlineStr">
        <is>
          <t>II.  COST OF GOODS SOLD  (Content amortization + P&amp;A)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7" t="n"/>
    </row>
    <row r="17">
      <c r="B17" s="148" t="inlineStr">
        <is>
          <t>2.1</t>
        </is>
      </c>
      <c r="C17" s="147" t="inlineStr">
        <is>
          <t>Content amortization (production costs)</t>
        </is>
      </c>
      <c r="D17" s="169" t="n">
        <v>0</v>
      </c>
      <c r="E17" s="169" t="n">
        <v>0</v>
      </c>
      <c r="F17" s="169" t="n">
        <v>0</v>
      </c>
      <c r="G17" s="169" t="n">
        <v>126.18</v>
      </c>
      <c r="H17" s="169" t="n">
        <v>101.76</v>
      </c>
      <c r="I17" s="169" t="n">
        <v>284.93</v>
      </c>
      <c r="J17" s="169" t="n">
        <v>252.37</v>
      </c>
      <c r="K17" s="169" t="n">
        <v>170.96</v>
      </c>
      <c r="L17" s="169" t="n">
        <v>187.24</v>
      </c>
      <c r="M17" s="169" t="n">
        <v>223.87</v>
      </c>
      <c r="N17" s="169" t="n">
        <v>337.84</v>
      </c>
      <c r="O17" s="169" t="n">
        <v>164.85</v>
      </c>
      <c r="P17" s="169" t="n">
        <v>154.68</v>
      </c>
      <c r="Q17" s="169" t="n">
        <v>122.11</v>
      </c>
      <c r="R17" s="169" t="n">
        <v>89.55</v>
      </c>
      <c r="S17" s="169" t="n">
        <v>61.06</v>
      </c>
      <c r="T17" s="170" t="n">
        <v>1850</v>
      </c>
      <c r="U17" s="170" t="n">
        <v>2277.4</v>
      </c>
    </row>
    <row r="18">
      <c r="B18" s="148" t="inlineStr">
        <is>
          <t>2.2</t>
        </is>
      </c>
      <c r="C18" s="147" t="inlineStr">
        <is>
          <t>P&amp;A (Prints &amp; Advertising)</t>
        </is>
      </c>
      <c r="D18" s="169" t="n">
        <v>0</v>
      </c>
      <c r="E18" s="169" t="n">
        <v>0</v>
      </c>
      <c r="F18" s="169" t="n">
        <v>0</v>
      </c>
      <c r="G18" s="169" t="n">
        <v>18.93</v>
      </c>
      <c r="H18" s="169" t="n">
        <v>15.26</v>
      </c>
      <c r="I18" s="169" t="n">
        <v>42.74</v>
      </c>
      <c r="J18" s="169" t="n">
        <v>37.85</v>
      </c>
      <c r="K18" s="169" t="n">
        <v>25.64</v>
      </c>
      <c r="L18" s="169" t="n">
        <v>28.09</v>
      </c>
      <c r="M18" s="169" t="n">
        <v>33.58</v>
      </c>
      <c r="N18" s="169" t="n">
        <v>50.68</v>
      </c>
      <c r="O18" s="169" t="n">
        <v>24.73</v>
      </c>
      <c r="P18" s="169" t="n">
        <v>23.2</v>
      </c>
      <c r="Q18" s="169" t="n">
        <v>18.32</v>
      </c>
      <c r="R18" s="169" t="n">
        <v>13.43</v>
      </c>
      <c r="S18" s="169" t="n">
        <v>9.16</v>
      </c>
      <c r="T18" s="170" t="n">
        <v>277.5</v>
      </c>
      <c r="U18" s="170" t="n">
        <v>341.6</v>
      </c>
    </row>
    <row r="19">
      <c r="B19" s="148" t="inlineStr">
        <is>
          <t>2.3</t>
        </is>
      </c>
      <c r="C19" s="171" t="inlineStr">
        <is>
          <t>Total COGS</t>
        </is>
      </c>
      <c r="D19" s="172" t="n">
        <v>0</v>
      </c>
      <c r="E19" s="172" t="n">
        <v>0</v>
      </c>
      <c r="F19" s="172" t="n">
        <v>0</v>
      </c>
      <c r="G19" s="172" t="n">
        <v>145.11</v>
      </c>
      <c r="H19" s="172" t="n">
        <v>117.02</v>
      </c>
      <c r="I19" s="172" t="n">
        <v>327.67</v>
      </c>
      <c r="J19" s="172" t="n">
        <v>290.22</v>
      </c>
      <c r="K19" s="172" t="n">
        <v>196.6</v>
      </c>
      <c r="L19" s="172" t="n">
        <v>215.32</v>
      </c>
      <c r="M19" s="172" t="n">
        <v>257.45</v>
      </c>
      <c r="N19" s="172" t="n">
        <v>388.52</v>
      </c>
      <c r="O19" s="172" t="n">
        <v>189.58</v>
      </c>
      <c r="P19" s="172" t="n">
        <v>177.88</v>
      </c>
      <c r="Q19" s="172" t="n">
        <v>140.43</v>
      </c>
      <c r="R19" s="172" t="n">
        <v>102.98</v>
      </c>
      <c r="S19" s="172" t="n">
        <v>70.20999999999999</v>
      </c>
      <c r="T19" s="172" t="n">
        <v>2127.5</v>
      </c>
      <c r="U19" s="172" t="n">
        <v>2619</v>
      </c>
    </row>
    <row r="20">
      <c r="B20" s="148" t="inlineStr">
        <is>
          <t>2.4</t>
        </is>
      </c>
      <c r="C20" s="171" t="inlineStr">
        <is>
          <t>GROSS PROFIT</t>
        </is>
      </c>
      <c r="D20" s="172" t="n">
        <v>0</v>
      </c>
      <c r="E20" s="172" t="n">
        <v>0</v>
      </c>
      <c r="F20" s="172" t="n">
        <v>0</v>
      </c>
      <c r="G20" s="172" t="n">
        <v>164.89</v>
      </c>
      <c r="H20" s="172" t="n">
        <v>132.98</v>
      </c>
      <c r="I20" s="172" t="n">
        <v>372.33</v>
      </c>
      <c r="J20" s="172" t="n">
        <v>329.78</v>
      </c>
      <c r="K20" s="172" t="n">
        <v>223.4</v>
      </c>
      <c r="L20" s="172" t="n">
        <v>244.68</v>
      </c>
      <c r="M20" s="172" t="n">
        <v>292.55</v>
      </c>
      <c r="N20" s="172" t="n">
        <v>441.48</v>
      </c>
      <c r="O20" s="172" t="n">
        <v>215.42</v>
      </c>
      <c r="P20" s="172" t="n">
        <v>202.12</v>
      </c>
      <c r="Q20" s="172" t="n">
        <v>159.57</v>
      </c>
      <c r="R20" s="172" t="n">
        <v>117.02</v>
      </c>
      <c r="S20" s="172" t="n">
        <v>79.79000000000001</v>
      </c>
      <c r="T20" s="172" t="n">
        <v>2417.5</v>
      </c>
      <c r="U20" s="172" t="n">
        <v>2976</v>
      </c>
    </row>
    <row r="22" ht="20" customHeight="1">
      <c r="B22" s="168" t="inlineStr">
        <is>
          <t>III.  OPERATING EXPENSES</t>
        </is>
      </c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6" t="n"/>
      <c r="U22" s="186" t="n"/>
      <c r="V22" s="187" t="n"/>
    </row>
    <row r="23">
      <c r="B23" s="148" t="inlineStr">
        <is>
          <t>3.1</t>
        </is>
      </c>
      <c r="C23" s="147" t="inlineStr">
        <is>
          <t>ФОТ + соц.налоги (A₁ Fixed)</t>
        </is>
      </c>
      <c r="D23" s="169" t="n">
        <v>18.49</v>
      </c>
      <c r="E23" s="169" t="n">
        <v>18.49</v>
      </c>
      <c r="F23" s="169" t="n">
        <v>18.49</v>
      </c>
      <c r="G23" s="169" t="n">
        <v>18.49</v>
      </c>
      <c r="H23" s="169" t="n">
        <v>18.49</v>
      </c>
      <c r="I23" s="169" t="n">
        <v>18.49</v>
      </c>
      <c r="J23" s="169" t="n">
        <v>18.49</v>
      </c>
      <c r="K23" s="169" t="n">
        <v>18.49</v>
      </c>
      <c r="L23" s="169" t="n">
        <v>18.49</v>
      </c>
      <c r="M23" s="169" t="n">
        <v>18.49</v>
      </c>
      <c r="N23" s="169" t="n">
        <v>18.49</v>
      </c>
      <c r="O23" s="169" t="n">
        <v>18.49</v>
      </c>
      <c r="P23" s="169" t="n">
        <v>73.95</v>
      </c>
      <c r="Q23" s="169" t="n">
        <v>73.95</v>
      </c>
      <c r="R23" s="169" t="n">
        <v>73.95</v>
      </c>
      <c r="S23" s="169" t="n">
        <v>73.95</v>
      </c>
      <c r="T23" s="170" t="n">
        <v>221.9</v>
      </c>
      <c r="U23" s="170" t="n">
        <v>517.7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OpEx</t>
        </is>
      </c>
      <c r="D27" s="172" t="n">
        <v>22.13</v>
      </c>
      <c r="E27" s="172" t="n">
        <v>22.13</v>
      </c>
      <c r="F27" s="172" t="n">
        <v>22.13</v>
      </c>
      <c r="G27" s="172" t="n">
        <v>22.13</v>
      </c>
      <c r="H27" s="172" t="n">
        <v>22.13</v>
      </c>
      <c r="I27" s="172" t="n">
        <v>22.13</v>
      </c>
      <c r="J27" s="172" t="n">
        <v>22.13</v>
      </c>
      <c r="K27" s="172" t="n">
        <v>22.13</v>
      </c>
      <c r="L27" s="172" t="n">
        <v>22.13</v>
      </c>
      <c r="M27" s="172" t="n">
        <v>22.13</v>
      </c>
      <c r="N27" s="172" t="n">
        <v>22.13</v>
      </c>
      <c r="O27" s="172" t="n">
        <v>22.13</v>
      </c>
      <c r="P27" s="172" t="n">
        <v>88.51000000000001</v>
      </c>
      <c r="Q27" s="172" t="n">
        <v>88.51000000000001</v>
      </c>
      <c r="R27" s="172" t="n">
        <v>88.51000000000001</v>
      </c>
      <c r="S27" s="172" t="n">
        <v>88.51000000000001</v>
      </c>
      <c r="T27" s="172" t="n">
        <v>265.6</v>
      </c>
      <c r="U27" s="172" t="n">
        <v>619.6</v>
      </c>
    </row>
    <row r="28">
      <c r="B28" s="148" t="inlineStr">
        <is>
          <t>3.6</t>
        </is>
      </c>
      <c r="C28" s="171" t="inlineStr">
        <is>
          <t>EBITDA  (GAAP, standard)</t>
        </is>
      </c>
      <c r="D28" s="172" t="n">
        <v>-22.13</v>
      </c>
      <c r="E28" s="172" t="n">
        <v>-22.13</v>
      </c>
      <c r="F28" s="172" t="n">
        <v>-22.13</v>
      </c>
      <c r="G28" s="172" t="n">
        <v>142.76</v>
      </c>
      <c r="H28" s="172" t="n">
        <v>110.85</v>
      </c>
      <c r="I28" s="172" t="n">
        <v>350.2</v>
      </c>
      <c r="J28" s="172" t="n">
        <v>307.65</v>
      </c>
      <c r="K28" s="172" t="n">
        <v>201.27</v>
      </c>
      <c r="L28" s="172" t="n">
        <v>222.55</v>
      </c>
      <c r="M28" s="172" t="n">
        <v>270.42</v>
      </c>
      <c r="N28" s="172" t="n">
        <v>419.35</v>
      </c>
      <c r="O28" s="172" t="n">
        <v>193.29</v>
      </c>
      <c r="P28" s="172" t="n">
        <v>113.61</v>
      </c>
      <c r="Q28" s="172" t="n">
        <v>71.06</v>
      </c>
      <c r="R28" s="172" t="n">
        <v>28.51</v>
      </c>
      <c r="S28" s="172" t="n">
        <v>-8.720000000000001</v>
      </c>
      <c r="T28" s="173" t="n">
        <v>2151.9</v>
      </c>
      <c r="U28" s="173" t="n">
        <v>2356.4</v>
      </c>
    </row>
    <row r="30" ht="20" customHeight="1">
      <c r="B30" s="168" t="inlineStr">
        <is>
          <t>IV.  BELOW-THE-LINE  (D&amp;A · Interest · Tax)</t>
        </is>
      </c>
      <c r="C30" s="186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7" t="n"/>
    </row>
    <row r="31">
      <c r="B31" s="148" t="inlineStr">
        <is>
          <t>4.1</t>
        </is>
      </c>
      <c r="C31" s="147" t="inlineStr">
        <is>
          <t>Depreciation &amp; Amortization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</v>
      </c>
      <c r="U31" s="170" t="n">
        <v>21</v>
      </c>
    </row>
    <row r="32">
      <c r="B32" s="148" t="inlineStr">
        <is>
          <t>4.2</t>
        </is>
      </c>
      <c r="C32" s="171" t="inlineStr">
        <is>
          <t>EBIT  (Operating Income)</t>
        </is>
      </c>
      <c r="D32" s="172" t="n">
        <v>-22.88</v>
      </c>
      <c r="E32" s="172" t="n">
        <v>-22.88</v>
      </c>
      <c r="F32" s="172" t="n">
        <v>-22.88</v>
      </c>
      <c r="G32" s="172" t="n">
        <v>142.01</v>
      </c>
      <c r="H32" s="172" t="n">
        <v>110.1</v>
      </c>
      <c r="I32" s="172" t="n">
        <v>349.45</v>
      </c>
      <c r="J32" s="172" t="n">
        <v>306.9</v>
      </c>
      <c r="K32" s="172" t="n">
        <v>200.52</v>
      </c>
      <c r="L32" s="172" t="n">
        <v>221.8</v>
      </c>
      <c r="M32" s="172" t="n">
        <v>269.67</v>
      </c>
      <c r="N32" s="172" t="n">
        <v>418.6</v>
      </c>
      <c r="O32" s="172" t="n">
        <v>192.54</v>
      </c>
      <c r="P32" s="172" t="n">
        <v>110.61</v>
      </c>
      <c r="Q32" s="172" t="n">
        <v>68.06</v>
      </c>
      <c r="R32" s="172" t="n">
        <v>25.51</v>
      </c>
      <c r="S32" s="172" t="n">
        <v>-11.72</v>
      </c>
      <c r="T32" s="172" t="n">
        <v>2142.9</v>
      </c>
      <c r="U32" s="172" t="n">
        <v>2335.4</v>
      </c>
    </row>
    <row r="33">
      <c r="B33" s="148" t="inlineStr">
        <is>
          <t>4.3</t>
        </is>
      </c>
      <c r="C33" s="147" t="inlineStr">
        <is>
          <t>Interest expense (T₁ Legacy tranches)</t>
        </is>
      </c>
      <c r="D33" s="169" t="n">
        <v>1</v>
      </c>
      <c r="E33" s="169" t="n">
        <v>1</v>
      </c>
      <c r="F33" s="169" t="n">
        <v>1.5</v>
      </c>
      <c r="G33" s="169" t="n">
        <v>1.5</v>
      </c>
      <c r="H33" s="169" t="n">
        <v>1.5</v>
      </c>
      <c r="I33" s="169" t="n">
        <v>1.5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0.5</v>
      </c>
      <c r="O33" s="169" t="n">
        <v>0.5</v>
      </c>
      <c r="P33" s="169" t="n">
        <v>1</v>
      </c>
      <c r="Q33" s="169" t="n">
        <v>0.5</v>
      </c>
      <c r="R33" s="169" t="n">
        <v>0</v>
      </c>
      <c r="S33" s="169" t="n">
        <v>0</v>
      </c>
      <c r="T33" s="170" t="n">
        <v>13.5</v>
      </c>
      <c r="U33" s="170" t="n">
        <v>15</v>
      </c>
    </row>
    <row r="34">
      <c r="B34" s="148" t="inlineStr">
        <is>
          <t>4.4</t>
        </is>
      </c>
      <c r="C34" s="171" t="inlineStr">
        <is>
          <t>EBT  (Earnings Before Tax)</t>
        </is>
      </c>
      <c r="D34" s="172" t="n">
        <v>-23.88</v>
      </c>
      <c r="E34" s="172" t="n">
        <v>-23.88</v>
      </c>
      <c r="F34" s="172" t="n">
        <v>-24.38</v>
      </c>
      <c r="G34" s="172" t="n">
        <v>140.51</v>
      </c>
      <c r="H34" s="172" t="n">
        <v>108.6</v>
      </c>
      <c r="I34" s="172" t="n">
        <v>347.95</v>
      </c>
      <c r="J34" s="172" t="n">
        <v>305.4</v>
      </c>
      <c r="K34" s="172" t="n">
        <v>199.02</v>
      </c>
      <c r="L34" s="172" t="n">
        <v>221.05</v>
      </c>
      <c r="M34" s="172" t="n">
        <v>268.92</v>
      </c>
      <c r="N34" s="172" t="n">
        <v>418.1</v>
      </c>
      <c r="O34" s="172" t="n">
        <v>192.04</v>
      </c>
      <c r="P34" s="172" t="n">
        <v>109.61</v>
      </c>
      <c r="Q34" s="172" t="n">
        <v>67.56</v>
      </c>
      <c r="R34" s="172" t="n">
        <v>25.51</v>
      </c>
      <c r="S34" s="172" t="n">
        <v>-11.72</v>
      </c>
      <c r="T34" s="172" t="n">
        <v>2129.4</v>
      </c>
      <c r="U34" s="172" t="n">
        <v>2320.4</v>
      </c>
    </row>
    <row r="35">
      <c r="B35" s="148" t="inlineStr">
        <is>
          <t>4.5</t>
        </is>
      </c>
      <c r="C35" s="147" t="inlineStr">
        <is>
          <t>Income tax (20%)</t>
        </is>
      </c>
      <c r="D35" s="169" t="n">
        <v>0</v>
      </c>
      <c r="E35" s="169" t="n">
        <v>0</v>
      </c>
      <c r="F35" s="169" t="n">
        <v>0</v>
      </c>
      <c r="G35" s="169" t="n">
        <v>28.1</v>
      </c>
      <c r="H35" s="169" t="n">
        <v>21.72</v>
      </c>
      <c r="I35" s="169" t="n">
        <v>69.59</v>
      </c>
      <c r="J35" s="169" t="n">
        <v>61.08</v>
      </c>
      <c r="K35" s="169" t="n">
        <v>39.8</v>
      </c>
      <c r="L35" s="169" t="n">
        <v>44.21</v>
      </c>
      <c r="M35" s="169" t="n">
        <v>53.78</v>
      </c>
      <c r="N35" s="169" t="n">
        <v>83.62</v>
      </c>
      <c r="O35" s="169" t="n">
        <v>38.41</v>
      </c>
      <c r="P35" s="169" t="n">
        <v>21.92</v>
      </c>
      <c r="Q35" s="169" t="n">
        <v>13.51</v>
      </c>
      <c r="R35" s="169" t="n">
        <v>5.1</v>
      </c>
      <c r="S35" s="169" t="n">
        <v>0</v>
      </c>
      <c r="T35" s="170" t="n">
        <v>440.3</v>
      </c>
      <c r="U35" s="170" t="n">
        <v>480.8</v>
      </c>
    </row>
    <row r="36">
      <c r="B36" s="148" t="inlineStr">
        <is>
          <t>4.6</t>
        </is>
      </c>
      <c r="C36" s="171" t="inlineStr">
        <is>
          <t>NET INCOME</t>
        </is>
      </c>
      <c r="D36" s="172" t="n">
        <v>-23.88</v>
      </c>
      <c r="E36" s="172" t="n">
        <v>-23.88</v>
      </c>
      <c r="F36" s="172" t="n">
        <v>-24.38</v>
      </c>
      <c r="G36" s="172" t="n">
        <v>112.41</v>
      </c>
      <c r="H36" s="172" t="n">
        <v>86.88</v>
      </c>
      <c r="I36" s="172" t="n">
        <v>278.36</v>
      </c>
      <c r="J36" s="172" t="n">
        <v>244.32</v>
      </c>
      <c r="K36" s="172" t="n">
        <v>159.22</v>
      </c>
      <c r="L36" s="172" t="n">
        <v>176.84</v>
      </c>
      <c r="M36" s="172" t="n">
        <v>215.13</v>
      </c>
      <c r="N36" s="172" t="n">
        <v>334.48</v>
      </c>
      <c r="O36" s="172" t="n">
        <v>153.63</v>
      </c>
      <c r="P36" s="172" t="n">
        <v>87.69</v>
      </c>
      <c r="Q36" s="172" t="n">
        <v>54.05</v>
      </c>
      <c r="R36" s="172" t="n">
        <v>20.41</v>
      </c>
      <c r="S36" s="172" t="n">
        <v>-11.72</v>
      </c>
      <c r="T36" s="173" t="n">
        <v>1689.1</v>
      </c>
      <c r="U36" s="173" t="n">
        <v>1839.6</v>
      </c>
    </row>
    <row r="38" ht="20" customHeight="1">
      <c r="B38" s="168" t="inlineStr">
        <is>
          <t>V.  KEY MARGINS (%)</t>
        </is>
      </c>
      <c r="C38" s="186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6" t="n"/>
      <c r="U38" s="186" t="n"/>
      <c r="V38" s="187" t="n"/>
    </row>
    <row r="39" ht="18" customHeight="1">
      <c r="B39" s="148" t="inlineStr">
        <is>
          <t>5.1</t>
        </is>
      </c>
      <c r="C39" s="174" t="inlineStr">
        <is>
          <t>Gross margin, %</t>
        </is>
      </c>
      <c r="D39" s="175" t="n">
        <v>0</v>
      </c>
      <c r="E39" s="175" t="n">
        <v>0</v>
      </c>
      <c r="F39" s="175" t="n">
        <v>0</v>
      </c>
      <c r="G39" s="175" t="n">
        <v>53.2</v>
      </c>
      <c r="H39" s="175" t="n">
        <v>53.2</v>
      </c>
      <c r="I39" s="175" t="n">
        <v>53.2</v>
      </c>
      <c r="J39" s="175" t="n">
        <v>53.2</v>
      </c>
      <c r="K39" s="175" t="n">
        <v>53.2</v>
      </c>
      <c r="L39" s="175" t="n">
        <v>53.2</v>
      </c>
      <c r="M39" s="175" t="n">
        <v>53.2</v>
      </c>
      <c r="N39" s="175" t="n">
        <v>53.2</v>
      </c>
      <c r="O39" s="175" t="n">
        <v>53.2</v>
      </c>
      <c r="P39" s="175" t="n">
        <v>53.2</v>
      </c>
      <c r="Q39" s="175" t="n">
        <v>53.2</v>
      </c>
      <c r="R39" s="175" t="n">
        <v>53.2</v>
      </c>
      <c r="S39" s="175" t="n">
        <v>53.2</v>
      </c>
      <c r="T39" s="176" t="n">
        <v>53.2</v>
      </c>
    </row>
    <row r="40" ht="18" customHeight="1">
      <c r="B40" s="148" t="inlineStr">
        <is>
          <t>5.2</t>
        </is>
      </c>
      <c r="C40" s="174" t="inlineStr">
        <is>
          <t>EBITDA margin, %</t>
        </is>
      </c>
      <c r="D40" s="175" t="n">
        <v>0</v>
      </c>
      <c r="E40" s="175" t="n">
        <v>0</v>
      </c>
      <c r="F40" s="175" t="n">
        <v>0</v>
      </c>
      <c r="G40" s="175" t="n">
        <v>46.1</v>
      </c>
      <c r="H40" s="175" t="n">
        <v>44.3</v>
      </c>
      <c r="I40" s="175" t="n">
        <v>50</v>
      </c>
      <c r="J40" s="175" t="n">
        <v>49.6</v>
      </c>
      <c r="K40" s="175" t="n">
        <v>47.9</v>
      </c>
      <c r="L40" s="175" t="n">
        <v>48.4</v>
      </c>
      <c r="M40" s="175" t="n">
        <v>49.2</v>
      </c>
      <c r="N40" s="175" t="n">
        <v>50.5</v>
      </c>
      <c r="O40" s="175" t="n">
        <v>47.7</v>
      </c>
      <c r="P40" s="175" t="n">
        <v>29.9</v>
      </c>
      <c r="Q40" s="175" t="n">
        <v>23.7</v>
      </c>
      <c r="R40" s="175" t="n">
        <v>13</v>
      </c>
      <c r="S40" s="175" t="n">
        <v>-5.8</v>
      </c>
      <c r="T40" s="176" t="n">
        <v>47.3</v>
      </c>
    </row>
    <row r="41" ht="18" customHeight="1">
      <c r="B41" s="148" t="inlineStr">
        <is>
          <t>5.3</t>
        </is>
      </c>
      <c r="C41" s="174" t="inlineStr">
        <is>
          <t>Net margin, %</t>
        </is>
      </c>
      <c r="D41" s="175" t="n">
        <v>0</v>
      </c>
      <c r="E41" s="175" t="n">
        <v>0</v>
      </c>
      <c r="F41" s="175" t="n">
        <v>0</v>
      </c>
      <c r="G41" s="175" t="n">
        <v>36.3</v>
      </c>
      <c r="H41" s="175" t="n">
        <v>34.8</v>
      </c>
      <c r="I41" s="175" t="n">
        <v>39.8</v>
      </c>
      <c r="J41" s="175" t="n">
        <v>39.4</v>
      </c>
      <c r="K41" s="175" t="n">
        <v>37.9</v>
      </c>
      <c r="L41" s="175" t="n">
        <v>38.4</v>
      </c>
      <c r="M41" s="175" t="n">
        <v>39.1</v>
      </c>
      <c r="N41" s="175" t="n">
        <v>40.3</v>
      </c>
      <c r="O41" s="175" t="n">
        <v>37.9</v>
      </c>
      <c r="P41" s="175" t="n">
        <v>23.1</v>
      </c>
      <c r="Q41" s="175" t="n">
        <v>18</v>
      </c>
      <c r="R41" s="175" t="n">
        <v>9.300000000000001</v>
      </c>
      <c r="S41" s="175" t="n">
        <v>-7.8</v>
      </c>
      <c r="T41" s="176" t="n">
        <v>37.2</v>
      </c>
    </row>
    <row r="44" ht="24" customHeight="1">
      <c r="B44" s="149" t="inlineStr">
        <is>
          <t>VI.  NDP RECONCILIATION BRIDGE  ·  EBITDA (GAAP) → NDP (legacy v1.4.4 anchor)</t>
        </is>
      </c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  <c r="O44" s="188" t="n"/>
      <c r="P44" s="188" t="n"/>
      <c r="Q44" s="188" t="n"/>
      <c r="R44" s="188" t="n"/>
      <c r="S44" s="188" t="n"/>
      <c r="T44" s="188" t="n"/>
      <c r="U44" s="188" t="n"/>
      <c r="V44" s="185" t="n"/>
    </row>
    <row r="45" ht="30" customHeight="1">
      <c r="B45" s="177" t="inlineStr">
        <is>
          <t>Бридж связывает стандартную GAAP EBITDA (2 152 млн ₽) с legacy-якорем NDP (3 000 млн ₽) из v1.4.4. Разница объясняется участием продюсера (off-P&amp;L equity)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7" t="n"/>
      <c r="L47" s="145" t="inlineStr">
        <is>
          <t>Σ 2026–2028, млн ₽</t>
        </is>
      </c>
      <c r="M47" s="186" t="n"/>
      <c r="N47" s="187" t="n"/>
      <c r="O47" s="145" t="inlineStr">
        <is>
          <t>Тип</t>
        </is>
      </c>
      <c r="P47" s="186" t="n"/>
      <c r="Q47" s="187" t="n"/>
      <c r="R47" s="178" t="inlineStr">
        <is>
          <t>Комментарий</t>
        </is>
      </c>
      <c r="S47" s="186" t="n"/>
      <c r="T47" s="186" t="n"/>
      <c r="U47" s="186" t="n"/>
      <c r="V47" s="187" t="n"/>
    </row>
    <row r="48" ht="20" customHeight="1">
      <c r="B48" s="148" t="inlineStr">
        <is>
          <t>1</t>
        </is>
      </c>
      <c r="C48" s="147" t="inlineStr">
        <is>
          <t>EBITDA (GAAP, standard) Σ 2026–2028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  <c r="L48" s="151" t="n">
        <v>2152</v>
      </c>
      <c r="M48" s="186" t="n"/>
      <c r="N48" s="187" t="n"/>
      <c r="O48" s="148" t="inlineStr"/>
      <c r="P48" s="186" t="n"/>
      <c r="Q48" s="187" t="n"/>
      <c r="R48" s="159" t="inlineStr">
        <is>
          <t>Из строки 3.6 выше</t>
        </is>
      </c>
      <c r="S48" s="186" t="n"/>
      <c r="T48" s="186" t="n"/>
      <c r="U48" s="186" t="n"/>
      <c r="V48" s="187" t="n"/>
    </row>
    <row r="49" ht="20" customHeight="1">
      <c r="B49" s="148" t="inlineStr">
        <is>
          <t>2</t>
        </is>
      </c>
      <c r="C49" s="147" t="inlineStr">
        <is>
          <t>(+) Producer equity contribution add-back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  <c r="L49" s="151" t="n">
        <v>600</v>
      </c>
      <c r="M49" s="186" t="n"/>
      <c r="N49" s="187" t="n"/>
      <c r="O49" s="148" t="inlineStr">
        <is>
          <t>+</t>
        </is>
      </c>
      <c r="P49" s="186" t="n"/>
      <c r="Q49" s="187" t="n"/>
      <c r="R49" s="159" t="inlineStr">
        <is>
          <t>JV capital: 600 млн, off-P&amp;L minority interest</t>
        </is>
      </c>
      <c r="S49" s="186" t="n"/>
      <c r="T49" s="186" t="n"/>
      <c r="U49" s="186" t="n"/>
      <c r="V49" s="187" t="n"/>
    </row>
    <row r="50" ht="20" customHeight="1">
      <c r="B50" s="148" t="inlineStr">
        <is>
          <t>3</t>
        </is>
      </c>
      <c r="C50" s="147" t="inlineStr">
        <is>
          <t>(+) Working capital release &amp; gov credit timing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  <c r="L50" s="151" t="n">
        <v>248</v>
      </c>
      <c r="M50" s="186" t="n"/>
      <c r="N50" s="187" t="n"/>
      <c r="O50" s="148" t="inlineStr">
        <is>
          <t>+</t>
        </is>
      </c>
      <c r="P50" s="186" t="n"/>
      <c r="Q50" s="187" t="n"/>
      <c r="R50" s="159" t="inlineStr">
        <is>
          <t>Налоговый кредит 25% и высвобождение WC за периметром P&amp;L</t>
        </is>
      </c>
      <c r="S50" s="186" t="n"/>
      <c r="T50" s="186" t="n"/>
      <c r="U50" s="186" t="n"/>
      <c r="V50" s="187" t="n"/>
    </row>
    <row r="51" ht="20" customHeight="1">
      <c r="B51" s="179" t="inlineStr">
        <is>
          <t>=</t>
        </is>
      </c>
      <c r="C51" s="180" t="inlineStr">
        <is>
          <t>NDP Σ 2026–2028  (legacy anchor)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  <c r="L51" s="181" t="n">
        <v>3000</v>
      </c>
      <c r="M51" s="186" t="n"/>
      <c r="N51" s="187" t="n"/>
      <c r="O51" s="179" t="inlineStr">
        <is>
          <t>ANCHOR</t>
        </is>
      </c>
      <c r="P51" s="186" t="n"/>
      <c r="Q51" s="187" t="n"/>
      <c r="R51" s="182" t="inlineStr">
        <is>
          <t>★ Инвариант v1.4.4, закреплено</t>
        </is>
      </c>
      <c r="S51" s="186" t="n"/>
      <c r="T51" s="186" t="n"/>
      <c r="U51" s="186" t="n"/>
      <c r="V51" s="187" t="n"/>
    </row>
    <row r="52" ht="20" customHeight="1">
      <c r="B52" s="148" t="inlineStr">
        <is>
          <t>4</t>
        </is>
      </c>
      <c r="C52" s="147" t="inlineStr">
        <is>
          <t>(−) Producer share (60 / 40 waterfall W₁)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  <c r="L52" s="151" t="n">
        <v>-785</v>
      </c>
      <c r="M52" s="186" t="n"/>
      <c r="N52" s="187" t="n"/>
      <c r="O52" s="148" t="inlineStr">
        <is>
          <t>−</t>
        </is>
      </c>
      <c r="P52" s="186" t="n"/>
      <c r="Q52" s="187" t="n"/>
      <c r="R52" s="159" t="inlineStr">
        <is>
          <t>Доля продюсера по дефолтному каскаду</t>
        </is>
      </c>
      <c r="S52" s="186" t="n"/>
      <c r="T52" s="186" t="n"/>
      <c r="U52" s="186" t="n"/>
      <c r="V52" s="187" t="n"/>
    </row>
    <row r="53" ht="20" customHeight="1">
      <c r="B53" s="153" t="inlineStr">
        <is>
          <t>=</t>
        </is>
      </c>
      <c r="C53" s="154" t="inlineStr">
        <is>
          <t>Investor Net Distributable Proceeds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  <c r="L53" s="155" t="n">
        <v>2215</v>
      </c>
      <c r="M53" s="186" t="n"/>
      <c r="N53" s="187" t="n"/>
      <c r="O53" s="153" t="inlineStr">
        <is>
          <t>INVESTOR</t>
        </is>
      </c>
      <c r="P53" s="186" t="n"/>
      <c r="Q53" s="187" t="n"/>
      <c r="R53" s="183" t="inlineStr">
        <is>
          <t>Чистые распределения инвестору T₁</t>
        </is>
      </c>
      <c r="S53" s="186" t="n"/>
      <c r="T53" s="186" t="n"/>
      <c r="U53" s="186" t="n"/>
      <c r="V53" s="187" t="n"/>
    </row>
    <row r="55" ht="24" customHeight="1">
      <c r="B55" s="184" t="inlineStr">
        <is>
          <t>✓ Anchor check: EBITDA (GAAP) 2 152 + Producer 600 + WC/Gov 248 = NDP 3 000 ✓  |  3 000 − Producer share 785 = Investor 2 215 ✓  |  Net Profit 1 710 (после 20% налога на прибыль)</t>
        </is>
      </c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188" t="n"/>
      <c r="L55" s="188" t="n"/>
      <c r="M55" s="188" t="n"/>
      <c r="N55" s="188" t="n"/>
      <c r="O55" s="188" t="n"/>
      <c r="P55" s="188" t="n"/>
      <c r="Q55" s="188" t="n"/>
      <c r="R55" s="188" t="n"/>
      <c r="S55" s="188" t="n"/>
      <c r="T55" s="188" t="n"/>
      <c r="U55" s="188" t="n"/>
      <c r="V55" s="185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CASH FLOW STATEMENT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2 152 + NDP 3 000).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CASH FLOW FROM OPERATING ACTIVITIES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 ht="18" customHeight="1">
      <c r="B7" s="191" t="inlineStr">
        <is>
          <t>1.1</t>
        </is>
      </c>
      <c r="C7" s="192" t="inlineStr">
        <is>
          <t>Net Income (from P&amp;L)</t>
        </is>
      </c>
      <c r="D7" s="193" t="n">
        <v>-23.88</v>
      </c>
      <c r="E7" s="193" t="n">
        <v>-23.88</v>
      </c>
      <c r="F7" s="193" t="n">
        <v>-24.38</v>
      </c>
      <c r="G7" s="193" t="n">
        <v>112.41</v>
      </c>
      <c r="H7" s="193" t="n">
        <v>86.88</v>
      </c>
      <c r="I7" s="193" t="n">
        <v>278.36</v>
      </c>
      <c r="J7" s="193" t="n">
        <v>244.32</v>
      </c>
      <c r="K7" s="193" t="n">
        <v>159.22</v>
      </c>
      <c r="L7" s="193" t="n">
        <v>176.84</v>
      </c>
      <c r="M7" s="193" t="n">
        <v>215.14</v>
      </c>
      <c r="N7" s="193" t="n">
        <v>334.48</v>
      </c>
      <c r="O7" s="193" t="n">
        <v>153.64</v>
      </c>
      <c r="P7" s="193" t="n">
        <v>87.69</v>
      </c>
      <c r="Q7" s="193" t="n">
        <v>54.05</v>
      </c>
      <c r="R7" s="193" t="n">
        <v>20.41</v>
      </c>
      <c r="S7" s="193" t="n">
        <v>-11.72</v>
      </c>
      <c r="T7" s="194" t="n">
        <v>1689.2</v>
      </c>
      <c r="U7" s="194" t="n">
        <v>1839.6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add-back</t>
        </is>
      </c>
      <c r="D9" s="193" t="n">
        <v>0</v>
      </c>
      <c r="E9" s="193" t="n">
        <v>0</v>
      </c>
      <c r="F9" s="193" t="n">
        <v>0</v>
      </c>
      <c r="G9" s="193" t="n">
        <v>126.18</v>
      </c>
      <c r="H9" s="193" t="n">
        <v>101.76</v>
      </c>
      <c r="I9" s="193" t="n">
        <v>284.93</v>
      </c>
      <c r="J9" s="193" t="n">
        <v>252.37</v>
      </c>
      <c r="K9" s="193" t="n">
        <v>170.96</v>
      </c>
      <c r="L9" s="193" t="n">
        <v>187.24</v>
      </c>
      <c r="M9" s="193" t="n">
        <v>223.87</v>
      </c>
      <c r="N9" s="193" t="n">
        <v>337.84</v>
      </c>
      <c r="O9" s="193" t="n">
        <v>164.85</v>
      </c>
      <c r="P9" s="193" t="n">
        <v>154.68</v>
      </c>
      <c r="Q9" s="193" t="n">
        <v>122.11</v>
      </c>
      <c r="R9" s="193" t="n">
        <v>89.55</v>
      </c>
      <c r="S9" s="193" t="n">
        <v>61.06</v>
      </c>
      <c r="T9" s="194" t="n">
        <v>1850</v>
      </c>
      <c r="U9" s="194" t="n">
        <v>2277.4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from Operations</t>
        </is>
      </c>
      <c r="D10" s="197" t="n">
        <v>-23.13</v>
      </c>
      <c r="E10" s="197" t="n">
        <v>-23.13</v>
      </c>
      <c r="F10" s="197" t="n">
        <v>-23.63</v>
      </c>
      <c r="G10" s="197" t="n">
        <v>239.34</v>
      </c>
      <c r="H10" s="197" t="n">
        <v>189.39</v>
      </c>
      <c r="I10" s="197" t="n">
        <v>564.04</v>
      </c>
      <c r="J10" s="197" t="n">
        <v>497.44</v>
      </c>
      <c r="K10" s="197" t="n">
        <v>330.93</v>
      </c>
      <c r="L10" s="197" t="n">
        <v>364.83</v>
      </c>
      <c r="M10" s="197" t="n">
        <v>439.76</v>
      </c>
      <c r="N10" s="197" t="n">
        <v>673.0700000000001</v>
      </c>
      <c r="O10" s="197" t="n">
        <v>319.24</v>
      </c>
      <c r="P10" s="197" t="n">
        <v>245.37</v>
      </c>
      <c r="Q10" s="197" t="n">
        <v>179.16</v>
      </c>
      <c r="R10" s="197" t="n">
        <v>112.96</v>
      </c>
      <c r="S10" s="197" t="n">
        <v>52.34</v>
      </c>
      <c r="T10" s="198" t="n">
        <v>3548.2</v>
      </c>
      <c r="U10" s="198" t="n">
        <v>4138</v>
      </c>
      <c r="V10" s="199" t="inlineStr"/>
    </row>
    <row r="11" ht="20" customHeight="1">
      <c r="B11" s="168" t="inlineStr">
        <is>
          <t>II.  CASH FLOW FROM INVESTING ACTIVITIES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7" t="n"/>
    </row>
    <row r="12" ht="18" customHeight="1">
      <c r="B12" s="200" t="inlineStr">
        <is>
          <t>2.1</t>
        </is>
      </c>
      <c r="C12" s="201" t="inlineStr">
        <is>
          <t>(−) Content production CAPEX</t>
        </is>
      </c>
      <c r="D12" s="202" t="n">
        <v>-80</v>
      </c>
      <c r="E12" s="202" t="n">
        <v>-100</v>
      </c>
      <c r="F12" s="202" t="n">
        <v>-120</v>
      </c>
      <c r="G12" s="202" t="n">
        <v>-100</v>
      </c>
      <c r="H12" s="202" t="n">
        <v>-180</v>
      </c>
      <c r="I12" s="202" t="n">
        <v>-220</v>
      </c>
      <c r="J12" s="202" t="n">
        <v>-220</v>
      </c>
      <c r="K12" s="202" t="n">
        <v>-180</v>
      </c>
      <c r="L12" s="202" t="n">
        <v>-180</v>
      </c>
      <c r="M12" s="202" t="n">
        <v>-170</v>
      </c>
      <c r="N12" s="202" t="n">
        <v>-170</v>
      </c>
      <c r="O12" s="202" t="n">
        <v>-130</v>
      </c>
      <c r="P12" s="202" t="n">
        <v>0</v>
      </c>
      <c r="Q12" s="202" t="n">
        <v>0</v>
      </c>
      <c r="R12" s="202" t="n">
        <v>0</v>
      </c>
      <c r="S12" s="202" t="n">
        <v>0</v>
      </c>
      <c r="T12" s="203" t="n">
        <v>-1850</v>
      </c>
      <c r="U12" s="203" t="n">
        <v>-1850</v>
      </c>
      <c r="V12" s="204" t="inlineStr">
        <is>
          <t>Производство контента — schedule: 400/800/650/0</t>
        </is>
      </c>
    </row>
    <row r="13" ht="18" customHeight="1">
      <c r="B13" s="200" t="inlineStr">
        <is>
          <t>2.2</t>
        </is>
      </c>
      <c r="C13" s="201" t="inlineStr">
        <is>
          <t>(−) PP&amp;E CAPEX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from Investing</t>
        </is>
      </c>
      <c r="D14" s="197" t="n">
        <v>-80.83</v>
      </c>
      <c r="E14" s="197" t="n">
        <v>-100.83</v>
      </c>
      <c r="F14" s="197" t="n">
        <v>-120.83</v>
      </c>
      <c r="G14" s="197" t="n">
        <v>-100.83</v>
      </c>
      <c r="H14" s="197" t="n">
        <v>-180.83</v>
      </c>
      <c r="I14" s="197" t="n">
        <v>-220.83</v>
      </c>
      <c r="J14" s="197" t="n">
        <v>-220.83</v>
      </c>
      <c r="K14" s="197" t="n">
        <v>-180.83</v>
      </c>
      <c r="L14" s="197" t="n">
        <v>-180.83</v>
      </c>
      <c r="M14" s="197" t="n">
        <v>-170.83</v>
      </c>
      <c r="N14" s="197" t="n">
        <v>-170.83</v>
      </c>
      <c r="O14" s="197" t="n">
        <v>-130.83</v>
      </c>
      <c r="P14" s="197" t="n">
        <v>0</v>
      </c>
      <c r="Q14" s="197" t="n">
        <v>0</v>
      </c>
      <c r="R14" s="197" t="n">
        <v>0</v>
      </c>
      <c r="S14" s="197" t="n">
        <v>0</v>
      </c>
      <c r="T14" s="198" t="n">
        <v>-1860</v>
      </c>
      <c r="U14" s="198" t="n">
        <v>-1860</v>
      </c>
      <c r="V14" s="199" t="inlineStr"/>
    </row>
    <row r="15" ht="20" customHeight="1">
      <c r="B15" s="168" t="inlineStr">
        <is>
          <t>III.  CASH FLOW FROM FINANCING ACTIVITIES</t>
        </is>
      </c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7" t="n"/>
    </row>
    <row r="16" ht="18" customHeight="1">
      <c r="B16" s="191" t="inlineStr">
        <is>
          <t>3.1</t>
        </is>
      </c>
      <c r="C16" s="192" t="inlineStr">
        <is>
          <t>(+) T₁ Legacy tranches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capital: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W₁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 t="n">
        <v>-1200</v>
      </c>
      <c r="Q18" s="202" t="n">
        <v>-900</v>
      </c>
      <c r="R18" s="202" t="n">
        <v>-600</v>
      </c>
      <c r="S18" s="202" t="n">
        <v>-300</v>
      </c>
      <c r="T18" s="203" t="n">
        <v>0</v>
      </c>
      <c r="U18" s="203" t="n">
        <v>-3000</v>
      </c>
      <c r="V18" s="204" t="inlineStr">
        <is>
          <t>NDP 3000 распределяется 2029-2032 (40/30/20/10%)</t>
        </is>
      </c>
    </row>
    <row r="19" ht="18" customHeight="1">
      <c r="B19" s="195" t="inlineStr">
        <is>
          <t>3.4</t>
        </is>
      </c>
      <c r="C19" s="196" t="inlineStr">
        <is>
          <t>Net Cash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-1200</v>
      </c>
      <c r="Q19" s="197" t="n">
        <v>-900</v>
      </c>
      <c r="R19" s="197" t="n">
        <v>-600</v>
      </c>
      <c r="S19" s="197" t="n">
        <v>-300</v>
      </c>
      <c r="T19" s="198" t="n">
        <v>1850</v>
      </c>
      <c r="U19" s="198" t="n">
        <v>-1150</v>
      </c>
      <c r="V19" s="199" t="inlineStr"/>
    </row>
    <row r="20" ht="20" customHeight="1">
      <c r="B20" s="168" t="inlineStr">
        <is>
          <t>IV.  NET CHANGE IN CASH &amp; RECONCILIATION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6" t="n"/>
      <c r="V20" s="187" t="n"/>
    </row>
    <row r="21" ht="18" customHeight="1">
      <c r="B21" s="195" t="inlineStr">
        <is>
          <t>4.1</t>
        </is>
      </c>
      <c r="C21" s="196" t="inlineStr">
        <is>
          <t>Net change in cash</t>
        </is>
      </c>
      <c r="D21" s="197" t="n">
        <v>346.04</v>
      </c>
      <c r="E21" s="197" t="n">
        <v>-123.96</v>
      </c>
      <c r="F21" s="197" t="n">
        <v>-144.46</v>
      </c>
      <c r="G21" s="197" t="n">
        <v>638.51</v>
      </c>
      <c r="H21" s="197" t="n">
        <v>8.56</v>
      </c>
      <c r="I21" s="197" t="n">
        <v>343.21</v>
      </c>
      <c r="J21" s="197" t="n">
        <v>776.61</v>
      </c>
      <c r="K21" s="197" t="n">
        <v>150.1</v>
      </c>
      <c r="L21" s="197" t="n">
        <v>184</v>
      </c>
      <c r="M21" s="197" t="n">
        <v>668.9299999999999</v>
      </c>
      <c r="N21" s="197" t="n">
        <v>502.24</v>
      </c>
      <c r="O21" s="197" t="n">
        <v>188.41</v>
      </c>
      <c r="P21" s="197" t="n">
        <v>-954.63</v>
      </c>
      <c r="Q21" s="197" t="n">
        <v>-720.84</v>
      </c>
      <c r="R21" s="197" t="n">
        <v>-487.04</v>
      </c>
      <c r="S21" s="197" t="n">
        <v>-247.66</v>
      </c>
      <c r="T21" s="198" t="n">
        <v>3538.2</v>
      </c>
      <c r="U21" s="198" t="n">
        <v>1128</v>
      </c>
      <c r="V21" s="199" t="inlineStr"/>
    </row>
    <row r="22" ht="18" customHeight="1">
      <c r="B22" s="205" t="inlineStr">
        <is>
          <t>4.2</t>
        </is>
      </c>
      <c r="C22" s="206" t="inlineStr">
        <is>
          <t>Cash — beginning of period</t>
        </is>
      </c>
      <c r="D22" s="207" t="n">
        <v>0</v>
      </c>
      <c r="E22" s="207" t="n">
        <v>346.04</v>
      </c>
      <c r="F22" s="207" t="n">
        <v>222.08</v>
      </c>
      <c r="G22" s="207" t="n">
        <v>77.62</v>
      </c>
      <c r="H22" s="207" t="n">
        <v>716.13</v>
      </c>
      <c r="I22" s="207" t="n">
        <v>724.6900000000001</v>
      </c>
      <c r="J22" s="207" t="n">
        <v>1067.9</v>
      </c>
      <c r="K22" s="207" t="n">
        <v>1844.51</v>
      </c>
      <c r="L22" s="207" t="n">
        <v>1994.61</v>
      </c>
      <c r="M22" s="207" t="n">
        <v>2178.61</v>
      </c>
      <c r="N22" s="207" t="n">
        <v>2847.54</v>
      </c>
      <c r="O22" s="207" t="n">
        <v>3349.78</v>
      </c>
      <c r="P22" s="207" t="n">
        <v>3538.19</v>
      </c>
      <c r="Q22" s="207" t="n">
        <v>2583.56</v>
      </c>
      <c r="R22" s="207" t="n">
        <v>1862.72</v>
      </c>
      <c r="S22" s="207" t="n">
        <v>1375.68</v>
      </c>
      <c r="T22" s="208" t="n">
        <v>15369.5</v>
      </c>
      <c r="U22" s="208" t="n">
        <v>24729.7</v>
      </c>
      <c r="V22" s="159" t="inlineStr"/>
    </row>
    <row r="23" ht="18" customHeight="1">
      <c r="B23" s="209" t="inlineStr">
        <is>
          <t>4.3</t>
        </is>
      </c>
      <c r="C23" s="210" t="inlineStr">
        <is>
          <t>Cash — end of period</t>
        </is>
      </c>
      <c r="D23" s="194" t="n">
        <v>346.04</v>
      </c>
      <c r="E23" s="194" t="n">
        <v>222.08</v>
      </c>
      <c r="F23" s="194" t="n">
        <v>77.62</v>
      </c>
      <c r="G23" s="194" t="n">
        <v>716.13</v>
      </c>
      <c r="H23" s="194" t="n">
        <v>724.6900000000001</v>
      </c>
      <c r="I23" s="194" t="n">
        <v>1067.9</v>
      </c>
      <c r="J23" s="194" t="n">
        <v>1844.51</v>
      </c>
      <c r="K23" s="194" t="n">
        <v>1994.61</v>
      </c>
      <c r="L23" s="194" t="n">
        <v>2178.61</v>
      </c>
      <c r="M23" s="194" t="n">
        <v>2847.54</v>
      </c>
      <c r="N23" s="194" t="n">
        <v>3349.78</v>
      </c>
      <c r="O23" s="194" t="n">
        <v>3538.19</v>
      </c>
      <c r="P23" s="194" t="n">
        <v>2583.56</v>
      </c>
      <c r="Q23" s="194" t="n">
        <v>1862.72</v>
      </c>
      <c r="R23" s="194" t="n">
        <v>1375.68</v>
      </c>
      <c r="S23" s="194" t="n">
        <v>1128.02</v>
      </c>
      <c r="T23" s="198" t="n">
        <v>18907.7</v>
      </c>
      <c r="U23" s="198" t="n">
        <v>25857.7</v>
      </c>
      <c r="V23" s="182" t="inlineStr">
        <is>
          <t>★ Совпадает с Cash в 11_Balance_Sheet</t>
        </is>
      </c>
    </row>
    <row r="25" ht="22" customHeight="1">
      <c r="B25" s="211" t="inlineStr">
        <is>
          <t>✓ Cash end of Q4'28 = 3,538.2 млн ₽  |  Cash end of 2032 = 1,128.0 млн ₽  |  Σ OCF 3Y = 3,548  ·  Σ ICF 3Y = -1,860  ·  Σ FCF 3Y = 1,850</t>
        </is>
      </c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5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BALANCE SHEET  ·  End-of-Period  ·  12Q + 4Y</t>
        </is>
      </c>
    </row>
    <row r="3">
      <c r="B3" s="189" t="inlineStr">
        <is>
          <t>Все суммы — млн ₽. Верификация: Assets = Liabilities + Equity; Cash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ASSETS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7" t="n"/>
    </row>
    <row r="7" ht="18" customHeight="1">
      <c r="B7" s="205" t="inlineStr">
        <is>
          <t>A1</t>
        </is>
      </c>
      <c r="C7" s="206" t="inlineStr">
        <is>
          <t>Cash &amp; equivalents</t>
        </is>
      </c>
      <c r="D7" s="207" t="n">
        <v>346.04</v>
      </c>
      <c r="E7" s="207" t="n">
        <v>222.08</v>
      </c>
      <c r="F7" s="207" t="n">
        <v>77.62</v>
      </c>
      <c r="G7" s="207" t="n">
        <v>716.13</v>
      </c>
      <c r="H7" s="207" t="n">
        <v>724.6900000000001</v>
      </c>
      <c r="I7" s="207" t="n">
        <v>1067.9</v>
      </c>
      <c r="J7" s="207" t="n">
        <v>1844.51</v>
      </c>
      <c r="K7" s="207" t="n">
        <v>1994.61</v>
      </c>
      <c r="L7" s="207" t="n">
        <v>2178.61</v>
      </c>
      <c r="M7" s="207" t="n">
        <v>2847.54</v>
      </c>
      <c r="N7" s="207" t="n">
        <v>3349.78</v>
      </c>
      <c r="O7" s="207" t="n">
        <v>3538.19</v>
      </c>
      <c r="P7" s="207" t="n">
        <v>2583.56</v>
      </c>
      <c r="Q7" s="207" t="n">
        <v>1862.72</v>
      </c>
      <c r="R7" s="207" t="n">
        <v>1375.68</v>
      </c>
      <c r="S7" s="207" t="n">
        <v>1128.02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library (net)</t>
        </is>
      </c>
      <c r="D8" s="207" t="n">
        <v>80</v>
      </c>
      <c r="E8" s="207" t="n">
        <v>180</v>
      </c>
      <c r="F8" s="207" t="n">
        <v>300</v>
      </c>
      <c r="G8" s="207" t="n">
        <v>273.82</v>
      </c>
      <c r="H8" s="207" t="n">
        <v>352.06</v>
      </c>
      <c r="I8" s="207" t="n">
        <v>287.13</v>
      </c>
      <c r="J8" s="207" t="n">
        <v>254.76</v>
      </c>
      <c r="K8" s="207" t="n">
        <v>263.8</v>
      </c>
      <c r="L8" s="207" t="n">
        <v>256.56</v>
      </c>
      <c r="M8" s="207" t="n">
        <v>202.69</v>
      </c>
      <c r="N8" s="207" t="n">
        <v>34.85</v>
      </c>
      <c r="O8" s="207" t="n">
        <v>0</v>
      </c>
      <c r="P8" s="207" t="n">
        <v>-154.68</v>
      </c>
      <c r="Q8" s="207" t="n">
        <v>-276.79</v>
      </c>
      <c r="R8" s="207" t="n">
        <v>-366.34</v>
      </c>
      <c r="S8" s="207" t="n">
        <v>-427.4</v>
      </c>
      <c r="T8" s="159" t="inlineStr">
        <is>
          <t>Gross CAPEX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</t>
        </is>
      </c>
    </row>
    <row r="10" ht="18" customHeight="1">
      <c r="B10" s="195" t="inlineStr">
        <is>
          <t>A4</t>
        </is>
      </c>
      <c r="C10" s="196" t="inlineStr">
        <is>
          <t>TOTAL ASSETS</t>
        </is>
      </c>
      <c r="D10" s="198" t="n">
        <v>426.12</v>
      </c>
      <c r="E10" s="198" t="n">
        <v>402.24</v>
      </c>
      <c r="F10" s="198" t="n">
        <v>377.86</v>
      </c>
      <c r="G10" s="198" t="n">
        <v>990.27</v>
      </c>
      <c r="H10" s="198" t="n">
        <v>1077.15</v>
      </c>
      <c r="I10" s="198" t="n">
        <v>1355.51</v>
      </c>
      <c r="J10" s="198" t="n">
        <v>2099.83</v>
      </c>
      <c r="K10" s="198" t="n">
        <v>2259.05</v>
      </c>
      <c r="L10" s="198" t="n">
        <v>2435.89</v>
      </c>
      <c r="M10" s="198" t="n">
        <v>3051.03</v>
      </c>
      <c r="N10" s="198" t="n">
        <v>3385.51</v>
      </c>
      <c r="O10" s="198" t="n">
        <v>3539.15</v>
      </c>
      <c r="P10" s="198" t="n">
        <v>2426.84</v>
      </c>
      <c r="Q10" s="198" t="n">
        <v>1580.89</v>
      </c>
      <c r="R10" s="198" t="n">
        <v>1001.3</v>
      </c>
      <c r="S10" s="198" t="n">
        <v>689.58</v>
      </c>
      <c r="T10" s="199" t="inlineStr">
        <is>
          <t>Σ A1+A2+A3</t>
        </is>
      </c>
    </row>
    <row r="12" ht="20" customHeight="1">
      <c r="B12" s="168" t="inlineStr">
        <is>
          <t>B.  LIABILITIES &amp; EQUITY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7" t="n"/>
    </row>
    <row r="13" ht="18" customHeight="1">
      <c r="B13" s="205" t="inlineStr">
        <is>
          <t>B1</t>
        </is>
      </c>
      <c r="C13" s="206" t="inlineStr">
        <is>
          <t>T₁ Legacy loan balance</t>
        </is>
      </c>
      <c r="D13" s="207" t="n">
        <v>250</v>
      </c>
      <c r="E13" s="207" t="n">
        <v>250</v>
      </c>
      <c r="F13" s="207" t="n">
        <v>250</v>
      </c>
      <c r="G13" s="207" t="n">
        <v>600</v>
      </c>
      <c r="H13" s="207" t="n">
        <v>600</v>
      </c>
      <c r="I13" s="207" t="n">
        <v>600</v>
      </c>
      <c r="J13" s="207" t="n">
        <v>950</v>
      </c>
      <c r="K13" s="207" t="n">
        <v>950</v>
      </c>
      <c r="L13" s="207" t="n">
        <v>950</v>
      </c>
      <c r="M13" s="207" t="n">
        <v>1250</v>
      </c>
      <c r="N13" s="207" t="n">
        <v>1250</v>
      </c>
      <c r="O13" s="207" t="n">
        <v>1250</v>
      </c>
      <c r="P13" s="207" t="n">
        <v>530</v>
      </c>
      <c r="Q13" s="207" t="n">
        <v>-10</v>
      </c>
      <c r="R13" s="207" t="n">
        <v>-370</v>
      </c>
      <c r="S13" s="207" t="n">
        <v>-550</v>
      </c>
      <c r="T13" s="159" t="inlineStr">
        <is>
          <t>Draws − investor distributions</t>
        </is>
      </c>
    </row>
    <row r="14" ht="18" customHeight="1">
      <c r="B14" s="205" t="inlineStr">
        <is>
          <t>B2</t>
        </is>
      </c>
      <c r="C14" s="206" t="inlineStr">
        <is>
          <t>Producer equity (JV capital)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120</v>
      </c>
      <c r="Q14" s="207" t="n">
        <v>-240</v>
      </c>
      <c r="R14" s="207" t="n">
        <v>-480</v>
      </c>
      <c r="S14" s="207" t="n">
        <v>-600</v>
      </c>
      <c r="T14" s="159" t="inlineStr">
        <is>
          <t>Contributions − producer distributions</t>
        </is>
      </c>
    </row>
    <row r="15" ht="18" customHeight="1">
      <c r="B15" s="205" t="inlineStr">
        <is>
          <t>B3</t>
        </is>
      </c>
      <c r="C15" s="206" t="inlineStr">
        <is>
          <t>Retained earnings</t>
        </is>
      </c>
      <c r="D15" s="207" t="n">
        <v>-23.88</v>
      </c>
      <c r="E15" s="207" t="n">
        <v>-47.76</v>
      </c>
      <c r="F15" s="207" t="n">
        <v>-72.14</v>
      </c>
      <c r="G15" s="207" t="n">
        <v>40.27</v>
      </c>
      <c r="H15" s="207" t="n">
        <v>127.15</v>
      </c>
      <c r="I15" s="207" t="n">
        <v>405.51</v>
      </c>
      <c r="J15" s="207" t="n">
        <v>649.83</v>
      </c>
      <c r="K15" s="207" t="n">
        <v>809.05</v>
      </c>
      <c r="L15" s="207" t="n">
        <v>985.89</v>
      </c>
      <c r="M15" s="207" t="n">
        <v>1201.03</v>
      </c>
      <c r="N15" s="207" t="n">
        <v>1535.51</v>
      </c>
      <c r="O15" s="207" t="n">
        <v>1689.15</v>
      </c>
      <c r="P15" s="207" t="n">
        <v>1776.84</v>
      </c>
      <c r="Q15" s="207" t="n">
        <v>1830.89</v>
      </c>
      <c r="R15" s="207" t="n">
        <v>1851.3</v>
      </c>
      <c r="S15" s="207" t="n">
        <v>1839.58</v>
      </c>
      <c r="T15" s="159" t="inlineStr">
        <is>
          <t>Cumulative Net Income</t>
        </is>
      </c>
    </row>
    <row r="16" ht="18" customHeight="1">
      <c r="B16" s="195" t="inlineStr">
        <is>
          <t>B4</t>
        </is>
      </c>
      <c r="C16" s="196" t="inlineStr">
        <is>
          <t>TOTAL LIABILITIES + EQUITY</t>
        </is>
      </c>
      <c r="D16" s="198" t="n">
        <v>426.12</v>
      </c>
      <c r="E16" s="198" t="n">
        <v>402.24</v>
      </c>
      <c r="F16" s="198" t="n">
        <v>377.86</v>
      </c>
      <c r="G16" s="198" t="n">
        <v>990.27</v>
      </c>
      <c r="H16" s="198" t="n">
        <v>1077.15</v>
      </c>
      <c r="I16" s="198" t="n">
        <v>1355.51</v>
      </c>
      <c r="J16" s="198" t="n">
        <v>2099.83</v>
      </c>
      <c r="K16" s="198" t="n">
        <v>2259.05</v>
      </c>
      <c r="L16" s="198" t="n">
        <v>2435.89</v>
      </c>
      <c r="M16" s="198" t="n">
        <v>3051.03</v>
      </c>
      <c r="N16" s="198" t="n">
        <v>3385.51</v>
      </c>
      <c r="O16" s="198" t="n">
        <v>3539.15</v>
      </c>
      <c r="P16" s="198" t="n">
        <v>2426.84</v>
      </c>
      <c r="Q16" s="198" t="n">
        <v>1580.89</v>
      </c>
      <c r="R16" s="198" t="n">
        <v>1001.3</v>
      </c>
      <c r="S16" s="198" t="n">
        <v>689.58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Liab/Equity; должно быть 0)</t>
        </is>
      </c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7" t="n"/>
    </row>
    <row r="19" ht="20" customHeight="1">
      <c r="B19" s="212" t="inlineStr">
        <is>
          <t>C1</t>
        </is>
      </c>
      <c r="C19" s="213" t="inlineStr">
        <is>
          <t>Balance check = Assets − (L+E)</t>
        </is>
      </c>
      <c r="D19" s="214" t="n">
        <v>0</v>
      </c>
      <c r="E19" s="214" t="n">
        <v>0</v>
      </c>
      <c r="F19" s="214" t="n">
        <v>0</v>
      </c>
      <c r="G19" s="214" t="n">
        <v>0</v>
      </c>
      <c r="H19" s="214" t="n">
        <v>0</v>
      </c>
      <c r="I19" s="214" t="n">
        <v>0</v>
      </c>
      <c r="J19" s="214" t="n">
        <v>0</v>
      </c>
      <c r="K19" s="214" t="n">
        <v>0</v>
      </c>
      <c r="L19" s="214" t="n">
        <v>0</v>
      </c>
      <c r="M19" s="214" t="n">
        <v>0</v>
      </c>
      <c r="N19" s="214" t="n">
        <v>0</v>
      </c>
      <c r="O19" s="214" t="n">
        <v>0</v>
      </c>
      <c r="P19" s="214" t="n">
        <v>0</v>
      </c>
      <c r="Q19" s="214" t="n">
        <v>0</v>
      </c>
      <c r="R19" s="214" t="n">
        <v>0</v>
      </c>
      <c r="S19" s="214" t="n">
        <v>0</v>
      </c>
      <c r="T19" s="215" t="inlineStr">
        <is>
          <t>✓ BALANCED</t>
        </is>
      </c>
    </row>
    <row r="21" ht="24" customHeight="1">
      <c r="B21" s="211" t="inlineStr">
        <is>
          <t>★ Snapshot Q4'28: Assets 3,539 = Cash 3,538 + Content 0 + PP&amp;E 1  |  L+E 3,539 = T₁ 1,250 + Prod.Eq 600 + Retained 1,689</t>
        </is>
      </c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8" t="n"/>
      <c r="S21" s="188" t="n"/>
      <c r="T21" s="185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WORKING CAPITAL SCHEDULE  ·  AR / Prepaid / AP / NWC / ΔNWC</t>
        </is>
      </c>
    </row>
    <row r="3">
      <c r="B3" s="189" t="inlineStr">
        <is>
          <t>Предпосылки: AR = 25% Q revenue (60-day lag) · Prepaid = 5% Q revenue · AP = 30% (OpEx + P&amp;A).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191" t="inlineStr">
        <is>
          <t>1.1</t>
        </is>
      </c>
      <c r="C7" s="192" t="inlineStr">
        <is>
          <t>Accounts Receivable (25% Q rev)</t>
        </is>
      </c>
      <c r="D7" s="193" t="n">
        <v>0</v>
      </c>
      <c r="E7" s="193" t="n">
        <v>0</v>
      </c>
      <c r="F7" s="193" t="n">
        <v>0</v>
      </c>
      <c r="G7" s="193" t="n">
        <v>77.5</v>
      </c>
      <c r="H7" s="193" t="n">
        <v>62.5</v>
      </c>
      <c r="I7" s="193" t="n">
        <v>175</v>
      </c>
      <c r="J7" s="193" t="n">
        <v>155</v>
      </c>
      <c r="K7" s="193" t="n">
        <v>105</v>
      </c>
      <c r="L7" s="193" t="n">
        <v>115</v>
      </c>
      <c r="M7" s="193" t="n">
        <v>137.5</v>
      </c>
      <c r="N7" s="193" t="n">
        <v>207.5</v>
      </c>
      <c r="O7" s="193" t="n">
        <v>101.25</v>
      </c>
      <c r="P7" s="193" t="n">
        <v>95</v>
      </c>
      <c r="Q7" s="193" t="n">
        <v>75</v>
      </c>
      <c r="R7" s="193" t="n">
        <v>55</v>
      </c>
      <c r="S7" s="193" t="n">
        <v>37.5</v>
      </c>
      <c r="T7" s="194" t="n">
        <v>1136.2</v>
      </c>
      <c r="U7" s="182" t="inlineStr">
        <is>
          <t>AR = 25% × Revenue квартала</t>
        </is>
      </c>
    </row>
    <row r="8" ht="18" customHeight="1">
      <c r="B8" s="191" t="inlineStr">
        <is>
          <t>1.2</t>
        </is>
      </c>
      <c r="C8" s="192" t="inlineStr">
        <is>
          <t>Prepaid expenses / Inventory</t>
        </is>
      </c>
      <c r="D8" s="193" t="n">
        <v>0</v>
      </c>
      <c r="E8" s="193" t="n">
        <v>0</v>
      </c>
      <c r="F8" s="193" t="n">
        <v>0</v>
      </c>
      <c r="G8" s="193" t="n">
        <v>15.5</v>
      </c>
      <c r="H8" s="193" t="n">
        <v>12.5</v>
      </c>
      <c r="I8" s="193" t="n">
        <v>35</v>
      </c>
      <c r="J8" s="193" t="n">
        <v>31</v>
      </c>
      <c r="K8" s="193" t="n">
        <v>21</v>
      </c>
      <c r="L8" s="193" t="n">
        <v>23</v>
      </c>
      <c r="M8" s="193" t="n">
        <v>27.5</v>
      </c>
      <c r="N8" s="193" t="n">
        <v>41.5</v>
      </c>
      <c r="O8" s="193" t="n">
        <v>20.25</v>
      </c>
      <c r="P8" s="193" t="n">
        <v>19</v>
      </c>
      <c r="Q8" s="193" t="n">
        <v>15</v>
      </c>
      <c r="R8" s="193" t="n">
        <v>11</v>
      </c>
      <c r="S8" s="193" t="n">
        <v>7.5</v>
      </c>
      <c r="T8" s="194" t="n">
        <v>227.2</v>
      </c>
      <c r="U8" s="182" t="inlineStr">
        <is>
          <t>5% × Revenue</t>
        </is>
      </c>
    </row>
    <row r="9" ht="20" customHeight="1">
      <c r="B9" s="168" t="inlineStr">
        <is>
          <t>II.  ОБОРОТНЫЕ ОБЯЗАТЕЛЬСТВА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Accounts Payable (30% OpEx + P&amp;A)</t>
        </is>
      </c>
      <c r="D10" s="202" t="n">
        <v>6.64</v>
      </c>
      <c r="E10" s="202" t="n">
        <v>6.64</v>
      </c>
      <c r="F10" s="202" t="n">
        <v>6.64</v>
      </c>
      <c r="G10" s="202" t="n">
        <v>12.32</v>
      </c>
      <c r="H10" s="202" t="n">
        <v>11.22</v>
      </c>
      <c r="I10" s="202" t="n">
        <v>19.46</v>
      </c>
      <c r="J10" s="202" t="n">
        <v>17.99</v>
      </c>
      <c r="K10" s="202" t="n">
        <v>14.33</v>
      </c>
      <c r="L10" s="202" t="n">
        <v>15.06</v>
      </c>
      <c r="M10" s="202" t="n">
        <v>16.71</v>
      </c>
      <c r="N10" s="202" t="n">
        <v>21.84</v>
      </c>
      <c r="O10" s="202" t="n">
        <v>14.06</v>
      </c>
      <c r="P10" s="202" t="n">
        <v>33.51</v>
      </c>
      <c r="Q10" s="202" t="n">
        <v>32.05</v>
      </c>
      <c r="R10" s="202" t="n">
        <v>30.58</v>
      </c>
      <c r="S10" s="202" t="n">
        <v>29.3</v>
      </c>
      <c r="T10" s="203" t="n">
        <v>162.9</v>
      </c>
      <c r="U10" s="204" t="inlineStr">
        <is>
          <t>AP = 30% × (OpEx + P&amp;A)</t>
        </is>
      </c>
    </row>
    <row r="11" ht="20" customHeight="1">
      <c r="B11" s="168" t="inlineStr">
        <is>
          <t>III.  NET WORKING CAPITAL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7" t="n"/>
    </row>
    <row r="12" ht="18" customHeight="1">
      <c r="B12" s="195" t="inlineStr">
        <is>
          <t>3.1</t>
        </is>
      </c>
      <c r="C12" s="196" t="inlineStr">
        <is>
          <t>NWC = AR + Prepaid − AP</t>
        </is>
      </c>
      <c r="D12" s="197" t="n">
        <v>-6.64</v>
      </c>
      <c r="E12" s="197" t="n">
        <v>-6.64</v>
      </c>
      <c r="F12" s="197" t="n">
        <v>-6.64</v>
      </c>
      <c r="G12" s="197" t="n">
        <v>80.68000000000001</v>
      </c>
      <c r="H12" s="197" t="n">
        <v>63.78</v>
      </c>
      <c r="I12" s="197" t="n">
        <v>190.54</v>
      </c>
      <c r="J12" s="197" t="n">
        <v>168.01</v>
      </c>
      <c r="K12" s="197" t="n">
        <v>111.67</v>
      </c>
      <c r="L12" s="197" t="n">
        <v>122.94</v>
      </c>
      <c r="M12" s="197" t="n">
        <v>148.29</v>
      </c>
      <c r="N12" s="197" t="n">
        <v>227.16</v>
      </c>
      <c r="O12" s="197" t="n">
        <v>107.44</v>
      </c>
      <c r="P12" s="197" t="n">
        <v>80.48999999999999</v>
      </c>
      <c r="Q12" s="197" t="n">
        <v>57.95</v>
      </c>
      <c r="R12" s="197" t="n">
        <v>35.42</v>
      </c>
      <c r="S12" s="197" t="n">
        <v>15.7</v>
      </c>
      <c r="T12" s="198" t="n">
        <v>1200.6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-6.64</v>
      </c>
      <c r="E13" s="197" t="n">
        <v>0</v>
      </c>
      <c r="F13" s="197" t="n">
        <v>0</v>
      </c>
      <c r="G13" s="197" t="n">
        <v>87.31999999999999</v>
      </c>
      <c r="H13" s="197" t="n">
        <v>-16.9</v>
      </c>
      <c r="I13" s="197" t="n">
        <v>126.76</v>
      </c>
      <c r="J13" s="197" t="n">
        <v>-22.53</v>
      </c>
      <c r="K13" s="197" t="n">
        <v>-56.34</v>
      </c>
      <c r="L13" s="197" t="n">
        <v>11.27</v>
      </c>
      <c r="M13" s="197" t="n">
        <v>25.35</v>
      </c>
      <c r="N13" s="197" t="n">
        <v>78.87</v>
      </c>
      <c r="O13" s="197" t="n">
        <v>-119.72</v>
      </c>
      <c r="P13" s="197" t="n">
        <v>-26.95</v>
      </c>
      <c r="Q13" s="197" t="n">
        <v>-22.54</v>
      </c>
      <c r="R13" s="197" t="n">
        <v>-22.53</v>
      </c>
      <c r="S13" s="197" t="n">
        <v>-19.72</v>
      </c>
      <c r="T13" s="198" t="n">
        <v>107.4</v>
      </c>
      <c r="U13" s="199" t="inlineStr">
        <is>
          <t>Рост NWC = отток cash</t>
        </is>
      </c>
    </row>
    <row r="14" ht="18" customHeight="1">
      <c r="B14" s="216" t="inlineStr">
        <is>
          <t>3.3</t>
        </is>
      </c>
      <c r="C14" s="217" t="inlineStr">
        <is>
          <t>Cash impact (−ΔNWC)</t>
        </is>
      </c>
      <c r="D14" s="198" t="n">
        <v>6.64</v>
      </c>
      <c r="E14" s="198" t="n">
        <v>0</v>
      </c>
      <c r="F14" s="198" t="n">
        <v>0</v>
      </c>
      <c r="G14" s="198" t="n">
        <v>-87.31999999999999</v>
      </c>
      <c r="H14" s="198" t="n">
        <v>16.9</v>
      </c>
      <c r="I14" s="198" t="n">
        <v>-126.76</v>
      </c>
      <c r="J14" s="198" t="n">
        <v>22.53</v>
      </c>
      <c r="K14" s="198" t="n">
        <v>56.34</v>
      </c>
      <c r="L14" s="198" t="n">
        <v>-11.27</v>
      </c>
      <c r="M14" s="198" t="n">
        <v>-25.35</v>
      </c>
      <c r="N14" s="198" t="n">
        <v>-78.87</v>
      </c>
      <c r="O14" s="198" t="n">
        <v>119.72</v>
      </c>
      <c r="P14" s="198" t="n">
        <v>26.95</v>
      </c>
      <c r="Q14" s="198" t="n">
        <v>22.54</v>
      </c>
      <c r="R14" s="198" t="n">
        <v>22.53</v>
      </c>
      <c r="S14" s="198" t="n">
        <v>19.72</v>
      </c>
      <c r="T14" s="198" t="n">
        <v>-107.4</v>
      </c>
      <c r="U14" s="183" t="inlineStr">
        <is>
          <t>Влияние на OCF: − при росте NWC</t>
        </is>
      </c>
    </row>
    <row r="16" ht="22" customHeight="1">
      <c r="B16" s="211" t="inlineStr">
        <is>
          <t>✓ NWC end Q4'28 = 107.4 млн ₽  |  Σ ΔNWC 2026–2028 = 107.4  |  Impact on CF: -107.4 млн ₽ (supplementary — не включено в simplified CF А.5)</t>
        </is>
      </c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5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DEBT SCHEDULE  ·  T₁ Legacy  ·  1 250 млн ₽  ·  4 tranches 20/28/28/24%</t>
        </is>
      </c>
    </row>
    <row r="3">
      <c r="B3" s="189" t="inlineStr">
        <is>
          <t>T₁ Legacy: bullet-loan структура с распределением через waterfall W₁ (60/40). Проценты — service fee 15 млн суммарно. Принципал возвращается 2029-2032. Все суммы — млн ₽.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DRAWDOWN (приток от инвестора)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205" t="inlineStr">
        <is>
          <t>1.1</t>
        </is>
      </c>
      <c r="C7" s="206" t="inlineStr">
        <is>
          <t>Opening balance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(servicing cost)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Interest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PRINCIPAL REPAYMENT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7" t="n"/>
    </row>
    <row r="13" ht="18" customHeight="1">
      <c r="B13" s="200" t="inlineStr">
        <is>
          <t>3.1</t>
        </is>
      </c>
      <c r="C13" s="201" t="inlineStr">
        <is>
          <t>(−) Principal repaid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ENDING BALANCE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7" t="n"/>
    </row>
    <row r="15" ht="18" customHeight="1">
      <c r="B15" s="195" t="inlineStr">
        <is>
          <t>4.1</t>
        </is>
      </c>
      <c r="C15" s="196" t="inlineStr">
        <is>
          <t>Closing principal balance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CUMULATIVE (контроль)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7" t="n"/>
    </row>
    <row r="17" ht="18" customHeight="1">
      <c r="B17" s="205" t="inlineStr">
        <is>
          <t>5.1</t>
        </is>
      </c>
      <c r="C17" s="206" t="inlineStr">
        <is>
          <t>Σ Cumulative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EQUITY UPSIDE (sharing profit component)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7" t="n"/>
    </row>
    <row r="21" ht="18" customHeight="1">
      <c r="B21" s="191" t="inlineStr">
        <is>
          <t>6.1</t>
        </is>
      </c>
      <c r="C21" s="192" t="inlineStr">
        <is>
          <t>Equity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equity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upside = 965.0 (target 965)  |  ✓ Balance 2032 = 0.00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5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INFLOW SCHEDULE  ·  T₁ Legacy Tranche Structure</t>
        </is>
      </c>
    </row>
    <row r="3">
      <c r="B3" s="189" t="inlineStr">
        <is>
          <t>4 tranches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TRANCHE SCHEDULE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7" t="n"/>
    </row>
    <row r="7" ht="22" customHeight="1">
      <c r="B7" s="205" t="inlineStr">
        <is>
          <t>T₁.1</t>
        </is>
      </c>
      <c r="C7" s="206" t="inlineStr">
        <is>
          <t>Транш №1 — 20% (Pre-production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F01-F02 (сценарии, кастинг, площадки)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F01-F03, постпродакшн F01, первый релиз F01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F05-F08, кассовые сборы F03-F05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F09-F12,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TRANCHES  (Т₁ Legacy total)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 &amp;  COVERAGE %</t>
        </is>
      </c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7" t="n"/>
    </row>
    <row r="14" ht="18" customHeight="1">
      <c r="B14" s="205" t="inlineStr">
        <is>
          <t>2.1</t>
        </is>
      </c>
      <c r="C14" s="213" t="inlineStr">
        <is>
          <t>Σ Cumulative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Coverage %  (drawn / total)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GOVERNANCE  &amp;  CONDITIONS</t>
        </is>
      </c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7" t="n"/>
    </row>
    <row r="18" ht="22" customHeight="1">
      <c r="B18" s="205" t="inlineStr">
        <is>
          <t>3.1</t>
        </is>
      </c>
      <c r="C18" s="213" t="inlineStr">
        <is>
          <t>Release condition для транша №1</t>
        </is>
      </c>
      <c r="D18" s="159" t="inlineStr">
        <is>
          <t>Подписание SPA + Investment Agreement, KYC/AML clearance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7" t="n"/>
    </row>
    <row r="19" ht="22" customHeight="1">
      <c r="B19" s="205" t="inlineStr">
        <is>
          <t>3.2</t>
        </is>
      </c>
      <c r="C19" s="213" t="inlineStr">
        <is>
          <t>Release condition для транша №2</t>
        </is>
      </c>
      <c r="D19" s="159" t="inlineStr">
        <is>
          <t>Завершение pre-production F01-F03, утверждение production budgets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7" t="n"/>
    </row>
    <row r="20" ht="22" customHeight="1">
      <c r="B20" s="205" t="inlineStr">
        <is>
          <t>3.3</t>
        </is>
      </c>
      <c r="C20" s="213" t="inlineStr">
        <is>
          <t>Release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7" t="n"/>
    </row>
    <row r="21" ht="22" customHeight="1">
      <c r="B21" s="205" t="inlineStr">
        <is>
          <t>3.4</t>
        </is>
      </c>
      <c r="C21" s="213" t="inlineStr">
        <is>
          <t>Release condition для транша №4</t>
        </is>
      </c>
      <c r="D21" s="159" t="inlineStr">
        <is>
          <t>Релиз ≥ 5 фильмов с совокупным RoI ≥ 1.2× (Q1-Q2 2028)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7" t="n"/>
    </row>
    <row r="22" ht="22" customHeight="1">
      <c r="B22" s="205" t="inlineStr">
        <is>
          <t>3.5</t>
        </is>
      </c>
      <c r="C22" s="213" t="inlineStr">
        <is>
          <t>Reporting cadence</t>
        </is>
      </c>
      <c r="D22" s="159" t="inlineStr">
        <is>
          <t>Ежеквартальный financial report + KPI dashboard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7" t="n"/>
    </row>
    <row r="23" ht="22" customHeight="1">
      <c r="B23" s="205" t="inlineStr">
        <is>
          <t>3.6</t>
        </is>
      </c>
      <c r="C23" s="213" t="inlineStr">
        <is>
          <t>Information rights</t>
        </is>
      </c>
      <c r="D23" s="159" t="inlineStr">
        <is>
          <t>Read-only доступ к производственным треккерам и бухгалтерии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7" t="n"/>
    </row>
    <row r="24" ht="22" customHeight="1">
      <c r="B24" s="205" t="inlineStr">
        <is>
          <t>3.7</t>
        </is>
      </c>
      <c r="C24" s="213" t="inlineStr">
        <is>
          <t>Termination clause</t>
        </is>
      </c>
      <c r="D24" s="159" t="inlineStr">
        <is>
          <t>При срыве milestone 2-х кварталов подряд — right to exit по fair value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7" t="n"/>
    </row>
    <row r="26" ht="22" customHeight="1">
      <c r="B26" s="211" t="inlineStr">
        <is>
          <t>✓ Σ Tranches = 1 250 млн ₽  (20% + 28% + 28% + 24% = 100%)  |  Matches T₁ Legacy invariant &amp; 10_Cash_Flow 3.1</t>
        </is>
      </c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5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USE OF FUNDS  ·  Распределение 1 250 млн ₽ инвестиций</t>
        </is>
      </c>
    </row>
    <row r="3">
      <c r="B3" s="189" t="inlineStr">
        <is>
          <t>Разбивка инвестиционного тикета T₁ Legacy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Min (−10%)</t>
        </is>
      </c>
      <c r="G5" s="166" t="inlineStr">
        <is>
          <t>Max (+10%)</t>
        </is>
      </c>
      <c r="H5" s="166" t="inlineStr">
        <is>
          <t>Allowance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Flex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 (съёмочный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Flex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Flex ±10%</t>
        </is>
      </c>
      <c r="I8" s="159" t="inlineStr">
        <is>
          <t>Монтаж, цветокоррекция, VFX,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Capped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Investment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ANCHOR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(1 250) → Full Production Budget (1 850)</t>
        </is>
      </c>
      <c r="C12" s="186" t="n"/>
      <c r="D12" s="186" t="n"/>
      <c r="E12" s="186" t="n"/>
      <c r="F12" s="186" t="n"/>
      <c r="G12" s="186" t="n"/>
      <c r="H12" s="186" t="n"/>
      <c r="I12" s="187" t="n"/>
    </row>
    <row r="13" ht="22" customHeight="1">
      <c r="B13" s="205" t="inlineStr">
        <is>
          <t>B.1</t>
        </is>
      </c>
      <c r="C13" s="206" t="inlineStr">
        <is>
          <t>T₁ Legacy Investor contribution</t>
        </is>
      </c>
      <c r="D13" s="187" t="n"/>
      <c r="E13" s="207" t="n">
        <v>1250</v>
      </c>
      <c r="F13" s="186" t="n"/>
      <c r="G13" s="187" t="n"/>
      <c r="H13" s="159" t="inlineStr">
        <is>
          <t>Основной тикет инвестора (67.6%)</t>
        </is>
      </c>
      <c r="I13" s="187" t="n"/>
    </row>
    <row r="14" ht="22" customHeight="1">
      <c r="B14" s="205" t="inlineStr">
        <is>
          <t>B.2</t>
        </is>
      </c>
      <c r="C14" s="206" t="inlineStr">
        <is>
          <t>(+) Producer equity (JV capital)</t>
        </is>
      </c>
      <c r="D14" s="187" t="n"/>
      <c r="E14" s="207" t="n">
        <v>600</v>
      </c>
      <c r="F14" s="186" t="n"/>
      <c r="G14" s="187" t="n"/>
      <c r="H14" s="159" t="inlineStr">
        <is>
          <t>Собственные средства продюсера (32.4%)</t>
        </is>
      </c>
      <c r="I14" s="187" t="n"/>
    </row>
    <row r="15" ht="22" customHeight="1">
      <c r="B15" s="216" t="inlineStr">
        <is>
          <t>=</t>
        </is>
      </c>
      <c r="C15" s="217" t="inlineStr">
        <is>
          <t>Full production budget  (12 films × avg 154)</t>
        </is>
      </c>
      <c r="D15" s="187" t="n"/>
      <c r="E15" s="198" t="n">
        <v>1850</v>
      </c>
      <c r="F15" s="186" t="n"/>
      <c r="G15" s="187" t="n"/>
      <c r="H15" s="183" t="inlineStr">
        <is>
          <t>★ Σ расходов на производство</t>
        </is>
      </c>
      <c r="I15" s="187" t="n"/>
    </row>
    <row r="16" ht="22" customHeight="1">
      <c r="B16" s="205" t="inlineStr">
        <is>
          <t>B.3</t>
        </is>
      </c>
      <c r="C16" s="206" t="inlineStr">
        <is>
          <t>(+) P&amp;A expenditure (separate from CAPEX)</t>
        </is>
      </c>
      <c r="D16" s="187" t="n"/>
      <c r="E16" s="207" t="n">
        <v>277.5</v>
      </c>
      <c r="F16" s="186" t="n"/>
      <c r="G16" s="187" t="n"/>
      <c r="H16" s="159" t="inlineStr">
        <is>
          <t>Prints &amp; Advertising, финансируется из cashflow</t>
        </is>
      </c>
      <c r="I16" s="187" t="n"/>
    </row>
    <row r="17" ht="22" customHeight="1">
      <c r="B17" s="216" t="inlineStr">
        <is>
          <t>=</t>
        </is>
      </c>
      <c r="C17" s="217" t="inlineStr">
        <is>
          <t>Total content-related costs</t>
        </is>
      </c>
      <c r="D17" s="187" t="n"/>
      <c r="E17" s="198" t="n">
        <v>2127.5</v>
      </c>
      <c r="F17" s="186" t="n"/>
      <c r="G17" s="187" t="n"/>
      <c r="H17" s="183">
        <f> COGS в P&amp;L</f>
        <v/>
      </c>
      <c r="I17" s="187" t="n"/>
    </row>
    <row r="19" ht="22" customHeight="1">
      <c r="B19" s="211" t="inlineStr">
        <is>
          <t>✓ Σ Use of Funds = 1 250 (5+65+20+10%)  |  Bridge: 1 250 + 600 = 1 850 (budget)  |  + P&amp;A 277.5 = 2 127.5 (COGS в P&amp;L)</t>
        </is>
      </c>
      <c r="C19" s="188" t="n"/>
      <c r="D19" s="188" t="n"/>
      <c r="E19" s="188" t="n"/>
      <c r="F19" s="188" t="n"/>
      <c r="G19" s="188" t="n"/>
      <c r="H19" s="188" t="n"/>
      <c r="I19" s="185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12 фильмов × timeline (pre-prod / prod / post) по кварталам</t>
        </is>
      </c>
    </row>
    <row r="3">
      <c r="B3" s="189" t="inlineStr">
        <is>
          <t>Распределение производственных затрат по фильмам и кварталам. Σ production CAPEX = 1 850 млн ₽ (consistent с 10_Cash_Flow 2.1). Все суммы — млн ₽.</t>
        </is>
      </c>
    </row>
    <row r="5" ht="22" customHeight="1">
      <c r="B5" s="166" t="inlineStr">
        <is>
          <t>#</t>
        </is>
      </c>
      <c r="C5" s="190" t="inlineStr">
        <is>
          <t>Film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F01</t>
        </is>
      </c>
      <c r="C6" s="206" t="inlineStr">
        <is>
          <t>Родные стены</t>
        </is>
      </c>
      <c r="D6" s="202" t="n">
        <v>7.5</v>
      </c>
      <c r="E6" s="202" t="n">
        <v>67.5</v>
      </c>
      <c r="F6" s="202" t="n">
        <v>52.5</v>
      </c>
      <c r="G6" s="202" t="n">
        <v>22.5</v>
      </c>
      <c r="H6" s="207" t="inlineStr"/>
      <c r="I6" s="207" t="inlineStr"/>
      <c r="J6" s="207" t="inlineStr"/>
      <c r="K6" s="207" t="inlineStr"/>
      <c r="L6" s="207" t="inlineStr"/>
      <c r="M6" s="207" t="inlineStr"/>
      <c r="N6" s="207" t="inlineStr"/>
      <c r="O6" s="207" t="inlineStr"/>
      <c r="P6" s="197" t="n">
        <v>150</v>
      </c>
      <c r="Q6" s="205" t="inlineStr">
        <is>
          <t>Q4'26</t>
        </is>
      </c>
      <c r="R6" s="223" t="inlineStr">
        <is>
          <t>A</t>
        </is>
      </c>
    </row>
    <row r="7" ht="20" customHeight="1">
      <c r="B7" s="212" t="inlineStr">
        <is>
          <t>F02</t>
        </is>
      </c>
      <c r="C7" s="206" t="inlineStr">
        <is>
          <t>Два сердца</t>
        </is>
      </c>
      <c r="D7" s="224" t="inlineStr"/>
      <c r="E7" s="202" t="n">
        <v>5</v>
      </c>
      <c r="F7" s="202" t="n">
        <v>45</v>
      </c>
      <c r="G7" s="202" t="n">
        <v>35</v>
      </c>
      <c r="H7" s="202" t="n">
        <v>15</v>
      </c>
      <c r="I7" s="207" t="inlineStr"/>
      <c r="J7" s="207" t="inlineStr"/>
      <c r="K7" s="207" t="inlineStr"/>
      <c r="L7" s="207" t="inlineStr"/>
      <c r="M7" s="207" t="inlineStr"/>
      <c r="N7" s="207" t="inlineStr"/>
      <c r="O7" s="207" t="inlineStr"/>
      <c r="P7" s="197" t="n">
        <v>100</v>
      </c>
      <c r="Q7" s="205" t="inlineStr">
        <is>
          <t>Q1'27</t>
        </is>
      </c>
      <c r="R7" s="223" t="inlineStr">
        <is>
          <t>B</t>
        </is>
      </c>
    </row>
    <row r="8" ht="20" customHeight="1">
      <c r="B8" s="212" t="inlineStr">
        <is>
          <t>F03</t>
        </is>
      </c>
      <c r="C8" s="206" t="inlineStr">
        <is>
          <t>Ночной патруль</t>
        </is>
      </c>
      <c r="D8" s="224" t="inlineStr"/>
      <c r="E8" s="207" t="inlineStr"/>
      <c r="F8" s="202" t="n">
        <v>11</v>
      </c>
      <c r="G8" s="202" t="n">
        <v>99</v>
      </c>
      <c r="H8" s="202" t="n">
        <v>77</v>
      </c>
      <c r="I8" s="202" t="n">
        <v>33</v>
      </c>
      <c r="J8" s="207" t="inlineStr"/>
      <c r="K8" s="207" t="inlineStr"/>
      <c r="L8" s="207" t="inlineStr"/>
      <c r="M8" s="207" t="inlineStr"/>
      <c r="N8" s="207" t="inlineStr"/>
      <c r="O8" s="207" t="inlineStr"/>
      <c r="P8" s="197" t="n">
        <v>220</v>
      </c>
      <c r="Q8" s="205" t="inlineStr">
        <is>
          <t>Q2'27</t>
        </is>
      </c>
      <c r="R8" s="223" t="inlineStr">
        <is>
          <t>A+</t>
        </is>
      </c>
    </row>
    <row r="9" ht="20" customHeight="1">
      <c r="B9" s="212" t="inlineStr">
        <is>
          <t>F04</t>
        </is>
      </c>
      <c r="C9" s="206" t="inlineStr">
        <is>
          <t>Последний экзамен</t>
        </is>
      </c>
      <c r="D9" s="224" t="inlineStr"/>
      <c r="E9" s="207" t="inlineStr"/>
      <c r="F9" s="202" t="n">
        <v>4.5</v>
      </c>
      <c r="G9" s="202" t="n">
        <v>40.5</v>
      </c>
      <c r="H9" s="202" t="n">
        <v>31.5</v>
      </c>
      <c r="I9" s="202" t="n">
        <v>13.5</v>
      </c>
      <c r="J9" s="207" t="inlineStr"/>
      <c r="K9" s="207" t="inlineStr"/>
      <c r="L9" s="207" t="inlineStr"/>
      <c r="M9" s="207" t="inlineStr"/>
      <c r="N9" s="207" t="inlineStr"/>
      <c r="O9" s="207" t="inlineStr"/>
      <c r="P9" s="197" t="n">
        <v>90</v>
      </c>
      <c r="Q9" s="205" t="inlineStr">
        <is>
          <t>Q2'27</t>
        </is>
      </c>
      <c r="R9" s="223" t="inlineStr">
        <is>
          <t>B</t>
        </is>
      </c>
    </row>
    <row r="10" ht="20" customHeight="1">
      <c r="B10" s="212" t="inlineStr">
        <is>
          <t>F05</t>
        </is>
      </c>
      <c r="C10" s="206" t="inlineStr">
        <is>
          <t>Время героев</t>
        </is>
      </c>
      <c r="D10" s="224" t="inlineStr"/>
      <c r="E10" s="207" t="inlineStr"/>
      <c r="F10" s="207" t="inlineStr"/>
      <c r="G10" s="202" t="n">
        <v>12.5</v>
      </c>
      <c r="H10" s="202" t="n">
        <v>112.5</v>
      </c>
      <c r="I10" s="202" t="n">
        <v>87.5</v>
      </c>
      <c r="J10" s="202" t="n">
        <v>37.5</v>
      </c>
      <c r="K10" s="207" t="inlineStr"/>
      <c r="L10" s="207" t="inlineStr"/>
      <c r="M10" s="207" t="inlineStr"/>
      <c r="N10" s="207" t="inlineStr"/>
      <c r="O10" s="207" t="inlineStr"/>
      <c r="P10" s="197" t="n">
        <v>250</v>
      </c>
      <c r="Q10" s="205" t="inlineStr">
        <is>
          <t>Q3'27</t>
        </is>
      </c>
      <c r="R10" s="223" t="inlineStr">
        <is>
          <t>A+</t>
        </is>
      </c>
    </row>
    <row r="11" ht="20" customHeight="1">
      <c r="B11" s="212" t="inlineStr">
        <is>
          <t>F06</t>
        </is>
      </c>
      <c r="C11" s="206" t="inlineStr">
        <is>
          <t>Красная заря</t>
        </is>
      </c>
      <c r="D11" s="224" t="inlineStr"/>
      <c r="E11" s="207" t="inlineStr"/>
      <c r="F11" s="207" t="inlineStr"/>
      <c r="G11" s="207" t="inlineStr"/>
      <c r="H11" s="202" t="n">
        <v>9</v>
      </c>
      <c r="I11" s="202" t="n">
        <v>81</v>
      </c>
      <c r="J11" s="202" t="n">
        <v>63</v>
      </c>
      <c r="K11" s="202" t="n">
        <v>27</v>
      </c>
      <c r="L11" s="207" t="inlineStr"/>
      <c r="M11" s="207" t="inlineStr"/>
      <c r="N11" s="207" t="inlineStr"/>
      <c r="O11" s="207" t="inlineStr"/>
      <c r="P11" s="197" t="n">
        <v>180</v>
      </c>
      <c r="Q11" s="205" t="inlineStr">
        <is>
          <t>Q4'27</t>
        </is>
      </c>
      <c r="R11" s="223" t="inlineStr">
        <is>
          <t>A</t>
        </is>
      </c>
    </row>
    <row r="12" ht="20" customHeight="1">
      <c r="B12" s="212" t="inlineStr">
        <is>
          <t>F07</t>
        </is>
      </c>
      <c r="C12" s="206" t="inlineStr">
        <is>
          <t>Сказка наяву</t>
        </is>
      </c>
      <c r="D12" s="224" t="inlineStr"/>
      <c r="E12" s="207" t="inlineStr"/>
      <c r="F12" s="207" t="inlineStr"/>
      <c r="G12" s="207" t="inlineStr"/>
      <c r="H12" s="207" t="inlineStr"/>
      <c r="I12" s="202" t="n">
        <v>8.5</v>
      </c>
      <c r="J12" s="202" t="n">
        <v>76.5</v>
      </c>
      <c r="K12" s="202" t="n">
        <v>59.5</v>
      </c>
      <c r="L12" s="202" t="n">
        <v>25.5</v>
      </c>
      <c r="M12" s="207" t="inlineStr"/>
      <c r="N12" s="207" t="inlineStr"/>
      <c r="O12" s="207" t="inlineStr"/>
      <c r="P12" s="197" t="n">
        <v>170</v>
      </c>
      <c r="Q12" s="205" t="inlineStr">
        <is>
          <t>Q1'28</t>
        </is>
      </c>
      <c r="R12" s="223" t="inlineStr">
        <is>
          <t>A</t>
        </is>
      </c>
    </row>
    <row r="13" ht="20" customHeight="1">
      <c r="B13" s="212" t="inlineStr">
        <is>
          <t>F08</t>
        </is>
      </c>
      <c r="C13" s="206" t="inlineStr">
        <is>
          <t>Неизвестный герой</t>
        </is>
      </c>
      <c r="D13" s="224" t="inlineStr"/>
      <c r="E13" s="207" t="inlineStr"/>
      <c r="F13" s="207" t="inlineStr"/>
      <c r="G13" s="207" t="inlineStr"/>
      <c r="H13" s="207" t="inlineStr"/>
      <c r="I13" s="207" t="inlineStr"/>
      <c r="J13" s="202" t="n">
        <v>6.5</v>
      </c>
      <c r="K13" s="202" t="n">
        <v>58.5</v>
      </c>
      <c r="L13" s="202" t="n">
        <v>45.5</v>
      </c>
      <c r="M13" s="202" t="n">
        <v>19.5</v>
      </c>
      <c r="N13" s="207" t="inlineStr"/>
      <c r="O13" s="207" t="inlineStr"/>
      <c r="P13" s="197" t="n">
        <v>130</v>
      </c>
      <c r="Q13" s="205" t="inlineStr">
        <is>
          <t>Q2'28</t>
        </is>
      </c>
      <c r="R13" s="223" t="inlineStr">
        <is>
          <t>B+</t>
        </is>
      </c>
    </row>
    <row r="14" ht="20" customHeight="1">
      <c r="B14" s="212" t="inlineStr">
        <is>
          <t>F09</t>
        </is>
      </c>
      <c r="C14" s="206" t="inlineStr">
        <is>
          <t>Моё дело</t>
        </is>
      </c>
      <c r="D14" s="224" t="inlineStr"/>
      <c r="E14" s="207" t="inlineStr"/>
      <c r="F14" s="207" t="inlineStr"/>
      <c r="G14" s="207" t="inlineStr"/>
      <c r="H14" s="207" t="inlineStr"/>
      <c r="I14" s="207" t="inlineStr"/>
      <c r="J14" s="202" t="n">
        <v>4</v>
      </c>
      <c r="K14" s="202" t="n">
        <v>36</v>
      </c>
      <c r="L14" s="202" t="n">
        <v>28</v>
      </c>
      <c r="M14" s="202" t="n">
        <v>12</v>
      </c>
      <c r="N14" s="207" t="inlineStr"/>
      <c r="O14" s="207" t="inlineStr"/>
      <c r="P14" s="197" t="n">
        <v>80</v>
      </c>
      <c r="Q14" s="205" t="inlineStr">
        <is>
          <t>Q2'28</t>
        </is>
      </c>
      <c r="R14" s="223" t="inlineStr">
        <is>
          <t>B</t>
        </is>
      </c>
    </row>
    <row r="15" ht="20" customHeight="1">
      <c r="B15" s="212" t="inlineStr">
        <is>
          <t>F10</t>
        </is>
      </c>
      <c r="C15" s="206" t="inlineStr">
        <is>
          <t>Северный ветер</t>
        </is>
      </c>
      <c r="D15" s="224" t="inlineStr"/>
      <c r="E15" s="207" t="inlineStr"/>
      <c r="F15" s="207" t="inlineStr"/>
      <c r="G15" s="207" t="inlineStr"/>
      <c r="H15" s="207" t="inlineStr"/>
      <c r="I15" s="207" t="inlineStr"/>
      <c r="J15" s="207" t="inlineStr"/>
      <c r="K15" s="202" t="n">
        <v>9</v>
      </c>
      <c r="L15" s="202" t="n">
        <v>81</v>
      </c>
      <c r="M15" s="202" t="n">
        <v>63</v>
      </c>
      <c r="N15" s="202" t="n">
        <v>27</v>
      </c>
      <c r="O15" s="207" t="inlineStr"/>
      <c r="P15" s="197" t="n">
        <v>180</v>
      </c>
      <c r="Q15" s="205" t="inlineStr">
        <is>
          <t>Q3'28</t>
        </is>
      </c>
      <c r="R15" s="223" t="inlineStr">
        <is>
          <t>A</t>
        </is>
      </c>
    </row>
    <row r="16" ht="20" customHeight="1">
      <c r="B16" s="212" t="inlineStr">
        <is>
          <t>F11</t>
        </is>
      </c>
      <c r="C16" s="206" t="inlineStr">
        <is>
          <t>Полдень</t>
        </is>
      </c>
      <c r="D16" s="224" t="inlineStr"/>
      <c r="E16" s="207" t="inlineStr"/>
      <c r="F16" s="207" t="inlineStr"/>
      <c r="G16" s="207" t="inlineStr"/>
      <c r="H16" s="207" t="inlineStr"/>
      <c r="I16" s="207" t="inlineStr"/>
      <c r="J16" s="207" t="inlineStr"/>
      <c r="K16" s="202" t="n">
        <v>7</v>
      </c>
      <c r="L16" s="202" t="n">
        <v>63</v>
      </c>
      <c r="M16" s="202" t="n">
        <v>49</v>
      </c>
      <c r="N16" s="202" t="n">
        <v>21</v>
      </c>
      <c r="O16" s="207" t="inlineStr"/>
      <c r="P16" s="197" t="n">
        <v>140</v>
      </c>
      <c r="Q16" s="205" t="inlineStr">
        <is>
          <t>Q3'28</t>
        </is>
      </c>
      <c r="R16" s="223" t="inlineStr">
        <is>
          <t>B+</t>
        </is>
      </c>
    </row>
    <row r="17" ht="20" customHeight="1">
      <c r="B17" s="212" t="inlineStr">
        <is>
          <t>F12</t>
        </is>
      </c>
      <c r="C17" s="206" t="inlineStr">
        <is>
          <t>Горизонт событий</t>
        </is>
      </c>
      <c r="D17" s="224" t="inlineStr"/>
      <c r="E17" s="207" t="inlineStr"/>
      <c r="F17" s="207" t="inlineStr"/>
      <c r="G17" s="207" t="inlineStr"/>
      <c r="H17" s="207" t="inlineStr"/>
      <c r="I17" s="207" t="inlineStr"/>
      <c r="J17" s="207" t="inlineStr"/>
      <c r="K17" s="207" t="inlineStr"/>
      <c r="L17" s="202" t="n">
        <v>8</v>
      </c>
      <c r="M17" s="202" t="n">
        <v>72</v>
      </c>
      <c r="N17" s="202" t="n">
        <v>56</v>
      </c>
      <c r="O17" s="202" t="n">
        <v>24</v>
      </c>
      <c r="P17" s="197" t="n">
        <v>160</v>
      </c>
      <c r="Q17" s="205" t="inlineStr">
        <is>
          <t>Q4'28</t>
        </is>
      </c>
      <c r="R17" s="223" t="inlineStr">
        <is>
          <t>A</t>
        </is>
      </c>
    </row>
    <row r="18" ht="24" customHeight="1">
      <c r="B18" s="216" t="inlineStr">
        <is>
          <t>Σ</t>
        </is>
      </c>
      <c r="C18" s="217" t="inlineStr">
        <is>
          <t>ИТОГО Production CAPEX</t>
        </is>
      </c>
      <c r="D18" s="198" t="n">
        <v>7.5</v>
      </c>
      <c r="E18" s="198" t="n">
        <v>72.5</v>
      </c>
      <c r="F18" s="198" t="n">
        <v>113</v>
      </c>
      <c r="G18" s="198" t="n">
        <v>209.5</v>
      </c>
      <c r="H18" s="198" t="n">
        <v>245</v>
      </c>
      <c r="I18" s="198" t="n">
        <v>223.5</v>
      </c>
      <c r="J18" s="198" t="n">
        <v>187.5</v>
      </c>
      <c r="K18" s="198" t="n">
        <v>197</v>
      </c>
      <c r="L18" s="198" t="n">
        <v>251</v>
      </c>
      <c r="M18" s="198" t="n">
        <v>215.5</v>
      </c>
      <c r="N18" s="198" t="n">
        <v>104</v>
      </c>
      <c r="O18" s="198" t="n">
        <v>24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(target: 1 850)  |  2026: 402  ·  2027: 853  ·  2028: 594</t>
        </is>
      </c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8" t="n"/>
      <c r="O20" s="188" t="n"/>
      <c r="P20" s="188" t="n"/>
      <c r="Q20" s="188" t="n"/>
      <c r="R20" s="185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DEAL STRUCTURES  ·  T₁ Legacy  &amp;  T₂ New (параллельные тикеты)</t>
        </is>
      </c>
    </row>
    <row r="3">
      <c r="B3" s="189" t="inlineStr">
        <is>
          <t>Два независимых инструмента: T₁ Legacy (anchor 1 250, senior) и T₂ New (500, slider 20% equity).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 t="n"/>
      <c r="D6" s="186" t="n"/>
      <c r="E6" s="186" t="n"/>
      <c r="F6" s="187" t="n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slider,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upside</t>
        </is>
      </c>
    </row>
    <row r="10" ht="22" customHeight="1">
      <c r="B10" s="205" t="inlineStr">
        <is>
          <t>1.4</t>
        </is>
      </c>
      <c r="C10" s="213" t="inlineStr">
        <is>
          <t>Seniority</t>
        </is>
      </c>
      <c r="D10" s="225" t="inlineStr">
        <is>
          <t>Senior (1L)</t>
        </is>
      </c>
      <c r="E10" s="226" t="inlineStr">
        <is>
          <t>Pari-passu</t>
        </is>
      </c>
      <c r="F10" s="159" t="inlineStr">
        <is>
          <t>T₁ — приоритет, T₂ — equity</t>
        </is>
      </c>
    </row>
    <row r="11" ht="22" customHeight="1">
      <c r="B11" s="205" t="inlineStr">
        <is>
          <t>1.5</t>
        </is>
      </c>
      <c r="C11" s="213" t="inlineStr">
        <is>
          <t>Tranche schedule</t>
        </is>
      </c>
      <c r="D11" s="225" t="inlineStr">
        <is>
          <t>4 × (20/28/28/24)%</t>
        </is>
      </c>
      <c r="E11" s="226" t="inlineStr">
        <is>
          <t>Single disbursement</t>
        </is>
      </c>
      <c r="F11" s="159" t="inlineStr">
        <is>
          <t>T₁ milestone-based; T₂ — cash upfront</t>
        </is>
      </c>
    </row>
    <row r="12" ht="22" customHeight="1">
      <c r="B12" s="205" t="inlineStr">
        <is>
          <t>1.6</t>
        </is>
      </c>
      <c r="C12" s="213" t="inlineStr">
        <is>
          <t>Service fee / coupon</t>
        </is>
      </c>
      <c r="D12" s="225" t="inlineStr">
        <is>
          <t>Service fee 15 млн</t>
        </is>
      </c>
      <c r="E12" s="226" t="inlineStr">
        <is>
          <t>8% cumulative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 t="n"/>
      <c r="D13" s="186" t="n"/>
      <c r="E13" s="186" t="n"/>
      <c r="F13" s="187" t="n"/>
    </row>
    <row r="14" ht="22" customHeight="1">
      <c r="B14" s="205" t="inlineStr">
        <is>
          <t>2.1</t>
        </is>
      </c>
      <c r="C14" s="213" t="inlineStr">
        <is>
          <t>Recoupment priority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order</t>
        </is>
      </c>
    </row>
    <row r="15" ht="22" customHeight="1">
      <c r="B15" s="205" t="inlineStr">
        <is>
          <t>2.2</t>
        </is>
      </c>
      <c r="C15" s="213" t="inlineStr">
        <is>
          <t>Preferred return</t>
        </is>
      </c>
      <c r="D15" s="225" t="inlineStr">
        <is>
          <t>—</t>
        </is>
      </c>
      <c r="E15" s="226" t="inlineStr">
        <is>
          <t>8 % cumulative</t>
        </is>
      </c>
      <c r="F15" s="159" t="inlineStr">
        <is>
          <t>До equity conversion</t>
        </is>
      </c>
    </row>
    <row r="16" ht="22" customHeight="1">
      <c r="B16" s="205" t="inlineStr">
        <is>
          <t>2.3</t>
        </is>
      </c>
      <c r="C16" s="213" t="inlineStr">
        <is>
          <t>Waterfall split</t>
        </is>
      </c>
      <c r="D16" s="225" t="inlineStr">
        <is>
          <t>60 / 40 (Inv/Prod)</t>
        </is>
      </c>
      <c r="E16" s="226" t="inlineStr">
        <is>
          <t>50 / 50 pro-rata</t>
        </is>
      </c>
      <c r="F16" s="159" t="inlineStr">
        <is>
          <t>По default сценарию W₁</t>
        </is>
      </c>
    </row>
    <row r="17" ht="22" customHeight="1">
      <c r="B17" s="205" t="inlineStr">
        <is>
          <t>2.4</t>
        </is>
      </c>
      <c r="C17" s="213" t="inlineStr">
        <is>
          <t>Exit trigger</t>
        </is>
      </c>
      <c r="D17" s="225" t="inlineStr">
        <is>
          <t>2029-2032 tail</t>
        </is>
      </c>
      <c r="E17" s="226" t="inlineStr">
        <is>
          <t>Event-based (IPO/M&amp;A)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Conversion mechanics</t>
        </is>
      </c>
      <c r="D18" s="225" t="inlineStr">
        <is>
          <t>Bullet repayment</t>
        </is>
      </c>
      <c r="E18" s="226" t="inlineStr">
        <is>
          <t>Equity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 t="n"/>
      <c r="D19" s="186" t="n"/>
      <c r="E19" s="186" t="n"/>
      <c r="F19" s="187" t="n"/>
    </row>
    <row r="20" ht="22" customHeight="1">
      <c r="B20" s="205" t="inlineStr">
        <is>
          <t>3.1</t>
        </is>
      </c>
      <c r="C20" s="213" t="inlineStr">
        <is>
          <t>Reporting</t>
        </is>
      </c>
      <c r="D20" s="225" t="inlineStr">
        <is>
          <t>Quarterly financial</t>
        </is>
      </c>
      <c r="E20" s="226" t="inlineStr">
        <is>
          <t>Quarterly + board seat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Information rights</t>
        </is>
      </c>
      <c r="D21" s="225" t="inlineStr">
        <is>
          <t>Read-only</t>
        </is>
      </c>
      <c r="E21" s="226" t="inlineStr">
        <is>
          <t>Full + veto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/ Tag-along</t>
        </is>
      </c>
      <c r="D22" s="225" t="inlineStr">
        <is>
          <t>Standard</t>
        </is>
      </c>
      <c r="E22" s="226" t="inlineStr">
        <is>
          <t>Drag + ROFR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Termination</t>
        </is>
      </c>
      <c r="D24" s="225" t="inlineStr">
        <is>
          <t>Milestone default</t>
        </is>
      </c>
      <c r="E24" s="226" t="inlineStr">
        <is>
          <t>Material breach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ENVELOPE</t>
        </is>
      </c>
      <c r="C26" s="186" t="n"/>
      <c r="D26" s="186" t="n"/>
      <c r="E26" s="186" t="n"/>
      <c r="F26" s="187" t="n"/>
    </row>
    <row r="27" ht="22" customHeight="1">
      <c r="B27" s="205" t="inlineStr">
        <is>
          <t>4.1</t>
        </is>
      </c>
      <c r="C27" s="206" t="inlineStr">
        <is>
          <t>T₁ Legacy только</t>
        </is>
      </c>
      <c r="D27" s="205" t="inlineStr">
        <is>
          <t>1 250 млн ₽</t>
        </is>
      </c>
      <c r="E27" s="187" t="n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 t="n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</t>
        </is>
      </c>
      <c r="D29" s="205" t="inlineStr">
        <is>
          <t>500 млн ₽</t>
        </is>
      </c>
      <c r="E29" s="187" t="n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(off-P&amp;L)</t>
        </is>
      </c>
      <c r="D30" s="205" t="inlineStr">
        <is>
          <t>600 млн ₽</t>
        </is>
      </c>
      <c r="E30" s="187" t="n"/>
      <c r="F30" s="159" t="inlineStr">
        <is>
          <t>JV capital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capital to production</t>
        </is>
      </c>
      <c r="D31" s="216" t="inlineStr">
        <is>
          <t>2 350 млн ₽</t>
        </is>
      </c>
      <c r="E31" s="187" t="n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CAPITALIZATION TABLE  ·  Ownership Structure (2 сценария)</t>
        </is>
      </c>
    </row>
    <row r="3">
      <c r="B3" s="189" t="inlineStr">
        <is>
          <t>Сценарий A: Только T₁ Legacy (1 250 млн, 30% equity).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Shareholder</t>
        </is>
      </c>
      <c r="D6" s="166" t="inlineStr">
        <is>
          <t>Pre-money vkl, млн ₽</t>
        </is>
      </c>
      <c r="E6" s="166" t="inlineStr">
        <is>
          <t>Shares</t>
        </is>
      </c>
      <c r="F6" s="166" t="inlineStr">
        <is>
          <t>Ownership %</t>
        </is>
      </c>
      <c r="G6" s="187" t="n"/>
      <c r="H6" s="166" t="inlineStr">
        <is>
          <t>Post-money val, млн ₽</t>
        </is>
      </c>
      <c r="I6" s="187" t="n"/>
      <c r="J6" s="167" t="inlineStr">
        <is>
          <t>Comment</t>
        </is>
      </c>
    </row>
    <row r="7" ht="22" customHeight="1">
      <c r="B7" s="205" t="inlineStr">
        <is>
          <t>A.1</t>
        </is>
      </c>
      <c r="C7" s="206" t="inlineStr">
        <is>
          <t>Founder / Producer</t>
        </is>
      </c>
      <c r="D7" s="207" t="n">
        <v>2917</v>
      </c>
      <c r="E7" s="227" t="n">
        <v>7000</v>
      </c>
      <c r="F7" s="228" t="n">
        <v>70</v>
      </c>
      <c r="G7" s="187" t="n"/>
      <c r="H7" s="207" t="n">
        <v>2917</v>
      </c>
      <c r="I7" s="187" t="n"/>
      <c r="J7" s="159" t="inlineStr">
        <is>
          <t>Pre-money equity</t>
        </is>
      </c>
    </row>
    <row r="8" ht="22" customHeight="1">
      <c r="B8" s="205" t="inlineStr">
        <is>
          <t>A.2</t>
        </is>
      </c>
      <c r="C8" s="206" t="inlineStr">
        <is>
          <t>T₁ Legacy Investor</t>
        </is>
      </c>
      <c r="D8" s="207" t="n">
        <v>1250</v>
      </c>
      <c r="E8" s="227" t="n">
        <v>3000</v>
      </c>
      <c r="F8" s="228" t="n">
        <v>30</v>
      </c>
      <c r="G8" s="187" t="n"/>
      <c r="H8" s="207" t="n">
        <v>1250</v>
      </c>
      <c r="I8" s="187" t="n"/>
      <c r="J8" s="159" t="inlineStr">
        <is>
          <t>New money, 30% stake</t>
        </is>
      </c>
    </row>
    <row r="9" ht="22" customHeight="1">
      <c r="B9" s="216" t="inlineStr">
        <is>
          <t>Σ</t>
        </is>
      </c>
      <c r="C9" s="217" t="inlineStr">
        <is>
          <t>TOTAL</t>
        </is>
      </c>
      <c r="D9" s="198" t="n">
        <v>4167</v>
      </c>
      <c r="E9" s="229" t="n">
        <v>10000</v>
      </c>
      <c r="F9" s="230" t="n">
        <v>100</v>
      </c>
      <c r="G9" s="187" t="n"/>
      <c r="H9" s="198" t="n">
        <v>4167</v>
      </c>
      <c r="I9" s="187" t="n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+ T₂ New (совместно)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Shareholder</t>
        </is>
      </c>
      <c r="D13" s="166" t="inlineStr">
        <is>
          <t>Pre-money vkl, млн ₽</t>
        </is>
      </c>
      <c r="E13" s="166" t="inlineStr">
        <is>
          <t>Shares</t>
        </is>
      </c>
      <c r="F13" s="166" t="inlineStr">
        <is>
          <t>Ownership %</t>
        </is>
      </c>
      <c r="G13" s="187" t="n"/>
      <c r="H13" s="166" t="inlineStr">
        <is>
          <t>Post-money val, млн ₽</t>
        </is>
      </c>
      <c r="I13" s="187" t="n"/>
      <c r="J13" s="167" t="inlineStr">
        <is>
          <t>Comment</t>
        </is>
      </c>
    </row>
    <row r="14" ht="22" customHeight="1">
      <c r="B14" s="205" t="inlineStr">
        <is>
          <t>B.1</t>
        </is>
      </c>
      <c r="C14" s="206" t="inlineStr">
        <is>
          <t>Founder / Producer</t>
        </is>
      </c>
      <c r="D14" s="207" t="n">
        <v>1750</v>
      </c>
      <c r="E14" s="227" t="n">
        <v>5000</v>
      </c>
      <c r="F14" s="228" t="n">
        <v>50</v>
      </c>
      <c r="G14" s="187" t="n"/>
      <c r="H14" s="207" t="n">
        <v>1750</v>
      </c>
      <c r="I14" s="187" t="n"/>
      <c r="J14" s="159" t="inlineStr">
        <is>
          <t>Pre-money, 50% retained</t>
        </is>
      </c>
    </row>
    <row r="15" ht="22" customHeight="1">
      <c r="B15" s="205" t="inlineStr">
        <is>
          <t>B.2</t>
        </is>
      </c>
      <c r="C15" s="206" t="inlineStr">
        <is>
          <t>T₁ Legacy Investor</t>
        </is>
      </c>
      <c r="D15" s="207" t="n">
        <v>1250</v>
      </c>
      <c r="E15" s="227" t="n">
        <v>3000</v>
      </c>
      <c r="F15" s="228" t="n">
        <v>30</v>
      </c>
      <c r="G15" s="187" t="n"/>
      <c r="H15" s="207" t="n">
        <v>1050</v>
      </c>
      <c r="I15" s="187" t="n"/>
      <c r="J15" s="159" t="inlineStr">
        <is>
          <t>Senior tranche</t>
        </is>
      </c>
    </row>
    <row r="16" ht="22" customHeight="1">
      <c r="B16" s="205" t="inlineStr">
        <is>
          <t>B.3</t>
        </is>
      </c>
      <c r="C16" s="206" t="inlineStr">
        <is>
          <t>T₂ New Investor</t>
        </is>
      </c>
      <c r="D16" s="207" t="n">
        <v>500</v>
      </c>
      <c r="E16" s="227" t="n">
        <v>2000</v>
      </c>
      <c r="F16" s="228" t="n">
        <v>20</v>
      </c>
      <c r="G16" s="187" t="n"/>
      <c r="H16" s="207" t="n">
        <v>700</v>
      </c>
      <c r="I16" s="187" t="n"/>
      <c r="J16" s="159" t="inlineStr">
        <is>
          <t>Slider 20% equity</t>
        </is>
      </c>
    </row>
    <row r="17" ht="22" customHeight="1">
      <c r="B17" s="216" t="inlineStr">
        <is>
          <t>Σ</t>
        </is>
      </c>
      <c r="C17" s="217" t="inlineStr">
        <is>
          <t>TOTAL</t>
        </is>
      </c>
      <c r="D17" s="198" t="n">
        <v>3500</v>
      </c>
      <c r="E17" s="229" t="n">
        <v>10000</v>
      </c>
      <c r="F17" s="230" t="n">
        <v>100</v>
      </c>
      <c r="G17" s="187" t="n"/>
      <c r="H17" s="198" t="n">
        <v>3500</v>
      </c>
      <c r="I17" s="187" t="n"/>
      <c r="J17" s="183" t="inlineStr">
        <is>
          <t>★ Post-money 3 500 млн</t>
        </is>
      </c>
    </row>
    <row r="20" ht="22" customHeight="1">
      <c r="B20" s="168" t="inlineStr">
        <is>
          <t>III.  FULLY DILUTED  ·  Implied Exit Valuation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20" customHeight="1">
      <c r="B21" s="205" t="inlineStr">
        <is>
          <t>3.1</t>
        </is>
      </c>
      <c r="C21" s="206" t="inlineStr">
        <is>
          <t>Exit EBITDA (GAAP, Y5 run-rate)</t>
        </is>
      </c>
      <c r="D21" s="205" t="inlineStr">
        <is>
          <t>430 млн ₽</t>
        </is>
      </c>
      <c r="E21" s="186" t="n"/>
      <c r="F21" s="187" t="n"/>
      <c r="G21" s="159" t="inlineStr">
        <is>
          <t>Base case год 2030</t>
        </is>
      </c>
      <c r="H21" s="186" t="n"/>
      <c r="I21" s="186" t="n"/>
      <c r="J21" s="187" t="n"/>
    </row>
    <row r="22" ht="20" customHeight="1">
      <c r="B22" s="205" t="inlineStr">
        <is>
          <t>3.2</t>
        </is>
      </c>
      <c r="C22" s="206" t="inlineStr">
        <is>
          <t>Base multiple (5×)</t>
        </is>
      </c>
      <c r="D22" s="205" t="inlineStr">
        <is>
          <t>5.0 ×</t>
        </is>
      </c>
      <c r="E22" s="186" t="n"/>
      <c r="F22" s="187" t="n"/>
      <c r="G22" s="159" t="inlineStr">
        <is>
          <t>Russian media sector</t>
        </is>
      </c>
      <c r="H22" s="186" t="n"/>
      <c r="I22" s="186" t="n"/>
      <c r="J22" s="187" t="n"/>
    </row>
    <row r="23" ht="20" customHeight="1">
      <c r="B23" s="205" t="inlineStr">
        <is>
          <t>3.3</t>
        </is>
      </c>
      <c r="C23" s="206" t="inlineStr">
        <is>
          <t>Implied Enterprise Value</t>
        </is>
      </c>
      <c r="D23" s="205" t="inlineStr">
        <is>
          <t>2 150 млн ₽</t>
        </is>
      </c>
      <c r="E23" s="186" t="n"/>
      <c r="F23" s="187" t="n"/>
      <c r="G23" s="159">
        <f> EBITDA × multiple</f>
        <v/>
      </c>
      <c r="H23" s="186" t="n"/>
      <c r="I23" s="186" t="n"/>
      <c r="J23" s="187" t="n"/>
    </row>
    <row r="24" ht="20" customHeight="1">
      <c r="B24" s="205" t="inlineStr">
        <is>
          <t>3.4</t>
        </is>
      </c>
      <c r="C24" s="206" t="inlineStr">
        <is>
          <t>Less: Net Debt</t>
        </is>
      </c>
      <c r="D24" s="205" t="inlineStr">
        <is>
          <t>0 млн ₽</t>
        </is>
      </c>
      <c r="E24" s="186" t="n"/>
      <c r="F24" s="187" t="n"/>
      <c r="G24" s="159" t="inlineStr">
        <is>
          <t>T₁ погашен к 2030</t>
        </is>
      </c>
      <c r="H24" s="186" t="n"/>
      <c r="I24" s="186" t="n"/>
      <c r="J24" s="187" t="n"/>
    </row>
    <row r="25" ht="20" customHeight="1">
      <c r="B25" s="205" t="inlineStr">
        <is>
          <t>3.5</t>
        </is>
      </c>
      <c r="C25" s="206" t="inlineStr">
        <is>
          <t>Equity value</t>
        </is>
      </c>
      <c r="D25" s="205" t="inlineStr">
        <is>
          <t>2 150 млн ₽</t>
        </is>
      </c>
      <c r="E25" s="186" t="n"/>
      <c r="F25" s="187" t="n"/>
      <c r="G25" s="159">
        <f> EV − Net Debt</f>
        <v/>
      </c>
      <c r="H25" s="186" t="n"/>
      <c r="I25" s="186" t="n"/>
      <c r="J25" s="187" t="n"/>
    </row>
    <row r="26" ht="20" customHeight="1">
      <c r="B26" s="205" t="inlineStr">
        <is>
          <t>3.6</t>
        </is>
      </c>
      <c r="C26" s="206" t="inlineStr">
        <is>
          <t>+ NDP tail distributions</t>
        </is>
      </c>
      <c r="D26" s="205" t="inlineStr">
        <is>
          <t>850 млн ₽</t>
        </is>
      </c>
      <c r="E26" s="186" t="n"/>
      <c r="F26" s="187" t="n"/>
      <c r="G26" s="159" t="inlineStr">
        <is>
          <t>Cash from 2030-2032</t>
        </is>
      </c>
      <c r="H26" s="186" t="n"/>
      <c r="I26" s="186" t="n"/>
      <c r="J26" s="187" t="n"/>
    </row>
    <row r="27" ht="20" customHeight="1">
      <c r="B27" s="216" t="inlineStr">
        <is>
          <t>3.7</t>
        </is>
      </c>
      <c r="C27" s="217" t="inlineStr">
        <is>
          <t>Total shareholder value</t>
        </is>
      </c>
      <c r="D27" s="216" t="inlineStr">
        <is>
          <t>3 000 млн ₽</t>
        </is>
      </c>
      <c r="E27" s="186" t="n"/>
      <c r="F27" s="187" t="n"/>
      <c r="G27" s="183" t="inlineStr">
        <is>
          <t>★ Matches NDP anchor</t>
        </is>
      </c>
      <c r="H27" s="186" t="n"/>
      <c r="I27" s="186" t="n"/>
      <c r="J27" s="187" t="n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anchor</t>
        </is>
      </c>
      <c r="C29" s="188" t="n"/>
      <c r="D29" s="188" t="n"/>
      <c r="E29" s="188" t="n"/>
      <c r="F29" s="188" t="n"/>
      <c r="G29" s="188" t="n"/>
      <c r="H29" s="188" t="n"/>
      <c r="I29" s="188" t="n"/>
      <c r="J29" s="185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B2:J33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19  ·  DISTRIBUTION WATERFALL  ·  3 варианта распределения NDP 3 000 млн</t>
        </is>
      </c>
    </row>
    <row r="3">
      <c r="B3" s="189" t="inlineStr">
        <is>
          <t>W₁ — Hurdle split 60/40 → 50/50 после recoupment (DEFAULT).  W₂ — Pro-rata по вкладу.  W₃ — 1× Liquidation Preference + 8% cumulative coupon.</t>
        </is>
      </c>
    </row>
    <row r="5" ht="22" customHeight="1">
      <c r="B5" s="231" t="inlineStr">
        <is>
          <t>W₁  ·  HURDLE SPLIT  ·  60 / 40 до break-even, затем 50 / 50  (★ DEFAULT)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Stage</t>
        </is>
      </c>
      <c r="D6" s="166" t="inlineStr">
        <is>
          <t>Размер стадии</t>
        </is>
      </c>
      <c r="E6" s="167" t="inlineStr">
        <is>
          <t>Инвестор</t>
        </is>
      </c>
      <c r="F6" s="187" t="n"/>
      <c r="G6" s="167" t="inlineStr">
        <is>
          <t>Продюсер</t>
        </is>
      </c>
      <c r="H6" s="187" t="n"/>
      <c r="I6" s="166" t="inlineStr">
        <is>
          <t>Правило</t>
        </is>
      </c>
      <c r="J6" s="187" t="n"/>
    </row>
    <row r="7" ht="22" customHeight="1">
      <c r="B7" s="205" t="inlineStr">
        <is>
          <t>1</t>
        </is>
      </c>
      <c r="C7" s="206" t="inlineStr">
        <is>
          <t>Stage 1: 60/40 до recoupment T₁ (1 250)</t>
        </is>
      </c>
      <c r="D7" s="207" t="n">
        <v>2083.3</v>
      </c>
      <c r="E7" s="207" t="n">
        <v>1250</v>
      </c>
      <c r="F7" s="187" t="n"/>
      <c r="G7" s="207" t="n">
        <v>833.3</v>
      </c>
      <c r="H7" s="187" t="n"/>
      <c r="I7" s="159" t="inlineStr">
        <is>
          <t>60% до тех пор пока инвестор не получит 1 250</t>
        </is>
      </c>
      <c r="J7" s="187" t="n"/>
    </row>
    <row r="8" ht="22" customHeight="1">
      <c r="B8" s="205" t="inlineStr">
        <is>
          <t>2</t>
        </is>
      </c>
      <c r="C8" s="206" t="inlineStr">
        <is>
          <t>Stage 2: 50/50 на остаток</t>
        </is>
      </c>
      <c r="D8" s="207" t="n">
        <v>916.7</v>
      </c>
      <c r="E8" s="207" t="n">
        <v>458.3</v>
      </c>
      <c r="F8" s="187" t="n"/>
      <c r="G8" s="207" t="n">
        <v>458.3</v>
      </c>
      <c r="H8" s="187" t="n"/>
      <c r="I8" s="159" t="inlineStr">
        <is>
          <t>50/50 на оставшиеся 917 млн после recoupment</t>
        </is>
      </c>
      <c r="J8" s="187" t="n"/>
    </row>
    <row r="9" ht="22" customHeight="1">
      <c r="B9" s="216" t="inlineStr">
        <is>
          <t>Σ</t>
        </is>
      </c>
      <c r="C9" s="217" t="inlineStr">
        <is>
          <t>TOTAL W₁</t>
        </is>
      </c>
      <c r="D9" s="198" t="n">
        <v>3000</v>
      </c>
      <c r="E9" s="198" t="n">
        <v>1708.3</v>
      </c>
      <c r="F9" s="187" t="n"/>
      <c r="G9" s="198" t="n">
        <v>1291.7</v>
      </c>
      <c r="H9" s="187" t="n"/>
      <c r="I9" s="183" t="inlineStr">
        <is>
          <t>Инвестор 56.9% / Продюсер 43.1%</t>
        </is>
      </c>
      <c r="J9" s="187" t="n"/>
    </row>
    <row r="12" ht="22" customHeight="1">
      <c r="B12" s="231" t="inlineStr">
        <is>
          <t>W₂  ·  PRO-RATA  ·  По доле финансового вклада (1 250 / 1 850 vs 600 / 1 850)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Stage</t>
        </is>
      </c>
      <c r="D13" s="166" t="inlineStr">
        <is>
          <t>Размер стадии</t>
        </is>
      </c>
      <c r="E13" s="167" t="inlineStr">
        <is>
          <t>Инвестор</t>
        </is>
      </c>
      <c r="F13" s="187" t="n"/>
      <c r="G13" s="167" t="inlineStr">
        <is>
          <t>Продюсер</t>
        </is>
      </c>
      <c r="H13" s="187" t="n"/>
      <c r="I13" s="166" t="inlineStr">
        <is>
          <t>Правило</t>
        </is>
      </c>
      <c r="J13" s="187" t="n"/>
    </row>
    <row r="14" ht="22" customHeight="1">
      <c r="B14" s="205" t="inlineStr">
        <is>
          <t>1</t>
        </is>
      </c>
      <c r="C14" s="206" t="inlineStr">
        <is>
          <t>Pro-rata investor: 1 250 / 1 850 = 67.57%</t>
        </is>
      </c>
      <c r="D14" s="207" t="inlineStr"/>
      <c r="E14" s="207" t="n">
        <v>2027</v>
      </c>
      <c r="F14" s="187" t="n"/>
      <c r="G14" s="207" t="inlineStr"/>
      <c r="H14" s="187" t="n"/>
      <c r="I14" s="159" t="inlineStr">
        <is>
          <t>Доля инвестора: 67.57%</t>
        </is>
      </c>
      <c r="J14" s="187" t="n"/>
    </row>
    <row r="15" ht="22" customHeight="1">
      <c r="B15" s="205" t="inlineStr">
        <is>
          <t>2</t>
        </is>
      </c>
      <c r="C15" s="206" t="inlineStr">
        <is>
          <t>Pro-rata producer: 600 / 1 850 = 32.43%</t>
        </is>
      </c>
      <c r="D15" s="207" t="inlineStr"/>
      <c r="E15" s="207" t="inlineStr"/>
      <c r="F15" s="187" t="n"/>
      <c r="G15" s="207" t="n">
        <v>973</v>
      </c>
      <c r="H15" s="187" t="n"/>
      <c r="I15" s="159" t="inlineStr">
        <is>
          <t>Доля продюсера: 32.43%</t>
        </is>
      </c>
      <c r="J15" s="187" t="n"/>
    </row>
    <row r="16" ht="22" customHeight="1">
      <c r="B16" s="216" t="inlineStr">
        <is>
          <t>Σ</t>
        </is>
      </c>
      <c r="C16" s="217" t="inlineStr">
        <is>
          <t>TOTAL W₂</t>
        </is>
      </c>
      <c r="D16" s="198" t="n">
        <v>3000</v>
      </c>
      <c r="E16" s="198" t="n">
        <v>2027</v>
      </c>
      <c r="F16" s="187" t="n"/>
      <c r="G16" s="198" t="n">
        <v>973</v>
      </c>
      <c r="H16" s="187" t="n"/>
      <c r="I16" s="183" t="inlineStr">
        <is>
          <t>Pro-rata дает больше инвестору (+ 318 vs W₁)</t>
        </is>
      </c>
      <c r="J16" s="187" t="n"/>
    </row>
    <row r="19" ht="22" customHeight="1">
      <c r="B19" s="231" t="inlineStr">
        <is>
          <t>W₃  ·  LIQUIDATION PREFERENCE  ·  1× + 8% cumulative coupon, затем 60/40</t>
        </is>
      </c>
      <c r="C19" s="186" t="n"/>
      <c r="D19" s="186" t="n"/>
      <c r="E19" s="186" t="n"/>
      <c r="F19" s="186" t="n"/>
      <c r="G19" s="186" t="n"/>
      <c r="H19" s="186" t="n"/>
      <c r="I19" s="186" t="n"/>
      <c r="J19" s="187" t="n"/>
    </row>
    <row r="20" ht="22" customHeight="1">
      <c r="B20" s="166" t="inlineStr">
        <is>
          <t>#</t>
        </is>
      </c>
      <c r="C20" s="190" t="inlineStr">
        <is>
          <t>Stage</t>
        </is>
      </c>
      <c r="D20" s="166" t="inlineStr">
        <is>
          <t>Размер стадии</t>
        </is>
      </c>
      <c r="E20" s="167" t="inlineStr">
        <is>
          <t>Инвестор</t>
        </is>
      </c>
      <c r="F20" s="187" t="n"/>
      <c r="G20" s="167" t="inlineStr">
        <is>
          <t>Продюсер</t>
        </is>
      </c>
      <c r="H20" s="187" t="n"/>
      <c r="I20" s="166" t="inlineStr">
        <is>
          <t>Правило</t>
        </is>
      </c>
      <c r="J20" s="187" t="n"/>
    </row>
    <row r="21" ht="22" customHeight="1">
      <c r="B21" s="205" t="inlineStr">
        <is>
          <t>1</t>
        </is>
      </c>
      <c r="C21" s="206" t="inlineStr">
        <is>
          <t>Stage 1: 1× Liquidation Preference (investor)</t>
        </is>
      </c>
      <c r="D21" s="207" t="n">
        <v>1250</v>
      </c>
      <c r="E21" s="207" t="n">
        <v>1250</v>
      </c>
      <c r="F21" s="187" t="n"/>
      <c r="G21" s="207" t="n">
        <v>0</v>
      </c>
      <c r="H21" s="187" t="n"/>
      <c r="I21" s="159" t="inlineStr">
        <is>
          <t>Investor recoups 1 × principal = 1 250</t>
        </is>
      </c>
      <c r="J21" s="187" t="n"/>
    </row>
    <row r="22" ht="22" customHeight="1">
      <c r="B22" s="205" t="inlineStr">
        <is>
          <t>2</t>
        </is>
      </c>
      <c r="C22" s="206" t="inlineStr">
        <is>
          <t>Stage 2: 8% coupon cumulative × 5 лет</t>
        </is>
      </c>
      <c r="D22" s="207" t="n">
        <v>500</v>
      </c>
      <c r="E22" s="207" t="n">
        <v>500</v>
      </c>
      <c r="F22" s="187" t="n"/>
      <c r="G22" s="207" t="n">
        <v>0</v>
      </c>
      <c r="H22" s="187" t="n"/>
      <c r="I22" s="159" t="inlineStr">
        <is>
          <t>Preferred return: 1 250 × 8% × 5y = 500</t>
        </is>
      </c>
      <c r="J22" s="187" t="n"/>
    </row>
    <row r="23" ht="22" customHeight="1">
      <c r="B23" s="205" t="inlineStr">
        <is>
          <t>3</t>
        </is>
      </c>
      <c r="C23" s="206" t="inlineStr">
        <is>
          <t>Stage 3: 60/40 на остаток</t>
        </is>
      </c>
      <c r="D23" s="207" t="n">
        <v>1250</v>
      </c>
      <c r="E23" s="207" t="n">
        <v>750</v>
      </c>
      <c r="F23" s="187" t="n"/>
      <c r="G23" s="207" t="n">
        <v>500</v>
      </c>
      <c r="H23" s="187" t="n"/>
      <c r="I23" s="159" t="inlineStr">
        <is>
          <t>Carried interest: 60% investor / 40% producer</t>
        </is>
      </c>
      <c r="J23" s="187" t="n"/>
    </row>
    <row r="24" ht="22" customHeight="1">
      <c r="B24" s="216" t="inlineStr">
        <is>
          <t>Σ</t>
        </is>
      </c>
      <c r="C24" s="217" t="inlineStr">
        <is>
          <t>TOTAL W₃</t>
        </is>
      </c>
      <c r="D24" s="198" t="n">
        <v>3000</v>
      </c>
      <c r="E24" s="198" t="n">
        <v>2500</v>
      </c>
      <c r="F24" s="187" t="n"/>
      <c r="G24" s="198" t="n">
        <v>500</v>
      </c>
      <c r="H24" s="187" t="n"/>
      <c r="I24" s="183" t="inlineStr">
        <is>
          <t>Investor-friendly: 83.3% / 16.7%</t>
        </is>
      </c>
      <c r="J24" s="187" t="n"/>
    </row>
    <row r="27" ht="22" customHeight="1">
      <c r="B27" s="168" t="inlineStr">
        <is>
          <t>IV.  COMPARISON TABLE  ·  Сравнение 3-х вариантов</t>
        </is>
      </c>
      <c r="C27" s="186" t="n"/>
      <c r="D27" s="186" t="n"/>
      <c r="E27" s="186" t="n"/>
      <c r="F27" s="186" t="n"/>
      <c r="G27" s="186" t="n"/>
      <c r="H27" s="186" t="n"/>
      <c r="I27" s="186" t="n"/>
      <c r="J27" s="187" t="n"/>
    </row>
    <row r="28" ht="22" customHeight="1">
      <c r="B28" s="166" t="inlineStr">
        <is>
          <t>#</t>
        </is>
      </c>
      <c r="C28" s="190" t="inlineStr">
        <is>
          <t>Вариант</t>
        </is>
      </c>
      <c r="D28" s="166" t="inlineStr">
        <is>
          <t>Инвестор, млн ₽</t>
        </is>
      </c>
      <c r="E28" s="166" t="inlineStr">
        <is>
          <t>Инв %</t>
        </is>
      </c>
      <c r="F28" s="166" t="inlineStr">
        <is>
          <t>Продюсер, млн ₽</t>
        </is>
      </c>
      <c r="G28" s="166" t="inlineStr">
        <is>
          <t>Прод %</t>
        </is>
      </c>
      <c r="H28" s="166" t="inlineStr">
        <is>
          <t>IRR инв.</t>
        </is>
      </c>
      <c r="I28" s="166" t="inlineStr">
        <is>
          <t>Комментарий</t>
        </is>
      </c>
      <c r="J28" s="167" t="inlineStr">
        <is>
          <t>Комментарий</t>
        </is>
      </c>
    </row>
    <row r="29" ht="22" customHeight="1">
      <c r="B29" s="223" t="inlineStr">
        <is>
          <t>W₁</t>
        </is>
      </c>
      <c r="C29" s="213" t="inlineStr">
        <is>
          <t>Hurdle 60/40 → 50/50 (DEFAULT)</t>
        </is>
      </c>
      <c r="D29" s="232" t="n">
        <v>1708.3</v>
      </c>
      <c r="E29" s="233" t="n">
        <v>56.9</v>
      </c>
      <c r="F29" s="232" t="n">
        <v>1291.7</v>
      </c>
      <c r="G29" s="233" t="n">
        <v>43.1</v>
      </c>
      <c r="H29" s="234" t="inlineStr">
        <is>
          <t>~22%</t>
        </is>
      </c>
      <c r="I29" s="159" t="inlineStr">
        <is>
          <t>Balanced: producer-friendly</t>
        </is>
      </c>
      <c r="J29" s="187" t="n"/>
    </row>
    <row r="30" ht="22" customHeight="1">
      <c r="B30" s="223" t="inlineStr">
        <is>
          <t>W₂</t>
        </is>
      </c>
      <c r="C30" s="213" t="inlineStr">
        <is>
          <t>Pro-rata по вкладу</t>
        </is>
      </c>
      <c r="D30" s="232" t="n">
        <v>2027</v>
      </c>
      <c r="E30" s="233" t="n">
        <v>67.59999999999999</v>
      </c>
      <c r="F30" s="232" t="n">
        <v>973</v>
      </c>
      <c r="G30" s="233" t="n">
        <v>32.4</v>
      </c>
      <c r="H30" s="234" t="inlineStr">
        <is>
          <t>~28%</t>
        </is>
      </c>
      <c r="I30" s="159" t="inlineStr">
        <is>
          <t>Fair by capital; без hurdle</t>
        </is>
      </c>
      <c r="J30" s="187" t="n"/>
    </row>
    <row r="31" ht="22" customHeight="1">
      <c r="B31" s="223" t="inlineStr">
        <is>
          <t>W₃</t>
        </is>
      </c>
      <c r="C31" s="213" t="inlineStr">
        <is>
          <t>1× Liq Pref + 8% coupon + 60/40</t>
        </is>
      </c>
      <c r="D31" s="232" t="n">
        <v>2500</v>
      </c>
      <c r="E31" s="233" t="n">
        <v>83.3</v>
      </c>
      <c r="F31" s="232" t="n">
        <v>500</v>
      </c>
      <c r="G31" s="233" t="n">
        <v>16.7</v>
      </c>
      <c r="H31" s="234" t="inlineStr">
        <is>
          <t>~33%</t>
        </is>
      </c>
      <c r="I31" s="159" t="inlineStr">
        <is>
          <t>Investor-friendly; downside protection</t>
        </is>
      </c>
      <c r="J31" s="187" t="n"/>
    </row>
    <row r="33" ht="24" customHeight="1">
      <c r="B33" s="211" t="inlineStr">
        <is>
          <t>✓ W₁: Σ = 3,000.0  |  ✓ W₂: Σ = 3,000.0  |  ✓ W₃: Σ = 3,000.0  |  Все варианты соответствуют NDP anchor 3 000 млн ₽</t>
        </is>
      </c>
      <c r="C33" s="188" t="n"/>
      <c r="D33" s="188" t="n"/>
      <c r="E33" s="188" t="n"/>
      <c r="F33" s="188" t="n"/>
      <c r="G33" s="188" t="n"/>
      <c r="H33" s="188" t="n"/>
      <c r="I33" s="188" t="n"/>
      <c r="J33" s="185" t="n"/>
    </row>
  </sheetData>
  <mergeCells count="49">
    <mergeCell ref="I30:J30"/>
    <mergeCell ref="G21:H21"/>
    <mergeCell ref="I6:J6"/>
    <mergeCell ref="E24:F24"/>
    <mergeCell ref="I15:J15"/>
    <mergeCell ref="E23:F23"/>
    <mergeCell ref="E14:F14"/>
    <mergeCell ref="G23:H23"/>
    <mergeCell ref="G8:H8"/>
    <mergeCell ref="E8:F8"/>
    <mergeCell ref="E20:F20"/>
    <mergeCell ref="B19:J19"/>
    <mergeCell ref="G7:H7"/>
    <mergeCell ref="I16:J16"/>
    <mergeCell ref="I7:J7"/>
    <mergeCell ref="E13:F13"/>
    <mergeCell ref="G6:H6"/>
    <mergeCell ref="I22:J22"/>
    <mergeCell ref="G13:H13"/>
    <mergeCell ref="E9:F9"/>
    <mergeCell ref="B12:J12"/>
    <mergeCell ref="I21:J21"/>
    <mergeCell ref="B33:J33"/>
    <mergeCell ref="E6:F6"/>
    <mergeCell ref="B5:J5"/>
    <mergeCell ref="E15:F15"/>
    <mergeCell ref="G24:H24"/>
    <mergeCell ref="G15:H15"/>
    <mergeCell ref="I24:J24"/>
    <mergeCell ref="G14:H14"/>
    <mergeCell ref="I23:J23"/>
    <mergeCell ref="I8:J8"/>
    <mergeCell ref="I14:J14"/>
    <mergeCell ref="G20:H20"/>
    <mergeCell ref="B3:J3"/>
    <mergeCell ref="I29:J29"/>
    <mergeCell ref="E16:F16"/>
    <mergeCell ref="I20:J20"/>
    <mergeCell ref="E21:F21"/>
    <mergeCell ref="E7:F7"/>
    <mergeCell ref="G16:H16"/>
    <mergeCell ref="B27:J27"/>
    <mergeCell ref="I31:J31"/>
    <mergeCell ref="E22:F22"/>
    <mergeCell ref="I13:J13"/>
    <mergeCell ref="G22:H22"/>
    <mergeCell ref="G9:H9"/>
    <mergeCell ref="I9:J9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s="235" t="inlineStr">
        <is>
          <t>UNIT ECONOMICS PER FILM — ПОРТФЕЛЬ 12 ФИЛЬМОВ 2026–2028</t>
        </is>
      </c>
    </row>
    <row r="3"/>
    <row r="4">
      <c r="B4" s="189" t="inlineStr">
        <is>
          <t>Валовая экономика на фильм: бюджет, P&amp;A, выручка за жизненный цикл (2026–2032), маржа, ROI, payback в кварталах и break-even attendance</t>
        </is>
      </c>
    </row>
    <row r="6" ht="30" customHeight="1">
      <c r="B6" s="167" t="inlineStr">
        <is>
          <t>№</t>
        </is>
      </c>
      <c r="C6" s="167" t="inlineStr">
        <is>
          <t>Название</t>
        </is>
      </c>
      <c r="D6" s="167" t="inlineStr">
        <is>
          <t>Жанр</t>
        </is>
      </c>
      <c r="E6" s="167" t="inlineStr">
        <is>
          <t>Релиз</t>
        </is>
      </c>
      <c r="F6" s="167" t="inlineStr">
        <is>
          <t>Бюджет</t>
        </is>
      </c>
      <c r="G6" s="167" t="inlineStr">
        <is>
          <t>P&amp;A</t>
        </is>
      </c>
      <c r="H6" s="167" t="inlineStr">
        <is>
          <t>Total Cost</t>
        </is>
      </c>
      <c r="I6" s="167" t="inlineStr">
        <is>
          <t>Revenue
(lifetime)</t>
        </is>
      </c>
      <c r="J6" s="167" t="inlineStr">
        <is>
          <t>Gross
Profit</t>
        </is>
      </c>
      <c r="K6" s="167" t="inlineStr">
        <is>
          <t>Margin</t>
        </is>
      </c>
      <c r="L6" s="167" t="inlineStr">
        <is>
          <t>Multiple</t>
        </is>
      </c>
      <c r="M6" s="167" t="inlineStr">
        <is>
          <t>ROI</t>
        </is>
      </c>
      <c r="N6" s="167" t="inlineStr">
        <is>
          <t>Payback (Q)</t>
        </is>
      </c>
      <c r="O6" s="167" t="inlineStr">
        <is>
          <t>Risk</t>
        </is>
      </c>
    </row>
    <row r="7">
      <c r="B7" s="205" t="inlineStr">
        <is>
          <t>F01</t>
        </is>
      </c>
      <c r="C7" s="206" t="inlineStr">
        <is>
          <t>Родные стены</t>
        </is>
      </c>
      <c r="D7" s="206" t="inlineStr">
        <is>
          <t>Драма</t>
        </is>
      </c>
      <c r="E7" s="205" t="inlineStr">
        <is>
          <t>Q4'26</t>
        </is>
      </c>
      <c r="F7" s="207" t="n">
        <v>150</v>
      </c>
      <c r="G7" s="207" t="n">
        <v>22.5</v>
      </c>
      <c r="H7" s="207" t="n">
        <v>172.5</v>
      </c>
      <c r="I7" s="207" t="n">
        <v>405.9</v>
      </c>
      <c r="J7" s="207" t="n">
        <v>233.4</v>
      </c>
      <c r="K7" s="236" t="n">
        <v>57.50184774575019</v>
      </c>
      <c r="L7" s="237" t="n">
        <v>2.706</v>
      </c>
      <c r="M7" s="236" t="n">
        <v>135.304347826087</v>
      </c>
      <c r="N7" s="238" t="n">
        <v>3.4</v>
      </c>
      <c r="O7" s="191" t="inlineStr">
        <is>
          <t>Low</t>
        </is>
      </c>
    </row>
    <row r="8">
      <c r="B8" s="205" t="inlineStr">
        <is>
          <t>F02</t>
        </is>
      </c>
      <c r="C8" s="206" t="inlineStr">
        <is>
          <t>Два сердца</t>
        </is>
      </c>
      <c r="D8" s="206" t="inlineStr">
        <is>
          <t>Мелодрама</t>
        </is>
      </c>
      <c r="E8" s="205" t="inlineStr">
        <is>
          <t>Q1'27</t>
        </is>
      </c>
      <c r="F8" s="207" t="n">
        <v>100</v>
      </c>
      <c r="G8" s="207" t="n">
        <v>15</v>
      </c>
      <c r="H8" s="207" t="n">
        <v>115</v>
      </c>
      <c r="I8" s="207" t="n">
        <v>309.3</v>
      </c>
      <c r="J8" s="207" t="n">
        <v>194.3</v>
      </c>
      <c r="K8" s="236" t="n">
        <v>62.81926931781442</v>
      </c>
      <c r="L8" s="237" t="n">
        <v>3.093</v>
      </c>
      <c r="M8" s="236" t="n">
        <v>168.9565217391304</v>
      </c>
      <c r="N8" s="238" t="n">
        <v>3</v>
      </c>
      <c r="O8" s="191" t="inlineStr">
        <is>
          <t>Low</t>
        </is>
      </c>
    </row>
    <row r="9">
      <c r="B9" s="205" t="inlineStr">
        <is>
          <t>F03</t>
        </is>
      </c>
      <c r="C9" s="206" t="inlineStr">
        <is>
          <t>Ночной патруль</t>
        </is>
      </c>
      <c r="D9" s="206" t="inlineStr">
        <is>
          <t>Экшн</t>
        </is>
      </c>
      <c r="E9" s="205" t="inlineStr">
        <is>
          <t>Q2'27</t>
        </is>
      </c>
      <c r="F9" s="207" t="n">
        <v>220</v>
      </c>
      <c r="G9" s="207" t="n">
        <v>33</v>
      </c>
      <c r="H9" s="207" t="n">
        <v>253</v>
      </c>
      <c r="I9" s="207" t="n">
        <v>659.1</v>
      </c>
      <c r="J9" s="207" t="n">
        <v>406.1</v>
      </c>
      <c r="K9" s="236" t="n">
        <v>61.61432256106812</v>
      </c>
      <c r="L9" s="237" t="n">
        <v>2.995909090909091</v>
      </c>
      <c r="M9" s="236" t="n">
        <v>160.5138339920949</v>
      </c>
      <c r="N9" s="238" t="n">
        <v>3.5</v>
      </c>
      <c r="O9" s="226" t="inlineStr">
        <is>
          <t>Medium</t>
        </is>
      </c>
    </row>
    <row r="10">
      <c r="B10" s="205" t="inlineStr">
        <is>
          <t>F04</t>
        </is>
      </c>
      <c r="C10" s="206" t="inlineStr">
        <is>
          <t>Последний экзамен</t>
        </is>
      </c>
      <c r="D10" s="206" t="inlineStr">
        <is>
          <t>Комедия</t>
        </is>
      </c>
      <c r="E10" s="205" t="inlineStr">
        <is>
          <t>Q2'27</t>
        </is>
      </c>
      <c r="F10" s="207" t="n">
        <v>90</v>
      </c>
      <c r="G10" s="207" t="n">
        <v>13.5</v>
      </c>
      <c r="H10" s="207" t="n">
        <v>103.5</v>
      </c>
      <c r="I10" s="207" t="n">
        <v>304.4</v>
      </c>
      <c r="J10" s="207" t="n">
        <v>200.9</v>
      </c>
      <c r="K10" s="236" t="n">
        <v>65.99868593955323</v>
      </c>
      <c r="L10" s="237" t="n">
        <v>3.382222222222222</v>
      </c>
      <c r="M10" s="236" t="n">
        <v>194.1062801932367</v>
      </c>
      <c r="N10" s="238" t="n">
        <v>2.7</v>
      </c>
      <c r="O10" s="191" t="inlineStr">
        <is>
          <t>Low</t>
        </is>
      </c>
    </row>
    <row r="11">
      <c r="B11" s="205" t="inlineStr">
        <is>
          <t>F05</t>
        </is>
      </c>
      <c r="C11" s="206" t="inlineStr">
        <is>
          <t>Время героев</t>
        </is>
      </c>
      <c r="D11" s="206" t="inlineStr">
        <is>
          <t>Блокбастер</t>
        </is>
      </c>
      <c r="E11" s="205" t="inlineStr">
        <is>
          <t>Q3'27</t>
        </is>
      </c>
      <c r="F11" s="207" t="n">
        <v>250</v>
      </c>
      <c r="G11" s="207" t="n">
        <v>37.5</v>
      </c>
      <c r="H11" s="207" t="n">
        <v>287.5</v>
      </c>
      <c r="I11" s="207" t="n">
        <v>797.4</v>
      </c>
      <c r="J11" s="207" t="n">
        <v>509.9</v>
      </c>
      <c r="K11" s="236" t="n">
        <v>63.94532229746677</v>
      </c>
      <c r="L11" s="237" t="n">
        <v>3.1896</v>
      </c>
      <c r="M11" s="236" t="n">
        <v>177.3565217391304</v>
      </c>
      <c r="N11" s="238" t="n">
        <v>3.6</v>
      </c>
      <c r="O11" s="200" t="inlineStr">
        <is>
          <t>High</t>
        </is>
      </c>
    </row>
    <row r="12">
      <c r="B12" s="205" t="inlineStr">
        <is>
          <t>F06</t>
        </is>
      </c>
      <c r="C12" s="206" t="inlineStr">
        <is>
          <t>Красная заря</t>
        </is>
      </c>
      <c r="D12" s="206" t="inlineStr">
        <is>
          <t>Исторический</t>
        </is>
      </c>
      <c r="E12" s="205" t="inlineStr">
        <is>
          <t>Q4'27</t>
        </is>
      </c>
      <c r="F12" s="207" t="n">
        <v>180</v>
      </c>
      <c r="G12" s="207" t="n">
        <v>27</v>
      </c>
      <c r="H12" s="207" t="n">
        <v>207</v>
      </c>
      <c r="I12" s="207" t="n">
        <v>504.5</v>
      </c>
      <c r="J12" s="207" t="n">
        <v>297.5</v>
      </c>
      <c r="K12" s="236" t="n">
        <v>58.96927651139742</v>
      </c>
      <c r="L12" s="237" t="n">
        <v>2.802777777777778</v>
      </c>
      <c r="M12" s="236" t="n">
        <v>143.719806763285</v>
      </c>
      <c r="N12" s="238" t="n">
        <v>3.7</v>
      </c>
      <c r="O12" s="226" t="inlineStr">
        <is>
          <t>Medium</t>
        </is>
      </c>
    </row>
    <row r="13">
      <c r="B13" s="205" t="inlineStr">
        <is>
          <t>F07</t>
        </is>
      </c>
      <c r="C13" s="206" t="inlineStr">
        <is>
          <t>Сказка наяву</t>
        </is>
      </c>
      <c r="D13" s="206" t="inlineStr">
        <is>
          <t>Семейный</t>
        </is>
      </c>
      <c r="E13" s="205" t="inlineStr">
        <is>
          <t>Q1'28</t>
        </is>
      </c>
      <c r="F13" s="207" t="n">
        <v>170</v>
      </c>
      <c r="G13" s="207" t="n">
        <v>25.5</v>
      </c>
      <c r="H13" s="207" t="n">
        <v>195.5</v>
      </c>
      <c r="I13" s="207" t="n">
        <v>558.6</v>
      </c>
      <c r="J13" s="207" t="n">
        <v>363.1</v>
      </c>
      <c r="K13" s="236" t="n">
        <v>65.00179018976011</v>
      </c>
      <c r="L13" s="237" t="n">
        <v>3.285882352941177</v>
      </c>
      <c r="M13" s="236" t="n">
        <v>185.7289002557545</v>
      </c>
      <c r="N13" s="238" t="n">
        <v>2.8</v>
      </c>
      <c r="O13" s="191" t="inlineStr">
        <is>
          <t>Low</t>
        </is>
      </c>
    </row>
    <row r="14">
      <c r="B14" s="205" t="inlineStr">
        <is>
          <t>F08</t>
        </is>
      </c>
      <c r="C14" s="206" t="inlineStr">
        <is>
          <t>Неизвестный герой</t>
        </is>
      </c>
      <c r="D14" s="206" t="inlineStr">
        <is>
          <t>Биография</t>
        </is>
      </c>
      <c r="E14" s="205" t="inlineStr">
        <is>
          <t>Q2'28</t>
        </is>
      </c>
      <c r="F14" s="207" t="n">
        <v>130</v>
      </c>
      <c r="G14" s="207" t="n">
        <v>19.5</v>
      </c>
      <c r="H14" s="207" t="n">
        <v>149.5</v>
      </c>
      <c r="I14" s="207" t="n">
        <v>351.8</v>
      </c>
      <c r="J14" s="207" t="n">
        <v>202.3</v>
      </c>
      <c r="K14" s="236" t="n">
        <v>57.50426378624218</v>
      </c>
      <c r="L14" s="237" t="n">
        <v>2.706153846153846</v>
      </c>
      <c r="M14" s="236" t="n">
        <v>135.3177257525084</v>
      </c>
      <c r="N14" s="238" t="n">
        <v>3.8</v>
      </c>
      <c r="O14" s="226" t="inlineStr">
        <is>
          <t>Medium</t>
        </is>
      </c>
    </row>
    <row r="15">
      <c r="B15" s="205" t="inlineStr">
        <is>
          <t>F09</t>
        </is>
      </c>
      <c r="C15" s="206" t="inlineStr">
        <is>
          <t>Моё дело</t>
        </is>
      </c>
      <c r="D15" s="206" t="inlineStr">
        <is>
          <t>Комедия</t>
        </is>
      </c>
      <c r="E15" s="205" t="inlineStr">
        <is>
          <t>Q2'28</t>
        </is>
      </c>
      <c r="F15" s="207" t="n">
        <v>80</v>
      </c>
      <c r="G15" s="207" t="n">
        <v>12</v>
      </c>
      <c r="H15" s="207" t="n">
        <v>92</v>
      </c>
      <c r="I15" s="207" t="n">
        <v>278.3</v>
      </c>
      <c r="J15" s="207" t="n">
        <v>186.3</v>
      </c>
      <c r="K15" s="236" t="n">
        <v>66.94214876033058</v>
      </c>
      <c r="L15" s="237" t="n">
        <v>3.47875</v>
      </c>
      <c r="M15" s="236" t="n">
        <v>202.5</v>
      </c>
      <c r="N15" s="238" t="n">
        <v>2.6</v>
      </c>
      <c r="O15" s="191" t="inlineStr">
        <is>
          <t>Low</t>
        </is>
      </c>
    </row>
    <row r="16">
      <c r="B16" s="205" t="inlineStr">
        <is>
          <t>F10</t>
        </is>
      </c>
      <c r="C16" s="206" t="inlineStr">
        <is>
          <t>Северный ветер</t>
        </is>
      </c>
      <c r="D16" s="206" t="inlineStr">
        <is>
          <t>Приключения</t>
        </is>
      </c>
      <c r="E16" s="205" t="inlineStr">
        <is>
          <t>Q3'28</t>
        </is>
      </c>
      <c r="F16" s="207" t="n">
        <v>180</v>
      </c>
      <c r="G16" s="207" t="n">
        <v>27</v>
      </c>
      <c r="H16" s="207" t="n">
        <v>207</v>
      </c>
      <c r="I16" s="207" t="n">
        <v>539.3</v>
      </c>
      <c r="J16" s="207" t="n">
        <v>332.3</v>
      </c>
      <c r="K16" s="236" t="n">
        <v>61.61691081030967</v>
      </c>
      <c r="L16" s="237" t="n">
        <v>2.996111111111111</v>
      </c>
      <c r="M16" s="236" t="n">
        <v>160.5314009661836</v>
      </c>
      <c r="N16" s="238" t="n">
        <v>3.5</v>
      </c>
      <c r="O16" s="226" t="inlineStr">
        <is>
          <t>Medium</t>
        </is>
      </c>
    </row>
    <row r="17">
      <c r="B17" s="205" t="inlineStr">
        <is>
          <t>F11</t>
        </is>
      </c>
      <c r="C17" s="206" t="inlineStr">
        <is>
          <t>Полдень</t>
        </is>
      </c>
      <c r="D17" s="206" t="inlineStr">
        <is>
          <t>Триллер</t>
        </is>
      </c>
      <c r="E17" s="205" t="inlineStr">
        <is>
          <t>Q3'28</t>
        </is>
      </c>
      <c r="F17" s="207" t="n">
        <v>140</v>
      </c>
      <c r="G17" s="207" t="n">
        <v>21</v>
      </c>
      <c r="H17" s="207" t="n">
        <v>161</v>
      </c>
      <c r="I17" s="207" t="n">
        <v>399.2</v>
      </c>
      <c r="J17" s="207" t="n">
        <v>238.2</v>
      </c>
      <c r="K17" s="236" t="n">
        <v>59.66933867735471</v>
      </c>
      <c r="L17" s="237" t="n">
        <v>2.851428571428571</v>
      </c>
      <c r="M17" s="236" t="n">
        <v>147.9503105590062</v>
      </c>
      <c r="N17" s="238" t="n">
        <v>3.6</v>
      </c>
      <c r="O17" s="226" t="inlineStr">
        <is>
          <t>Medium</t>
        </is>
      </c>
    </row>
    <row r="18">
      <c r="B18" s="205" t="inlineStr">
        <is>
          <t>F12</t>
        </is>
      </c>
      <c r="C18" s="206" t="inlineStr">
        <is>
          <t>Горизонт событий</t>
        </is>
      </c>
      <c r="D18" s="206" t="inlineStr">
        <is>
          <t>Фантастика</t>
        </is>
      </c>
      <c r="E18" s="205" t="inlineStr">
        <is>
          <t>Q4'28</t>
        </is>
      </c>
      <c r="F18" s="207" t="n">
        <v>160</v>
      </c>
      <c r="G18" s="207" t="n">
        <v>24</v>
      </c>
      <c r="H18" s="207" t="n">
        <v>184</v>
      </c>
      <c r="I18" s="207" t="n">
        <v>487.1</v>
      </c>
      <c r="J18" s="207" t="n">
        <v>303.1</v>
      </c>
      <c r="K18" s="236" t="n">
        <v>62.22541572572368</v>
      </c>
      <c r="L18" s="237" t="n">
        <v>3.044375</v>
      </c>
      <c r="M18" s="236" t="n">
        <v>164.7282608695652</v>
      </c>
      <c r="N18" s="238" t="n">
        <v>3.8</v>
      </c>
      <c r="O18" s="200" t="inlineStr">
        <is>
          <t>High</t>
        </is>
      </c>
    </row>
    <row r="19">
      <c r="B19" s="239" t="inlineStr">
        <is>
          <t>ИТОГО ПОРТФЕЛЬ (12 фильмов)</t>
        </is>
      </c>
      <c r="E19" s="240" t="inlineStr"/>
      <c r="F19" s="197" t="n">
        <v>1850</v>
      </c>
      <c r="G19" s="197" t="n">
        <v>277.5</v>
      </c>
      <c r="H19" s="197" t="n">
        <v>2127.5</v>
      </c>
      <c r="I19" s="197" t="n">
        <v>5594.900000000001</v>
      </c>
      <c r="J19" s="197" t="n">
        <v>3467.4</v>
      </c>
      <c r="K19" s="241" t="n">
        <v>61.97429802141235</v>
      </c>
      <c r="L19" s="242" t="n">
        <v>3.024270270270271</v>
      </c>
      <c r="M19" s="241" t="n">
        <v>162.9800235017626</v>
      </c>
      <c r="N19" s="243" t="n">
        <v>3.333333333333334</v>
      </c>
      <c r="O19" s="240" t="inlineStr"/>
    </row>
    <row r="22">
      <c r="B22" s="244" t="inlineStr">
        <is>
          <t>КЛЮЧЕВЫЕ ИНСАЙТЫ UNIT ECONOMICS</t>
        </is>
      </c>
    </row>
    <row r="23">
      <c r="B23" s="245" t="inlineStr">
        <is>
          <t>Σ Total Cost / Σ COGS</t>
        </is>
      </c>
      <c r="F23" s="246" t="inlineStr">
        <is>
          <t>2127.5 млн ₽ = 2 127.5 млн ₽ (matches P&amp;L COGS)</t>
        </is>
      </c>
    </row>
    <row r="24">
      <c r="B24" s="245" t="inlineStr">
        <is>
          <t>Σ Revenue lifetime</t>
        </is>
      </c>
      <c r="F24" s="246" t="inlineStr">
        <is>
          <t>5594.9 млн ₽ = 4 545 (2026-2028) + 1 050 (tail 2029-32)</t>
        </is>
      </c>
    </row>
    <row r="25">
      <c r="B25" s="245" t="inlineStr">
        <is>
          <t>Portfolio Gross Margin</t>
        </is>
      </c>
      <c r="F25" s="246" t="inlineStr">
        <is>
          <t>62.0% (industry benchmark: 55-65%)</t>
        </is>
      </c>
    </row>
    <row r="26">
      <c r="B26" s="245" t="inlineStr">
        <is>
          <t>Portfolio Multiple</t>
        </is>
      </c>
      <c r="F26" s="246" t="inlineStr">
        <is>
          <t>3.02× (break-even 1.2×, target 2.5×)</t>
        </is>
      </c>
    </row>
    <row r="27">
      <c r="B27" s="245" t="inlineStr">
        <is>
          <t>Portfolio ROI</t>
        </is>
      </c>
      <c r="F27" s="246" t="inlineStr">
        <is>
          <t>163.0% (hurdle rate 40%, target 60%)</t>
        </is>
      </c>
    </row>
    <row r="28">
      <c r="B28" s="245" t="inlineStr">
        <is>
          <t>Avg Payback</t>
        </is>
      </c>
      <c r="F28" s="246" t="inlineStr">
        <is>
          <t>3.3 Q (target ≤ 6 кварталов)</t>
        </is>
      </c>
    </row>
    <row r="29">
      <c r="B29" s="245" t="inlineStr">
        <is>
          <t>High-risk films</t>
        </is>
      </c>
      <c r="F29" s="246" t="inlineStr">
        <is>
          <t>2 из 12 (Время героев 250, Горизонт событий 160)</t>
        </is>
      </c>
    </row>
    <row r="30">
      <c r="B30" s="245" t="inlineStr">
        <is>
          <t>Concentration</t>
        </is>
      </c>
      <c r="F30" s="246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EBITDA + NDP anchor) · Scenario stripe Bear/Base/Bull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3Y</t>
        </is>
      </c>
      <c r="H6" s="167" t="inlineStr">
        <is>
          <t>Tail 29-32</t>
        </is>
      </c>
      <c r="I6" s="167" t="inlineStr">
        <is>
          <t>Σ Life</t>
        </is>
      </c>
      <c r="J6" s="167" t="inlineStr">
        <is>
          <t>Scenario</t>
        </is>
      </c>
    </row>
    <row r="7">
      <c r="B7" s="244" t="inlineStr">
        <is>
          <t>I. REVENUE &amp; GROWTH</t>
        </is>
      </c>
    </row>
    <row r="8">
      <c r="B8" s="205" t="inlineStr">
        <is>
          <t>1.1</t>
        </is>
      </c>
      <c r="C8" s="213" t="inlineStr">
        <is>
          <t>Revenue, млн ₽</t>
        </is>
      </c>
      <c r="D8" s="207" t="n">
        <v>385</v>
      </c>
      <c r="E8" s="207" t="n">
        <v>1665</v>
      </c>
      <c r="F8" s="207" t="n">
        <v>2495</v>
      </c>
      <c r="G8" s="232" t="n">
        <v>4545</v>
      </c>
      <c r="H8" s="207" t="n">
        <v>1050</v>
      </c>
      <c r="I8" s="207" t="n">
        <v>5595</v>
      </c>
      <c r="J8" s="247" t="inlineStr">
        <is>
          <t>Base</t>
        </is>
      </c>
    </row>
    <row r="9">
      <c r="B9" s="205" t="inlineStr">
        <is>
          <t>1.2</t>
        </is>
      </c>
      <c r="C9" s="213" t="inlineStr">
        <is>
          <t>Revenue YoY growth</t>
        </is>
      </c>
      <c r="D9" s="248" t="inlineStr">
        <is>
          <t>—</t>
        </is>
      </c>
      <c r="E9" s="248" t="inlineStr">
        <is>
          <t>332%</t>
        </is>
      </c>
      <c r="F9" s="248" t="inlineStr">
        <is>
          <t>50%</t>
        </is>
      </c>
      <c r="G9" s="249" t="inlineStr">
        <is>
          <t>CAGR 155%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</t>
        </is>
      </c>
    </row>
    <row r="10">
      <c r="B10" s="205" t="inlineStr">
        <is>
          <t>1.3</t>
        </is>
      </c>
      <c r="C10" s="213" t="inlineStr">
        <is>
          <t>Films released (шт)</t>
        </is>
      </c>
      <c r="D10" s="227" t="n">
        <v>1</v>
      </c>
      <c r="E10" s="227" t="n">
        <v>5</v>
      </c>
      <c r="F10" s="227" t="n">
        <v>6</v>
      </c>
      <c r="G10" s="250" t="n">
        <v>12</v>
      </c>
      <c r="H10" s="227" t="n">
        <v>0</v>
      </c>
      <c r="I10" s="227" t="n">
        <v>12</v>
      </c>
      <c r="J10" s="247" t="inlineStr">
        <is>
          <t>Base</t>
        </is>
      </c>
    </row>
    <row r="11">
      <c r="B11" s="205" t="inlineStr">
        <is>
          <t>1.4</t>
        </is>
      </c>
      <c r="C11" s="213" t="inlineStr">
        <is>
          <t>Avg budget per film, млн ₽</t>
        </is>
      </c>
      <c r="D11" s="207" t="n">
        <v>150</v>
      </c>
      <c r="E11" s="207" t="n">
        <v>168</v>
      </c>
      <c r="F11" s="207" t="n">
        <v>143.3</v>
      </c>
      <c r="G11" s="232" t="n">
        <v>154.2</v>
      </c>
      <c r="H11" s="248" t="inlineStr">
        <is>
          <t>—</t>
        </is>
      </c>
      <c r="I11" s="207" t="n">
        <v>154.2</v>
      </c>
      <c r="J11" s="247" t="inlineStr">
        <is>
          <t>Base</t>
        </is>
      </c>
    </row>
    <row r="13">
      <c r="B13" s="244" t="inlineStr">
        <is>
          <t>II. PROFITABILITY — Dual Metric</t>
        </is>
      </c>
    </row>
    <row r="14">
      <c r="B14" s="205" t="inlineStr">
        <is>
          <t>2.1</t>
        </is>
      </c>
      <c r="C14" s="213" t="inlineStr">
        <is>
          <t>EBITDA GAAP, млн ₽</t>
        </is>
      </c>
      <c r="D14" s="207" t="n">
        <v>50</v>
      </c>
      <c r="E14" s="207" t="n">
        <v>640</v>
      </c>
      <c r="F14" s="207" t="n">
        <v>1462</v>
      </c>
      <c r="G14" s="232" t="n">
        <v>2152</v>
      </c>
      <c r="H14" s="207" t="n">
        <v>850</v>
      </c>
      <c r="I14" s="207" t="n">
        <v>3002</v>
      </c>
      <c r="J14" s="247" t="inlineStr">
        <is>
          <t>Base</t>
        </is>
      </c>
    </row>
    <row r="15">
      <c r="B15" s="205" t="inlineStr">
        <is>
          <t>2.2</t>
        </is>
      </c>
      <c r="C15" s="213" t="inlineStr">
        <is>
          <t>EBITDA margin, %</t>
        </is>
      </c>
      <c r="D15" s="236" t="n">
        <v>12.98701298701299</v>
      </c>
      <c r="E15" s="236" t="n">
        <v>38.43843843843844</v>
      </c>
      <c r="F15" s="236" t="n">
        <v>58.59719438877755</v>
      </c>
      <c r="G15" s="251" t="n">
        <v>47.34873487348734</v>
      </c>
      <c r="H15" s="236" t="n">
        <v>80.95238095238095</v>
      </c>
      <c r="I15" s="236" t="n">
        <v>53.6550491510277</v>
      </c>
      <c r="J15" s="247" t="inlineStr">
        <is>
          <t>Base</t>
        </is>
      </c>
    </row>
    <row r="16">
      <c r="B16" s="205" t="inlineStr">
        <is>
          <t>2.3</t>
        </is>
      </c>
      <c r="C16" s="213" t="inlineStr">
        <is>
          <t>NDP (legacy anchor),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</t>
        </is>
      </c>
    </row>
    <row r="17">
      <c r="B17" s="205" t="inlineStr">
        <is>
          <t>2.4</t>
        </is>
      </c>
      <c r="C17" s="213" t="inlineStr">
        <is>
          <t>Net Profit, млн ₽</t>
        </is>
      </c>
      <c r="D17" s="207" t="n">
        <v>5</v>
      </c>
      <c r="E17" s="207" t="n">
        <v>490</v>
      </c>
      <c r="F17" s="207" t="n">
        <v>1194</v>
      </c>
      <c r="G17" s="232" t="n">
        <v>1689</v>
      </c>
      <c r="H17" s="207" t="n">
        <v>650</v>
      </c>
      <c r="I17" s="207" t="n">
        <v>2339</v>
      </c>
      <c r="J17" s="247" t="inlineStr">
        <is>
          <t>Base</t>
        </is>
      </c>
    </row>
    <row r="18">
      <c r="B18" s="205" t="inlineStr">
        <is>
          <t>2.5</t>
        </is>
      </c>
      <c r="C18" s="213" t="inlineStr">
        <is>
          <t>Net Profit margin, %</t>
        </is>
      </c>
      <c r="D18" s="236" t="n">
        <v>1.298701298701299</v>
      </c>
      <c r="E18" s="236" t="n">
        <v>29.42942942942943</v>
      </c>
      <c r="F18" s="236" t="n">
        <v>47.85571142284569</v>
      </c>
      <c r="G18" s="251" t="n">
        <v>37.16171617161716</v>
      </c>
      <c r="H18" s="236" t="n">
        <v>61.90476190476191</v>
      </c>
      <c r="I18" s="236" t="n">
        <v>41.80518319928508</v>
      </c>
      <c r="J18" s="247" t="inlineStr">
        <is>
          <t>Base</t>
        </is>
      </c>
    </row>
    <row r="20">
      <c r="B20" s="244" t="inlineStr">
        <is>
          <t>III. RETURNS &amp; MULTIPLES</t>
        </is>
      </c>
    </row>
    <row r="21">
      <c r="B21" s="205" t="inlineStr">
        <is>
          <t>3.1</t>
        </is>
      </c>
      <c r="C21" s="213" t="inlineStr">
        <is>
          <t>ROI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</t>
        </is>
      </c>
    </row>
    <row r="22">
      <c r="B22" s="205" t="inlineStr">
        <is>
          <t>3.2</t>
        </is>
      </c>
      <c r="C22" s="213" t="inlineStr">
        <is>
          <t>Gross multiple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</t>
        </is>
      </c>
    </row>
    <row r="23">
      <c r="B23" s="205" t="inlineStr">
        <is>
          <t>3.3</t>
        </is>
      </c>
      <c r="C23" s="213" t="inlineStr">
        <is>
          <t>IRR investor T₁ (W₁)</t>
        </is>
      </c>
      <c r="D23" s="248" t="inlineStr">
        <is>
          <t>—</t>
        </is>
      </c>
      <c r="E23" s="248" t="inlineStr">
        <is>
          <t>—</t>
        </is>
      </c>
      <c r="F23" s="248" t="inlineStr">
        <is>
          <t>—</t>
        </is>
      </c>
      <c r="G23" s="249" t="inlineStr">
        <is>
          <t>~22%</t>
        </is>
      </c>
      <c r="H23" s="248" t="inlineStr">
        <is>
          <t>—</t>
        </is>
      </c>
      <c r="I23" s="248" t="inlineStr">
        <is>
          <t>—</t>
        </is>
      </c>
      <c r="J23" s="247" t="inlineStr">
        <is>
          <t>Base</t>
        </is>
      </c>
    </row>
    <row r="24">
      <c r="B24" s="205" t="inlineStr">
        <is>
          <t>3.4</t>
        </is>
      </c>
      <c r="C24" s="213" t="inlineStr">
        <is>
          <t>MOIC investor T₁</t>
        </is>
      </c>
      <c r="D24" s="248" t="inlineStr">
        <is>
          <t>—</t>
        </is>
      </c>
      <c r="E24" s="248" t="inlineStr">
        <is>
          <t>—</t>
        </is>
      </c>
      <c r="F24" s="248" t="inlineStr">
        <is>
          <t>—</t>
        </is>
      </c>
      <c r="G24" s="249" t="inlineStr">
        <is>
          <t>—</t>
        </is>
      </c>
      <c r="H24" s="248" t="inlineStr">
        <is>
          <t>—</t>
        </is>
      </c>
      <c r="I24" s="248" t="inlineStr">
        <is>
          <t>1.37×</t>
        </is>
      </c>
      <c r="J24" s="247" t="inlineStr">
        <is>
          <t>Base</t>
        </is>
      </c>
    </row>
    <row r="25">
      <c r="B25" s="205" t="inlineStr">
        <is>
          <t>3.5</t>
        </is>
      </c>
      <c r="C25" s="213" t="inlineStr">
        <is>
          <t>Payback T₁ (years)</t>
        </is>
      </c>
      <c r="D25" s="248" t="inlineStr">
        <is>
          <t>—</t>
        </is>
      </c>
      <c r="E25" s="248" t="inlineStr">
        <is>
          <t>—</t>
        </is>
      </c>
      <c r="F25" s="248" t="inlineStr">
        <is>
          <t>—</t>
        </is>
      </c>
      <c r="G25" s="249" t="inlineStr">
        <is>
          <t>—</t>
        </is>
      </c>
      <c r="H25" s="248" t="inlineStr">
        <is>
          <t>—</t>
        </is>
      </c>
      <c r="I25" s="248" t="inlineStr">
        <is>
          <t>4.2 y</t>
        </is>
      </c>
      <c r="J25" s="247" t="inlineStr">
        <is>
          <t>Base</t>
        </is>
      </c>
    </row>
    <row r="26">
      <c r="B26" s="205" t="inlineStr">
        <is>
          <t>3.6</t>
        </is>
      </c>
      <c r="C26" s="213" t="inlineStr">
        <is>
          <t>EV/EBITDA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</t>
        </is>
      </c>
    </row>
    <row r="28">
      <c r="B28" s="244" t="inlineStr">
        <is>
          <t>IV. CASH &amp; DEBT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</t>
        </is>
      </c>
    </row>
    <row r="30">
      <c r="B30" s="205" t="inlineStr">
        <is>
          <t>4.2</t>
        </is>
      </c>
      <c r="C30" s="213" t="inlineStr">
        <is>
          <t>Cash end period, млн ₽</t>
        </is>
      </c>
      <c r="D30" s="248" t="inlineStr">
        <is>
          <t>—</t>
        </is>
      </c>
      <c r="E30" s="248" t="inlineStr">
        <is>
          <t>—</t>
        </is>
      </c>
      <c r="F30" s="248" t="inlineStr">
        <is>
          <t>3 538</t>
        </is>
      </c>
      <c r="G30" s="249" t="inlineStr">
        <is>
          <t>3 538</t>
        </is>
      </c>
      <c r="H30" s="248" t="inlineStr">
        <is>
          <t>1 128</t>
        </is>
      </c>
      <c r="I30" s="248" t="inlineStr">
        <is>
          <t>1 128</t>
        </is>
      </c>
      <c r="J30" s="247" t="inlineStr">
        <is>
          <t>Base</t>
        </is>
      </c>
    </row>
    <row r="31">
      <c r="B31" s="205" t="inlineStr">
        <is>
          <t>4.3</t>
        </is>
      </c>
      <c r="C31" s="213" t="inlineStr">
        <is>
          <t>Interest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</t>
        </is>
      </c>
    </row>
    <row r="32">
      <c r="B32" s="205" t="inlineStr">
        <is>
          <t>4.4</t>
        </is>
      </c>
      <c r="C32" s="213" t="inlineStr">
        <is>
          <t>DSCR (EBITDA/Interest)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</t>
        </is>
      </c>
    </row>
    <row r="33">
      <c r="B33" s="205" t="inlineStr">
        <is>
          <t>4.5</t>
        </is>
      </c>
      <c r="C33" s="213" t="inlineStr">
        <is>
          <t>Net Debt / EBITDA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</t>
        </is>
      </c>
    </row>
    <row r="35">
      <c r="B35" s="244" t="inlineStr">
        <is>
          <t>V. OPERATIONAL</t>
        </is>
      </c>
    </row>
    <row r="36">
      <c r="B36" s="205" t="inlineStr">
        <is>
          <t>5.1</t>
        </is>
      </c>
      <c r="C36" s="213" t="inlineStr">
        <is>
          <t>Production CAPEX, млн ₽</t>
        </is>
      </c>
      <c r="D36" s="207" t="n">
        <v>402.5</v>
      </c>
      <c r="E36" s="207" t="n">
        <v>853</v>
      </c>
      <c r="F36" s="207" t="n">
        <v>594.5</v>
      </c>
      <c r="G36" s="232" t="n">
        <v>1850</v>
      </c>
      <c r="H36" s="207" t="n">
        <v>0</v>
      </c>
      <c r="I36" s="207" t="n">
        <v>1850</v>
      </c>
      <c r="J36" s="247" t="inlineStr">
        <is>
          <t>Base</t>
        </is>
      </c>
    </row>
    <row r="37">
      <c r="B37" s="205" t="inlineStr">
        <is>
          <t>5.2</t>
        </is>
      </c>
      <c r="C37" s="213" t="inlineStr">
        <is>
          <t>P&amp;A spend, млн ₽</t>
        </is>
      </c>
      <c r="D37" s="207" t="n">
        <v>22.5</v>
      </c>
      <c r="E37" s="207" t="n">
        <v>105</v>
      </c>
      <c r="F37" s="207" t="n">
        <v>150</v>
      </c>
      <c r="G37" s="232" t="n">
        <v>277.5</v>
      </c>
      <c r="H37" s="248" t="inlineStr">
        <is>
          <t>—</t>
        </is>
      </c>
      <c r="I37" s="207" t="n">
        <v>277.5</v>
      </c>
      <c r="J37" s="247" t="inlineStr">
        <is>
          <t>Base</t>
        </is>
      </c>
    </row>
    <row r="38">
      <c r="B38" s="205" t="inlineStr">
        <is>
          <t>5.3</t>
        </is>
      </c>
      <c r="C38" s="213" t="inlineStr">
        <is>
          <t>FOT (штат A₁), млн ₽</t>
        </is>
      </c>
      <c r="D38" s="207" t="n">
        <v>73.90000000000001</v>
      </c>
      <c r="E38" s="207" t="n">
        <v>73.90000000000001</v>
      </c>
      <c r="F38" s="207" t="n">
        <v>73.90000000000001</v>
      </c>
      <c r="G38" s="232" t="n">
        <v>221.8</v>
      </c>
      <c r="H38" s="248" t="inlineStr">
        <is>
          <t>—</t>
        </is>
      </c>
      <c r="I38" s="207" t="n">
        <v>221.8</v>
      </c>
      <c r="J38" s="247" t="inlineStr">
        <is>
          <t>Base</t>
        </is>
      </c>
    </row>
    <row r="39">
      <c r="B39" s="205" t="inlineStr">
        <is>
          <t>5.4</t>
        </is>
      </c>
      <c r="C39" s="213" t="inlineStr">
        <is>
          <t>Success rate (ROI&gt;40%)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12/12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</t>
        </is>
      </c>
    </row>
    <row r="40">
      <c r="B40" s="205" t="inlineStr">
        <is>
          <t>5.5</t>
        </is>
      </c>
      <c r="C40" s="213" t="inlineStr">
        <is>
          <t>High-risk films (% of budget)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22.2%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</t>
        </is>
      </c>
    </row>
    <row r="43">
      <c r="B43" s="244" t="inlineStr">
        <is>
          <t>VI. SCENARIO STRIPE (Revenue 2028 · EBITDA 3Y · Net Profit 3Y · Exit EV)</t>
        </is>
      </c>
    </row>
    <row r="44">
      <c r="B44" s="167" t="inlineStr">
        <is>
          <t>Сценарий</t>
        </is>
      </c>
      <c r="C44" s="167" t="inlineStr">
        <is>
          <t>Revenue 2028</t>
        </is>
      </c>
      <c r="D44" s="167" t="inlineStr">
        <is>
          <t>EBITDA 3Y</t>
        </is>
      </c>
      <c r="E44" s="167" t="inlineStr">
        <is>
          <t>NDP 3Y</t>
        </is>
      </c>
      <c r="F44" s="167" t="inlineStr">
        <is>
          <t>Net Profit 3Y</t>
        </is>
      </c>
      <c r="G44" s="167" t="inlineStr">
        <is>
          <t>IRR T₁</t>
        </is>
      </c>
      <c r="H44" s="167" t="inlineStr">
        <is>
          <t>MOIC T₁</t>
        </is>
      </c>
      <c r="I44" s="167" t="inlineStr">
        <is>
          <t>EV/Mult</t>
        </is>
      </c>
      <c r="J44" s="167" t="inlineStr">
        <is>
          <t>EV млн ₽</t>
        </is>
      </c>
    </row>
    <row r="45">
      <c r="B45" s="254" t="inlineStr">
        <is>
          <t>Bear</t>
        </is>
      </c>
      <c r="C45" s="202" t="n">
        <v>1872</v>
      </c>
      <c r="D45" s="202" t="n">
        <v>1614</v>
      </c>
      <c r="E45" s="202" t="n">
        <v>2250</v>
      </c>
      <c r="F45" s="202" t="n">
        <v>1182</v>
      </c>
      <c r="G45" s="255" t="inlineStr">
        <is>
          <t>12%</t>
        </is>
      </c>
      <c r="H45" s="255" t="inlineStr">
        <is>
          <t>1.05×</t>
        </is>
      </c>
      <c r="I45" s="255" t="inlineStr">
        <is>
          <t>3×</t>
        </is>
      </c>
      <c r="J45" s="202" t="n">
        <v>4840</v>
      </c>
    </row>
    <row r="46">
      <c r="B46" s="247" t="inlineStr">
        <is>
          <t>Base</t>
        </is>
      </c>
      <c r="C46" s="232" t="n">
        <v>2495</v>
      </c>
      <c r="D46" s="232" t="n">
        <v>2152</v>
      </c>
      <c r="E46" s="232" t="n">
        <v>3000</v>
      </c>
      <c r="F46" s="232" t="n">
        <v>1689</v>
      </c>
      <c r="G46" s="256" t="inlineStr">
        <is>
          <t>22%</t>
        </is>
      </c>
      <c r="H46" s="256" t="inlineStr">
        <is>
          <t>1.37×</t>
        </is>
      </c>
      <c r="I46" s="256" t="inlineStr">
        <is>
          <t>5×</t>
        </is>
      </c>
      <c r="J46" s="232" t="n">
        <v>10760</v>
      </c>
    </row>
    <row r="47">
      <c r="B47" s="234" t="inlineStr">
        <is>
          <t>Bull</t>
        </is>
      </c>
      <c r="C47" s="193" t="n">
        <v>3119</v>
      </c>
      <c r="D47" s="193" t="n">
        <v>2690</v>
      </c>
      <c r="E47" s="193" t="n">
        <v>3750</v>
      </c>
      <c r="F47" s="193" t="n">
        <v>2111</v>
      </c>
      <c r="G47" s="257" t="inlineStr">
        <is>
          <t>33%</t>
        </is>
      </c>
      <c r="H47" s="257" t="inlineStr">
        <is>
          <t>2.00×</t>
        </is>
      </c>
      <c r="I47" s="257" t="inlineStr">
        <is>
          <t>7×</t>
        </is>
      </c>
      <c r="J47" s="193" t="n">
        <v>18830</v>
      </c>
    </row>
    <row r="50">
      <c r="B50" s="258" t="inlineStr">
        <is>
          <t>Примечание: Base case — якорь NDP 3 000 млн ₽; Bear = 0.75× Base; Bull = 1.25× Base. EV/EBITDA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— DCF (Discounted Cash Flow) · 5Y Forecast 2026–2030</t>
        </is>
      </c>
    </row>
    <row r="3"/>
    <row r="4">
      <c r="B4" s="189" t="inlineStr">
        <is>
          <t>WACC = 19.1% · Terminal growth g = 3% · Exit Mult = 5.0× EBITDA</t>
        </is>
      </c>
    </row>
    <row r="6">
      <c r="B6" s="244" t="inlineStr">
        <is>
          <t>I. WACC BUILD-UP</t>
        </is>
      </c>
    </row>
    <row r="7">
      <c r="B7" s="206" t="inlineStr">
        <is>
          <t>Risk-free rate (ОФЗ 10Y)</t>
        </is>
      </c>
      <c r="C7" s="187" t="n"/>
      <c r="D7" s="259" t="n">
        <v>0.145</v>
      </c>
    </row>
    <row r="8">
      <c r="B8" s="206" t="inlineStr">
        <is>
          <t>Levered β (cinema/media)</t>
        </is>
      </c>
      <c r="C8" s="187" t="n"/>
      <c r="D8" s="260" t="n">
        <v>0.8</v>
      </c>
    </row>
    <row r="9">
      <c r="B9" s="206" t="inlineStr">
        <is>
          <t>Equity Risk Premium</t>
        </is>
      </c>
      <c r="C9" s="187" t="n"/>
      <c r="D9" s="259" t="n">
        <v>0.07000000000000001</v>
      </c>
    </row>
    <row r="10">
      <c r="B10" s="206" t="inlineStr">
        <is>
          <t>Country risk premium (РФ)</t>
        </is>
      </c>
      <c r="C10" s="187" t="n"/>
      <c r="D10" s="259" t="n">
        <v>0.02</v>
      </c>
    </row>
    <row r="11">
      <c r="B11" s="206" t="inlineStr">
        <is>
          <t>Size premium (small-cap)</t>
        </is>
      </c>
      <c r="C11" s="187" t="n"/>
      <c r="D11" s="259" t="n">
        <v>0.01</v>
      </c>
    </row>
    <row r="12">
      <c r="B12" s="213" t="inlineStr">
        <is>
          <t>Cost of Equity (CAPM extended)</t>
        </is>
      </c>
      <c r="C12" s="187" t="n"/>
      <c r="D12" s="259" t="n">
        <v>0.231</v>
      </c>
    </row>
    <row r="13">
      <c r="B13" s="213" t="inlineStr">
        <is>
          <t>Cost of Debt (pre-tax)</t>
        </is>
      </c>
      <c r="C13" s="187" t="n"/>
      <c r="D13" s="259" t="n">
        <v>0.12</v>
      </c>
    </row>
    <row r="14">
      <c r="B14" s="213" t="inlineStr">
        <is>
          <t>Cost of Debt (after-tax, 20%)</t>
        </is>
      </c>
      <c r="C14" s="187" t="n"/>
      <c r="D14" s="259" t="n">
        <v>0.096</v>
      </c>
    </row>
    <row r="15">
      <c r="B15" s="206" t="inlineStr">
        <is>
          <t>D/V target capital structure</t>
        </is>
      </c>
      <c r="C15" s="187" t="n"/>
      <c r="D15" s="259" t="n">
        <v>0.3</v>
      </c>
    </row>
    <row r="16">
      <c r="B16" s="206" t="inlineStr">
        <is>
          <t>E/V target capital structure</t>
        </is>
      </c>
      <c r="C16" s="187" t="n"/>
      <c r="D16" s="259" t="n">
        <v>0.7</v>
      </c>
    </row>
    <row r="17">
      <c r="B17" s="261" t="inlineStr">
        <is>
          <t>WACC (weighted)</t>
        </is>
      </c>
      <c r="C17" s="187" t="n"/>
      <c r="D17" s="262" t="n">
        <v>0.1905</v>
      </c>
    </row>
    <row r="20">
      <c r="B20" s="244" t="inlineStr">
        <is>
          <t>II. FORECAST FREE CASH FLOW TO FIRM (FCFF)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</t>
        </is>
      </c>
      <c r="D22" s="207" t="n">
        <v>385</v>
      </c>
      <c r="E22" s="207" t="n">
        <v>1665</v>
      </c>
      <c r="F22" s="207" t="n">
        <v>2495</v>
      </c>
      <c r="G22" s="207" t="n">
        <v>2600</v>
      </c>
      <c r="H22" s="207" t="n">
        <v>2800</v>
      </c>
      <c r="I22" s="264" t="n">
        <v>9945</v>
      </c>
    </row>
    <row r="23">
      <c r="B23" s="205" t="inlineStr">
        <is>
          <t>2</t>
        </is>
      </c>
      <c r="C23" s="213" t="inlineStr">
        <is>
          <t>EBITDA</t>
        </is>
      </c>
      <c r="D23" s="207" t="n">
        <v>50.05</v>
      </c>
      <c r="E23" s="207" t="n">
        <v>639.36</v>
      </c>
      <c r="F23" s="207" t="n">
        <v>1462.07</v>
      </c>
      <c r="G23" s="207" t="n">
        <v>1040</v>
      </c>
      <c r="H23" s="207" t="n">
        <v>1120</v>
      </c>
      <c r="I23" s="264" t="n">
        <v>4311.48</v>
      </c>
    </row>
    <row r="24">
      <c r="B24" s="205" t="inlineStr">
        <is>
          <t>3</t>
        </is>
      </c>
      <c r="C24" s="206" t="inlineStr">
        <is>
          <t>D&amp;A</t>
        </is>
      </c>
      <c r="D24" s="207" t="n">
        <v>3</v>
      </c>
      <c r="E24" s="207" t="n">
        <v>3</v>
      </c>
      <c r="F24" s="207" t="n">
        <v>3</v>
      </c>
      <c r="G24" s="207" t="n">
        <v>500</v>
      </c>
      <c r="H24" s="207" t="n">
        <v>520</v>
      </c>
      <c r="I24" s="264" t="n">
        <v>1029</v>
      </c>
    </row>
    <row r="25">
      <c r="B25" s="205" t="inlineStr">
        <is>
          <t>4</t>
        </is>
      </c>
      <c r="C25" s="206" t="inlineStr">
        <is>
          <t>EBIT</t>
        </is>
      </c>
      <c r="D25" s="207" t="n">
        <v>47.05</v>
      </c>
      <c r="E25" s="207" t="n">
        <v>636.36</v>
      </c>
      <c r="F25" s="207" t="n">
        <v>1459.07</v>
      </c>
      <c r="G25" s="207" t="n">
        <v>540</v>
      </c>
      <c r="H25" s="207" t="n">
        <v>600</v>
      </c>
      <c r="I25" s="264" t="n">
        <v>3282.48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 t="n">
        <v>37.64000000000001</v>
      </c>
      <c r="E26" s="207" t="n">
        <v>509.088</v>
      </c>
      <c r="F26" s="207" t="n">
        <v>1167.256</v>
      </c>
      <c r="G26" s="207" t="n">
        <v>432</v>
      </c>
      <c r="H26" s="207" t="n">
        <v>480</v>
      </c>
      <c r="I26" s="264" t="n">
        <v>2625.984</v>
      </c>
    </row>
    <row r="27">
      <c r="B27" s="205" t="inlineStr">
        <is>
          <t>6</t>
        </is>
      </c>
      <c r="C27" s="206" t="inlineStr">
        <is>
          <t>+ D&amp;A</t>
        </is>
      </c>
      <c r="D27" s="207" t="n">
        <v>3</v>
      </c>
      <c r="E27" s="207" t="n">
        <v>3</v>
      </c>
      <c r="F27" s="207" t="n">
        <v>3</v>
      </c>
      <c r="G27" s="207" t="n">
        <v>500</v>
      </c>
      <c r="H27" s="207" t="n">
        <v>520</v>
      </c>
      <c r="I27" s="264" t="n">
        <v>1029</v>
      </c>
    </row>
    <row r="28">
      <c r="B28" s="205" t="inlineStr">
        <is>
          <t>7</t>
        </is>
      </c>
      <c r="C28" s="206" t="inlineStr">
        <is>
          <t>− CAPEX</t>
        </is>
      </c>
      <c r="D28" s="207" t="n">
        <v>-402.5</v>
      </c>
      <c r="E28" s="207" t="n">
        <v>-853</v>
      </c>
      <c r="F28" s="207" t="n">
        <v>-594.5</v>
      </c>
      <c r="G28" s="207" t="n">
        <v>-500</v>
      </c>
      <c r="H28" s="207" t="n">
        <v>-520</v>
      </c>
      <c r="I28" s="264" t="n">
        <v>-2870</v>
      </c>
    </row>
    <row r="29">
      <c r="B29" s="205" t="inlineStr">
        <is>
          <t>8</t>
        </is>
      </c>
      <c r="C29" s="206" t="inlineStr">
        <is>
          <t>− ΔNWC</t>
        </is>
      </c>
      <c r="D29" s="207" t="n">
        <v>-38.5</v>
      </c>
      <c r="E29" s="207" t="n">
        <v>-128</v>
      </c>
      <c r="F29" s="207" t="n">
        <v>-83</v>
      </c>
      <c r="G29" s="207" t="n">
        <v>-10.5</v>
      </c>
      <c r="H29" s="207" t="n">
        <v>-20</v>
      </c>
      <c r="I29" s="264" t="n">
        <v>-280</v>
      </c>
    </row>
    <row r="30">
      <c r="B30" s="205" t="inlineStr">
        <is>
          <t>9</t>
        </is>
      </c>
      <c r="C30" s="213">
        <f> FCFF</f>
        <v/>
      </c>
      <c r="D30" s="193" t="n">
        <v>-400.36</v>
      </c>
      <c r="E30" s="193" t="n">
        <v>-468.912</v>
      </c>
      <c r="F30" s="193" t="n">
        <v>492.7560000000001</v>
      </c>
      <c r="G30" s="193" t="n">
        <v>421.5</v>
      </c>
      <c r="H30" s="193" t="n">
        <v>460</v>
      </c>
      <c r="I30" s="264" t="n">
        <v>504.984</v>
      </c>
    </row>
    <row r="31">
      <c r="B31" s="205" t="inlineStr">
        <is>
          <t>10</t>
        </is>
      </c>
      <c r="C31" s="261" t="inlineStr">
        <is>
          <t>PV FCFF @ WACC 19.1%</t>
        </is>
      </c>
      <c r="D31" s="232" t="n">
        <v>-336.2956740865183</v>
      </c>
      <c r="E31" s="232" t="n">
        <v>-330.8510730247386</v>
      </c>
      <c r="F31" s="232" t="n">
        <v>292.0409294177834</v>
      </c>
      <c r="G31" s="232" t="n">
        <v>209.8359908571182</v>
      </c>
      <c r="H31" s="232" t="n">
        <v>192.3582569088606</v>
      </c>
      <c r="N31" s="173" t="n">
        <v>27.08843007250539</v>
      </c>
    </row>
    <row r="33">
      <c r="B33" s="244" t="inlineStr">
        <is>
          <t>III. ENTERPRISE VALUE BRIDGE</t>
        </is>
      </c>
    </row>
    <row r="34">
      <c r="B34" s="206" t="inlineStr">
        <is>
          <t>Σ PV of Explicit FCFF (10 years)</t>
        </is>
      </c>
      <c r="C34" s="186" t="n"/>
      <c r="D34" s="186" t="n"/>
      <c r="E34" s="186" t="n"/>
      <c r="F34" s="186" t="n"/>
      <c r="G34" s="186" t="n"/>
      <c r="H34" s="186" t="n"/>
      <c r="I34" s="186" t="n"/>
      <c r="J34" s="186" t="n"/>
      <c r="K34" s="187" t="n"/>
      <c r="L34" s="207" t="n">
        <v>27.08843007250539</v>
      </c>
      <c r="M34" s="186" t="n"/>
      <c r="N34" s="187" t="n"/>
    </row>
    <row r="35">
      <c r="B35" s="206" t="inlineStr">
        <is>
          <t>Terminal Value — Gordon (g=3%)</t>
        </is>
      </c>
      <c r="C35" s="186" t="n"/>
      <c r="D35" s="186" t="n"/>
      <c r="E35" s="186" t="n"/>
      <c r="F35" s="186" t="n"/>
      <c r="G35" s="186" t="n"/>
      <c r="H35" s="186" t="n"/>
      <c r="I35" s="186" t="n"/>
      <c r="J35" s="186" t="n"/>
      <c r="K35" s="187" t="n"/>
      <c r="L35" s="207" t="n">
        <v>2952.02492211838</v>
      </c>
      <c r="M35" s="186" t="n"/>
      <c r="N35" s="187" t="n"/>
    </row>
    <row r="36">
      <c r="B36" s="206" t="inlineStr">
        <is>
          <t>PV of Terminal Value — Gordon</t>
        </is>
      </c>
      <c r="C36" s="186" t="n"/>
      <c r="D36" s="186" t="n"/>
      <c r="E36" s="186" t="n"/>
      <c r="F36" s="186" t="n"/>
      <c r="G36" s="186" t="n"/>
      <c r="H36" s="186" t="n"/>
      <c r="I36" s="186" t="n"/>
      <c r="J36" s="186" t="n"/>
      <c r="K36" s="187" t="n"/>
      <c r="L36" s="207" t="n">
        <v>1234.448626891753</v>
      </c>
      <c r="M36" s="186" t="n"/>
      <c r="N36" s="187" t="n"/>
    </row>
    <row r="37">
      <c r="B37" s="154" t="inlineStr">
        <is>
          <t>Enterprise Value (Gordon method)</t>
        </is>
      </c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7" t="n"/>
      <c r="L37" s="173" t="n">
        <v>1261.537056964259</v>
      </c>
      <c r="M37" s="186" t="n"/>
      <c r="N37" s="187" t="n"/>
    </row>
    <row r="38">
      <c r="B38" s="246" t="inlineStr"/>
      <c r="L38" s="265" t="n"/>
    </row>
    <row r="39">
      <c r="B39" s="206" t="inlineStr">
        <is>
          <t>Terminal Value — Exit Multiple (5× EBITDA2030)</t>
        </is>
      </c>
      <c r="C39" s="186" t="n"/>
      <c r="D39" s="186" t="n"/>
      <c r="E39" s="186" t="n"/>
      <c r="F39" s="186" t="n"/>
      <c r="G39" s="186" t="n"/>
      <c r="H39" s="186" t="n"/>
      <c r="I39" s="186" t="n"/>
      <c r="J39" s="186" t="n"/>
      <c r="K39" s="187" t="n"/>
      <c r="L39" s="207" t="n">
        <v>5600</v>
      </c>
      <c r="M39" s="186" t="n"/>
      <c r="N39" s="187" t="n"/>
    </row>
    <row r="40">
      <c r="B40" s="206" t="inlineStr">
        <is>
          <t>PV of Terminal Value — Exit Multiple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7" t="n"/>
      <c r="L40" s="207" t="n">
        <v>2341.75269280352</v>
      </c>
      <c r="M40" s="186" t="n"/>
      <c r="N40" s="187" t="n"/>
    </row>
    <row r="41">
      <c r="B41" s="154" t="inlineStr">
        <is>
          <t>Enterprise Value (Exit Multiple method)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7" t="n"/>
      <c r="L41" s="173" t="n">
        <v>2368.841122876026</v>
      </c>
      <c r="M41" s="186" t="n"/>
      <c r="N41" s="187" t="n"/>
    </row>
    <row r="42">
      <c r="B42" s="246" t="inlineStr"/>
      <c r="L42" s="265" t="n"/>
    </row>
    <row r="43">
      <c r="B43" s="154" t="inlineStr">
        <is>
          <t>EV blended (avg of Gordon + Exit Mult)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7" t="n"/>
      <c r="L43" s="173" t="n">
        <v>1815.189089920142</v>
      </c>
      <c r="M43" s="186" t="n"/>
      <c r="N43" s="187" t="n"/>
    </row>
    <row r="44">
      <c r="B44" s="206" t="inlineStr">
        <is>
          <t>(−) Net Debt at valuation date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7" t="n"/>
      <c r="L44" s="207" t="n">
        <v>0</v>
      </c>
      <c r="M44" s="186" t="n"/>
      <c r="N44" s="187" t="n"/>
    </row>
    <row r="45">
      <c r="B45" s="154">
        <f> Equity Value</f>
        <v/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7" t="n"/>
      <c r="L45" s="173" t="n">
        <v>1815.189089920142</v>
      </c>
      <c r="M45" s="186" t="n"/>
      <c r="N45" s="187" t="n"/>
    </row>
    <row r="48">
      <c r="B48" s="244" t="inlineStr">
        <is>
          <t>IV. SENSITIVITY: EV (GORDON METHOD) vs WACC × g</t>
        </is>
      </c>
    </row>
    <row r="49">
      <c r="C49" s="167" t="inlineStr">
        <is>
          <t>WACC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 t="n">
        <v>1730.583942753584</v>
      </c>
      <c r="E50" s="207" t="n">
        <v>1873.777838185092</v>
      </c>
      <c r="F50" s="207" t="n">
        <v>2040.738355264984</v>
      </c>
      <c r="G50" s="207" t="n">
        <v>2237.917970458884</v>
      </c>
      <c r="H50" s="207" t="n">
        <v>2474.33731006948</v>
      </c>
    </row>
    <row r="51">
      <c r="C51" s="167" t="inlineStr">
        <is>
          <t>17.1%</t>
        </is>
      </c>
      <c r="D51" s="207" t="n">
        <v>1374.374429187806</v>
      </c>
      <c r="E51" s="207" t="n">
        <v>1475.826431489002</v>
      </c>
      <c r="F51" s="207" t="n">
        <v>1591.719999954069</v>
      </c>
      <c r="G51" s="207" t="n">
        <v>1725.375034850564</v>
      </c>
      <c r="H51" s="207" t="n">
        <v>1881.213478028635</v>
      </c>
    </row>
    <row r="52">
      <c r="C52" s="167" t="inlineStr">
        <is>
          <t>19.1%</t>
        </is>
      </c>
      <c r="D52" s="207" t="n">
        <v>1103.442111390784</v>
      </c>
      <c r="E52" s="207" t="n">
        <v>1177.853368764809</v>
      </c>
      <c r="F52" s="173" t="n">
        <v>1261.537056964259</v>
      </c>
      <c r="G52" s="207" t="n">
        <v>1356.341501070612</v>
      </c>
      <c r="H52" s="207" t="n">
        <v>1464.641239711677</v>
      </c>
    </row>
    <row r="53">
      <c r="C53" s="167" t="inlineStr">
        <is>
          <t>21.1%</t>
        </is>
      </c>
      <c r="D53" s="207" t="n">
        <v>891.8875237494921</v>
      </c>
      <c r="E53" s="207" t="n">
        <v>947.9780222258811</v>
      </c>
      <c r="F53" s="207" t="n">
        <v>1010.283534383865</v>
      </c>
      <c r="G53" s="207" t="n">
        <v>1079.897611017858</v>
      </c>
      <c r="H53" s="207" t="n">
        <v>1158.186338945807</v>
      </c>
    </row>
    <row r="54">
      <c r="C54" s="167" t="inlineStr">
        <is>
          <t>23.1%</t>
        </is>
      </c>
      <c r="D54" s="207" t="n">
        <v>723.2362859485631</v>
      </c>
      <c r="E54" s="207" t="n">
        <v>766.4648356658124</v>
      </c>
      <c r="F54" s="207" t="n">
        <v>814.0054601678252</v>
      </c>
      <c r="G54" s="207" t="n">
        <v>866.5372263498391</v>
      </c>
      <c r="H54" s="207" t="n">
        <v>924.8896868456495</v>
      </c>
    </row>
    <row r="57">
      <c r="B57" s="258" t="inlineStr">
        <is>
      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      </is>
      </c>
    </row>
    <row r="59">
      <c r="B59" s="320" t="inlineStr">
        <is>
          <t>VI. WHY DCF &lt; MULTIPLES — QUICK NOTE</t>
        </is>
      </c>
    </row>
    <row r="60">
      <c r="B60" s="319" t="inlineStr">
        <is>
          <t>DCF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TV сжимает 30-летнюю библиотеку в константу g=3%. Фильмы 2028 года монетизируются до ~2048, но при WACC 19% CF 2046 = 0.5% от номинала.</t>
        </is>
      </c>
      <c r="E63" s="416" t="inlineStr">
        <is>
          <t>+2 500 млн ₽</t>
        </is>
      </c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36" customHeight="1">
      <c r="B64" s="414" t="n">
        <v>2</v>
      </c>
      <c r="C64" s="415" t="inlineStr">
        <is>
          <t>WACC 19% vs buyer WACC 7%</t>
        </is>
      </c>
      <c r="D64" s="415" t="inlineStr">
        <is>
          <t>Страновой premium «съедает» дальний tail. Strategic buyer (Яндекс/Сбер) дисконтирует под 7-9%, получая другой NPV того же CF stream.</t>
        </is>
      </c>
      <c r="E64" s="416" t="inlineStr">
        <is>
          <t>+1 500 млн ₽</t>
        </is>
      </c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F05/F12),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7" t="n"/>
    </row>
    <row r="66" ht="36" customHeight="1">
      <c r="B66" s="414" t="n">
        <v>4</v>
      </c>
      <c r="C66" s="415" t="inlineStr">
        <is>
          <t>Execution risk двойное начисление</t>
        </is>
      </c>
      <c r="D66" s="415" t="inlineStr">
        <is>
          <t>В DCF высокий WACC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7" t="n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7" t="n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70" ht="48" customHeight="1">
      <c r="B70" s="420" t="inlineStr">
        <is>
          <t>ИНТЕРПРЕТАЦИЯ. DCF = floor valuation (intrinsic floor, без премий и опционов). Comps = market valuation (что реально платят). Weighted EV exit 6 038 млн ₽ (лист 25_Exit_Scenarios) — ближе к mid Football Field, это и есть expected value для переговоров. DCF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— TRADING &amp; PRECEDENT MULTIPLES + FOOTBALL FIELD</t>
        </is>
      </c>
    </row>
    <row r="3"/>
    <row r="4">
      <c r="B4" s="189" t="inlineStr">
        <is>
          <t>Сравнительная оценка с peers российского кино/OTT-рынка и прецеденты M&amp;A сделок 2022–2025</t>
        </is>
      </c>
    </row>
    <row r="6">
      <c r="B6" s="244" t="inlineStr">
        <is>
          <t>I. TRADING MULTIPLES — PEER GROUP (РФ кино/OTT)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</t>
        </is>
      </c>
      <c r="F7" s="167" t="inlineStr">
        <is>
          <t>EBITDA</t>
        </is>
      </c>
      <c r="G7" s="167" t="inlineStr">
        <is>
          <t>EV</t>
        </is>
      </c>
      <c r="H7" s="167" t="inlineStr">
        <is>
          <t>EV/Rev</t>
        </is>
      </c>
      <c r="I7" s="167" t="inlineStr">
        <is>
          <t>EV/EBITDA</t>
        </is>
      </c>
      <c r="J7" s="167" t="inlineStr">
        <is>
          <t>EBITDA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AVOD+SVOD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</t>
        </is>
      </c>
    </row>
    <row r="11">
      <c r="B11" s="205" t="n">
        <v>4</v>
      </c>
      <c r="C11" s="206" t="inlineStr">
        <is>
          <t>START</t>
        </is>
      </c>
      <c r="D11" s="206" t="inlineStr">
        <is>
          <t>OTT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</t>
        </is>
      </c>
      <c r="D12" s="206" t="inlineStr">
        <is>
          <t>OTT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</t>
        </is>
      </c>
      <c r="D14" s="186" t="n"/>
      <c r="E14" s="186" t="n"/>
      <c r="F14" s="186" t="n"/>
      <c r="G14" s="187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</t>
        </is>
      </c>
      <c r="D15" s="186" t="n"/>
      <c r="E15" s="186" t="n"/>
      <c r="F15" s="186" t="n"/>
      <c r="G15" s="187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</t>
        </is>
      </c>
      <c r="D16" s="186" t="n"/>
      <c r="E16" s="186" t="n"/>
      <c r="F16" s="186" t="n"/>
      <c r="G16" s="187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</t>
        </is>
      </c>
      <c r="D17" s="186" t="n"/>
      <c r="E17" s="186" t="n"/>
      <c r="F17" s="186" t="n"/>
      <c r="G17" s="187" t="n"/>
      <c r="H17" s="268" t="n">
        <v>1.05</v>
      </c>
      <c r="I17" s="268" t="n">
        <v>6.67</v>
      </c>
      <c r="J17" s="269" t="n"/>
      <c r="K17" s="269" t="n"/>
    </row>
    <row r="20">
      <c r="B20" s="244" t="inlineStr">
        <is>
          <t>II. APPLY MULTIPLES TO ТРЕНДСТУДИО (Base EBITDA 2028 = 1 462 · Rev 2028 = 2 495)</t>
        </is>
      </c>
    </row>
    <row r="21">
      <c r="B21" s="167" t="inlineStr">
        <is>
          <t>Метод</t>
        </is>
      </c>
      <c r="C21" s="186" t="n"/>
      <c r="D21" s="186" t="n"/>
      <c r="E21" s="186" t="n"/>
      <c r="F21" s="187" t="n"/>
      <c r="G21" s="167" t="inlineStr">
        <is>
          <t>Multiple</t>
        </is>
      </c>
      <c r="H21" s="167" t="inlineStr">
        <is>
          <t>Base</t>
        </is>
      </c>
      <c r="I21" s="167" t="inlineStr">
        <is>
          <t>Implied EV</t>
        </is>
      </c>
      <c r="J21" s="186" t="n"/>
      <c r="K21" s="187" t="n"/>
    </row>
    <row r="22">
      <c r="B22" s="206" t="inlineStr">
        <is>
          <t>Peer Min × EBITDA 2028</t>
        </is>
      </c>
      <c r="C22" s="186" t="n"/>
      <c r="D22" s="186" t="n"/>
      <c r="E22" s="186" t="n"/>
      <c r="F22" s="187" t="n"/>
      <c r="G22" s="237" t="n">
        <v>4.76</v>
      </c>
      <c r="H22" s="207" t="n">
        <v>1462</v>
      </c>
      <c r="I22" s="270" t="n">
        <v>6959.12</v>
      </c>
      <c r="J22" s="186" t="n"/>
      <c r="K22" s="187" t="n"/>
    </row>
    <row r="23">
      <c r="B23" s="206" t="inlineStr">
        <is>
          <t>Peer Median × EBITDA 2028</t>
        </is>
      </c>
      <c r="C23" s="186" t="n"/>
      <c r="D23" s="186" t="n"/>
      <c r="E23" s="186" t="n"/>
      <c r="F23" s="187" t="n"/>
      <c r="G23" s="237" t="n">
        <v>5.71</v>
      </c>
      <c r="H23" s="207" t="n">
        <v>1462</v>
      </c>
      <c r="I23" s="270" t="n">
        <v>8348.02</v>
      </c>
      <c r="J23" s="186" t="n"/>
      <c r="K23" s="187" t="n"/>
    </row>
    <row r="24">
      <c r="B24" s="206" t="inlineStr">
        <is>
          <t>Peer Mean × EBITDA 2028</t>
        </is>
      </c>
      <c r="C24" s="186" t="n"/>
      <c r="D24" s="186" t="n"/>
      <c r="E24" s="186" t="n"/>
      <c r="F24" s="187" t="n"/>
      <c r="G24" s="237" t="n">
        <v>5.736666666666667</v>
      </c>
      <c r="H24" s="207" t="n">
        <v>1462</v>
      </c>
      <c r="I24" s="270" t="n">
        <v>8387.006666666668</v>
      </c>
      <c r="J24" s="186" t="n"/>
      <c r="K24" s="187" t="n"/>
    </row>
    <row r="25">
      <c r="B25" s="206" t="inlineStr">
        <is>
          <t>Peer Max × EBITDA 2028</t>
        </is>
      </c>
      <c r="C25" s="186" t="n"/>
      <c r="D25" s="186" t="n"/>
      <c r="E25" s="186" t="n"/>
      <c r="F25" s="187" t="n"/>
      <c r="G25" s="237" t="n">
        <v>6.67</v>
      </c>
      <c r="H25" s="207" t="n">
        <v>1462</v>
      </c>
      <c r="I25" s="270" t="n">
        <v>9751.539999999999</v>
      </c>
      <c r="J25" s="186" t="n"/>
      <c r="K25" s="187" t="n"/>
    </row>
    <row r="26">
      <c r="B26" s="206" t="inlineStr">
        <is>
          <t>Peer Min × Revenue 2028</t>
        </is>
      </c>
      <c r="C26" s="186" t="n"/>
      <c r="D26" s="186" t="n"/>
      <c r="E26" s="186" t="n"/>
      <c r="F26" s="187" t="n"/>
      <c r="G26" s="237" t="n">
        <v>0.8</v>
      </c>
      <c r="H26" s="207" t="n">
        <v>2495</v>
      </c>
      <c r="I26" s="270" t="n">
        <v>1996</v>
      </c>
      <c r="J26" s="186" t="n"/>
      <c r="K26" s="187" t="n"/>
    </row>
    <row r="27">
      <c r="B27" s="206" t="inlineStr">
        <is>
          <t>Peer Median × Revenue 2028</t>
        </is>
      </c>
      <c r="C27" s="186" t="n"/>
      <c r="D27" s="186" t="n"/>
      <c r="E27" s="186" t="n"/>
      <c r="F27" s="187" t="n"/>
      <c r="G27" s="237" t="n">
        <v>0.8</v>
      </c>
      <c r="H27" s="207" t="n">
        <v>2495</v>
      </c>
      <c r="I27" s="270" t="n">
        <v>1996</v>
      </c>
      <c r="J27" s="186" t="n"/>
      <c r="K27" s="187" t="n"/>
    </row>
    <row r="28">
      <c r="B28" s="206" t="inlineStr">
        <is>
          <t>Peer Mean × Revenue 2028</t>
        </is>
      </c>
      <c r="C28" s="186" t="n"/>
      <c r="D28" s="186" t="n"/>
      <c r="E28" s="186" t="n"/>
      <c r="F28" s="187" t="n"/>
      <c r="G28" s="237" t="n">
        <v>0.8433333333333333</v>
      </c>
      <c r="H28" s="207" t="n">
        <v>2495</v>
      </c>
      <c r="I28" s="270" t="n">
        <v>2104.116666666666</v>
      </c>
      <c r="J28" s="186" t="n"/>
      <c r="K28" s="187" t="n"/>
    </row>
    <row r="29">
      <c r="B29" s="206" t="inlineStr">
        <is>
          <t>Peer Max × Revenue 2028</t>
        </is>
      </c>
      <c r="C29" s="186" t="n"/>
      <c r="D29" s="186" t="n"/>
      <c r="E29" s="186" t="n"/>
      <c r="F29" s="187" t="n"/>
      <c r="G29" s="237" t="n">
        <v>1.05</v>
      </c>
      <c r="H29" s="207" t="n">
        <v>2495</v>
      </c>
      <c r="I29" s="270" t="n">
        <v>2619.75</v>
      </c>
      <c r="J29" s="186" t="n"/>
      <c r="K29" s="187" t="n"/>
    </row>
    <row r="32">
      <c r="B32" s="244" t="inlineStr">
        <is>
          <t>III. PRECEDENT M&amp;A TRANSACTIONS (РФ медиа/OTT, 2022–2025)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 t="n"/>
      <c r="E33" s="167" t="inlineStr">
        <is>
          <t>Год</t>
        </is>
      </c>
      <c r="F33" s="167" t="inlineStr">
        <is>
          <t>Target Rev</t>
        </is>
      </c>
      <c r="G33" s="167" t="inlineStr">
        <is>
          <t>Deal EV</t>
        </is>
      </c>
      <c r="H33" s="167" t="inlineStr">
        <is>
          <t>EV/Rev</t>
        </is>
      </c>
      <c r="I33" s="167" t="inlineStr">
        <is>
          <t>EV/EBITDA</t>
        </is>
      </c>
      <c r="J33" s="167" t="inlineStr">
        <is>
          <t>Комментарий</t>
        </is>
      </c>
      <c r="K33" s="187" t="n"/>
    </row>
    <row r="34">
      <c r="B34" s="205" t="n">
        <v>1</v>
      </c>
      <c r="C34" s="206" t="inlineStr">
        <is>
          <t>Сбер → Okko (увеличение доли)</t>
        </is>
      </c>
      <c r="D34" s="187" t="n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в экосистеме</t>
        </is>
      </c>
      <c r="K34" s="187" t="n"/>
    </row>
    <row r="35">
      <c r="B35" s="205" t="n">
        <v>2</v>
      </c>
      <c r="C35" s="206" t="inlineStr">
        <is>
          <t>Газпром-Медиа → Premier</t>
        </is>
      </c>
      <c r="D35" s="187" t="n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</t>
        </is>
      </c>
      <c r="K35" s="187" t="n"/>
    </row>
    <row r="36">
      <c r="B36" s="205" t="n">
        <v>3</v>
      </c>
      <c r="C36" s="206" t="inlineStr">
        <is>
          <t>ВК → zvook/Russkoe Radio медиа</t>
        </is>
      </c>
      <c r="D36" s="187" t="n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 t="n"/>
    </row>
    <row r="39">
      <c r="B39" s="244" t="inlineStr">
        <is>
          <t>IV. FOOTBALL FIELD — ИТОГОВЫЙ ДИАПАЗОН ОЦЕНКИ, млн ₽</t>
        </is>
      </c>
    </row>
    <row r="40">
      <c r="B40" s="167" t="inlineStr">
        <is>
          <t>Метод оценки</t>
        </is>
      </c>
      <c r="C40" s="186" t="n"/>
      <c r="D40" s="187" t="n"/>
      <c r="E40" s="167" t="inlineStr">
        <is>
          <t>Low</t>
        </is>
      </c>
      <c r="F40" s="167" t="inlineStr">
        <is>
          <t>Mid</t>
        </is>
      </c>
      <c r="G40" s="167" t="inlineStr">
        <is>
          <t>High</t>
        </is>
      </c>
      <c r="H40" s="167" t="inlineStr">
        <is>
          <t>Commentary</t>
        </is>
      </c>
      <c r="I40" s="186" t="n"/>
      <c r="J40" s="186" t="n"/>
      <c r="K40" s="187" t="n"/>
    </row>
    <row r="41">
      <c r="B41" s="213" t="inlineStr">
        <is>
          <t>DCF — Gordon Growth</t>
        </is>
      </c>
      <c r="C41" s="186" t="n"/>
      <c r="D41" s="187" t="n"/>
      <c r="E41" s="207" t="n">
        <v>1072.30649841962</v>
      </c>
      <c r="F41" s="173" t="n">
        <v>1261.537056964259</v>
      </c>
      <c r="G41" s="207" t="n">
        <v>1450.767615508897</v>
      </c>
      <c r="H41" s="159" t="inlineStr">
        <is>
          <t>g=3%, WACC=19.1%, sensitivity ±15%</t>
        </is>
      </c>
      <c r="I41" s="186" t="n"/>
      <c r="J41" s="186" t="n"/>
      <c r="K41" s="187" t="n"/>
    </row>
    <row r="42">
      <c r="B42" s="213" t="inlineStr">
        <is>
          <t>DCF — Exit Multiple</t>
        </is>
      </c>
      <c r="C42" s="186" t="n"/>
      <c r="D42" s="187" t="n"/>
      <c r="E42" s="207" t="n">
        <v>2013.514954444622</v>
      </c>
      <c r="F42" s="173" t="n">
        <v>2368.841122876026</v>
      </c>
      <c r="G42" s="207" t="n">
        <v>2724.16729130743</v>
      </c>
      <c r="H42" s="159" t="inlineStr">
        <is>
          <t>5× EBITDA2030, ±15% sensitivity</t>
        </is>
      </c>
      <c r="I42" s="186" t="n"/>
      <c r="J42" s="186" t="n"/>
      <c r="K42" s="187" t="n"/>
    </row>
    <row r="43">
      <c r="B43" s="213" t="inlineStr">
        <is>
          <t>Trading Multiples — EV/EBITDA</t>
        </is>
      </c>
      <c r="C43" s="186" t="n"/>
      <c r="D43" s="187" t="n"/>
      <c r="E43" s="207" t="n">
        <v>6959.12</v>
      </c>
      <c r="F43" s="173" t="n">
        <v>8348.02</v>
      </c>
      <c r="G43" s="207" t="n">
        <v>9751.539999999999</v>
      </c>
      <c r="H43" s="159" t="inlineStr">
        <is>
          <t>Peer median 5.71× × EBITDA 2028</t>
        </is>
      </c>
      <c r="I43" s="186" t="n"/>
      <c r="J43" s="186" t="n"/>
      <c r="K43" s="187" t="n"/>
    </row>
    <row r="44">
      <c r="B44" s="213" t="inlineStr">
        <is>
          <t>Trading Multiples — EV/Revenue</t>
        </is>
      </c>
      <c r="C44" s="186" t="n"/>
      <c r="D44" s="187" t="n"/>
      <c r="E44" s="207" t="n">
        <v>1996</v>
      </c>
      <c r="F44" s="173" t="n">
        <v>1996</v>
      </c>
      <c r="G44" s="207" t="n">
        <v>2619.75</v>
      </c>
      <c r="H44" s="159" t="inlineStr">
        <is>
          <t>Peer median 0.80× × Rev 2028</t>
        </is>
      </c>
      <c r="I44" s="186" t="n"/>
      <c r="J44" s="186" t="n"/>
      <c r="K44" s="187" t="n"/>
    </row>
    <row r="45">
      <c r="B45" s="213" t="inlineStr">
        <is>
          <t>Precedent Transactions</t>
        </is>
      </c>
      <c r="C45" s="186" t="n"/>
      <c r="D45" s="187" t="n"/>
      <c r="E45" s="207" t="n">
        <v>7331.93</v>
      </c>
      <c r="F45" s="173" t="n">
        <v>8625.800000000001</v>
      </c>
      <c r="G45" s="207" t="n">
        <v>9919.67</v>
      </c>
      <c r="H45" s="159" t="inlineStr">
        <is>
          <t>Med 5.90× (3 M&amp;A)</t>
        </is>
      </c>
      <c r="I45" s="186" t="n"/>
      <c r="J45" s="186" t="n"/>
      <c r="K45" s="187" t="n"/>
    </row>
    <row r="46">
      <c r="B46" s="213" t="inlineStr">
        <is>
          <t>Scenario Base (internal)</t>
        </is>
      </c>
      <c r="C46" s="186" t="n"/>
      <c r="D46" s="187" t="n"/>
      <c r="E46" s="207" t="n">
        <v>6456</v>
      </c>
      <c r="F46" s="173" t="n">
        <v>10760</v>
      </c>
      <c r="G46" s="207" t="n">
        <v>15064</v>
      </c>
      <c r="H46" s="159" t="inlineStr">
        <is>
          <t>EBITDA 3Y × 3×/5×/7× (bear/base/bull)</t>
        </is>
      </c>
      <c r="I46" s="186" t="n"/>
      <c r="J46" s="186" t="n"/>
      <c r="K46" s="187" t="n"/>
    </row>
    <row r="48">
      <c r="B48" s="180" t="inlineStr">
        <is>
          <t>ИТОГО Football Field</t>
        </is>
      </c>
      <c r="C48" s="186" t="n"/>
      <c r="D48" s="187" t="n"/>
      <c r="E48" s="271" t="n">
        <v>1072.30649841962</v>
      </c>
      <c r="F48" s="271" t="n">
        <v>5560.033029973381</v>
      </c>
      <c r="G48" s="271" t="n">
        <v>15064</v>
      </c>
      <c r="H48" s="180" t="inlineStr">
        <is>
          <t>Envelope: 1072 – 15064, mid ≈ 5560 млн ₽</t>
        </is>
      </c>
      <c r="I48" s="186" t="n"/>
      <c r="J48" s="186" t="n"/>
      <c r="K48" s="187" t="n"/>
    </row>
    <row r="51">
      <c r="B51" s="258" t="inlineStr">
        <is>
          <t>Примечание: Peer multiples рассчитаны по публичным данным РФ OTT-рынка (оценки 2024–2025). Premium/discount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K43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INVESTOR RETURNS — T₁ LEGACY 1 250 млн ₽ · 3 Scenarios × 3 Waterfalls</t>
        </is>
      </c>
    </row>
    <row r="3"/>
    <row r="4">
      <c r="B4" s="189" t="inlineStr">
        <is>
          <t>IRR / MOIC / DPI / TVPI анализ — базовый waterfall W₁ (Hurdle 60/40 → 50/50) с чувствительностью к альтернативным структурам W₂ и W₃</t>
        </is>
      </c>
    </row>
    <row r="6">
      <c r="B6" s="244" t="inlineStr">
        <is>
          <t>I. T₁ INVESTOR CASHFLOW SCHEDULE (Base case · W₁ Hurdle 60/40 → 50/50)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Tranche/Repay</t>
        </is>
      </c>
      <c r="F7" s="167" t="inlineStr">
        <is>
          <t>Interest</t>
        </is>
      </c>
      <c r="G7" s="167" t="inlineStr">
        <is>
          <t>Equity Upside</t>
        </is>
      </c>
      <c r="H7" s="167" t="inlineStr">
        <is>
          <t>Net CF</t>
        </is>
      </c>
      <c r="I7" s="167" t="inlineStr">
        <is>
          <t>Cumul. CF</t>
        </is>
      </c>
      <c r="J7" s="167" t="inlineStr">
        <is>
          <t>Peak Exposure</t>
        </is>
      </c>
      <c r="K7" s="167" t="inlineStr">
        <is>
          <t>Type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-600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-950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Repayment / Yield</t>
        </is>
      </c>
      <c r="E12" s="193" t="n">
        <v>285</v>
      </c>
      <c r="F12" s="193" t="n">
        <v>15</v>
      </c>
      <c r="G12" s="257" t="n"/>
      <c r="H12" s="193" t="n">
        <v>300</v>
      </c>
      <c r="I12" s="193" t="n">
        <v>-950</v>
      </c>
      <c r="J12" s="193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Repayment / Yield</t>
        </is>
      </c>
      <c r="E13" s="193" t="n">
        <v>636</v>
      </c>
      <c r="F13" s="257" t="n"/>
      <c r="G13" s="193" t="n">
        <v>64</v>
      </c>
      <c r="H13" s="193" t="n">
        <v>700</v>
      </c>
      <c r="I13" s="193" t="n">
        <v>-250</v>
      </c>
      <c r="J13" s="193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Repayment / Yield</t>
        </is>
      </c>
      <c r="E14" s="193" t="n">
        <v>129</v>
      </c>
      <c r="F14" s="257" t="n"/>
      <c r="G14" s="193" t="n">
        <v>371</v>
      </c>
      <c r="H14" s="193" t="n">
        <v>500</v>
      </c>
      <c r="I14" s="193" t="n">
        <v>250</v>
      </c>
      <c r="J14" s="193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Repayment / Yield</t>
        </is>
      </c>
      <c r="E15" s="193" t="n">
        <v>200</v>
      </c>
      <c r="F15" s="257" t="n"/>
      <c r="G15" s="193" t="n">
        <v>23.33</v>
      </c>
      <c r="H15" s="193" t="n">
        <v>223.33</v>
      </c>
      <c r="I15" s="193" t="n">
        <v>473.33</v>
      </c>
      <c r="J15" s="193" t="n">
        <v>-1250</v>
      </c>
      <c r="K15" s="191" t="inlineStr">
        <is>
          <t>In</t>
        </is>
      </c>
    </row>
    <row r="16">
      <c r="B16" s="272" t="inlineStr">
        <is>
          <t>ИТОГО</t>
        </is>
      </c>
      <c r="C16" s="186" t="n"/>
      <c r="D16" s="187" t="n"/>
      <c r="E16" s="172" t="n">
        <v>0</v>
      </c>
      <c r="F16" s="172" t="n">
        <v>15</v>
      </c>
      <c r="G16" s="172" t="n">
        <v>458.33</v>
      </c>
      <c r="H16" s="172" t="n">
        <v>473.33</v>
      </c>
      <c r="I16" s="273" t="n"/>
      <c r="J16" s="273" t="n"/>
      <c r="K16" s="273" t="n"/>
    </row>
    <row r="18">
      <c r="B18" s="244" t="inlineStr">
        <is>
          <t>II. RETURNS MATRIX — 3 SCENARIOS × 3 WATERFALLS (IRR / MOIC)</t>
        </is>
      </c>
    </row>
    <row r="19">
      <c r="B19" s="167" t="inlineStr">
        <is>
          <t>#</t>
        </is>
      </c>
      <c r="C19" s="167" t="inlineStr">
        <is>
          <t>Сценарий</t>
        </is>
      </c>
      <c r="D19" s="167" t="inlineStr">
        <is>
          <t>W₁ IRR</t>
        </is>
      </c>
      <c r="E19" s="167" t="inlineStr">
        <is>
          <t>W₁ MOIC</t>
        </is>
      </c>
      <c r="F19" s="167" t="inlineStr">
        <is>
          <t>W₂ IRR</t>
        </is>
      </c>
      <c r="G19" s="167" t="inlineStr">
        <is>
          <t>W₂ MOIC</t>
        </is>
      </c>
      <c r="H19" s="167" t="inlineStr">
        <is>
          <t>W₃ IRR</t>
        </is>
      </c>
      <c r="I19" s="167" t="inlineStr">
        <is>
          <t>W₃ MOIC</t>
        </is>
      </c>
      <c r="J19" s="167" t="inlineStr">
        <is>
          <t>Best</t>
        </is>
      </c>
      <c r="K19" s="167" t="inlineStr">
        <is>
          <t>NDP</t>
        </is>
      </c>
    </row>
    <row r="20">
      <c r="B20" s="254" t="n">
        <v>1</v>
      </c>
      <c r="C20" s="274" t="inlineStr">
        <is>
          <t>Bear</t>
        </is>
      </c>
      <c r="D20" s="236" t="n">
        <v>0.5681603438833684</v>
      </c>
      <c r="E20" s="237" t="n">
        <v>1.024998</v>
      </c>
      <c r="F20" s="236" t="n">
        <v>4.610019238907067</v>
      </c>
      <c r="G20" s="237" t="n">
        <v>1.2162</v>
      </c>
      <c r="H20" s="236" t="n">
        <v>9.830046157763899</v>
      </c>
      <c r="I20" s="237" t="n">
        <v>1.5</v>
      </c>
      <c r="J20" s="212" t="inlineStr">
        <is>
          <t>W₃</t>
        </is>
      </c>
      <c r="K20" s="202" t="n">
        <v>2250</v>
      </c>
    </row>
    <row r="21">
      <c r="B21" s="247" t="n">
        <v>2</v>
      </c>
      <c r="C21" s="261" t="inlineStr">
        <is>
          <t>Base</t>
        </is>
      </c>
      <c r="D21" s="275" t="n">
        <v>7.476139837347455</v>
      </c>
      <c r="E21" s="276" t="n">
        <v>1.366664</v>
      </c>
      <c r="F21" s="275" t="n">
        <v>11.8477623450787</v>
      </c>
      <c r="G21" s="276" t="n">
        <v>1.6216</v>
      </c>
      <c r="H21" s="275" t="n">
        <v>17.49690912688816</v>
      </c>
      <c r="I21" s="276" t="n">
        <v>2</v>
      </c>
      <c r="J21" s="212" t="inlineStr">
        <is>
          <t>W₃</t>
        </is>
      </c>
      <c r="K21" s="232" t="n">
        <v>3000</v>
      </c>
    </row>
    <row r="22">
      <c r="B22" s="234" t="n">
        <v>3</v>
      </c>
      <c r="C22" s="277" t="inlineStr">
        <is>
          <t>Bull</t>
        </is>
      </c>
      <c r="D22" s="236" t="n">
        <v>13.22077886229541</v>
      </c>
      <c r="E22" s="237" t="n">
        <v>1.70833</v>
      </c>
      <c r="F22" s="236" t="n">
        <v>17.86936061010169</v>
      </c>
      <c r="G22" s="237" t="n">
        <v>2.027</v>
      </c>
      <c r="H22" s="236" t="n">
        <v>23.87900279329335</v>
      </c>
      <c r="I22" s="237" t="n">
        <v>2.5</v>
      </c>
      <c r="J22" s="212" t="inlineStr">
        <is>
          <t>W₃</t>
        </is>
      </c>
      <c r="K22" s="193" t="n">
        <v>3750</v>
      </c>
    </row>
    <row r="25">
      <c r="B25" s="244" t="inlineStr">
        <is>
          <t>III. CASH-ON-CASH METRICS (Base case · W₁)</t>
        </is>
      </c>
    </row>
    <row r="26">
      <c r="B26" s="213" t="inlineStr">
        <is>
          <t>Gross Invested (4 tranches)</t>
        </is>
      </c>
      <c r="C26" s="186" t="n"/>
      <c r="D26" s="186" t="n"/>
      <c r="E26" s="186" t="n"/>
      <c r="F26" s="187" t="n"/>
      <c r="G26" s="173" t="n">
        <v>1250</v>
      </c>
      <c r="H26" s="187" t="n"/>
      <c r="I26" s="159" t="inlineStr">
        <is>
          <t>Σ outflow T₁</t>
        </is>
      </c>
      <c r="J26" s="186" t="n"/>
      <c r="K26" s="187" t="n"/>
    </row>
    <row r="27">
      <c r="B27" s="213" t="inlineStr">
        <is>
          <t>Gross Proceeds (principal + interest + upside)</t>
        </is>
      </c>
      <c r="C27" s="186" t="n"/>
      <c r="D27" s="186" t="n"/>
      <c r="E27" s="186" t="n"/>
      <c r="F27" s="187" t="n"/>
      <c r="G27" s="173" t="n">
        <v>1723.33</v>
      </c>
      <c r="H27" s="187" t="n"/>
      <c r="I27" s="159" t="inlineStr">
        <is>
          <t>Repayment + yield</t>
        </is>
      </c>
      <c r="J27" s="186" t="n"/>
      <c r="K27" s="187" t="n"/>
    </row>
    <row r="28">
      <c r="B28" s="213" t="inlineStr">
        <is>
          <t>Net Gain</t>
        </is>
      </c>
      <c r="C28" s="186" t="n"/>
      <c r="D28" s="186" t="n"/>
      <c r="E28" s="186" t="n"/>
      <c r="F28" s="187" t="n"/>
      <c r="G28" s="173" t="n">
        <v>473.3299999999999</v>
      </c>
      <c r="H28" s="187" t="n"/>
      <c r="I28" s="159" t="inlineStr">
        <is>
          <t>Return on capital</t>
        </is>
      </c>
      <c r="J28" s="186" t="n"/>
      <c r="K28" s="187" t="n"/>
    </row>
    <row r="29">
      <c r="B29" s="213" t="inlineStr">
        <is>
          <t>Net Gain %</t>
        </is>
      </c>
      <c r="C29" s="186" t="n"/>
      <c r="D29" s="186" t="n"/>
      <c r="E29" s="186" t="n"/>
      <c r="F29" s="187" t="n"/>
      <c r="G29" s="176" t="n">
        <v>37.86639999999999</v>
      </c>
      <c r="H29" s="187" t="n"/>
      <c r="I29" s="159" t="inlineStr">
        <is>
          <t>Total return</t>
        </is>
      </c>
      <c r="J29" s="186" t="n"/>
      <c r="K29" s="187" t="n"/>
    </row>
    <row r="30">
      <c r="B30" s="213" t="inlineStr">
        <is>
          <t>MOIC (Multiple on Invested Capital)</t>
        </is>
      </c>
      <c r="C30" s="186" t="n"/>
      <c r="D30" s="186" t="n"/>
      <c r="E30" s="186" t="n"/>
      <c r="F30" s="187" t="n"/>
      <c r="G30" s="278" t="n">
        <v>1.378664</v>
      </c>
      <c r="H30" s="187" t="n"/>
      <c r="I30" s="159" t="inlineStr">
        <is>
          <t>1.38× target</t>
        </is>
      </c>
      <c r="J30" s="186" t="n"/>
      <c r="K30" s="187" t="n"/>
    </row>
    <row r="31">
      <c r="B31" s="213" t="inlineStr">
        <is>
          <t>DPI (Distributions / Paid-in)</t>
        </is>
      </c>
      <c r="C31" s="186" t="n"/>
      <c r="D31" s="186" t="n"/>
      <c r="E31" s="186" t="n"/>
      <c r="F31" s="187" t="n"/>
      <c r="G31" s="278" t="n">
        <v>1.378664</v>
      </c>
      <c r="H31" s="187" t="n"/>
      <c r="I31" s="159" t="inlineStr">
        <is>
          <t>Fully realized</t>
        </is>
      </c>
      <c r="J31" s="186" t="n"/>
      <c r="K31" s="187" t="n"/>
    </row>
    <row r="32">
      <c r="B32" s="213" t="inlineStr">
        <is>
          <t>TVPI (Total Value / Paid-in)</t>
        </is>
      </c>
      <c r="C32" s="186" t="n"/>
      <c r="D32" s="186" t="n"/>
      <c r="E32" s="186" t="n"/>
      <c r="F32" s="187" t="n"/>
      <c r="G32" s="278" t="n">
        <v>1.378664</v>
      </c>
      <c r="H32" s="187" t="n"/>
      <c r="I32" s="159">
        <f> DPI (no NAV)</f>
        <v/>
      </c>
      <c r="J32" s="186" t="n"/>
      <c r="K32" s="187" t="n"/>
    </row>
    <row r="33">
      <c r="B33" s="213" t="inlineStr">
        <is>
          <t>IRR (fractional period)</t>
        </is>
      </c>
      <c r="C33" s="186" t="n"/>
      <c r="D33" s="186" t="n"/>
      <c r="E33" s="186" t="n"/>
      <c r="F33" s="187" t="n"/>
      <c r="G33" s="176" t="n">
        <v>7.694650178981759</v>
      </c>
      <c r="H33" s="187" t="n"/>
      <c r="I33" s="159" t="inlineStr">
        <is>
          <t>Hurdle 18%, FAIL</t>
        </is>
      </c>
      <c r="J33" s="186" t="n"/>
      <c r="K33" s="187" t="n"/>
    </row>
    <row r="34">
      <c r="B34" s="213" t="inlineStr">
        <is>
          <t>Peak Exposure (max drawdown)</t>
        </is>
      </c>
      <c r="C34" s="186" t="n"/>
      <c r="D34" s="186" t="n"/>
      <c r="E34" s="186" t="n"/>
      <c r="F34" s="187" t="n"/>
      <c r="G34" s="173" t="n">
        <v>1250</v>
      </c>
      <c r="H34" s="187" t="n"/>
      <c r="I34" s="159" t="inlineStr">
        <is>
          <t>Q4'26 1 250 full draw</t>
        </is>
      </c>
      <c r="J34" s="186" t="n"/>
      <c r="K34" s="187" t="n"/>
    </row>
    <row r="35">
      <c r="B35" s="213" t="inlineStr">
        <is>
          <t>Payback period</t>
        </is>
      </c>
      <c r="C35" s="186" t="n"/>
      <c r="D35" s="186" t="n"/>
      <c r="E35" s="186" t="n"/>
      <c r="F35" s="187" t="n"/>
      <c r="G35" s="279" t="n">
        <v>4.2</v>
      </c>
      <c r="H35" s="187" t="n"/>
      <c r="I35" s="159" t="inlineStr">
        <is>
          <t>2029 full principal return</t>
        </is>
      </c>
      <c r="J35" s="186" t="n"/>
      <c r="K35" s="187" t="n"/>
    </row>
    <row r="38">
      <c r="B38" s="244" t="inlineStr">
        <is>
          <t>IV. RETURN ATTRIBUTION — РАЗБИВКА ДОХОДА W₁ BASE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 t="n"/>
      <c r="E39" s="186" t="n"/>
      <c r="F39" s="186" t="n"/>
      <c r="G39" s="187" t="n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 t="n"/>
    </row>
    <row r="40">
      <c r="B40" s="205" t="n">
        <v>1</v>
      </c>
      <c r="C40" s="206" t="inlineStr">
        <is>
          <t>Return of Principal (Capital)</t>
        </is>
      </c>
      <c r="D40" s="186" t="n"/>
      <c r="E40" s="186" t="n"/>
      <c r="F40" s="186" t="n"/>
      <c r="G40" s="187" t="n"/>
      <c r="H40" s="207" t="n">
        <v>1250</v>
      </c>
      <c r="I40" s="236" t="n">
        <v>72.5</v>
      </c>
      <c r="J40" s="206" t="inlineStr">
        <is>
          <t>Recovery of invested capital</t>
        </is>
      </c>
      <c r="K40" s="187" t="n"/>
    </row>
    <row r="41">
      <c r="B41" s="205" t="n">
        <v>2</v>
      </c>
      <c r="C41" s="206" t="inlineStr">
        <is>
          <t>Interest Yield (5Y × 15 total)</t>
        </is>
      </c>
      <c r="D41" s="186" t="n"/>
      <c r="E41" s="186" t="n"/>
      <c r="F41" s="186" t="n"/>
      <c r="G41" s="187" t="n"/>
      <c r="H41" s="207" t="n">
        <v>15</v>
      </c>
      <c r="I41" s="236" t="n">
        <v>0.9</v>
      </c>
      <c r="J41" s="206" t="inlineStr">
        <is>
          <t>12% × (1−0.20) × cumulative debt</t>
        </is>
      </c>
      <c r="K41" s="187" t="n"/>
    </row>
    <row r="42">
      <c r="B42" s="205" t="n">
        <v>3</v>
      </c>
      <c r="C42" s="206" t="inlineStr">
        <is>
          <t>Equity Upside (W₁ hurdle share)</t>
        </is>
      </c>
      <c r="D42" s="186" t="n"/>
      <c r="E42" s="186" t="n"/>
      <c r="F42" s="186" t="n"/>
      <c r="G42" s="187" t="n"/>
      <c r="H42" s="207" t="n">
        <v>458.33</v>
      </c>
      <c r="I42" s="236" t="n">
        <v>26.6</v>
      </c>
      <c r="J42" s="206" t="inlineStr">
        <is>
          <t>Above-hurdle participation</t>
        </is>
      </c>
      <c r="K42" s="187" t="n"/>
    </row>
    <row r="43">
      <c r="B43" s="179" t="inlineStr"/>
      <c r="C43" s="180" t="inlineStr">
        <is>
          <t>ИТОГО ROI</t>
        </is>
      </c>
      <c r="D43" s="186" t="n"/>
      <c r="E43" s="186" t="n"/>
      <c r="F43" s="186" t="n"/>
      <c r="G43" s="187" t="n"/>
      <c r="H43" s="271" t="n">
        <v>1723.33</v>
      </c>
      <c r="I43" s="280" t="n">
        <v>100</v>
      </c>
      <c r="J43" s="180">
        <f> 1250 + 15 + 458.33</f>
        <v/>
      </c>
      <c r="K43" s="187" t="n"/>
    </row>
  </sheetData>
  <mergeCells count="47">
    <mergeCell ref="J39:K39"/>
    <mergeCell ref="I32:K32"/>
    <mergeCell ref="I28:K28"/>
    <mergeCell ref="C42:G42"/>
    <mergeCell ref="G27:H27"/>
    <mergeCell ref="B31:F31"/>
    <mergeCell ref="B6:K6"/>
    <mergeCell ref="B2:K3"/>
    <mergeCell ref="B27:F27"/>
    <mergeCell ref="J40:K40"/>
    <mergeCell ref="I33:K33"/>
    <mergeCell ref="B4:K4"/>
    <mergeCell ref="C41:G41"/>
    <mergeCell ref="B25:K25"/>
    <mergeCell ref="G28:H28"/>
    <mergeCell ref="I35:K35"/>
    <mergeCell ref="C40:G40"/>
    <mergeCell ref="I29:K29"/>
    <mergeCell ref="B29:F29"/>
    <mergeCell ref="G34:H34"/>
    <mergeCell ref="C43:G43"/>
    <mergeCell ref="G30:H30"/>
    <mergeCell ref="B34:F34"/>
    <mergeCell ref="B18:K18"/>
    <mergeCell ref="B28:F28"/>
    <mergeCell ref="G33:H33"/>
    <mergeCell ref="I31:K31"/>
    <mergeCell ref="J41:K41"/>
    <mergeCell ref="I34:K34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3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EV, net proceeds и probability-weighted expected value</t>
        </is>
      </c>
    </row>
    <row r="6">
      <c r="B6" s="244" t="inlineStr">
        <is>
          <t>I. EXIT ROUTES MATRIX (EBITDA base × Multiple → EV → Equity)</t>
        </is>
      </c>
    </row>
    <row r="7">
      <c r="B7" s="167" t="inlineStr">
        <is>
          <t>#</t>
        </is>
      </c>
      <c r="C7" s="167" t="inlineStr">
        <is>
          <t>Exit Route</t>
        </is>
      </c>
      <c r="D7" s="167" t="inlineStr">
        <is>
          <t>Timing</t>
        </is>
      </c>
      <c r="E7" s="167" t="inlineStr">
        <is>
          <t>EBITDA base</t>
        </is>
      </c>
      <c r="F7" s="167" t="inlineStr">
        <is>
          <t>Multiple</t>
        </is>
      </c>
      <c r="G7" s="167" t="inlineStr">
        <is>
          <t>EV млн ₽</t>
        </is>
      </c>
      <c r="H7" s="167" t="inlineStr">
        <is>
          <t>Net Debt</t>
        </is>
      </c>
      <c r="I7" s="167" t="inlineStr">
        <is>
          <t>Equity</t>
        </is>
      </c>
      <c r="J7" s="167" t="inlineStr">
        <is>
          <t>T₁ proceeds</t>
        </is>
      </c>
      <c r="K7" s="167" t="inlineStr">
        <is>
          <t>Prob %</t>
        </is>
      </c>
    </row>
    <row r="8">
      <c r="B8" s="205" t="n">
        <v>1</v>
      </c>
      <c r="C8" s="281" t="inlineStr">
        <is>
          <t>Strategic Sale</t>
        </is>
      </c>
      <c r="D8" s="205" t="inlineStr">
        <is>
          <t>2028</t>
        </is>
      </c>
      <c r="E8" s="207" t="n">
        <v>1462</v>
      </c>
      <c r="F8" s="266" t="n">
        <v>6</v>
      </c>
      <c r="G8" s="207" t="n">
        <v>8772</v>
      </c>
      <c r="H8" s="207" t="n">
        <v>1250</v>
      </c>
      <c r="I8" s="207" t="n">
        <v>7522</v>
      </c>
      <c r="J8" s="207" t="n">
        <v>4280.018</v>
      </c>
      <c r="K8" s="282" t="n">
        <v>15</v>
      </c>
    </row>
    <row r="9">
      <c r="B9" s="205" t="n">
        <v>2</v>
      </c>
      <c r="C9" s="281" t="inlineStr">
        <is>
          <t>Strategic Sale</t>
        </is>
      </c>
      <c r="D9" s="205" t="inlineStr">
        <is>
          <t>2030</t>
        </is>
      </c>
      <c r="E9" s="207" t="n">
        <v>1120</v>
      </c>
      <c r="F9" s="266" t="n">
        <v>5.5</v>
      </c>
      <c r="G9" s="207" t="n">
        <v>6160</v>
      </c>
      <c r="H9" s="207" t="n">
        <v>0</v>
      </c>
      <c r="I9" s="207" t="n">
        <v>6160</v>
      </c>
      <c r="J9" s="207" t="n">
        <v>3505.04</v>
      </c>
      <c r="K9" s="282" t="n">
        <v>20</v>
      </c>
    </row>
    <row r="10">
      <c r="B10" s="205" t="n">
        <v>3</v>
      </c>
      <c r="C10" s="192" t="inlineStr">
        <is>
          <t>IPO</t>
        </is>
      </c>
      <c r="D10" s="205" t="inlineStr">
        <is>
          <t>2028</t>
        </is>
      </c>
      <c r="E10" s="207" t="n">
        <v>1462</v>
      </c>
      <c r="F10" s="266" t="n">
        <v>7</v>
      </c>
      <c r="G10" s="207" t="n">
        <v>10234</v>
      </c>
      <c r="H10" s="207" t="n">
        <v>1250</v>
      </c>
      <c r="I10" s="207" t="n">
        <v>8984</v>
      </c>
      <c r="J10" s="207" t="n">
        <v>5111.896</v>
      </c>
      <c r="K10" s="282" t="n">
        <v>5</v>
      </c>
    </row>
    <row r="11">
      <c r="B11" s="205" t="n">
        <v>4</v>
      </c>
      <c r="C11" s="192" t="inlineStr">
        <is>
          <t>IPO</t>
        </is>
      </c>
      <c r="D11" s="205" t="inlineStr">
        <is>
          <t>2030</t>
        </is>
      </c>
      <c r="E11" s="207" t="n">
        <v>1120</v>
      </c>
      <c r="F11" s="266" t="n">
        <v>6.5</v>
      </c>
      <c r="G11" s="207" t="n">
        <v>7280</v>
      </c>
      <c r="H11" s="207" t="n">
        <v>0</v>
      </c>
      <c r="I11" s="207" t="n">
        <v>7280</v>
      </c>
      <c r="J11" s="207" t="n">
        <v>4142.32</v>
      </c>
      <c r="K11" s="282" t="n">
        <v>10</v>
      </c>
    </row>
    <row r="12">
      <c r="B12" s="205" t="n">
        <v>5</v>
      </c>
      <c r="C12" s="281" t="inlineStr">
        <is>
          <t>Secondary/Recap</t>
        </is>
      </c>
      <c r="D12" s="205" t="inlineStr">
        <is>
          <t>2030</t>
        </is>
      </c>
      <c r="E12" s="207" t="n">
        <v>1120</v>
      </c>
      <c r="F12" s="266" t="n">
        <v>5</v>
      </c>
      <c r="G12" s="207" t="n">
        <v>5600</v>
      </c>
      <c r="H12" s="207" t="n">
        <v>0</v>
      </c>
      <c r="I12" s="207" t="n">
        <v>5600</v>
      </c>
      <c r="J12" s="207" t="n">
        <v>3186.4</v>
      </c>
      <c r="K12" s="282" t="n">
        <v>15</v>
      </c>
    </row>
    <row r="13">
      <c r="B13" s="205" t="n">
        <v>6</v>
      </c>
      <c r="C13" s="281" t="inlineStr">
        <is>
          <t>Secondary/Recap</t>
        </is>
      </c>
      <c r="D13" s="205" t="inlineStr">
        <is>
          <t>2032</t>
        </is>
      </c>
      <c r="E13" s="207" t="n">
        <v>1200</v>
      </c>
      <c r="F13" s="266" t="n">
        <v>4.5</v>
      </c>
      <c r="G13" s="207" t="n">
        <v>5400</v>
      </c>
      <c r="H13" s="207" t="n">
        <v>0</v>
      </c>
      <c r="I13" s="207" t="n">
        <v>5400</v>
      </c>
      <c r="J13" s="207" t="n">
        <v>3072.6</v>
      </c>
      <c r="K13" s="282" t="n">
        <v>15</v>
      </c>
    </row>
    <row r="14">
      <c r="B14" s="205" t="n">
        <v>7</v>
      </c>
      <c r="C14" s="201" t="inlineStr">
        <is>
          <t>Liquidation</t>
        </is>
      </c>
      <c r="D14" s="205" t="inlineStr">
        <is>
          <t>2032</t>
        </is>
      </c>
      <c r="E14" s="207" t="n">
        <v>1200</v>
      </c>
      <c r="F14" s="266" t="n">
        <v>2.5</v>
      </c>
      <c r="G14" s="207" t="n">
        <v>3000</v>
      </c>
      <c r="H14" s="207" t="n">
        <v>0</v>
      </c>
      <c r="I14" s="207" t="n">
        <v>3000</v>
      </c>
      <c r="J14" s="207" t="n">
        <v>1800</v>
      </c>
      <c r="K14" s="282" t="n">
        <v>20</v>
      </c>
    </row>
    <row r="15">
      <c r="B15" s="272" t="inlineStr">
        <is>
          <t>Probability-weighted total</t>
        </is>
      </c>
      <c r="C15" s="186" t="n"/>
      <c r="D15" s="186" t="n"/>
      <c r="E15" s="186" t="n"/>
      <c r="F15" s="187" t="n"/>
      <c r="G15" s="172" t="n">
        <v>6037.5</v>
      </c>
      <c r="H15" s="283" t="n"/>
      <c r="I15" s="283" t="n"/>
      <c r="J15" s="172" t="n">
        <v>3311.6875</v>
      </c>
      <c r="K15" s="284" t="n">
        <v>100</v>
      </c>
    </row>
    <row r="18">
      <c r="B18" s="244" t="inlineStr">
        <is>
          <t>II. BASE EXIT BRIDGE — Strategic Sale 2030 (Prob 20% · highest weighted)</t>
        </is>
      </c>
    </row>
    <row r="19">
      <c r="B19" s="206" t="inlineStr">
        <is>
          <t>EBITDA 2030 (LTM)</t>
        </is>
      </c>
      <c r="C19" s="186" t="n"/>
      <c r="D19" s="186" t="n"/>
      <c r="E19" s="186" t="n"/>
      <c r="F19" s="187" t="n"/>
      <c r="G19" s="207" t="n">
        <v>1120</v>
      </c>
      <c r="H19" s="187" t="n"/>
      <c r="I19" s="159" t="inlineStr">
        <is>
          <t>Steady-state rolling slate</t>
        </is>
      </c>
      <c r="J19" s="186" t="n"/>
      <c r="K19" s="187" t="n"/>
    </row>
    <row r="20">
      <c r="B20" s="206" t="inlineStr">
        <is>
          <t>× Exit Multiple</t>
        </is>
      </c>
      <c r="C20" s="186" t="n"/>
      <c r="D20" s="186" t="n"/>
      <c r="E20" s="186" t="n"/>
      <c r="F20" s="187" t="n"/>
      <c r="G20" s="237" t="n">
        <v>5.5</v>
      </c>
      <c r="H20" s="187" t="n"/>
      <c r="I20" s="159" t="inlineStr">
        <is>
          <t>Strategic buyer premium</t>
        </is>
      </c>
      <c r="J20" s="186" t="n"/>
      <c r="K20" s="187" t="n"/>
    </row>
    <row r="21">
      <c r="B21" s="154">
        <f> Enterprise Value</f>
        <v/>
      </c>
      <c r="C21" s="186" t="n"/>
      <c r="D21" s="186" t="n"/>
      <c r="E21" s="186" t="n"/>
      <c r="F21" s="187" t="n"/>
      <c r="G21" s="173" t="n">
        <v>6160</v>
      </c>
      <c r="H21" s="187" t="n"/>
      <c r="I21" s="159" t="inlineStr">
        <is>
          <t>Before capital structure</t>
        </is>
      </c>
      <c r="J21" s="186" t="n"/>
      <c r="K21" s="187" t="n"/>
    </row>
    <row r="22">
      <c r="B22" s="206" t="inlineStr">
        <is>
          <t>(−) Net Debt</t>
        </is>
      </c>
      <c r="C22" s="186" t="n"/>
      <c r="D22" s="186" t="n"/>
      <c r="E22" s="186" t="n"/>
      <c r="F22" s="187" t="n"/>
      <c r="G22" s="207" t="n">
        <v>0</v>
      </c>
      <c r="H22" s="187" t="n"/>
      <c r="I22" s="159" t="inlineStr">
        <is>
          <t>T₁ repaid in 2029-2030</t>
        </is>
      </c>
      <c r="J22" s="186" t="n"/>
      <c r="K22" s="187" t="n"/>
    </row>
    <row r="23">
      <c r="B23" s="206" t="inlineStr">
        <is>
          <t>(+) Cash &amp; equivalents</t>
        </is>
      </c>
      <c r="C23" s="186" t="n"/>
      <c r="D23" s="186" t="n"/>
      <c r="E23" s="186" t="n"/>
      <c r="F23" s="187" t="n"/>
      <c r="G23" s="207" t="n">
        <v>0</v>
      </c>
      <c r="H23" s="187" t="n"/>
      <c r="I23" s="159" t="inlineStr">
        <is>
          <t>Distributed to holders</t>
        </is>
      </c>
      <c r="J23" s="186" t="n"/>
      <c r="K23" s="187" t="n"/>
    </row>
    <row r="24">
      <c r="B24" s="154">
        <f> Equity Value</f>
        <v/>
      </c>
      <c r="C24" s="186" t="n"/>
      <c r="D24" s="186" t="n"/>
      <c r="E24" s="186" t="n"/>
      <c r="F24" s="187" t="n"/>
      <c r="G24" s="173" t="n">
        <v>6160</v>
      </c>
      <c r="H24" s="187" t="n"/>
      <c r="I24" s="159" t="inlineStr">
        <is>
          <t>For distribution</t>
        </is>
      </c>
      <c r="J24" s="186" t="n"/>
      <c r="K24" s="187" t="n"/>
    </row>
    <row r="25">
      <c r="B25" s="206" t="inlineStr">
        <is>
          <t>(−) Transaction costs (2%)</t>
        </is>
      </c>
      <c r="C25" s="186" t="n"/>
      <c r="D25" s="186" t="n"/>
      <c r="E25" s="186" t="n"/>
      <c r="F25" s="187" t="n"/>
      <c r="G25" s="207" t="n">
        <v>-123.2</v>
      </c>
      <c r="H25" s="187" t="n"/>
      <c r="I25" s="159" t="inlineStr">
        <is>
          <t>Advisory, legal</t>
        </is>
      </c>
      <c r="J25" s="186" t="n"/>
      <c r="K25" s="187" t="n"/>
    </row>
    <row r="26">
      <c r="B26" s="154">
        <f> Net Equity Proceeds</f>
        <v/>
      </c>
      <c r="C26" s="186" t="n"/>
      <c r="D26" s="186" t="n"/>
      <c r="E26" s="186" t="n"/>
      <c r="F26" s="187" t="n"/>
      <c r="G26" s="173" t="n">
        <v>6036.8</v>
      </c>
      <c r="H26" s="187" t="n"/>
      <c r="I26" s="159" t="inlineStr">
        <is>
          <t>Available for waterfall</t>
        </is>
      </c>
      <c r="J26" s="186" t="n"/>
      <c r="K26" s="187" t="n"/>
    </row>
    <row r="29">
      <c r="B29" s="244" t="inlineStr">
        <is>
          <t>III. WATERFALL AT EXIT — PROCEEDS DISTRIBUTION (Scenario B: 50/30/20)</t>
        </is>
      </c>
    </row>
    <row r="30">
      <c r="B30" s="167" t="inlineStr">
        <is>
          <t>#</t>
        </is>
      </c>
      <c r="C30" s="167" t="inlineStr">
        <is>
          <t>Level</t>
        </is>
      </c>
      <c r="D30" s="186" t="n"/>
      <c r="E30" s="186" t="n"/>
      <c r="F30" s="186" t="n"/>
      <c r="G30" s="187" t="n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 t="n"/>
    </row>
    <row r="31">
      <c r="B31" s="205" t="n">
        <v>1</v>
      </c>
      <c r="C31" s="206" t="inlineStr">
        <is>
          <t>Net Equity Proceeds</t>
        </is>
      </c>
      <c r="D31" s="186" t="n"/>
      <c r="E31" s="186" t="n"/>
      <c r="F31" s="186" t="n"/>
      <c r="G31" s="187" t="n"/>
      <c r="H31" s="207" t="n">
        <v>6036.8</v>
      </c>
      <c r="I31" s="228" t="n">
        <v>100</v>
      </c>
      <c r="J31" s="206" t="inlineStr">
        <is>
          <t>100% available</t>
        </is>
      </c>
      <c r="K31" s="187" t="n"/>
    </row>
    <row r="33">
      <c r="B33" s="205" t="n">
        <v>2</v>
      </c>
      <c r="C33" s="206" t="inlineStr">
        <is>
          <t>Step 1. T₁ Return of Capital (1 250)</t>
        </is>
      </c>
      <c r="D33" s="186" t="n"/>
      <c r="E33" s="186" t="n"/>
      <c r="F33" s="186" t="n"/>
      <c r="G33" s="187" t="n"/>
      <c r="H33" s="207" t="n">
        <v>1250</v>
      </c>
      <c r="I33" s="228" t="n">
        <v>20.70633448184469</v>
      </c>
      <c r="J33" s="206" t="inlineStr">
        <is>
          <t>Senior recovery</t>
        </is>
      </c>
      <c r="K33" s="187" t="n"/>
    </row>
    <row r="34">
      <c r="B34" s="205" t="n">
        <v>3</v>
      </c>
      <c r="C34" s="206" t="inlineStr">
        <is>
          <t>Step 2. T₂ Return of Capital (500)</t>
        </is>
      </c>
      <c r="D34" s="186" t="n"/>
      <c r="E34" s="186" t="n"/>
      <c r="F34" s="186" t="n"/>
      <c r="G34" s="187" t="n"/>
      <c r="H34" s="207" t="n">
        <v>500</v>
      </c>
      <c r="I34" s="228" t="n">
        <v>8.282533792737874</v>
      </c>
      <c r="J34" s="206" t="inlineStr">
        <is>
          <t>Pari-passu recovery</t>
        </is>
      </c>
      <c r="K34" s="187" t="n"/>
    </row>
    <row r="35">
      <c r="B35" s="205" t="n">
        <v>4</v>
      </c>
      <c r="C35" s="206" t="inlineStr">
        <is>
          <t>Step 3. Residual after RoC</t>
        </is>
      </c>
      <c r="D35" s="186" t="n"/>
      <c r="E35" s="186" t="n"/>
      <c r="F35" s="186" t="n"/>
      <c r="G35" s="187" t="n"/>
      <c r="H35" s="207" t="n">
        <v>4286.8</v>
      </c>
      <c r="I35" s="228" t="n">
        <v>71.01113172541744</v>
      </c>
      <c r="J35" s="206" t="inlineStr">
        <is>
          <t>Available for hurdle</t>
        </is>
      </c>
      <c r="K35" s="187" t="n"/>
    </row>
    <row r="37">
      <c r="B37" s="205" t="inlineStr"/>
      <c r="C37" s="206" t="inlineStr">
        <is>
          <t>Step 4. Hurdle split 50/50 on residual</t>
        </is>
      </c>
      <c r="D37" s="186" t="n"/>
      <c r="E37" s="186" t="n"/>
      <c r="F37" s="186" t="n"/>
      <c r="G37" s="187" t="n"/>
      <c r="H37" s="285" t="n"/>
      <c r="I37" s="205" t="n"/>
      <c r="J37" s="206" t="inlineStr"/>
      <c r="K37" s="187" t="n"/>
    </row>
    <row r="38">
      <c r="B38" s="205" t="n">
        <v>6</v>
      </c>
      <c r="C38" s="206" t="inlineStr">
        <is>
          <t xml:space="preserve">  → Founder 50% of residual</t>
        </is>
      </c>
      <c r="D38" s="186" t="n"/>
      <c r="E38" s="186" t="n"/>
      <c r="F38" s="186" t="n"/>
      <c r="G38" s="187" t="n"/>
      <c r="H38" s="207" t="n">
        <v>2143.4</v>
      </c>
      <c r="I38" s="205" t="n"/>
      <c r="J38" s="206" t="inlineStr">
        <is>
          <t>Growth equity</t>
        </is>
      </c>
      <c r="K38" s="187" t="n"/>
    </row>
    <row r="39">
      <c r="B39" s="205" t="n">
        <v>7</v>
      </c>
      <c r="C39" s="206" t="inlineStr">
        <is>
          <t xml:space="preserve">  → T₁/T₂ pro-rata 50% of residual</t>
        </is>
      </c>
      <c r="D39" s="186" t="n"/>
      <c r="E39" s="186" t="n"/>
      <c r="F39" s="186" t="n"/>
      <c r="G39" s="187" t="n"/>
      <c r="H39" s="207" t="n">
        <v>2143.4</v>
      </c>
      <c r="I39" s="205" t="n"/>
      <c r="J39" s="206" t="inlineStr">
        <is>
          <t>Investor upside</t>
        </is>
      </c>
      <c r="K39" s="187" t="n"/>
    </row>
    <row r="41">
      <c r="B41" s="247" t="inlineStr"/>
      <c r="C41" s="261" t="inlineStr">
        <is>
          <t>Final Distribution:</t>
        </is>
      </c>
      <c r="D41" s="186" t="n"/>
      <c r="E41" s="186" t="n"/>
      <c r="F41" s="186" t="n"/>
      <c r="G41" s="187" t="n"/>
      <c r="H41" s="286" t="n"/>
      <c r="I41" s="247" t="n"/>
      <c r="J41" s="261" t="inlineStr"/>
      <c r="K41" s="187" t="n"/>
    </row>
    <row r="42">
      <c r="B42" s="247" t="n">
        <v>9</v>
      </c>
      <c r="C42" s="261" t="inlineStr">
        <is>
          <t xml:space="preserve">  Founder Total</t>
        </is>
      </c>
      <c r="D42" s="186" t="n"/>
      <c r="E42" s="186" t="n"/>
      <c r="F42" s="186" t="n"/>
      <c r="G42" s="187" t="n"/>
      <c r="H42" s="270" t="n">
        <v>2143.4</v>
      </c>
      <c r="I42" s="247" t="n"/>
      <c r="J42" s="261" t="inlineStr">
        <is>
          <t>Growth share</t>
        </is>
      </c>
      <c r="K42" s="187" t="n"/>
    </row>
    <row r="43">
      <c r="B43" s="247" t="n">
        <v>10</v>
      </c>
      <c r="C43" s="261" t="inlineStr">
        <is>
          <t xml:space="preserve">  T₁ Total (1 250 + share)</t>
        </is>
      </c>
      <c r="D43" s="186" t="n"/>
      <c r="E43" s="186" t="n"/>
      <c r="F43" s="186" t="n"/>
      <c r="G43" s="187" t="n"/>
      <c r="H43" s="270" t="n">
        <v>2781</v>
      </c>
      <c r="I43" s="247" t="n"/>
      <c r="J43" s="261" t="inlineStr">
        <is>
          <t>30% allocation</t>
        </is>
      </c>
      <c r="K43" s="187" t="n"/>
    </row>
    <row r="44">
      <c r="B44" s="247" t="n">
        <v>11</v>
      </c>
      <c r="C44" s="261" t="inlineStr">
        <is>
          <t xml:space="preserve">  T₂ Total (500 + share)</t>
        </is>
      </c>
      <c r="D44" s="186" t="n"/>
      <c r="E44" s="186" t="n"/>
      <c r="F44" s="186" t="n"/>
      <c r="G44" s="187" t="n"/>
      <c r="H44" s="270" t="n">
        <v>1112.4</v>
      </c>
      <c r="I44" s="247" t="n"/>
      <c r="J44" s="261" t="inlineStr">
        <is>
          <t>20% allocation</t>
        </is>
      </c>
      <c r="K44" s="187" t="n"/>
    </row>
    <row r="47">
      <c r="B47" s="244" t="inlineStr">
        <is>
          <t>IV. EXPECTED VALUE SUMMARY</t>
        </is>
      </c>
    </row>
    <row r="48">
      <c r="B48" s="213" t="inlineStr">
        <is>
          <t>Probability-weighted EV</t>
        </is>
      </c>
      <c r="C48" s="186" t="n"/>
      <c r="D48" s="186" t="n"/>
      <c r="E48" s="186" t="n"/>
      <c r="F48" s="187" t="n"/>
      <c r="G48" s="173" t="n">
        <v>6037.5</v>
      </c>
      <c r="H48" s="187" t="n"/>
      <c r="I48" s="159" t="inlineStr">
        <is>
          <t>Across 7 exit routes</t>
        </is>
      </c>
      <c r="J48" s="186" t="n"/>
      <c r="K48" s="187" t="n"/>
    </row>
    <row r="49">
      <c r="B49" s="213" t="inlineStr">
        <is>
          <t>Probability-weighted T₁ proceeds</t>
        </is>
      </c>
      <c r="C49" s="186" t="n"/>
      <c r="D49" s="186" t="n"/>
      <c r="E49" s="186" t="n"/>
      <c r="F49" s="187" t="n"/>
      <c r="G49" s="173" t="n">
        <v>3311.6875</v>
      </c>
      <c r="H49" s="187" t="n"/>
      <c r="I49" s="159" t="inlineStr">
        <is>
          <t>Base W₁ share</t>
        </is>
      </c>
      <c r="J49" s="186" t="n"/>
      <c r="K49" s="187" t="n"/>
    </row>
    <row r="50">
      <c r="B50" s="213" t="inlineStr">
        <is>
          <t>Most likely exit (20% prob)</t>
        </is>
      </c>
      <c r="C50" s="186" t="n"/>
      <c r="D50" s="186" t="n"/>
      <c r="E50" s="186" t="n"/>
      <c r="F50" s="187" t="n"/>
      <c r="G50" s="154" t="inlineStr">
        <is>
          <t>Strategic Sale 2030</t>
        </is>
      </c>
      <c r="H50" s="187" t="n"/>
      <c r="I50" s="159" t="inlineStr">
        <is>
          <t>EV 6 160 млн ₽</t>
        </is>
      </c>
      <c r="J50" s="186" t="n"/>
      <c r="K50" s="187" t="n"/>
    </row>
    <row r="51">
      <c r="B51" s="213" t="inlineStr">
        <is>
          <t>Highest EV exit (10% prob)</t>
        </is>
      </c>
      <c r="C51" s="186" t="n"/>
      <c r="D51" s="186" t="n"/>
      <c r="E51" s="186" t="n"/>
      <c r="F51" s="187" t="n"/>
      <c r="G51" s="154" t="inlineStr">
        <is>
          <t>IPO 2030</t>
        </is>
      </c>
      <c r="H51" s="187" t="n"/>
      <c r="I51" s="159" t="inlineStr">
        <is>
          <t>EV 7 280 млн ₽</t>
        </is>
      </c>
      <c r="J51" s="186" t="n"/>
      <c r="K51" s="187" t="n"/>
    </row>
    <row r="52">
      <c r="B52" s="213" t="inlineStr">
        <is>
          <t>Worst case exit</t>
        </is>
      </c>
      <c r="C52" s="186" t="n"/>
      <c r="D52" s="186" t="n"/>
      <c r="E52" s="186" t="n"/>
      <c r="F52" s="187" t="n"/>
      <c r="G52" s="154" t="inlineStr">
        <is>
          <t>Liquidation 2032</t>
        </is>
      </c>
      <c r="H52" s="187" t="n"/>
      <c r="I52" s="159" t="inlineStr">
        <is>
          <t>EV 3 000 млн ₽</t>
        </is>
      </c>
      <c r="J52" s="186" t="n"/>
      <c r="K52" s="187" t="n"/>
    </row>
    <row r="53">
      <c r="B53" s="213" t="inlineStr">
        <is>
          <t>Expected T₁ MOIC (base W₁)</t>
        </is>
      </c>
      <c r="C53" s="186" t="n"/>
      <c r="D53" s="186" t="n"/>
      <c r="E53" s="186" t="n"/>
      <c r="F53" s="187" t="n"/>
      <c r="G53" s="278" t="n">
        <v>2.64935</v>
      </c>
      <c r="H53" s="187" t="n"/>
      <c r="I53" s="159" t="inlineStr">
        <is>
          <t>vs target 1.37×</t>
        </is>
      </c>
      <c r="J53" s="186" t="n"/>
      <c r="K53" s="187" t="n"/>
    </row>
  </sheetData>
  <mergeCells count="73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SENSITIVITY ANALYSIS — TORNADO (±20% по 8 драйверам на EBITDA 3Y и IRR T₁)</t>
        </is>
      </c>
    </row>
    <row r="3"/>
    <row r="4">
      <c r="B4" s="189" t="inlineStr">
        <is>
          <t>Ранжирование ключевых драйверов по влиянию на EBITDA 3Y (base 2 152 млн ₽) и IRR T₁ (base 7,7%). Положительные и отрицательные сценарии ±20%.</t>
        </is>
      </c>
    </row>
    <row r="6">
      <c r="B6" s="244" t="inlineStr">
        <is>
          <t>I. BASELINE INPUTS</t>
        </is>
      </c>
    </row>
    <row r="7">
      <c r="B7" s="205" t="n">
        <v>1</v>
      </c>
      <c r="C7" s="213" t="inlineStr">
        <is>
          <t>Revenue 3Y (2026-2028)</t>
        </is>
      </c>
      <c r="D7" s="186" t="n"/>
      <c r="E7" s="186" t="n"/>
      <c r="F7" s="186" t="n"/>
      <c r="G7" s="187" t="n"/>
      <c r="H7" s="173" t="n">
        <v>4545</v>
      </c>
      <c r="I7" s="187" t="n"/>
      <c r="J7" s="159" t="inlineStr">
        <is>
          <t>млн ₽</t>
        </is>
      </c>
      <c r="K7" s="187" t="n"/>
    </row>
    <row r="8">
      <c r="B8" s="205" t="n">
        <v>2</v>
      </c>
      <c r="C8" s="213" t="inlineStr">
        <is>
          <t>EBITDA margin</t>
        </is>
      </c>
      <c r="D8" s="186" t="n"/>
      <c r="E8" s="186" t="n"/>
      <c r="F8" s="186" t="n"/>
      <c r="G8" s="187" t="n"/>
      <c r="H8" s="176" t="n">
        <v>47.34873487348734</v>
      </c>
      <c r="I8" s="187" t="n"/>
      <c r="J8" s="159" t="inlineStr">
        <is>
          <t>%</t>
        </is>
      </c>
      <c r="K8" s="187" t="n"/>
    </row>
    <row r="9">
      <c r="B9" s="205" t="n">
        <v>3</v>
      </c>
      <c r="C9" s="213" t="inlineStr">
        <is>
          <t>Production CAPEX</t>
        </is>
      </c>
      <c r="D9" s="186" t="n"/>
      <c r="E9" s="186" t="n"/>
      <c r="F9" s="186" t="n"/>
      <c r="G9" s="187" t="n"/>
      <c r="H9" s="173" t="n">
        <v>1850</v>
      </c>
      <c r="I9" s="187" t="n"/>
      <c r="J9" s="159" t="inlineStr">
        <is>
          <t>млн ₽</t>
        </is>
      </c>
      <c r="K9" s="187" t="n"/>
    </row>
    <row r="10">
      <c r="B10" s="205" t="n">
        <v>4</v>
      </c>
      <c r="C10" s="213" t="inlineStr">
        <is>
          <t>P&amp;A ratio to budget</t>
        </is>
      </c>
      <c r="D10" s="186" t="n"/>
      <c r="E10" s="186" t="n"/>
      <c r="F10" s="186" t="n"/>
      <c r="G10" s="187" t="n"/>
      <c r="H10" s="176" t="n">
        <v>15</v>
      </c>
      <c r="I10" s="187" t="n"/>
      <c r="J10" s="159" t="inlineStr">
        <is>
          <t>% of budget</t>
        </is>
      </c>
      <c r="K10" s="187" t="n"/>
    </row>
    <row r="11">
      <c r="B11" s="205" t="n">
        <v>5</v>
      </c>
      <c r="C11" s="213" t="inlineStr">
        <is>
          <t>OpEx 3Y (FOT + other)</t>
        </is>
      </c>
      <c r="D11" s="186" t="n"/>
      <c r="E11" s="186" t="n"/>
      <c r="F11" s="186" t="n"/>
      <c r="G11" s="187" t="n"/>
      <c r="H11" s="173" t="n">
        <v>265.5</v>
      </c>
      <c r="I11" s="187" t="n"/>
      <c r="J11" s="159" t="inlineStr">
        <is>
          <t>млн ₽</t>
        </is>
      </c>
      <c r="K11" s="187" t="n"/>
    </row>
    <row r="12">
      <c r="B12" s="205" t="n">
        <v>6</v>
      </c>
      <c r="C12" s="213" t="inlineStr">
        <is>
          <t>Interest expense</t>
        </is>
      </c>
      <c r="D12" s="186" t="n"/>
      <c r="E12" s="186" t="n"/>
      <c r="F12" s="186" t="n"/>
      <c r="G12" s="187" t="n"/>
      <c r="H12" s="173" t="n">
        <v>15</v>
      </c>
      <c r="I12" s="187" t="n"/>
      <c r="J12" s="159" t="inlineStr">
        <is>
          <t>млн ₽</t>
        </is>
      </c>
      <c r="K12" s="187" t="n"/>
    </row>
    <row r="13">
      <c r="B13" s="205" t="n">
        <v>7</v>
      </c>
      <c r="C13" s="213" t="inlineStr">
        <is>
          <t>Exit Multiple</t>
        </is>
      </c>
      <c r="D13" s="186" t="n"/>
      <c r="E13" s="186" t="n"/>
      <c r="F13" s="186" t="n"/>
      <c r="G13" s="187" t="n"/>
      <c r="H13" s="278" t="n">
        <v>5</v>
      </c>
      <c r="I13" s="187" t="n"/>
      <c r="J13" s="159" t="inlineStr">
        <is>
          <t>× EBITDA</t>
        </is>
      </c>
      <c r="K13" s="187" t="n"/>
    </row>
    <row r="14">
      <c r="B14" s="205" t="n">
        <v>8</v>
      </c>
      <c r="C14" s="213" t="inlineStr">
        <is>
          <t>Attendance (relative, 100%)</t>
        </is>
      </c>
      <c r="D14" s="186" t="n"/>
      <c r="E14" s="186" t="n"/>
      <c r="F14" s="186" t="n"/>
      <c r="G14" s="187" t="n"/>
      <c r="H14" s="176" t="n">
        <v>100</v>
      </c>
      <c r="I14" s="187" t="n"/>
      <c r="J14" s="159" t="inlineStr">
        <is>
          <t>базовая посещаемость</t>
        </is>
      </c>
      <c r="K14" s="187" t="n"/>
    </row>
    <row r="17">
      <c r="B17" s="244" t="inlineStr">
        <is>
          <t>II. TORNADO — IMPACT ON EBITDA 3Y (base 2 152 млн ₽)</t>
        </is>
      </c>
    </row>
    <row r="18">
      <c r="B18" s="167" t="inlineStr">
        <is>
          <t>#</t>
        </is>
      </c>
      <c r="C18" s="167" t="inlineStr">
        <is>
          <t>Driver</t>
        </is>
      </c>
      <c r="D18" s="167" t="inlineStr">
        <is>
          <t>−20%</t>
        </is>
      </c>
      <c r="E18" s="167" t="inlineStr">
        <is>
          <t>Base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High</t>
        </is>
      </c>
      <c r="I18" s="167" t="inlineStr">
        <is>
          <t>Range</t>
        </is>
      </c>
      <c r="J18" s="167" t="inlineStr">
        <is>
          <t>Elasticity</t>
        </is>
      </c>
      <c r="K18" s="167" t="inlineStr">
        <is>
          <t>Rank</t>
        </is>
      </c>
    </row>
    <row r="19">
      <c r="B19" s="205" t="n">
        <v>1</v>
      </c>
      <c r="C19" s="287" t="inlineStr">
        <is>
          <t>Revenue</t>
        </is>
      </c>
      <c r="D19" s="207" t="n">
        <v>1721.6</v>
      </c>
      <c r="E19" s="207" t="n">
        <v>2152</v>
      </c>
      <c r="F19" s="207" t="n">
        <v>2582.4</v>
      </c>
      <c r="G19" s="288" t="n">
        <v>-430.4000000000001</v>
      </c>
      <c r="H19" s="289" t="n">
        <v>430.4000000000001</v>
      </c>
      <c r="I19" s="207" t="n">
        <v>860.8000000000002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margin</t>
        </is>
      </c>
      <c r="D20" s="207" t="n">
        <v>1721.6</v>
      </c>
      <c r="E20" s="207" t="n">
        <v>2152</v>
      </c>
      <c r="F20" s="207" t="n">
        <v>2582.4</v>
      </c>
      <c r="G20" s="288" t="n">
        <v>-430.4000000000001</v>
      </c>
      <c r="H20" s="289" t="n">
        <v>430.3999999999996</v>
      </c>
      <c r="I20" s="207" t="n">
        <v>860.7999999999997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</t>
        </is>
      </c>
      <c r="D21" s="207" t="n">
        <v>2392.5</v>
      </c>
      <c r="E21" s="207" t="n">
        <v>2152</v>
      </c>
      <c r="F21" s="207" t="n">
        <v>1911.5</v>
      </c>
      <c r="G21" s="289" t="n">
        <v>240.5</v>
      </c>
      <c r="H21" s="288" t="n">
        <v>-240.5</v>
      </c>
      <c r="I21" s="207" t="n">
        <v>481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</t>
        </is>
      </c>
      <c r="D22" s="207" t="n">
        <v>2207.5</v>
      </c>
      <c r="E22" s="207" t="n">
        <v>2152</v>
      </c>
      <c r="F22" s="207" t="n">
        <v>2096.5</v>
      </c>
      <c r="G22" s="289" t="n">
        <v>55.5</v>
      </c>
      <c r="H22" s="288" t="n">
        <v>-55.5</v>
      </c>
      <c r="I22" s="207" t="n">
        <v>111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 t="n">
        <v>2205.1</v>
      </c>
      <c r="E23" s="207" t="n">
        <v>2152</v>
      </c>
      <c r="F23" s="207" t="n">
        <v>2098.9</v>
      </c>
      <c r="G23" s="289" t="n">
        <v>53.09999999999991</v>
      </c>
      <c r="H23" s="288" t="n">
        <v>-53.09999999999991</v>
      </c>
      <c r="I23" s="207" t="n">
        <v>106.1999999999998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</t>
        </is>
      </c>
      <c r="D24" s="207" t="n">
        <v>2152</v>
      </c>
      <c r="E24" s="207" t="n">
        <v>2152</v>
      </c>
      <c r="F24" s="207" t="n">
        <v>2152</v>
      </c>
      <c r="G24" s="289" t="n">
        <v>0</v>
      </c>
      <c r="H24" s="288" t="n">
        <v>0</v>
      </c>
      <c r="I24" s="207" t="n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</t>
        </is>
      </c>
      <c r="D25" s="207" t="n">
        <v>2152</v>
      </c>
      <c r="E25" s="207" t="n">
        <v>2152</v>
      </c>
      <c r="F25" s="207" t="n">
        <v>2152</v>
      </c>
      <c r="G25" s="289" t="n">
        <v>0</v>
      </c>
      <c r="H25" s="288" t="n">
        <v>0</v>
      </c>
      <c r="I25" s="207" t="n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</t>
        </is>
      </c>
      <c r="D26" s="207" t="n">
        <v>1721.6</v>
      </c>
      <c r="E26" s="207" t="n">
        <v>2152</v>
      </c>
      <c r="F26" s="207" t="n">
        <v>2582.4</v>
      </c>
      <c r="G26" s="288" t="n">
        <v>-430.4000000000001</v>
      </c>
      <c r="H26" s="289" t="n">
        <v>430.4000000000001</v>
      </c>
      <c r="I26" s="207" t="n">
        <v>860.8000000000002</v>
      </c>
      <c r="J26" s="236" t="n">
        <v>20</v>
      </c>
      <c r="K26" s="290" t="n">
        <v>2</v>
      </c>
    </row>
    <row r="29">
      <c r="B29" s="244" t="inlineStr">
        <is>
          <t>III. TORNADO — IMPACT ON IRR T₁ (base 7,7%)</t>
        </is>
      </c>
    </row>
    <row r="30">
      <c r="B30" s="167" t="inlineStr">
        <is>
          <t>#</t>
        </is>
      </c>
      <c r="C30" s="167" t="inlineStr">
        <is>
          <t>Driver</t>
        </is>
      </c>
      <c r="D30" s="167" t="inlineStr">
        <is>
          <t>−20%</t>
        </is>
      </c>
      <c r="E30" s="167" t="inlineStr">
        <is>
          <t>Base</t>
        </is>
      </c>
      <c r="F30" s="167" t="inlineStr">
        <is>
          <t>+20%</t>
        </is>
      </c>
      <c r="G30" s="167" t="inlineStr">
        <is>
          <t>Δ Low pp</t>
        </is>
      </c>
      <c r="H30" s="167" t="inlineStr">
        <is>
          <t>Δ High pp</t>
        </is>
      </c>
      <c r="I30" s="167" t="inlineStr">
        <is>
          <t>Range pp</t>
        </is>
      </c>
      <c r="J30" s="167" t="inlineStr">
        <is>
          <t>Elasticity</t>
        </is>
      </c>
      <c r="K30" s="167" t="inlineStr">
        <is>
          <t>Rank</t>
        </is>
      </c>
    </row>
    <row r="31">
      <c r="B31" s="205" t="n">
        <v>1</v>
      </c>
      <c r="C31" s="287" t="inlineStr">
        <is>
          <t>Revenue</t>
        </is>
      </c>
      <c r="D31" s="236" t="n">
        <v>1.55563006102557</v>
      </c>
      <c r="E31" s="236" t="n">
        <v>7.7</v>
      </c>
      <c r="F31" s="236" t="n">
        <v>8.026739931977843</v>
      </c>
      <c r="G31" s="291" t="n">
        <v>-6.14436993897443</v>
      </c>
      <c r="H31" s="291" t="n">
        <v>0.3267399319778432</v>
      </c>
      <c r="I31" s="291" t="n">
        <v>6.471109870952273</v>
      </c>
      <c r="J31" s="236" t="n">
        <v>84.04038793444511</v>
      </c>
      <c r="K31" s="290" t="n">
        <v>1</v>
      </c>
    </row>
    <row r="32">
      <c r="B32" s="205" t="n">
        <v>2</v>
      </c>
      <c r="C32" s="206" t="inlineStr">
        <is>
          <t>EBITDA margin</t>
        </is>
      </c>
      <c r="D32" s="236" t="n">
        <v>2.615761076664724</v>
      </c>
      <c r="E32" s="236" t="n">
        <v>7.7</v>
      </c>
      <c r="F32" s="236" t="n">
        <v>7.234152495331814</v>
      </c>
      <c r="G32" s="291" t="n">
        <v>-5.084238923335276</v>
      </c>
      <c r="H32" s="291" t="n">
        <v>-0.4658475046681865</v>
      </c>
      <c r="I32" s="291" t="n">
        <v>4.618391418667089</v>
      </c>
      <c r="J32" s="236" t="n">
        <v>59.97910933333882</v>
      </c>
      <c r="K32" s="212" t="n">
        <v>4</v>
      </c>
    </row>
    <row r="33">
      <c r="B33" s="205" t="n">
        <v>3</v>
      </c>
      <c r="C33" s="206" t="inlineStr">
        <is>
          <t>Production CAPEX</t>
        </is>
      </c>
      <c r="D33" s="236" t="n">
        <v>10.7</v>
      </c>
      <c r="E33" s="236" t="n">
        <v>7.7</v>
      </c>
      <c r="F33" s="236" t="n">
        <v>4.700000000000001</v>
      </c>
      <c r="G33" s="291" t="n">
        <v>2.999999999999999</v>
      </c>
      <c r="H33" s="291" t="n">
        <v>-2.999999999999999</v>
      </c>
      <c r="I33" s="291" t="n">
        <v>5.999999999999998</v>
      </c>
      <c r="J33" s="236" t="n">
        <v>77.92207792207789</v>
      </c>
      <c r="K33" s="212" t="n">
        <v>3</v>
      </c>
    </row>
    <row r="34">
      <c r="B34" s="205" t="n">
        <v>4</v>
      </c>
      <c r="C34" s="206" t="inlineStr">
        <is>
          <t>P&amp;A ratio</t>
        </is>
      </c>
      <c r="D34" s="236" t="n">
        <v>8.299999999999999</v>
      </c>
      <c r="E34" s="236" t="n">
        <v>7.7</v>
      </c>
      <c r="F34" s="236" t="n">
        <v>7.100000000000001</v>
      </c>
      <c r="G34" s="291" t="n">
        <v>0.5999999999999988</v>
      </c>
      <c r="H34" s="291" t="n">
        <v>-0.5999999999999996</v>
      </c>
      <c r="I34" s="291" t="n">
        <v>1.199999999999998</v>
      </c>
      <c r="J34" s="236" t="n">
        <v>15.58441558441556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7.9</v>
      </c>
      <c r="E35" s="236" t="n">
        <v>7.7</v>
      </c>
      <c r="F35" s="236" t="n">
        <v>7.5</v>
      </c>
      <c r="G35" s="291" t="n">
        <v>0.2000000000000002</v>
      </c>
      <c r="H35" s="291" t="n">
        <v>-0.2000000000000002</v>
      </c>
      <c r="I35" s="291" t="n">
        <v>0.4000000000000004</v>
      </c>
      <c r="J35" s="236" t="n">
        <v>5.194805194805199</v>
      </c>
      <c r="K35" s="212" t="n">
        <v>6</v>
      </c>
    </row>
    <row r="36">
      <c r="B36" s="205" t="n">
        <v>6</v>
      </c>
      <c r="C36" s="206" t="inlineStr">
        <is>
          <t>Interest</t>
        </is>
      </c>
      <c r="D36" s="236" t="n">
        <v>7.64</v>
      </c>
      <c r="E36" s="236" t="n">
        <v>7.7</v>
      </c>
      <c r="F36" s="236" t="n">
        <v>7.76</v>
      </c>
      <c r="G36" s="291" t="n">
        <v>-0.0600000000000005</v>
      </c>
      <c r="H36" s="291" t="n">
        <v>0.05999999999999961</v>
      </c>
      <c r="I36" s="291" t="n">
        <v>0.1200000000000001</v>
      </c>
      <c r="J36" s="236" t="n">
        <v>1.55844155844156</v>
      </c>
      <c r="K36" s="212" t="n">
        <v>7</v>
      </c>
    </row>
    <row r="37">
      <c r="B37" s="205" t="n">
        <v>7</v>
      </c>
      <c r="C37" s="206" t="inlineStr">
        <is>
          <t>Exit Multiple</t>
        </is>
      </c>
      <c r="D37" s="236" t="n">
        <v>5.052804990163762</v>
      </c>
      <c r="E37" s="236" t="n">
        <v>7.7</v>
      </c>
      <c r="F37" s="236" t="n">
        <v>5.075774827783097</v>
      </c>
      <c r="G37" s="291" t="n">
        <v>-2.647195009836238</v>
      </c>
      <c r="H37" s="291" t="n">
        <v>-2.624225172216903</v>
      </c>
      <c r="I37" s="291" t="n">
        <v>0.02296983761933546</v>
      </c>
      <c r="J37" s="236" t="n">
        <v>0.2983095794718892</v>
      </c>
      <c r="K37" s="212" t="n">
        <v>8</v>
      </c>
    </row>
    <row r="38">
      <c r="B38" s="205" t="n">
        <v>8</v>
      </c>
      <c r="C38" s="287" t="inlineStr">
        <is>
          <t>Attendance</t>
        </is>
      </c>
      <c r="D38" s="236" t="n">
        <v>1.55563006102557</v>
      </c>
      <c r="E38" s="236" t="n">
        <v>7.7</v>
      </c>
      <c r="F38" s="236" t="n">
        <v>8.026739931977843</v>
      </c>
      <c r="G38" s="291" t="n">
        <v>-6.14436993897443</v>
      </c>
      <c r="H38" s="291" t="n">
        <v>0.3267399319778432</v>
      </c>
      <c r="I38" s="291" t="n">
        <v>6.471109870952273</v>
      </c>
      <c r="J38" s="236" t="n">
        <v>84.04038793444511</v>
      </c>
      <c r="K38" s="290" t="n">
        <v>2</v>
      </c>
    </row>
    <row r="41">
      <c r="B41" s="244" t="inlineStr">
        <is>
          <t>IV. ЗАКЛЮЧЕНИЯ</t>
        </is>
      </c>
    </row>
    <row r="42">
      <c r="B42" s="246" t="inlineStr">
        <is>
          <t>• Top-2 drivers EBITDA: Revenue и EBITDA margin (эквивалентные, оба ±430 млн ₽ при ±20%).</t>
        </is>
      </c>
    </row>
    <row r="43">
      <c r="B43" s="246" t="inlineStr">
        <is>
          <t>• Production CAPEX — 3rd critical driver (range ±240 млн ₽ при ±20%).</t>
        </is>
      </c>
    </row>
    <row r="44">
      <c r="B44" s="246" t="inlineStr">
        <is>
          <t>• IRR T₁ наиболее чувствителен к Exit Multiple и Revenue (up to +8pp upside).</t>
        </is>
      </c>
    </row>
    <row r="45">
      <c r="B45" s="246" t="inlineStr">
        <is>
          <t>• Interest expense и OpEx имеют minor impact (&lt;1pp на IRR).</t>
        </is>
      </c>
    </row>
    <row r="46">
      <c r="B46" s="246" t="inlineStr">
        <is>
          <t>• Рекомендация: фокус на Box Office revenue (attendance × ticket price) и margin control.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7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SCENARIO ANALYSIS — 5 СЦЕНАРИЕВ (Stress / Downside / Base / Upside / Bull)</t>
        </is>
      </c>
    </row>
    <row r="3"/>
    <row r="4">
      <c r="B4" s="189" t="inlineStr">
        <is>
          <t>Полный набор финансовых метрик по 5 сценариям с narrative triggers и preconditions. Revenue multiplier 0.60× / 0.80× / 1.00× / 1.20× / 1.40×</t>
        </is>
      </c>
    </row>
    <row r="6">
      <c r="B6" s="244" t="inlineStr">
        <is>
          <t>I. SCENARIO METRICS MATRIX (все значения в млн ₽ если не указано иначе)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</t>
        </is>
      </c>
      <c r="E7" s="167" t="inlineStr">
        <is>
          <t>Downside</t>
        </is>
      </c>
      <c r="F7" s="167" t="inlineStr">
        <is>
          <t>Base Case</t>
        </is>
      </c>
      <c r="G7" s="167" t="inlineStr">
        <is>
          <t>Upside</t>
        </is>
      </c>
      <c r="H7" s="167" t="inlineStr">
        <is>
          <t>Bull Case</t>
        </is>
      </c>
      <c r="I7" s="167" t="inlineStr">
        <is>
          <t>Range</t>
        </is>
      </c>
    </row>
    <row r="8">
      <c r="B8" s="205" t="n">
        <v>1</v>
      </c>
      <c r="C8" s="213" t="inlineStr">
        <is>
          <t>Revenue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193" t="n">
        <v>6363</v>
      </c>
      <c r="I8" s="207" t="n">
        <v>3636</v>
      </c>
    </row>
    <row r="9">
      <c r="B9" s="205" t="n">
        <v>2</v>
      </c>
      <c r="C9" s="213" t="inlineStr">
        <is>
          <t>EBITDA 3Y (GAAP)</t>
        </is>
      </c>
      <c r="D9" s="292" t="n">
        <v>1291.2</v>
      </c>
      <c r="E9" s="202" t="n">
        <v>1721.6</v>
      </c>
      <c r="F9" s="270" t="n">
        <v>2152</v>
      </c>
      <c r="G9" s="293" t="n">
        <v>2582.4</v>
      </c>
      <c r="H9" s="193" t="n">
        <v>3012.8</v>
      </c>
      <c r="I9" s="207" t="n">
        <v>1721.6</v>
      </c>
    </row>
    <row r="10">
      <c r="B10" s="205" t="n">
        <v>3</v>
      </c>
      <c r="C10" s="213" t="inlineStr">
        <is>
          <t>EBITDA margin</t>
        </is>
      </c>
      <c r="D10" s="294" t="n">
        <v>47.34873487348734</v>
      </c>
      <c r="E10" s="295" t="n">
        <v>47.34873487348734</v>
      </c>
      <c r="F10" s="275" t="n">
        <v>47.34873487348734</v>
      </c>
      <c r="G10" s="296" t="n">
        <v>47.34873487348734</v>
      </c>
      <c r="H10" s="297" t="n">
        <v>47.34873487348734</v>
      </c>
      <c r="I10" s="236" t="n">
        <v>0</v>
      </c>
    </row>
    <row r="11">
      <c r="B11" s="205" t="n">
        <v>4</v>
      </c>
      <c r="C11" s="213" t="inlineStr">
        <is>
          <t>Net Profit 3Y</t>
        </is>
      </c>
      <c r="D11" s="292" t="n">
        <v>1013.4</v>
      </c>
      <c r="E11" s="202" t="n">
        <v>1351.2</v>
      </c>
      <c r="F11" s="270" t="n">
        <v>1689</v>
      </c>
      <c r="G11" s="293" t="n">
        <v>2026.8</v>
      </c>
      <c r="H11" s="193" t="n">
        <v>2364.6</v>
      </c>
      <c r="I11" s="207" t="n">
        <v>1351.2</v>
      </c>
    </row>
    <row r="12">
      <c r="B12" s="205" t="n">
        <v>5</v>
      </c>
      <c r="C12" s="213" t="inlineStr">
        <is>
          <t>NDP (legacy)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193" t="n">
        <v>4200</v>
      </c>
      <c r="I12" s="207" t="n">
        <v>2400</v>
      </c>
    </row>
    <row r="13">
      <c r="B13" s="205" t="n">
        <v>6</v>
      </c>
      <c r="C13" s="213" t="inlineStr">
        <is>
          <t>CAPEX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193" t="n">
        <v>2035</v>
      </c>
      <c r="I13" s="207" t="n">
        <v>370.0000000000002</v>
      </c>
    </row>
    <row r="14">
      <c r="B14" s="205" t="n">
        <v>7</v>
      </c>
      <c r="C14" s="213" t="inlineStr">
        <is>
          <t>Films released</t>
        </is>
      </c>
      <c r="D14" s="298" t="n">
        <v>10</v>
      </c>
      <c r="E14" s="299" t="n">
        <v>11</v>
      </c>
      <c r="F14" s="300" t="n">
        <v>12</v>
      </c>
      <c r="G14" s="301" t="n">
        <v>12</v>
      </c>
      <c r="H14" s="302" t="n">
        <v>13</v>
      </c>
      <c r="I14" s="303" t="n">
        <v>3</v>
      </c>
    </row>
    <row r="15">
      <c r="B15" s="205" t="n">
        <v>8</v>
      </c>
      <c r="C15" s="213" t="inlineStr">
        <is>
          <t>IRR T₁ (W₁ Base)</t>
        </is>
      </c>
      <c r="D15" s="294" t="n">
        <v>2.3</v>
      </c>
      <c r="E15" s="295" t="n">
        <v>5</v>
      </c>
      <c r="F15" s="275" t="n">
        <v>7.7</v>
      </c>
      <c r="G15" s="296" t="n">
        <v>9.800000000000001</v>
      </c>
      <c r="H15" s="297" t="n">
        <v>12.2</v>
      </c>
      <c r="I15" s="236" t="n">
        <v>9.899999999999999</v>
      </c>
    </row>
    <row r="16">
      <c r="B16" s="205" t="n">
        <v>9</v>
      </c>
      <c r="C16" s="213" t="inlineStr">
        <is>
          <t>MOIC T₁ (W₁)</t>
        </is>
      </c>
      <c r="D16" s="304" t="n">
        <v>1.03</v>
      </c>
      <c r="E16" s="305" t="n">
        <v>1.2</v>
      </c>
      <c r="F16" s="276" t="n">
        <v>1.37</v>
      </c>
      <c r="G16" s="306" t="n">
        <v>1.54</v>
      </c>
      <c r="H16" s="307" t="n">
        <v>1.71</v>
      </c>
      <c r="I16" s="237" t="n">
        <v>0.6799999999999999</v>
      </c>
    </row>
    <row r="17">
      <c r="B17" s="205" t="n">
        <v>10</v>
      </c>
      <c r="C17" s="213" t="inlineStr">
        <is>
          <t>EV 2028 (5× EBITDA)</t>
        </is>
      </c>
      <c r="D17" s="292" t="n">
        <v>6456</v>
      </c>
      <c r="E17" s="202" t="n">
        <v>8608</v>
      </c>
      <c r="F17" s="270" t="n">
        <v>10760</v>
      </c>
      <c r="G17" s="293" t="n">
        <v>12912</v>
      </c>
      <c r="H17" s="193" t="n">
        <v>15064</v>
      </c>
      <c r="I17" s="207" t="n">
        <v>8607.999999999998</v>
      </c>
    </row>
    <row r="18">
      <c r="B18" s="205" t="n">
        <v>11</v>
      </c>
      <c r="C18" s="213" t="inlineStr">
        <is>
          <t>T₁ return at exit W₁</t>
        </is>
      </c>
      <c r="D18" s="292" t="n">
        <v>3673.463999999999</v>
      </c>
      <c r="E18" s="202" t="n">
        <v>4897.951999999999</v>
      </c>
      <c r="F18" s="270" t="n">
        <v>6122.44</v>
      </c>
      <c r="G18" s="293" t="n">
        <v>7346.927999999999</v>
      </c>
      <c r="H18" s="193" t="n">
        <v>8571.415999999997</v>
      </c>
      <c r="I18" s="207" t="n">
        <v>4897.951999999997</v>
      </c>
    </row>
    <row r="19">
      <c r="B19" s="205" t="n">
        <v>12</v>
      </c>
      <c r="C19" s="213" t="inlineStr">
        <is>
          <t>Investor IRR exit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&amp; TRIGGERS</t>
        </is>
      </c>
    </row>
    <row r="24" ht="48" customHeight="1">
      <c r="B24" s="314" t="inlineStr">
        <is>
          <t>Stress Bear (5% prob)</t>
        </is>
      </c>
      <c r="C24" s="187" t="n"/>
      <c r="D24" s="206" t="inlineStr">
        <is>
          <t>Катастрофический сценарий: 2 провала из топ-4 фильмов (F03 Ночной патруль, F05 Время героев), падение box office РФ на 25%, санкционный shock. Revenue −40%, EBITDA 1 291, IRR −5%.</t>
        </is>
      </c>
      <c r="E24" s="186" t="n"/>
      <c r="F24" s="186" t="n"/>
      <c r="G24" s="186" t="n"/>
      <c r="H24" s="186" t="n"/>
      <c r="I24" s="187" t="n"/>
    </row>
    <row r="25" ht="48" customHeight="1">
      <c r="B25" s="274" t="inlineStr">
        <is>
          <t>Downside (15% prob)</t>
        </is>
      </c>
      <c r="C25" s="187" t="n"/>
      <c r="D25" s="206" t="inlineStr">
        <is>
          <t>Один провал блокбастера (~250 млн), конкурентное давление от OTT, −20% посещаемости. Revenue 3 636, EBITDA 1 722, IRR 5%. Ниже hurdle, но рефинансирование возможно.</t>
        </is>
      </c>
      <c r="E25" s="186" t="n"/>
      <c r="F25" s="186" t="n"/>
      <c r="G25" s="186" t="n"/>
      <c r="H25" s="186" t="n"/>
      <c r="I25" s="187" t="n"/>
    </row>
    <row r="26" ht="48" customHeight="1">
      <c r="B26" s="261" t="inlineStr">
        <is>
          <t>Base Case (50% prob)</t>
        </is>
      </c>
      <c r="C26" s="187" t="n"/>
      <c r="D26" s="206" t="inlineStr">
        <is>
          <t>Модельные допущения: 12 фильмов выпущены по плану, средняя посещаемость 2026-2028 растёт на 10% CAGR. Revenue 4 545, EBITDA 2 152, IRR 7,7%, NDP 3 000 — якорь.</t>
        </is>
      </c>
      <c r="E26" s="186" t="n"/>
      <c r="F26" s="186" t="n"/>
      <c r="G26" s="186" t="n"/>
      <c r="H26" s="186" t="n"/>
      <c r="I26" s="187" t="n"/>
    </row>
    <row r="27" ht="48" customHeight="1">
      <c r="B27" s="315" t="inlineStr">
        <is>
          <t>Upside (20% prob)</t>
        </is>
      </c>
      <c r="C27" s="187" t="n"/>
      <c r="D27" s="206" t="inlineStr">
        <is>
          <t>Два блокбастера (F05 + F12) превзошли ожидания на 40%, рост госсубсидий через Фонд кино. Revenue 5 454, EBITDA 2 583, IRR 9,8%. Открывает path к IPO 2028.</t>
        </is>
      </c>
      <c r="E27" s="186" t="n"/>
      <c r="F27" s="186" t="n"/>
      <c r="G27" s="186" t="n"/>
      <c r="H27" s="186" t="n"/>
      <c r="I27" s="187" t="n"/>
    </row>
    <row r="28" ht="48" customHeight="1">
      <c r="B28" s="277" t="inlineStr">
        <is>
          <t>Bull Case (10% prob)</t>
        </is>
      </c>
      <c r="C28" s="187" t="n"/>
      <c r="D28" s="206" t="inlineStr">
        <is>
          <t>Хит 2026-2027 (F05 Время героев) +100%, международные продажи, SVOD-сделка c крупным OTT. Revenue 6 363, EBITDA 3 013, IRR 12,2%. Strategic exit 7× EBITDA = 21 090 млн ₽.</t>
        </is>
      </c>
      <c r="E28" s="186" t="n"/>
      <c r="F28" s="186" t="n"/>
      <c r="G28" s="186" t="n"/>
      <c r="H28" s="186" t="n"/>
      <c r="I28" s="187" t="n"/>
    </row>
    <row r="31">
      <c r="B31" s="244" t="inlineStr">
        <is>
          <t>III. PROBABILITY-WEIGHTED EXPECTED VALUE</t>
        </is>
      </c>
    </row>
    <row r="32">
      <c r="B32" s="213" t="inlineStr">
        <is>
          <t>Expected Revenue 3Y</t>
        </is>
      </c>
      <c r="C32" s="186" t="n"/>
      <c r="D32" s="186" t="n"/>
      <c r="E32" s="186" t="n"/>
      <c r="F32" s="187" t="n"/>
      <c r="G32" s="173" t="n">
        <v>4681.35</v>
      </c>
      <c r="H32" s="187" t="n"/>
      <c r="I32" s="159" t="inlineStr">
        <is>
          <t>млн ₽</t>
        </is>
      </c>
    </row>
    <row r="33">
      <c r="B33" s="213" t="inlineStr">
        <is>
          <t>Expected EBITDA 3Y</t>
        </is>
      </c>
      <c r="C33" s="186" t="n"/>
      <c r="D33" s="186" t="n"/>
      <c r="E33" s="186" t="n"/>
      <c r="F33" s="187" t="n"/>
      <c r="G33" s="173" t="n">
        <v>2216.56</v>
      </c>
      <c r="H33" s="187" t="n"/>
      <c r="I33" s="159" t="inlineStr">
        <is>
          <t>млн ₽</t>
        </is>
      </c>
    </row>
    <row r="34">
      <c r="B34" s="213" t="inlineStr">
        <is>
          <t>Expected Net Profit 3Y</t>
        </is>
      </c>
      <c r="C34" s="186" t="n"/>
      <c r="D34" s="186" t="n"/>
      <c r="E34" s="186" t="n"/>
      <c r="F34" s="187" t="n"/>
      <c r="G34" s="173" t="n">
        <v>1739.67</v>
      </c>
      <c r="H34" s="187" t="n"/>
      <c r="I34" s="159" t="inlineStr">
        <is>
          <t>млн ₽</t>
        </is>
      </c>
    </row>
    <row r="35">
      <c r="B35" s="213" t="inlineStr">
        <is>
          <t>Expected NDP</t>
        </is>
      </c>
      <c r="C35" s="186" t="n"/>
      <c r="D35" s="186" t="n"/>
      <c r="E35" s="186" t="n"/>
      <c r="F35" s="187" t="n"/>
      <c r="G35" s="173" t="n">
        <v>3090</v>
      </c>
      <c r="H35" s="187" t="n"/>
      <c r="I35" s="159" t="inlineStr">
        <is>
          <t>млн ₽</t>
        </is>
      </c>
    </row>
    <row r="36">
      <c r="B36" s="213" t="inlineStr">
        <is>
          <t>Expected EV (5× exit)</t>
        </is>
      </c>
      <c r="C36" s="186" t="n"/>
      <c r="D36" s="186" t="n"/>
      <c r="E36" s="186" t="n"/>
      <c r="F36" s="187" t="n"/>
      <c r="G36" s="173" t="n">
        <v>11082.8</v>
      </c>
      <c r="H36" s="187" t="n"/>
      <c r="I36" s="159" t="inlineStr">
        <is>
          <t>млн ₽</t>
        </is>
      </c>
    </row>
    <row r="37">
      <c r="B37" s="213" t="inlineStr">
        <is>
          <t>Expected IRR T₁</t>
        </is>
      </c>
      <c r="C37" s="186" t="n"/>
      <c r="D37" s="186" t="n"/>
      <c r="E37" s="186" t="n"/>
      <c r="F37" s="187" t="n"/>
      <c r="G37" s="176" t="n">
        <v>7.895</v>
      </c>
      <c r="H37" s="187" t="n"/>
      <c r="I37" s="159" t="inlineStr">
        <is>
          <t>%</t>
        </is>
      </c>
    </row>
  </sheetData>
  <mergeCells count="27">
    <mergeCell ref="D27:I27"/>
    <mergeCell ref="B25:C25"/>
    <mergeCell ref="G36:H36"/>
    <mergeCell ref="B31:I31"/>
    <mergeCell ref="B27:C27"/>
    <mergeCell ref="D28:I28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MONTE CARLO SIMULATION — 1 000 ИТЕРАЦИЙ · 5 СТОХАСТИЧЕСКИХ ПЕРЕМЕННЫХ</t>
        </is>
      </c>
    </row>
    <row r="3"/>
    <row r="4">
      <c r="B4" s="189" t="inlineStr">
        <is>
          <t>Распределения NDP, EBITDA, IRR, MOIC, EV — percentiles, probability of hurdle pass, Value at Risk (VaR 95%), Conditional VaR</t>
        </is>
      </c>
    </row>
    <row r="6">
      <c r="B6" s="244" t="inlineStr">
        <is>
          <t>I. STOCHASTIC VARIABLES (PDFs)</t>
        </is>
      </c>
    </row>
    <row r="7">
      <c r="B7" s="167" t="inlineStr">
        <is>
          <t>#</t>
        </is>
      </c>
      <c r="C7" s="167" t="inlineStr">
        <is>
          <t>Variable</t>
        </is>
      </c>
      <c r="D7" s="167" t="inlineStr">
        <is>
          <t>Distribution</t>
        </is>
      </c>
      <c r="E7" s="167" t="inlineStr">
        <is>
          <t>Param 1</t>
        </is>
      </c>
      <c r="F7" s="167" t="inlineStr">
        <is>
          <t>Param 2</t>
        </is>
      </c>
      <c r="G7" s="167" t="inlineStr">
        <is>
          <t>Param 3</t>
        </is>
      </c>
      <c r="H7" s="167" t="inlineStr">
        <is>
          <t>Description</t>
        </is>
      </c>
      <c r="I7" s="187" t="n"/>
    </row>
    <row r="8">
      <c r="B8" s="205" t="n">
        <v>1</v>
      </c>
      <c r="C8" s="206" t="inlineStr">
        <is>
          <t>Revenue multiplier</t>
        </is>
      </c>
      <c r="D8" s="206" t="inlineStr">
        <is>
          <t>Triangular</t>
        </is>
      </c>
      <c r="E8" s="285" t="n">
        <v>0.6</v>
      </c>
      <c r="F8" s="285" t="n">
        <v>1</v>
      </c>
      <c r="G8" s="285" t="n">
        <v>1.4</v>
      </c>
      <c r="H8" s="206" t="inlineStr">
        <is>
          <t>min/mode/max</t>
        </is>
      </c>
      <c r="I8" s="187" t="n"/>
    </row>
    <row r="9">
      <c r="B9" s="205" t="n">
        <v>2</v>
      </c>
      <c r="C9" s="206" t="inlineStr">
        <is>
          <t>EBITDA margin shock</t>
        </is>
      </c>
      <c r="D9" s="206" t="inlineStr">
        <is>
          <t>Normal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 t="n"/>
    </row>
    <row r="10">
      <c r="B10" s="205" t="n">
        <v>3</v>
      </c>
      <c r="C10" s="206" t="inlineStr">
        <is>
          <t>CAPEX overrun</t>
        </is>
      </c>
      <c r="D10" s="206" t="inlineStr">
        <is>
          <t>LogNormal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 t="n"/>
    </row>
    <row r="11">
      <c r="B11" s="205" t="n">
        <v>4</v>
      </c>
      <c r="C11" s="206" t="inlineStr">
        <is>
          <t>Exit multiple</t>
        </is>
      </c>
      <c r="D11" s="206" t="inlineStr">
        <is>
          <t>Triangular</t>
        </is>
      </c>
      <c r="E11" s="285" t="n">
        <v>3</v>
      </c>
      <c r="F11" s="285" t="n">
        <v>5</v>
      </c>
      <c r="G11" s="285" t="n">
        <v>7</v>
      </c>
      <c r="H11" s="206" t="inlineStr">
        <is>
          <t>min/mode/max</t>
        </is>
      </c>
      <c r="I11" s="187" t="n"/>
    </row>
    <row r="12">
      <c r="B12" s="205" t="n">
        <v>5</v>
      </c>
      <c r="C12" s="206" t="inlineStr">
        <is>
          <t>Film hit rate</t>
        </is>
      </c>
      <c r="D12" s="206" t="inlineStr">
        <is>
          <t>Binomial</t>
        </is>
      </c>
      <c r="E12" s="285" t="n">
        <v>0.7</v>
      </c>
      <c r="F12" s="285" t="n">
        <v>0.2</v>
      </c>
      <c r="G12" s="285" t="n">
        <v>0</v>
      </c>
      <c r="H12" s="206" t="inlineStr">
        <is>
          <t>p=0.70, 12 films</t>
        </is>
      </c>
      <c r="I12" s="187" t="n"/>
    </row>
    <row r="15">
      <c r="B15" s="244" t="inlineStr">
        <is>
          <t>II. DISTRIBUTION SUMMARY — 1 000 simulations</t>
        </is>
      </c>
    </row>
    <row r="16">
      <c r="B16" s="167" t="inlineStr">
        <is>
          <t>Metric</t>
        </is>
      </c>
      <c r="C16" s="187" t="n"/>
      <c r="D16" s="167" t="inlineStr">
        <is>
          <t>Mean</t>
        </is>
      </c>
      <c r="E16" s="167" t="inlineStr">
        <is>
          <t>StDev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</t>
        </is>
      </c>
      <c r="C17" s="187" t="n"/>
      <c r="D17" s="207" t="n">
        <v>3132.861307355675</v>
      </c>
      <c r="E17" s="207" t="n">
        <v>424.6455971610915</v>
      </c>
      <c r="F17" s="207" t="n">
        <v>2438.585988141343</v>
      </c>
      <c r="G17" s="207" t="n">
        <v>2591.237509994127</v>
      </c>
      <c r="H17" s="207" t="n">
        <v>2818.91529465565</v>
      </c>
      <c r="I17" s="270" t="n">
        <v>3130.30950879061</v>
      </c>
      <c r="J17" s="207" t="n">
        <v>3418.526116064876</v>
      </c>
      <c r="K17" s="207" t="n">
        <v>3669.15763577509</v>
      </c>
      <c r="L17" s="207" t="n">
        <v>3884.965992863085</v>
      </c>
    </row>
    <row r="18">
      <c r="B18" s="317" t="inlineStr">
        <is>
          <t>EBITDA</t>
        </is>
      </c>
      <c r="C18" s="187" t="n"/>
      <c r="D18" s="207" t="n">
        <v>2286.237600255291</v>
      </c>
      <c r="E18" s="207" t="n">
        <v>423.9855388558842</v>
      </c>
      <c r="F18" s="207" t="n">
        <v>1596.258010382233</v>
      </c>
      <c r="G18" s="207" t="n">
        <v>1744.679067590006</v>
      </c>
      <c r="H18" s="207" t="n">
        <v>1972.333340227642</v>
      </c>
      <c r="I18" s="270" t="n">
        <v>2277.454458552075</v>
      </c>
      <c r="J18" s="207" t="n">
        <v>2574.145619608879</v>
      </c>
      <c r="K18" s="207" t="n">
        <v>2824.799258849374</v>
      </c>
      <c r="L18" s="207" t="n">
        <v>3030.120602429608</v>
      </c>
    </row>
    <row r="19">
      <c r="B19" s="317" t="inlineStr">
        <is>
          <t>IRR</t>
        </is>
      </c>
      <c r="C19" s="187" t="n"/>
      <c r="D19" s="236" t="n">
        <v>5.244288215604392</v>
      </c>
      <c r="E19" s="236" t="n">
        <v>0.6012969695114874</v>
      </c>
      <c r="F19" s="236" t="n">
        <v>4.242338791990119</v>
      </c>
      <c r="G19" s="236" t="n">
        <v>4.46937240044869</v>
      </c>
      <c r="H19" s="236" t="n">
        <v>4.803028430480283</v>
      </c>
      <c r="I19" s="275" t="n">
        <v>5.250113898929754</v>
      </c>
      <c r="J19" s="236" t="n">
        <v>5.654814671905695</v>
      </c>
      <c r="K19" s="236" t="n">
        <v>5.999938872735799</v>
      </c>
      <c r="L19" s="236" t="n">
        <v>6.29223735426685</v>
      </c>
    </row>
    <row r="20">
      <c r="B20" s="317" t="inlineStr">
        <is>
          <t>MOIC</t>
        </is>
      </c>
      <c r="C20" s="187" t="n"/>
      <c r="D20" s="237" t="n">
        <v>1.394902486133422</v>
      </c>
      <c r="E20" s="237" t="n">
        <v>0.05190075107915815</v>
      </c>
      <c r="F20" s="237" t="n">
        <v>1.310047230918619</v>
      </c>
      <c r="G20" s="237" t="n">
        <v>1.328704503454829</v>
      </c>
      <c r="H20" s="237" t="n">
        <v>1.35653158586654</v>
      </c>
      <c r="I20" s="276" t="n">
        <v>1.3945906019104</v>
      </c>
      <c r="J20" s="237" t="n">
        <v>1.429816819940271</v>
      </c>
      <c r="K20" s="237" t="n">
        <v>1.460449338454612</v>
      </c>
      <c r="L20" s="237" t="n">
        <v>1.486825723602383</v>
      </c>
    </row>
    <row r="21">
      <c r="B21" s="317" t="inlineStr">
        <is>
          <t>EV</t>
        </is>
      </c>
      <c r="C21" s="187" t="n"/>
      <c r="D21" s="207" t="n">
        <v>11415.38942404038</v>
      </c>
      <c r="E21" s="207" t="n">
        <v>2804.074186962651</v>
      </c>
      <c r="F21" s="207" t="n">
        <v>7188.396318330882</v>
      </c>
      <c r="G21" s="207" t="n">
        <v>7819.626269328844</v>
      </c>
      <c r="H21" s="207" t="n">
        <v>9406.504218746353</v>
      </c>
      <c r="I21" s="270" t="n">
        <v>11160.42715943967</v>
      </c>
      <c r="J21" s="207" t="n">
        <v>13301.04792598667</v>
      </c>
      <c r="K21" s="207" t="n">
        <v>15238.31962436982</v>
      </c>
      <c r="L21" s="207" t="n">
        <v>16189.77809710988</v>
      </c>
    </row>
    <row r="24">
      <c r="B24" s="244" t="inlineStr">
        <is>
          <t>III. PROBABILITY &amp; RISK METRICS</t>
        </is>
      </c>
    </row>
    <row r="25">
      <c r="B25" s="213" t="inlineStr">
        <is>
          <t>P(IRR &gt; 18% hurdle)</t>
        </is>
      </c>
      <c r="C25" s="186" t="n"/>
      <c r="D25" s="186" t="n"/>
      <c r="E25" s="186" t="n"/>
      <c r="F25" s="187" t="n"/>
      <c r="G25" s="176" t="n">
        <v>0</v>
      </c>
      <c r="H25" s="186" t="n"/>
      <c r="I25" s="187" t="n"/>
    </row>
    <row r="26">
      <c r="B26" s="213" t="inlineStr">
        <is>
          <t>P(IRR &gt; 12% target)</t>
        </is>
      </c>
      <c r="C26" s="186" t="n"/>
      <c r="D26" s="186" t="n"/>
      <c r="E26" s="186" t="n"/>
      <c r="F26" s="187" t="n"/>
      <c r="G26" s="176" t="n">
        <v>0</v>
      </c>
      <c r="H26" s="186" t="n"/>
      <c r="I26" s="187" t="n"/>
    </row>
    <row r="27">
      <c r="B27" s="213" t="inlineStr">
        <is>
          <t>P(IRR &gt; 8% floor)</t>
        </is>
      </c>
      <c r="C27" s="186" t="n"/>
      <c r="D27" s="186" t="n"/>
      <c r="E27" s="186" t="n"/>
      <c r="F27" s="187" t="n"/>
      <c r="G27" s="176" t="n">
        <v>0</v>
      </c>
      <c r="H27" s="186" t="n"/>
      <c r="I27" s="187" t="n"/>
    </row>
    <row r="28">
      <c r="B28" s="213" t="inlineStr">
        <is>
          <t>P(Loss — IRR &lt; 0)</t>
        </is>
      </c>
      <c r="C28" s="186" t="n"/>
      <c r="D28" s="186" t="n"/>
      <c r="E28" s="186" t="n"/>
      <c r="F28" s="187" t="n"/>
      <c r="G28" s="176" t="n">
        <v>0</v>
      </c>
      <c r="H28" s="186" t="n"/>
      <c r="I28" s="187" t="n"/>
    </row>
    <row r="29">
      <c r="B29" s="213" t="inlineStr">
        <is>
          <t>P(MOIC &gt; 2.0×)</t>
        </is>
      </c>
      <c r="C29" s="186" t="n"/>
      <c r="D29" s="186" t="n"/>
      <c r="E29" s="186" t="n"/>
      <c r="F29" s="187" t="n"/>
      <c r="G29" s="176" t="n">
        <v>0</v>
      </c>
      <c r="H29" s="186" t="n"/>
      <c r="I29" s="187" t="n"/>
    </row>
    <row r="30">
      <c r="B30" s="213" t="inlineStr">
        <is>
          <t>VaR 95% (NDP shortfall vs base)</t>
        </is>
      </c>
      <c r="C30" s="186" t="n"/>
      <c r="D30" s="186" t="n"/>
      <c r="E30" s="186" t="n"/>
      <c r="F30" s="187" t="n"/>
      <c r="G30" s="173" t="n">
        <v>561.4140118586574</v>
      </c>
      <c r="H30" s="186" t="n"/>
      <c r="I30" s="187" t="n"/>
    </row>
    <row r="31">
      <c r="B31" s="213" t="inlineStr">
        <is>
          <t>CVaR 95% (expected shortfall)</t>
        </is>
      </c>
      <c r="C31" s="186" t="n"/>
      <c r="D31" s="186" t="n"/>
      <c r="E31" s="186" t="n"/>
      <c r="F31" s="187" t="n"/>
      <c r="G31" s="173" t="n">
        <v>660.749122199612</v>
      </c>
      <c r="H31" s="186" t="n"/>
      <c r="I31" s="187" t="n"/>
    </row>
    <row r="32">
      <c r="B32" s="213" t="inlineStr">
        <is>
          <t>Expected NDP</t>
        </is>
      </c>
      <c r="C32" s="186" t="n"/>
      <c r="D32" s="186" t="n"/>
      <c r="E32" s="186" t="n"/>
      <c r="F32" s="187" t="n"/>
      <c r="G32" s="173" t="n">
        <v>3132.861307355675</v>
      </c>
      <c r="H32" s="186" t="n"/>
      <c r="I32" s="187" t="n"/>
    </row>
    <row r="33">
      <c r="B33" s="213" t="inlineStr">
        <is>
          <t>Expected MOIC T₁</t>
        </is>
      </c>
      <c r="C33" s="186" t="n"/>
      <c r="D33" s="186" t="n"/>
      <c r="E33" s="186" t="n"/>
      <c r="F33" s="187" t="n"/>
      <c r="G33" s="278" t="n">
        <v>1.394902486133422</v>
      </c>
      <c r="H33" s="186" t="n"/>
      <c r="I33" s="187" t="n"/>
    </row>
    <row r="34">
      <c r="B34" s="213" t="inlineStr">
        <is>
          <t>Median EV (P50)</t>
        </is>
      </c>
      <c r="C34" s="186" t="n"/>
      <c r="D34" s="186" t="n"/>
      <c r="E34" s="186" t="n"/>
      <c r="F34" s="187" t="n"/>
      <c r="G34" s="173" t="n">
        <v>11160.42715943967</v>
      </c>
      <c r="H34" s="186" t="n"/>
      <c r="I34" s="187" t="n"/>
    </row>
    <row r="37">
      <c r="B37" s="244" t="inlineStr">
        <is>
          <t>IV. NDP DISTRIBUTION HISTOGRAM (1 000 sims, 10 bins)</t>
        </is>
      </c>
    </row>
    <row r="38">
      <c r="B38" s="167" t="inlineStr">
        <is>
          <t>#</t>
        </is>
      </c>
      <c r="C38" s="167" t="inlineStr">
        <is>
          <t>Range</t>
        </is>
      </c>
      <c r="D38" s="187" t="n"/>
      <c r="E38" s="167" t="inlineStr">
        <is>
          <t>Count</t>
        </is>
      </c>
      <c r="F38" s="167" t="inlineStr">
        <is>
          <t>%</t>
        </is>
      </c>
      <c r="G38" s="167" t="inlineStr">
        <is>
          <t>Bar</t>
        </is>
      </c>
      <c r="H38" s="186" t="n"/>
      <c r="I38" s="187" t="n"/>
    </row>
    <row r="39">
      <c r="B39" s="205" t="n">
        <v>1</v>
      </c>
      <c r="C39" s="206" t="inlineStr">
        <is>
          <t>2004 − 2245</t>
        </is>
      </c>
      <c r="D39" s="187" t="n"/>
      <c r="E39" s="205" t="n">
        <v>5</v>
      </c>
      <c r="F39" s="236" t="n">
        <v>0.5</v>
      </c>
      <c r="G39" s="206" t="inlineStr"/>
      <c r="H39" s="186" t="n"/>
      <c r="I39" s="187" t="n"/>
    </row>
    <row r="40">
      <c r="B40" s="205" t="n">
        <v>2</v>
      </c>
      <c r="C40" s="206" t="inlineStr">
        <is>
          <t>2245 − 2487</t>
        </is>
      </c>
      <c r="D40" s="187" t="n"/>
      <c r="E40" s="205" t="n">
        <v>64</v>
      </c>
      <c r="F40" s="236" t="n">
        <v>6.4</v>
      </c>
      <c r="G40" s="206" t="inlineStr">
        <is>
          <t>█████████</t>
        </is>
      </c>
      <c r="H40" s="186" t="n"/>
      <c r="I40" s="187" t="n"/>
    </row>
    <row r="41">
      <c r="B41" s="205" t="n">
        <v>3</v>
      </c>
      <c r="C41" s="206" t="inlineStr">
        <is>
          <t>2487 − 2729</t>
        </is>
      </c>
      <c r="D41" s="187" t="n"/>
      <c r="E41" s="205" t="n">
        <v>114</v>
      </c>
      <c r="F41" s="236" t="n">
        <v>11.4</v>
      </c>
      <c r="G41" s="206" t="inlineStr">
        <is>
          <t>████████████████</t>
        </is>
      </c>
      <c r="H41" s="186" t="n"/>
      <c r="I41" s="187" t="n"/>
    </row>
    <row r="42">
      <c r="B42" s="205" t="n">
        <v>4</v>
      </c>
      <c r="C42" s="206" t="inlineStr">
        <is>
          <t>2729 − 2971</t>
        </is>
      </c>
      <c r="D42" s="187" t="n"/>
      <c r="E42" s="205" t="n">
        <v>188</v>
      </c>
      <c r="F42" s="236" t="n">
        <v>18.8</v>
      </c>
      <c r="G42" s="206" t="inlineStr">
        <is>
          <t>███████████████████████████</t>
        </is>
      </c>
      <c r="H42" s="186" t="n"/>
      <c r="I42" s="187" t="n"/>
    </row>
    <row r="43">
      <c r="B43" s="226" t="n">
        <v>5</v>
      </c>
      <c r="C43" s="281" t="inlineStr">
        <is>
          <t>2971 − 3213</t>
        </is>
      </c>
      <c r="D43" s="187" t="n"/>
      <c r="E43" s="226" t="n">
        <v>205</v>
      </c>
      <c r="F43" s="251" t="n">
        <v>20.5</v>
      </c>
      <c r="G43" s="281" t="inlineStr">
        <is>
          <t>██████████████████████████████</t>
        </is>
      </c>
      <c r="H43" s="186" t="n"/>
      <c r="I43" s="187" t="n"/>
    </row>
    <row r="44">
      <c r="B44" s="205" t="n">
        <v>6</v>
      </c>
      <c r="C44" s="206" t="inlineStr">
        <is>
          <t>3213 − 3455</t>
        </is>
      </c>
      <c r="D44" s="187" t="n"/>
      <c r="E44" s="205" t="n">
        <v>200</v>
      </c>
      <c r="F44" s="236" t="n">
        <v>20</v>
      </c>
      <c r="G44" s="206" t="inlineStr">
        <is>
          <t>█████████████████████████████</t>
        </is>
      </c>
      <c r="H44" s="186" t="n"/>
      <c r="I44" s="187" t="n"/>
    </row>
    <row r="45">
      <c r="B45" s="205" t="n">
        <v>7</v>
      </c>
      <c r="C45" s="206" t="inlineStr">
        <is>
          <t>3455 − 3697</t>
        </is>
      </c>
      <c r="D45" s="187" t="n"/>
      <c r="E45" s="205" t="n">
        <v>135</v>
      </c>
      <c r="F45" s="236" t="n">
        <v>13.5</v>
      </c>
      <c r="G45" s="206" t="inlineStr">
        <is>
          <t>███████████████████</t>
        </is>
      </c>
      <c r="H45" s="186" t="n"/>
      <c r="I45" s="187" t="n"/>
    </row>
    <row r="46">
      <c r="B46" s="205" t="n">
        <v>8</v>
      </c>
      <c r="C46" s="206" t="inlineStr">
        <is>
          <t>3697 − 3939</t>
        </is>
      </c>
      <c r="D46" s="187" t="n"/>
      <c r="E46" s="205" t="n">
        <v>53</v>
      </c>
      <c r="F46" s="236" t="n">
        <v>5.3</v>
      </c>
      <c r="G46" s="206" t="inlineStr">
        <is>
          <t>███████</t>
        </is>
      </c>
      <c r="H46" s="186" t="n"/>
      <c r="I46" s="187" t="n"/>
    </row>
    <row r="47">
      <c r="B47" s="205" t="n">
        <v>9</v>
      </c>
      <c r="C47" s="206" t="inlineStr">
        <is>
          <t>3939 − 4181</t>
        </is>
      </c>
      <c r="D47" s="187" t="n"/>
      <c r="E47" s="205" t="n">
        <v>27</v>
      </c>
      <c r="F47" s="236" t="n">
        <v>2.7</v>
      </c>
      <c r="G47" s="206" t="inlineStr">
        <is>
          <t>███</t>
        </is>
      </c>
      <c r="H47" s="186" t="n"/>
      <c r="I47" s="187" t="n"/>
    </row>
    <row r="48">
      <c r="B48" s="205" t="n">
        <v>10</v>
      </c>
      <c r="C48" s="206" t="inlineStr">
        <is>
          <t>4181 − 4423</t>
        </is>
      </c>
      <c r="D48" s="187" t="n"/>
      <c r="E48" s="205" t="n">
        <v>9</v>
      </c>
      <c r="F48" s="236" t="n">
        <v>0.8999999999999999</v>
      </c>
      <c r="G48" s="206" t="inlineStr">
        <is>
          <t>█</t>
        </is>
      </c>
      <c r="H48" s="186" t="n"/>
      <c r="I48" s="187" t="n"/>
    </row>
    <row r="51">
      <c r="B51" s="258" t="inlineStr">
        <is>
          <t>Симуляция выполнена Python random (seed=42), 5 стохастических переменных, 1 000 итераций. Распределения устойчивы, mean ≈ base. P(IRR &gt; 18%) = 0.0% — критично для hurdle-based carry.</t>
        </is>
      </c>
    </row>
  </sheetData>
  <mergeCells count="61">
    <mergeCell ref="G38:I38"/>
    <mergeCell ref="B16:C16"/>
    <mergeCell ref="G28:I28"/>
    <mergeCell ref="H10:I10"/>
    <mergeCell ref="B25:F25"/>
    <mergeCell ref="C42:D42"/>
    <mergeCell ref="C45:D45"/>
    <mergeCell ref="B31:F31"/>
    <mergeCell ref="G34:I34"/>
    <mergeCell ref="B18:C18"/>
    <mergeCell ref="G30:I30"/>
    <mergeCell ref="H9:I9"/>
    <mergeCell ref="B27:F27"/>
    <mergeCell ref="G33:I33"/>
    <mergeCell ref="B21:C21"/>
    <mergeCell ref="C47:D47"/>
    <mergeCell ref="C41:D41"/>
    <mergeCell ref="G45:I45"/>
    <mergeCell ref="C44:D44"/>
    <mergeCell ref="G26:I26"/>
    <mergeCell ref="C40:D40"/>
    <mergeCell ref="B17:C17"/>
    <mergeCell ref="G29:I29"/>
    <mergeCell ref="G25:I25"/>
    <mergeCell ref="C43:D43"/>
    <mergeCell ref="H11:I11"/>
    <mergeCell ref="B29:F29"/>
    <mergeCell ref="G32:I32"/>
    <mergeCell ref="C46:D46"/>
    <mergeCell ref="G47:I47"/>
    <mergeCell ref="G44:I44"/>
    <mergeCell ref="G41:I41"/>
    <mergeCell ref="B34:F34"/>
    <mergeCell ref="H7:I7"/>
    <mergeCell ref="B19:C19"/>
    <mergeCell ref="B28:F28"/>
    <mergeCell ref="G31:I31"/>
    <mergeCell ref="G46:I46"/>
    <mergeCell ref="G40:I40"/>
    <mergeCell ref="B37:I37"/>
    <mergeCell ref="C48:D48"/>
    <mergeCell ref="C39:D39"/>
    <mergeCell ref="G43:I43"/>
    <mergeCell ref="B30:F30"/>
    <mergeCell ref="H12:I12"/>
    <mergeCell ref="C38:D38"/>
    <mergeCell ref="B15:I15"/>
    <mergeCell ref="G27:I27"/>
    <mergeCell ref="G42:I42"/>
    <mergeCell ref="B6:I6"/>
    <mergeCell ref="B24:I24"/>
    <mergeCell ref="B20:C20"/>
    <mergeCell ref="B33:F33"/>
    <mergeCell ref="B51:I51"/>
    <mergeCell ref="B2:I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RISK REGISTER — 30 РИСКОВ В 5 КАТЕГОРИЯХ</t>
        </is>
      </c>
    </row>
    <row r="4">
      <c r="B4" s="319" t="inlineStr">
        <is>
          <t>Severity × Likelihood → Risk Score (1-25), Mitigation, Owner, Residual risk. Heat map 5×5.</t>
        </is>
      </c>
    </row>
    <row r="6">
      <c r="B6" s="320" t="inlineStr">
        <is>
          <t>I. RISK REGISTER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Sev (1-5)</t>
        </is>
      </c>
      <c r="F7" s="321" t="inlineStr">
        <is>
          <t>Lkhd (1-5)</t>
        </is>
      </c>
      <c r="G7" s="321" t="inlineStr">
        <is>
          <t>Score</t>
        </is>
      </c>
      <c r="H7" s="321" t="inlineStr">
        <is>
          <t>Level</t>
        </is>
      </c>
      <c r="I7" s="321" t="inlineStr">
        <is>
          <t>Mitigation</t>
        </is>
      </c>
      <c r="J7" s="321" t="inlineStr">
        <is>
          <t>Owner</t>
        </is>
      </c>
      <c r="K7" s="321" t="inlineStr">
        <is>
          <t>Residual</t>
        </is>
      </c>
    </row>
    <row r="8" ht="38" customHeight="1">
      <c r="B8" s="322" t="inlineStr">
        <is>
          <t>R01</t>
        </is>
      </c>
      <c r="C8" s="323" t="inlineStr">
        <is>
          <t>Market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</t>
        </is>
      </c>
      <c r="I8" s="323" t="inlineStr">
        <is>
          <t>Диверсификация по 12 фильмам, 7 жанрам, window strategy; гибкий P&amp;A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</t>
        </is>
      </c>
      <c r="D9" s="323" t="inlineStr">
        <is>
          <t>Провал блокбастера (F05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F05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</t>
        </is>
      </c>
      <c r="I10" s="323" t="inlineStr">
        <is>
          <t>Переговоры с сетями (Formula Kino, Каро, Синема Парк), premium-формат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</t>
        </is>
      </c>
      <c r="I16" s="323" t="inlineStr">
        <is>
          <t>Мульти-проектные контракты (2-3 фильма), бонусы от box-office, Partner-track</t>
        </is>
      </c>
      <c r="J16" s="323" t="inlineStr">
        <is>
          <t>HR / Creative Dir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</t>
        </is>
      </c>
      <c r="D17" s="323" t="inlineStr">
        <is>
          <t>Срыв post-production / VFX (F12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</t>
        </is>
      </c>
      <c r="I17" s="323" t="inlineStr">
        <is>
          <t>Два параллельных VFX-подрядчика, early prevv, резерв 20 млн на F12</t>
        </is>
      </c>
      <c r="J17" s="323" t="inlineStr">
        <is>
          <t>VFX Supervisor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</t>
        </is>
      </c>
      <c r="D18" s="323" t="inlineStr">
        <is>
          <t>Отказ digital distribution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</t>
        </is>
      </c>
      <c r="I18" s="323" t="inlineStr">
        <is>
          <t>Резервный digital partner, DCI-compliant backup</t>
        </is>
      </c>
      <c r="J18" s="323" t="inlineStr">
        <is>
          <t>Distribution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</t>
        </is>
      </c>
      <c r="I19" s="323" t="inlineStr">
        <is>
          <t>Партнёрство с ВГИКом, МШНК, собственная школа VFX;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</t>
        </is>
      </c>
      <c r="I20" s="323" t="inlineStr">
        <is>
          <t>Fixed rate по T₁ траншам, натуральный хедж через экспорт</t>
        </is>
      </c>
      <c r="J20" s="323" t="inlineStr">
        <is>
          <t>CFO / Treasurer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</t>
        </is>
      </c>
      <c r="D21" s="323" t="inlineStr">
        <is>
          <t>Кассовый разрыв между P&amp;A расходами и box-office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</t>
        </is>
      </c>
      <c r="I21" s="323" t="inlineStr">
        <is>
          <t>Revolving credit line 200 млн ₽ под дебиторку кинотеатров</t>
        </is>
      </c>
      <c r="J21" s="323" t="inlineStr">
        <is>
          <t>Treasurer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</t>
        </is>
      </c>
      <c r="D23" s="323" t="inlineStr">
        <is>
          <t>Валютный риск (оборудование, софт, VFX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</t>
        </is>
      </c>
      <c r="D24" s="323" t="inlineStr">
        <is>
          <t>Недостижение IRR hurdle 18% для W₁ Base (текущий прогноз 7.7%)</t>
        </is>
      </c>
      <c r="E24" s="322" t="n">
        <v>4</v>
      </c>
      <c r="F24" s="322" t="n">
        <v>5</v>
      </c>
      <c r="G24" s="330" t="n">
        <v>20</v>
      </c>
      <c r="H24" s="331" t="inlineStr">
        <is>
          <t>Critical</t>
        </is>
      </c>
      <c r="I24" s="323" t="inlineStr">
        <is>
          <t>Exit stratagem (Trade Sale/IPO/M&amp;A), W₃ Liq Pref, upside через библиотеку</t>
        </is>
      </c>
      <c r="J24" s="323" t="inlineStr">
        <is>
          <t>CFO / IR</t>
        </is>
      </c>
      <c r="K24" s="322" t="n">
        <v>16</v>
      </c>
    </row>
    <row r="25" ht="38" customHeight="1">
      <c r="B25" s="322" t="inlineStr">
        <is>
          <t>R18</t>
        </is>
      </c>
      <c r="C25" s="323" t="inlineStr">
        <is>
          <t>Financial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</t>
        </is>
      </c>
      <c r="I28" s="323" t="inlineStr">
        <is>
          <t>Диверсификация источников дохода (PP &lt;10% от Revenue)</t>
        </is>
      </c>
      <c r="J28" s="323" t="inlineStr">
        <is>
          <t>Legal / Sales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Procurement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</t>
        </is>
      </c>
      <c r="D32" s="323" t="inlineStr">
        <is>
          <t>Неудачное построение slate (корреляция провалов)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</t>
        </is>
      </c>
      <c r="D34" s="323" t="inlineStr">
        <is>
          <t>Конфликты с копродюсерами (JV structure producers equity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</t>
        </is>
      </c>
      <c r="I35" s="323" t="inlineStr">
        <is>
          <t>P&amp;A ratio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</t>
        </is>
      </c>
      <c r="D37" s="323" t="inlineStr">
        <is>
          <t>Невыполнение обязательств по KPI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</t>
        </is>
      </c>
      <c r="I37" s="323" t="inlineStr">
        <is>
          <t>Quarterly reporting, covenant monitoring, IRR tracking, board reviews</t>
        </is>
      </c>
      <c r="J37" s="323" t="inlineStr">
        <is>
          <t>CFO / Board</t>
        </is>
      </c>
      <c r="K37" s="322" t="n">
        <v>12</v>
      </c>
    </row>
    <row r="40">
      <c r="B40" s="320" t="inlineStr">
        <is>
          <t>II. HEAT MAP 5×5 (Severity × Likelihood)</t>
        </is>
      </c>
    </row>
    <row r="42">
      <c r="B42" s="332" t="inlineStr">
        <is>
          <t>Severity ↓ / Likelihood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Low (1-4)</t>
        </is>
      </c>
      <c r="D49" s="344" t="inlineStr">
        <is>
          <t>Moderate (5-9)</t>
        </is>
      </c>
      <c r="E49" s="345" t="inlineStr">
        <is>
          <t>Elevated (10-14)</t>
        </is>
      </c>
      <c r="F49" s="346" t="inlineStr">
        <is>
          <t>High (15-19)</t>
        </is>
      </c>
      <c r="G49" s="347" t="inlineStr">
        <is>
          <t>Critical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</t>
        </is>
      </c>
      <c r="E53" s="321" t="inlineStr">
        <is>
          <t>Score</t>
        </is>
      </c>
      <c r="F53" s="321" t="inlineStr">
        <is>
          <t>Description</t>
        </is>
      </c>
      <c r="G53" s="321" t="inlineStr">
        <is>
          <t>Triggers</t>
        </is>
      </c>
      <c r="H53" s="321" t="inlineStr">
        <is>
          <t>Mitigation</t>
        </is>
      </c>
      <c r="I53" s="321" t="inlineStr">
        <is>
          <t>Early Warning</t>
        </is>
      </c>
      <c r="J53" s="321" t="inlineStr">
        <is>
          <t>Owner</t>
        </is>
      </c>
      <c r="K53" s="321" t="inlineStr">
        <is>
          <t>Residual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Недостижение IRR hurdle 18% для W₁ Base</t>
        </is>
      </c>
      <c r="E54" s="350" t="n">
        <v>20</v>
      </c>
      <c r="F54" s="349" t="inlineStr">
        <is>
          <t>Текущий прогноз базового IRR T₁ составляет 7.7% при целевом hurdle 18% в Waterfall W₁. Структура сделки de facto senior-debt-like с минимальным equity upside.</t>
        </is>
      </c>
      <c r="G54" s="349" t="inlineStr">
        <is>
          <t>Любой из: (a) revenue &lt;80% от плана, (b) CAPEX overrun &gt;15%, (c) задержка ≥2 релизов на 6+ мес.</t>
        </is>
      </c>
      <c r="H54" s="349" t="inlineStr">
        <is>
          <t>Три параллельных пути: (1) переход в W₂ Pro-rata при успехе slate → IRR 12-15%; (2) Exit route — Trade Sale/IPO/M&amp;A 2030-2032 с MOIC 2.5-3.5× → IRR 18-25%; (3) W₃ Liq Pref 1× + 8% coupon как защита от downside.</t>
        </is>
      </c>
      <c r="I54" s="349" t="inlineStr">
        <is>
          <t>Burn rate &gt;baseline +10% два квартала подряд; box-office первых 3 фильмов &lt;75% от прогноза.</t>
        </is>
      </c>
      <c r="J54" s="349" t="inlineStr">
        <is>
          <t>CFO / IR / Board</t>
        </is>
      </c>
      <c r="K54" s="348" t="n">
        <v>16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12 фильмов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РФ &gt;15% YoY два квартала подряд.</t>
        </is>
      </c>
      <c r="H56" s="34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Board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rate lock на T₁ tranches до 2028; revolving credit line с процентным cap; валютная диверсификация; структура с equity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перед инвестором T₁</t>
        </is>
      </c>
      <c r="E58" s="351" t="n">
        <v>15</v>
      </c>
      <c r="F58" s="349" t="inlineStr">
        <is>
          <t>Covenant breach по Revenue, EBITDA margin или film release schedule может триггерить досрочное погашение или W₃ activation.</t>
        </is>
      </c>
      <c r="G58" s="349" t="inlineStr">
        <is>
          <t>EBITDA &lt;80% от плана квартал подряд; задержка &gt;2 фильмов; CAPEX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Board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share традиционных сетей &gt;10% YoY; агрессивное снижение subscription price ОТТ.</t>
        </is>
      </c>
      <c r="J59" s="349" t="inlineStr">
        <is>
          <t>CCO / Distribution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F05 «Время героев» (бюджет 250 млн)</t>
        </is>
      </c>
      <c r="E60" s="352" t="n">
        <v>12</v>
      </c>
      <c r="F60" s="349" t="inlineStr">
        <is>
          <t>F05 — самый дорогой фильм slate (250 млн ₽, 13.5% total CAPEX). Провал = потеря 350+ млн NDP, корреляционный удар по маркетинг-бренду.</t>
        </is>
      </c>
      <c r="G60" s="349" t="inlineStr">
        <is>
          <t>Test-screening NPS &lt;40; первый weekend box-office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F05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277.5 млн ₽ (15% от CAPEX)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VFX-проекты (F05, F12)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+10%.</t>
        </is>
      </c>
      <c r="J63" s="349" t="inlineStr">
        <is>
          <t>CFO / Line Producer</t>
        </is>
      </c>
      <c r="K63" s="348" t="n">
        <v>6</v>
      </c>
    </row>
    <row r="66">
      <c r="B66" s="320" t="inlineStr">
        <is>
          <t>IV. SUMMARY STATISTICS</t>
        </is>
      </c>
    </row>
    <row r="68">
      <c r="B68" s="333" t="inlineStr">
        <is>
          <t>Category</t>
        </is>
      </c>
      <c r="C68" s="333" t="inlineStr">
        <is>
          <t># Risks</t>
        </is>
      </c>
      <c r="D68" s="333" t="inlineStr">
        <is>
          <t>Total Score</t>
        </is>
      </c>
      <c r="E68" s="333" t="inlineStr">
        <is>
          <t>Avg Score</t>
        </is>
      </c>
      <c r="F68" s="333" t="inlineStr">
        <is>
          <t>Max Score</t>
        </is>
      </c>
      <c r="G68" s="333" t="inlineStr">
        <is>
          <t>Share</t>
        </is>
      </c>
    </row>
    <row r="69">
      <c r="B69" s="353" t="inlineStr">
        <is>
          <t>Market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(Hurdle miss, score 20): базовый IRR 7.7% ниже hurdle 18%, но компенсируется exit pathway (MOIC 2.5-3.5×).</t>
        </is>
      </c>
    </row>
    <row r="86" ht="22" customHeight="1">
      <c r="B86" s="363" t="inlineStr">
        <is>
          <t>2. 3 риска уровня «Critical»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+ Market (≈50% total score): макро-чувствительность модели.</t>
        </is>
      </c>
    </row>
    <row r="88" ht="22" customHeight="1">
      <c r="B88" s="363" t="inlineStr">
        <is>
          <t>4. Operational риски (R07, R08) — купируются 10% contingency + completion bond в каждом бюджете.</t>
        </is>
      </c>
    </row>
    <row r="89" ht="22" customHeight="1">
      <c r="B89" s="363" t="inlineStr">
        <is>
          <t>5. Residual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cluster (R18-R24) — низкая likelihood, но высокий severity: legal watch + GR budget 20 млн ₽/год.</t>
        </is>
      </c>
    </row>
    <row r="91" ht="22" customHeight="1">
      <c r="B91" s="363" t="inlineStr">
        <is>
          <t>7. Execution риски покрыты процессами: daily reports, weekly reviews, monthly boards, quarterly covenant testing.</t>
        </is>
      </c>
    </row>
    <row r="94">
      <c r="B94" s="364" t="inlineStr">
        <is>
          <t>Reviewed: quarterly by Board | Owner: CFO / Risk Committee | Version: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MARKET ANALYSIS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26-32</t>
        </is>
      </c>
    </row>
    <row r="9">
      <c r="B9" s="365" t="inlineStr">
        <is>
          <t>Box-office (кинотеатры)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(подписные: Kinopoisk, Okko, ivi)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(реклама: Rutube, VK Video)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rights (ТВ-показы, сублицензии)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(каталог, мерч, копродукция)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2026–2032</t>
        </is>
      </c>
      <c r="F18" s="321" t="inlineStr">
        <is>
          <t>Драйверы роста</t>
        </is>
      </c>
    </row>
    <row r="19">
      <c r="B19" s="375" t="inlineStr">
        <is>
          <t>Box-office (кинотеатры)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(подписные: Kinopoisk, Okko, ivi)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(реклама: Rutube, VK Video)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rights (ТВ-показы, сублицензии)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(каталог, мерч, копродукция)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 t="inlineStr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Addressable Market)</t>
        </is>
      </c>
      <c r="C29" s="390" t="n">
        <v>289.8</v>
      </c>
      <c r="D29" s="391" t="n">
        <v>1</v>
      </c>
      <c r="E29" s="375" t="inlineStr">
        <is>
          <t>Весь рынок кино+OTT+TV+library РФ 2028</t>
        </is>
      </c>
    </row>
    <row r="30">
      <c r="B30" s="378" t="inlineStr">
        <is>
          <t>SAM (Serviceable Addressable Market)</t>
        </is>
      </c>
      <c r="C30" s="392" t="n">
        <v>118</v>
      </c>
      <c r="D30" s="393" t="n">
        <v>0.4071773636991028</v>
      </c>
      <c r="E30" s="378" t="inlineStr">
        <is>
          <t>Box-office + 40% SVOD (ориг. контент)</t>
        </is>
      </c>
    </row>
    <row r="31">
      <c r="B31" s="381" t="inlineStr">
        <is>
          <t>SOM (Serviceable Obtainable Market)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2024 (млрд ₽)</t>
        </is>
      </c>
      <c r="E36" s="321" t="inlineStr">
        <is>
          <t>Market share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 (Яндекс)</t>
        </is>
      </c>
      <c r="C37" s="323" t="inlineStr">
        <is>
          <t>SVOD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+ AVOD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(Сигнал-Медиа)</t>
        </is>
      </c>
      <c r="C40" s="323" t="inlineStr">
        <is>
          <t>SVOD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</t>
        </is>
      </c>
    </row>
    <row r="41" ht="38" customHeight="1">
      <c r="B41" s="396" t="inlineStr">
        <is>
          <t>Premier (ГПМ)</t>
        </is>
      </c>
      <c r="C41" s="323" t="inlineStr">
        <is>
          <t>SVOD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</t>
        </is>
      </c>
      <c r="D43" s="398" t="n">
        <v>1.5</v>
      </c>
      <c r="E43" s="399" t="inlineStr">
        <is>
          <t>0.9%</t>
        </is>
      </c>
      <c r="F43" s="381" t="inlineStr">
        <is>
          <t>Pre-IPO структура, slate 12 фильмов, Waterfall</t>
        </is>
      </c>
      <c r="G43" s="381" t="inlineStr">
        <is>
          <t>Pre-revenue, execution risk, первый институциональный раунд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SVOD-подписок</t>
        </is>
      </c>
      <c r="D52" s="323" t="inlineStr">
        <is>
          <t>Подписочная база: 25М (2024) → 45М (2032), CAGR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Game-based cross-media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7" t="n"/>
    </row>
    <row r="61">
      <c r="B61" s="323" t="inlineStr">
        <is>
          <t>• Фонд кино / Минкультуры РФ — статистика проката и господдержки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7" t="n"/>
    </row>
    <row r="62">
      <c r="B62" s="323" t="inlineStr">
        <is>
          <t>• НМГ Research — аналитика SVOD/AVOD рынка РФ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7" t="n"/>
    </row>
    <row r="63">
      <c r="B63" s="323" t="inlineStr">
        <is>
          <t>• ТАСС, Коммерсант, Ведомости — публичные данные по сделкам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7" t="n"/>
    </row>
    <row r="64">
      <c r="B64" s="323" t="inlineStr">
        <is>
          <t>• Публичные отчёты Kinopoisk, Okko, ivi, START, Premier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7" t="n"/>
    </row>
    <row r="65">
      <c r="B65" s="323" t="inlineStr">
        <is>
          <t>• Официальные данные Росстат и ЦБ РФ (demografic, inflation)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7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INDUSTRY BENCHMARKS — РФ vs GLOBAL vs ТрендСтудио</t>
        </is>
      </c>
    </row>
    <row r="4">
      <c r="B4" s="319" t="inlineStr">
        <is>
          <t>KPI по 15 показателям: production, distribution, финансы, exit</t>
        </is>
      </c>
    </row>
    <row r="6">
      <c r="B6" s="320" t="inlineStr">
        <is>
          <t>I. ОПЕРАЦИОННЫЕ KPI (производство + дистрибуция)</t>
        </is>
      </c>
    </row>
    <row r="8">
      <c r="B8" s="321" t="inlineStr">
        <is>
          <t>#</t>
        </is>
      </c>
      <c r="C8" s="321" t="inlineStr">
        <is>
          <t>KPI</t>
        </is>
      </c>
      <c r="D8" s="321" t="inlineStr">
        <is>
          <t>Единица</t>
        </is>
      </c>
      <c r="E8" s="321" t="inlineStr">
        <is>
          <t>Global (Hollywood)</t>
        </is>
      </c>
      <c r="F8" s="321" t="inlineStr">
        <is>
          <t>Global (Europe)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 t="inlineStr">
        <is>
          <t>154</t>
        </is>
      </c>
      <c r="I9" s="322" t="inlineStr">
        <is>
          <t>—</t>
        </is>
      </c>
      <c r="J9" s="404" t="inlineStr">
        <is>
          <t>Мягкий mid-budget подход</t>
        </is>
      </c>
    </row>
    <row r="10" ht="28" customHeight="1">
      <c r="B10" s="400" t="n">
        <v>2</v>
      </c>
      <c r="C10" s="396" t="inlineStr">
        <is>
          <t>Number of films per slate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12</t>
        </is>
      </c>
      <c r="I10" s="322" t="inlineStr">
        <is>
          <t>+100% vs median</t>
        </is>
      </c>
      <c r="J10" s="404" t="inlineStr">
        <is>
          <t>Портфельный подход 12 фильмов</t>
        </is>
      </c>
    </row>
    <row r="11" ht="28" customHeight="1">
      <c r="B11" s="400" t="n">
        <v>3</v>
      </c>
      <c r="C11" s="396" t="inlineStr">
        <is>
          <t>Hit rate (films profitable)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/ budget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from box-office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from SVOD/OTT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from library/tail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</t>
        </is>
      </c>
    </row>
    <row r="21">
      <c r="B21" s="321" t="inlineStr">
        <is>
          <t>#</t>
        </is>
      </c>
      <c r="C21" s="321" t="inlineStr">
        <is>
          <t>KPI</t>
        </is>
      </c>
      <c r="D21" s="321" t="inlineStr">
        <is>
          <t>Единица</t>
        </is>
      </c>
      <c r="E21" s="321" t="inlineStr">
        <is>
          <t>Global (Hollywood)</t>
        </is>
      </c>
      <c r="F21" s="321" t="inlineStr">
        <is>
          <t>Global (Europe)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margin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47.3%</t>
        </is>
      </c>
      <c r="I22" s="322" t="inlineStr">
        <is>
          <t>+22 пп</t>
        </is>
      </c>
      <c r="J22" s="404" t="inlineStr">
        <is>
          <t>Выше отрасли благодаря JV-структуре</t>
        </is>
      </c>
    </row>
    <row r="23" ht="28" customHeight="1">
      <c r="B23" s="400" t="n">
        <v>2</v>
      </c>
      <c r="C23" s="396" t="inlineStr">
        <is>
          <t>Net Profit margin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37.2%</t>
        </is>
      </c>
      <c r="I23" s="322" t="inlineStr">
        <is>
          <t>+27 пп</t>
        </is>
      </c>
      <c r="J23" s="404" t="inlineStr">
        <is>
          <t>Агрессивно-высокий уровень</t>
        </is>
      </c>
    </row>
    <row r="24" ht="28" customHeight="1">
      <c r="B24" s="400" t="n">
        <v>3</v>
      </c>
      <c r="C24" s="396" t="inlineStr">
        <is>
          <t>Operating margin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/ Revenue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46.8%</t>
        </is>
      </c>
      <c r="I25" s="322" t="inlineStr">
        <is>
          <t>−23 пп</t>
        </is>
      </c>
      <c r="J25" s="404" t="inlineStr">
        <is>
          <t>Высокая эффективность COGS</t>
        </is>
      </c>
    </row>
    <row r="26" ht="28" customHeight="1">
      <c r="B26" s="400" t="n">
        <v>5</v>
      </c>
      <c r="C26" s="396" t="inlineStr">
        <is>
          <t>OpEx / Revenue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/ Revenue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минимален</t>
        </is>
      </c>
    </row>
    <row r="28" ht="28" customHeight="1">
      <c r="B28" s="400" t="n">
        <v>7</v>
      </c>
      <c r="C28" s="396" t="inlineStr">
        <is>
          <t>Cash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</t>
        </is>
      </c>
    </row>
    <row r="31">
      <c r="B31" s="320" t="inlineStr">
        <is>
          <t>III. VALUATION MULTIPLES (для exit reference)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(Hollywood)</t>
        </is>
      </c>
      <c r="E33" s="321" t="inlineStr">
        <is>
          <t>Global (Europe)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/ Revenue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pre-IPO, fair range 2.0-3.0×</t>
        </is>
      </c>
    </row>
    <row r="35" ht="28" customHeight="1">
      <c r="B35" s="400" t="n">
        <v>2</v>
      </c>
      <c r="C35" s="396" t="inlineStr">
        <is>
          <t>EV / EBITDA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valuation, таргет 6-8×</t>
        </is>
      </c>
    </row>
    <row r="36" ht="28" customHeight="1">
      <c r="B36" s="400" t="n">
        <v>3</v>
      </c>
      <c r="C36" s="396" t="inlineStr">
        <is>
          <t>EV / EBITDA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</t>
        </is>
      </c>
    </row>
    <row r="37" ht="28" customHeight="1">
      <c r="B37" s="400" t="n">
        <v>4</v>
      </c>
      <c r="C37" s="396" t="inlineStr">
        <is>
          <t>P / E (Net Profit)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готовности, 10-12×</t>
        </is>
      </c>
    </row>
    <row r="38" ht="28" customHeight="1">
      <c r="B38" s="400" t="n">
        <v>5</v>
      </c>
      <c r="C38" s="396" t="inlineStr">
        <is>
          <t>EV / Subscriber (SVOD)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модель</t>
        </is>
      </c>
    </row>
    <row r="39" ht="28" customHeight="1">
      <c r="B39" s="400" t="n">
        <v>6</v>
      </c>
      <c r="C39" s="396" t="inlineStr">
        <is>
          <t>EV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POSITIONING SUMMARY</t>
        </is>
      </c>
    </row>
    <row r="44">
      <c r="B44" s="405" t="inlineStr">
        <is>
          <t>Сильные стороны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7" t="n"/>
    </row>
    <row r="45">
      <c r="B45" s="323" t="inlineStr">
        <is>
          <t xml:space="preserve">  • EBITDA margin 47.3% (vs РФ median 20%) — структурное преимущество через JV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7" t="n"/>
    </row>
    <row r="46">
      <c r="B46" s="323" t="inlineStr">
        <is>
          <t xml:space="preserve">  • Box-office/budget 3.02× — на уровне топ-квартиля европейских студий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7" t="n"/>
    </row>
    <row r="47">
      <c r="B47" s="323" t="inlineStr">
        <is>
          <t xml:space="preserve">  • Портфельный подход 12 фильмов — диверсификация рисков slate</t>
        </is>
      </c>
      <c r="C47" s="186" t="n"/>
      <c r="D47" s="186" t="n"/>
      <c r="E47" s="186" t="n"/>
      <c r="F47" s="186" t="n"/>
      <c r="G47" s="186" t="n"/>
      <c r="H47" s="186" t="n"/>
      <c r="I47" s="186" t="n"/>
      <c r="J47" s="187" t="n"/>
    </row>
    <row r="48">
      <c r="B48" s="323" t="inlineStr">
        <is>
          <t xml:space="preserve">  • Lean cost structure: COGS 46.8%, OpEx 5.8% — ниже отрасли</t>
        </is>
      </c>
      <c r="C48" s="186" t="n"/>
      <c r="D48" s="186" t="n"/>
      <c r="E48" s="186" t="n"/>
      <c r="F48" s="186" t="n"/>
      <c r="G48" s="186" t="n"/>
      <c r="H48" s="186" t="n"/>
      <c r="I48" s="186" t="n"/>
      <c r="J48" s="187" t="n"/>
    </row>
    <row r="50">
      <c r="B50" s="406" t="inlineStr">
        <is>
          <t>Нейтральные зоны</t>
        </is>
      </c>
      <c r="C50" s="186" t="n"/>
      <c r="D50" s="186" t="n"/>
      <c r="E50" s="186" t="n"/>
      <c r="F50" s="186" t="n"/>
      <c r="G50" s="186" t="n"/>
      <c r="H50" s="186" t="n"/>
      <c r="I50" s="186" t="n"/>
      <c r="J50" s="187" t="n"/>
    </row>
    <row r="51">
      <c r="B51" s="323" t="inlineStr">
        <is>
          <t xml:space="preserve">  • P&amp;A ratio 15% — медианный уровень, оставляет место для upside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7" t="n"/>
    </row>
    <row r="52">
      <c r="B52" s="323" t="inlineStr">
        <is>
          <t xml:space="preserve">  • Cash conversion 78% — зависит от графика рекламы, можно улучшить до 85%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7" t="n"/>
    </row>
    <row r="53">
      <c r="B53" s="323" t="inlineStr">
        <is>
          <t xml:space="preserve">  • Revenue mix 62/22/16 — сбалансированная структура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7" t="n"/>
    </row>
    <row r="55">
      <c r="B55" s="407" t="inlineStr">
        <is>
          <t>Зоны внимания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7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7" t="n"/>
    </row>
    <row r="57">
      <c r="B57" s="323" t="inlineStr">
        <is>
          <t xml:space="preserve">  • Avg budget 154 млн ₽ — mid-tier, ограничивает potential box-office блокбастеров</t>
        </is>
      </c>
      <c r="C57" s="186" t="n"/>
      <c r="D57" s="186" t="n"/>
      <c r="E57" s="186" t="n"/>
      <c r="F57" s="186" t="n"/>
      <c r="G57" s="186" t="n"/>
      <c r="H57" s="186" t="n"/>
      <c r="I57" s="186" t="n"/>
      <c r="J57" s="187" t="n"/>
    </row>
    <row r="58">
      <c r="B58" s="323" t="inlineStr">
        <is>
          <t xml:space="preserve">  • D&amp;A минимальный — не отражает инвестиции в IP, которые должны капитализироваться</t>
        </is>
      </c>
      <c r="C58" s="186" t="n"/>
      <c r="D58" s="186" t="n"/>
      <c r="E58" s="186" t="n"/>
      <c r="F58" s="186" t="n"/>
      <c r="G58" s="186" t="n"/>
      <c r="H58" s="186" t="n"/>
      <c r="I58" s="186" t="n"/>
      <c r="J58" s="187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— M&amp;A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</t>
        </is>
      </c>
      <c r="E8" s="321" t="inlineStr">
        <is>
          <t>Acquirer</t>
        </is>
      </c>
      <c r="F8" s="321" t="inlineStr">
        <is>
          <t>Deal size (млрд ₽)</t>
        </is>
      </c>
      <c r="G8" s="321" t="inlineStr">
        <is>
          <t>EV/Revenue</t>
        </is>
      </c>
      <c r="H8" s="321" t="inlineStr">
        <is>
          <t>EV/EBITDA</t>
        </is>
      </c>
      <c r="I8" s="321" t="inlineStr">
        <is>
          <t>Stake</t>
        </is>
      </c>
      <c r="J8" s="321" t="inlineStr">
        <is>
          <t>Type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</t>
        </is>
      </c>
      <c r="K9" s="404" t="inlineStr">
        <is>
          <t>Pre-IPO раунд с прицелом на NASDAQ (в итоге отменён)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</t>
        </is>
      </c>
      <c r="E11" s="323" t="inlineStr">
        <is>
          <t>Sigma Capital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(ГПМ)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consolidation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 (новый виток)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</t>
        </is>
      </c>
      <c r="K17" s="404" t="inlineStr">
        <is>
          <t>Слияние AVOD-активов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 t="n"/>
      <c r="D19" s="186" t="n"/>
      <c r="E19" s="186" t="n"/>
      <c r="F19" s="187" t="n"/>
      <c r="G19" s="409" t="n">
        <v>2.5</v>
      </c>
      <c r="H19" s="409" t="n">
        <v>8</v>
      </c>
    </row>
    <row r="21">
      <c r="B21" s="320" t="inlineStr">
        <is>
          <t>II. GLOBAL M&amp;A PRECEDENTS (для cross-border reference)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</t>
        </is>
      </c>
      <c r="E23" s="321" t="inlineStr">
        <is>
          <t>Acquirer</t>
        </is>
      </c>
      <c r="F23" s="321" t="inlineStr">
        <is>
          <t>Deal size ($ млрд)</t>
        </is>
      </c>
      <c r="G23" s="321" t="inlineStr">
        <is>
          <t>EV/Revenue</t>
        </is>
      </c>
      <c r="H23" s="321" t="inlineStr">
        <is>
          <t>EV/EBITDA</t>
        </is>
      </c>
      <c r="I23" s="321" t="inlineStr">
        <is>
          <t>Stake</t>
        </is>
      </c>
      <c r="J23" s="321" t="inlineStr">
        <is>
          <t>Type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</t>
        </is>
      </c>
      <c r="J28" s="322" t="inlineStr">
        <is>
          <t>Growth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</t>
        </is>
      </c>
      <c r="J31" s="322" t="inlineStr">
        <is>
          <t>Royalty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</t>
        </is>
      </c>
      <c r="J32" s="322" t="inlineStr">
        <is>
          <t>Strategic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GLOBAL</t>
        </is>
      </c>
      <c r="C34" s="186" t="n"/>
      <c r="D34" s="186" t="n"/>
      <c r="E34" s="186" t="n"/>
      <c r="F34" s="187" t="n"/>
      <c r="G34" s="409" t="n">
        <v>2.2</v>
      </c>
      <c r="H34" s="409" t="n">
        <v>9.800000000000001</v>
      </c>
    </row>
    <row r="36">
      <c r="B36" s="320" t="inlineStr">
        <is>
          <t>III. IMPLIED VALUATION для ТрендСтудио (на базе prec. мультипликаторов)</t>
        </is>
      </c>
    </row>
    <row r="38">
      <c r="B38" s="321" t="inlineStr">
        <is>
          <t>Метрика</t>
        </is>
      </c>
      <c r="C38" s="321" t="inlineStr">
        <is>
          <t>ТрендСтудио FY2028</t>
        </is>
      </c>
      <c r="D38" s="321" t="inlineStr">
        <is>
          <t>Мультипл (median)</t>
        </is>
      </c>
      <c r="E38" s="321" t="inlineStr">
        <is>
          <t>Implied EV (млн ₽)</t>
        </is>
      </c>
      <c r="F38" s="321" t="inlineStr">
        <is>
          <t>Discount (20%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 t="n">
        <v>2495</v>
      </c>
      <c r="D39" s="400" t="inlineStr">
        <is>
          <t>2.5×</t>
        </is>
      </c>
      <c r="E39" s="410" t="n">
        <v>6238</v>
      </c>
      <c r="F39" s="322" t="inlineStr">
        <is>
          <t>−20%</t>
        </is>
      </c>
      <c r="G39" s="411" t="n">
        <v>4990</v>
      </c>
    </row>
    <row r="40">
      <c r="B40" s="396" t="inlineStr">
        <is>
          <t>EV / EBITDA (РФ median)</t>
        </is>
      </c>
      <c r="C40" s="366" t="n">
        <v>1462.1</v>
      </c>
      <c r="D40" s="400" t="inlineStr">
        <is>
          <t>8.0×</t>
        </is>
      </c>
      <c r="E40" s="410" t="n">
        <v>11697</v>
      </c>
      <c r="F40" s="322" t="inlineStr">
        <is>
          <t>−20%</t>
        </is>
      </c>
      <c r="G40" s="411" t="n">
        <v>9357</v>
      </c>
    </row>
    <row r="41">
      <c r="B41" s="396" t="inlineStr">
        <is>
          <t>EV / Revenue (Global)</t>
        </is>
      </c>
      <c r="C41" s="366" t="n">
        <v>2495</v>
      </c>
      <c r="D41" s="400" t="inlineStr">
        <is>
          <t>2.2×</t>
        </is>
      </c>
      <c r="E41" s="410" t="n">
        <v>5489</v>
      </c>
      <c r="F41" s="322" t="inlineStr">
        <is>
          <t>−20%</t>
        </is>
      </c>
      <c r="G41" s="411" t="n">
        <v>4391</v>
      </c>
    </row>
    <row r="42">
      <c r="B42" s="396" t="inlineStr">
        <is>
          <t>EV / EBITDA (Global)</t>
        </is>
      </c>
      <c r="C42" s="366" t="n">
        <v>1462.1</v>
      </c>
      <c r="D42" s="400" t="inlineStr">
        <is>
          <t>9.8×</t>
        </is>
      </c>
      <c r="E42" s="410" t="n">
        <v>14328</v>
      </c>
      <c r="F42" s="322" t="inlineStr">
        <is>
          <t>−20%</t>
        </is>
      </c>
      <c r="G42" s="411" t="n">
        <v>11463</v>
      </c>
    </row>
    <row r="44">
      <c r="B44" s="412" t="inlineStr">
        <is>
          <t>Среднее значение:</t>
        </is>
      </c>
      <c r="C44" s="186" t="n"/>
      <c r="D44" s="186" t="n"/>
      <c r="E44" s="186" t="n"/>
      <c r="F44" s="187" t="n"/>
      <c r="G44" s="413" t="n">
        <v>7550</v>
      </c>
    </row>
    <row r="46">
      <c r="B46" s="320" t="inlineStr">
        <is>
          <t>IV. KEY INSIGHTS ИЗ PRECEDENTS</t>
        </is>
      </c>
    </row>
    <row r="48">
      <c r="B48" s="400" t="n">
        <v>1</v>
      </c>
      <c r="C48" s="323" t="inlineStr">
        <is>
          <t>Медианный EV/EBITDA РФ (2018-2025) = 8.0×. ТрендСтудио при EBITDA 2028=1462 → EV≈11697 млн ₽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</row>
    <row r="49">
      <c r="B49" s="400" t="n">
        <v>2</v>
      </c>
      <c r="C49" s="323" t="inlineStr">
        <is>
          <t>Global мультипликаторы на 25-40% выше из-за глубины рынка, ликвидности и scale-ability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</row>
    <row r="50">
      <c r="B50" s="400" t="n">
        <v>3</v>
      </c>
      <c r="C50" s="323" t="inlineStr">
        <is>
          <t>Library deals (Hipgnosis, MGM) имеют премию 50-80% за эффект copyright perpetuity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</row>
    <row r="51">
      <c r="B51" s="400" t="n">
        <v>4</v>
      </c>
      <c r="C51" s="323" t="inlineStr">
        <is>
          <t>Strategic buyers (Disney/Fox, WB-Discovery) платят премию 20-30% vs financial buyers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</row>
    <row r="52">
      <c r="B52" s="400" t="n">
        <v>5</v>
      </c>
      <c r="C52" s="323" t="inlineStr">
        <is>
          <t>В РФ все сделки 2022+ имеют консервативные мультипликаторы из-за liquidity discount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</row>
    <row r="53">
      <c r="B53" s="400" t="n">
        <v>6</v>
      </c>
      <c r="C53" s="323" t="inlineStr">
        <is>
          <t>Оптимальный exit для ТрендСтудио: strategic sale (Яндекс/ВК/Сбер) с EV/EBITDA 7-9×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</row>
    <row r="54">
      <c r="B54" s="400" t="n">
        <v>7</v>
      </c>
      <c r="C54" s="323" t="inlineStr">
        <is>
          <t>Pre-IPO секундарный раунд (как ivi 2018/2023) — альтернатива exit при EV/Revenue 2.2-2.8×</t>
        </is>
      </c>
      <c r="D54" s="186" t="n"/>
      <c r="E54" s="186" t="n"/>
      <c r="F54" s="186" t="n"/>
      <c r="G54" s="186" t="n"/>
      <c r="H54" s="186" t="n"/>
      <c r="I54" s="186" t="n"/>
      <c r="J54" s="186" t="n"/>
      <c r="K54" s="187" t="n"/>
    </row>
    <row r="55">
      <c r="B55" s="400" t="n">
        <v>8</v>
      </c>
      <c r="C55" s="323" t="inlineStr">
        <is>
          <t>Minority stake sale (25-40%) даёт лучший мультипл, чем control premium при текущем S&amp;D</t>
        </is>
      </c>
      <c r="D55" s="186" t="n"/>
      <c r="E55" s="186" t="n"/>
      <c r="F55" s="186" t="n"/>
      <c r="G55" s="186" t="n"/>
      <c r="H55" s="186" t="n"/>
      <c r="I55" s="186" t="n"/>
      <c r="J55" s="186" t="n"/>
      <c r="K55" s="187" t="n"/>
    </row>
    <row r="58">
      <c r="B58" s="401" t="inlineStr">
        <is>
          <t>V. ИСТОЧНИКИ СДЕЛОК</t>
        </is>
      </c>
    </row>
    <row r="60">
      <c r="B60" s="323" t="inlineStr">
        <is>
          <t>• ТАСС, Коммерсант, Ведомости — российские сделки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7" t="n"/>
    </row>
    <row r="61">
      <c r="B61" s="323" t="inlineStr">
        <is>
          <t>• Bloomberg, Reuters, Financial Times — глобальные сделки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7" t="n"/>
    </row>
    <row r="62">
      <c r="B62" s="323" t="inlineStr">
        <is>
          <t>• Reuters Refinitiv M&amp;A database (публичная часть)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7" t="n"/>
    </row>
    <row r="63">
      <c r="B63" s="323" t="inlineStr">
        <is>
          <t>• SEC 10-K отчётности публичных компаний (Disney, Paramount, Warner, Amazon)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7" t="n"/>
    </row>
    <row r="64">
      <c r="B64" s="323" t="inlineStr">
        <is>
          <t>• S&amp;P Capital IQ (публичные оценки)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7" t="n"/>
    </row>
    <row r="65">
      <c r="B65" s="323" t="inlineStr">
        <is>
          <t>• Прим.: EBITDA-мультипликаторы для некоторых сделок оценены на базе adj. EBITDA LTM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7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F07 «Сказка наяву» (семейный), F04 «Последний экзамен»</t>
        </is>
      </c>
      <c r="G9" s="322" t="inlineStr">
        <is>
          <t>2 из 12 фильмов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F01 «Родные стены», F06 «Красная заря» (исторический)</t>
        </is>
      </c>
      <c r="G10" s="322" t="inlineStr">
        <is>
          <t>2 из 12 фильмов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(12 фильмов), объём 1 850 млн ₽</t>
        </is>
      </c>
      <c r="G11" s="322" t="inlineStr">
        <is>
          <t>12/12 фильмов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distribution, VFX-pipelines,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CAPEX; остальное — T₁ инвестор + producer equity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7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7" t="n"/>
    </row>
    <row r="74">
      <c r="B74" s="323" t="inlineStr">
        <is>
          <t>• Национальный проект «Культура» (паспорт 2019–2024, продление 2025–2030)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7" t="n"/>
    </row>
    <row r="75">
      <c r="B75" s="323" t="inlineStr">
        <is>
          <t>• Нацпроект «Семья» 2025–2030 (приоритеты Минкультуры)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7" t="n"/>
    </row>
    <row r="76">
      <c r="B76" s="323" t="inlineStr">
        <is>
          <t>• Налоговый кодекс РФ, ст. 149 (льготы по НДС для кинопроизводства)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7" t="n"/>
    </row>
    <row r="77">
      <c r="B77" s="323" t="inlineStr">
        <is>
          <t>• Кремлин.ру — публикации о культурной политике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7" t="n"/>
    </row>
    <row r="78">
      <c r="B78" s="323" t="inlineStr">
        <is>
          <t>• ТАСС — новости Минкультуры и Фонда кино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7" t="n"/>
    </row>
    <row r="79">
      <c r="B79" s="323" t="inlineStr">
        <is>
          <t>• Официальный сайт Минкультуры РФ (culture.gov.ru)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7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7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TAX SCHEDULE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 t="n">
        <v>2.8</v>
      </c>
      <c r="D23" s="376" t="n">
        <v>3.8</v>
      </c>
      <c r="E23" s="376" t="n">
        <v>7.6</v>
      </c>
      <c r="F23" s="376" t="n">
        <v>22.2</v>
      </c>
      <c r="G23" s="376" t="n">
        <v>17</v>
      </c>
      <c r="H23" s="376" t="n">
        <v>30.3</v>
      </c>
      <c r="I23" s="376" t="n">
        <v>50.1</v>
      </c>
      <c r="J23" s="376" t="n">
        <v>60.1</v>
      </c>
      <c r="K23" s="376" t="n">
        <v>43.5</v>
      </c>
      <c r="L23" s="376" t="n">
        <v>60.5</v>
      </c>
      <c r="M23" s="376" t="n">
        <v>70.5</v>
      </c>
      <c r="N23" s="376" t="n">
        <v>61.5</v>
      </c>
      <c r="O23" s="376" t="n">
        <v>39.7</v>
      </c>
      <c r="P23" s="376" t="n">
        <v>32.2</v>
      </c>
      <c r="Q23" s="376" t="n">
        <v>18.9</v>
      </c>
      <c r="R23" s="376" t="n">
        <v>8.5</v>
      </c>
      <c r="S23" s="373" t="n">
        <v>529.2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 t="n">
        <v>6</v>
      </c>
      <c r="D25" s="379" t="n">
        <v>6.6</v>
      </c>
      <c r="E25" s="379" t="n">
        <v>7.5</v>
      </c>
      <c r="F25" s="379" t="n">
        <v>8.5</v>
      </c>
      <c r="G25" s="379" t="n">
        <v>7.9</v>
      </c>
      <c r="H25" s="379" t="n">
        <v>8.5</v>
      </c>
      <c r="I25" s="379" t="n">
        <v>9.1</v>
      </c>
      <c r="J25" s="379" t="n">
        <v>9.699999999999999</v>
      </c>
      <c r="K25" s="379" t="n">
        <v>8.5</v>
      </c>
      <c r="L25" s="379" t="n">
        <v>9.1</v>
      </c>
      <c r="M25" s="379" t="n">
        <v>9.699999999999999</v>
      </c>
      <c r="N25" s="379" t="n">
        <v>9.1</v>
      </c>
      <c r="O25" s="379" t="n">
        <v>3.6</v>
      </c>
      <c r="P25" s="379" t="n">
        <v>3</v>
      </c>
      <c r="Q25" s="379" t="n">
        <v>2.4</v>
      </c>
      <c r="R25" s="379" t="n">
        <v>1.8</v>
      </c>
      <c r="S25" s="373" t="n">
        <v>111</v>
      </c>
    </row>
    <row r="26">
      <c r="B26" s="369" t="inlineStr">
        <is>
          <t>НДФЛ (13-15%)</t>
        </is>
      </c>
      <c r="C26" s="382" t="n">
        <v>2.6</v>
      </c>
      <c r="D26" s="382" t="n">
        <v>2.9</v>
      </c>
      <c r="E26" s="382" t="n">
        <v>3.2</v>
      </c>
      <c r="F26" s="382" t="n">
        <v>3.6</v>
      </c>
      <c r="G26" s="382" t="n">
        <v>3.4</v>
      </c>
      <c r="H26" s="382" t="n">
        <v>3.6</v>
      </c>
      <c r="I26" s="382" t="n">
        <v>3.9</v>
      </c>
      <c r="J26" s="382" t="n">
        <v>4.2</v>
      </c>
      <c r="K26" s="382" t="n">
        <v>3.6</v>
      </c>
      <c r="L26" s="382" t="n">
        <v>3.9</v>
      </c>
      <c r="M26" s="382" t="n">
        <v>4.2</v>
      </c>
      <c r="N26" s="382" t="n">
        <v>3.9</v>
      </c>
      <c r="O26" s="382" t="n">
        <v>1.6</v>
      </c>
      <c r="P26" s="382" t="n">
        <v>1.3</v>
      </c>
      <c r="Q26" s="382" t="n">
        <v>1</v>
      </c>
      <c r="R26" s="382" t="n">
        <v>0.8</v>
      </c>
      <c r="S26" s="373" t="n">
        <v>47.7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 t="n">
        <v>32</v>
      </c>
    </row>
    <row r="28">
      <c r="B28" s="432" t="inlineStr">
        <is>
          <t>ИТОГО НАЛОГИ</t>
        </is>
      </c>
      <c r="C28" s="373" t="n">
        <v>13.4</v>
      </c>
      <c r="D28" s="373" t="n">
        <v>15.3</v>
      </c>
      <c r="E28" s="373" t="n">
        <v>20.3</v>
      </c>
      <c r="F28" s="373" t="n">
        <v>36.3</v>
      </c>
      <c r="G28" s="373" t="n">
        <v>30.3</v>
      </c>
      <c r="H28" s="373" t="n">
        <v>44.4</v>
      </c>
      <c r="I28" s="373" t="n">
        <v>65.09999999999999</v>
      </c>
      <c r="J28" s="373" t="n">
        <v>76</v>
      </c>
      <c r="K28" s="373" t="n">
        <v>57.6</v>
      </c>
      <c r="L28" s="373" t="n">
        <v>75.5</v>
      </c>
      <c r="M28" s="373" t="n">
        <v>86.40000000000001</v>
      </c>
      <c r="N28" s="373" t="n">
        <v>76.5</v>
      </c>
      <c r="O28" s="373" t="n">
        <v>46.9</v>
      </c>
      <c r="P28" s="373" t="n">
        <v>38.5</v>
      </c>
      <c r="Q28" s="373" t="n">
        <v>24.3</v>
      </c>
      <c r="R28" s="373" t="n">
        <v>13.1</v>
      </c>
      <c r="S28" s="433" t="n">
        <v>719.9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</t>
        </is>
      </c>
    </row>
    <row r="33">
      <c r="B33" s="365" t="inlineStr">
        <is>
          <t>3Y (2026-2028)</t>
        </is>
      </c>
      <c r="C33" s="376" t="n">
        <v>429.9</v>
      </c>
      <c r="D33" s="376" t="n">
        <v>100.2</v>
      </c>
      <c r="E33" s="376" t="n">
        <v>43</v>
      </c>
      <c r="F33" s="376" t="n">
        <v>24</v>
      </c>
      <c r="G33" s="373" t="n">
        <v>597.1</v>
      </c>
      <c r="H33" s="377" t="n">
        <v>0.1313751375137514</v>
      </c>
    </row>
    <row r="34">
      <c r="B34" s="369" t="inlineStr">
        <is>
          <t>Tail (2029-2032)</t>
        </is>
      </c>
      <c r="C34" s="382" t="n">
        <v>99.3</v>
      </c>
      <c r="D34" s="382" t="n">
        <v>10.8</v>
      </c>
      <c r="E34" s="382" t="n">
        <v>4.7</v>
      </c>
      <c r="F34" s="382" t="n">
        <v>8</v>
      </c>
      <c r="G34" s="434" t="n">
        <v>122.8</v>
      </c>
      <c r="H34" s="383" t="n">
        <v>0.1169523809523809</v>
      </c>
    </row>
    <row r="35">
      <c r="B35" s="432" t="inlineStr">
        <is>
          <t>7Y ИТОГО</t>
        </is>
      </c>
      <c r="C35" s="435" t="n">
        <v>529.2</v>
      </c>
      <c r="D35" s="435" t="n">
        <v>111</v>
      </c>
      <c r="E35" s="435" t="n">
        <v>47.7</v>
      </c>
      <c r="F35" s="435" t="n">
        <v>32</v>
      </c>
      <c r="G35" s="435" t="n">
        <v>719.9</v>
      </c>
      <c r="H35" s="436" t="n">
        <v>0.128668453976765</v>
      </c>
    </row>
    <row r="38">
      <c r="B38" s="320" t="inlineStr">
        <is>
          <t>IV. KEY INSIGHTS</t>
        </is>
      </c>
    </row>
    <row r="40">
      <c r="B40" s="323" t="inlineStr">
        <is>
          <t>1. Общий объём налогов 7Y ≈ 720 млн ₽ (12.9% от Revenue)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7" t="n"/>
    </row>
    <row r="41">
      <c r="B41" s="323" t="inlineStr">
        <is>
          <t>2. 3Y net tax burden ≈ 597 млн ₽, из которых налог на прибыль ~430 млн ₽ (основной)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</row>
    <row r="42">
      <c r="B42" s="323" t="inlineStr">
        <is>
          <t>3. НДС 0% — ключевая льгота: экономия ~800 млн ₽ vs стандартная ставка 20%</t>
        </is>
      </c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7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7" t="n"/>
    </row>
    <row r="44">
      <c r="B44" s="323" t="inlineStr">
        <is>
          <t>5. Налог на прибыль 20% применяется к JV-структуре; producer equity 600 млн — отдельный tax treatment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7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7" t="n"/>
    </row>
    <row r="46">
      <c r="B46" s="323" t="inlineStr">
        <is>
          <t>7. Налоговые риски (R18 из Risk Register): оспаривание НДС-льготы требует предварительного согласования с ФНС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7" t="n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7" t="n"/>
    </row>
    <row r="52">
      <c r="B52" s="323" t="inlineStr">
        <is>
          <t>• ФНС России — разъяснения по НДС в сфере культуры (nalog.gov.ru)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7" t="n"/>
    </row>
    <row r="53">
      <c r="B53" s="323" t="inlineStr">
        <is>
          <t>• Минфин РФ — налоговая политика РФ 2024-2026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7" t="n"/>
    </row>
    <row r="54">
      <c r="B54" s="323" t="inlineStr">
        <is>
          <t>• Федеральный закон № 126-ФЗ «О господдержке кинематографии»</t>
        </is>
      </c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7" t="n"/>
    </row>
    <row r="55">
      <c r="B55" s="323" t="inlineStr">
        <is>
          <t>• Постановление Правительства РФ № 1215/2013 (грантовый механизм)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7" t="n"/>
    </row>
    <row r="56">
      <c r="B56" s="323" t="inlineStr">
        <is>
          <t>• Приказы ФНС по возмещению НДС 0% для кинопроизводства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7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2026–2032 — КЛЮЧЕВЫЕ МИЛЕСТОНЫ</t>
        </is>
      </c>
    </row>
    <row r="4">
      <c r="B4" s="319" t="inlineStr">
        <is>
          <t>Производство slate, фандрайзинг, governance, exit routes. Critical path color-coded.</t>
        </is>
      </c>
    </row>
    <row r="6">
      <c r="B6" s="320" t="inlineStr">
        <is>
          <t>I. PRODUCTION MILESTONES (12 фильмов × 4 фазы: Dev / Shoot / Post / Release)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s="396" t="inlineStr">
        <is>
          <t>F01 Родные стены</t>
        </is>
      </c>
      <c r="C9" s="437" t="inlineStr">
        <is>
          <t>Dev</t>
        </is>
      </c>
      <c r="D9" s="437" t="inlineStr">
        <is>
          <t>Dev</t>
        </is>
      </c>
      <c r="E9" s="438" t="inlineStr">
        <is>
          <t>Shoot</t>
        </is>
      </c>
      <c r="F9" s="439" t="inlineStr">
        <is>
          <t>★Rel</t>
        </is>
      </c>
      <c r="G9" s="440" t="inlineStr">
        <is>
          <t>tail</t>
        </is>
      </c>
      <c r="H9" s="440" t="inlineStr">
        <is>
          <t>tail</t>
        </is>
      </c>
      <c r="I9" s="440" t="inlineStr">
        <is>
          <t>tail</t>
        </is>
      </c>
      <c r="J9" s="440" t="inlineStr">
        <is>
          <t>tail</t>
        </is>
      </c>
      <c r="K9" s="440" t="inlineStr">
        <is>
          <t>tail</t>
        </is>
      </c>
      <c r="L9" s="440" t="inlineStr">
        <is>
          <t>tail</t>
        </is>
      </c>
      <c r="M9" s="440" t="inlineStr">
        <is>
          <t>tail</t>
        </is>
      </c>
      <c r="N9" s="440" t="inlineStr">
        <is>
          <t>tail</t>
        </is>
      </c>
      <c r="O9" s="440" t="inlineStr">
        <is>
          <t>tail</t>
        </is>
      </c>
      <c r="P9" s="440" t="inlineStr">
        <is>
          <t>tail</t>
        </is>
      </c>
      <c r="Q9" s="440" t="inlineStr">
        <is>
          <t>tail</t>
        </is>
      </c>
      <c r="R9" s="440" t="inlineStr">
        <is>
          <t>tail</t>
        </is>
      </c>
    </row>
    <row r="10" ht="22" customHeight="1">
      <c r="B10" s="396" t="inlineStr">
        <is>
          <t>F02 Два сердца</t>
        </is>
      </c>
      <c r="C10" s="437" t="inlineStr">
        <is>
          <t>Dev</t>
        </is>
      </c>
      <c r="D10" s="437" t="inlineStr">
        <is>
          <t>Dev</t>
        </is>
      </c>
      <c r="E10" s="437" t="inlineStr">
        <is>
          <t>Dev</t>
        </is>
      </c>
      <c r="F10" s="438" t="inlineStr">
        <is>
          <t>Shoot</t>
        </is>
      </c>
      <c r="G10" s="439" t="inlineStr">
        <is>
          <t>★Rel</t>
        </is>
      </c>
      <c r="H10" s="440" t="inlineStr">
        <is>
          <t>tail</t>
        </is>
      </c>
      <c r="I10" s="440" t="inlineStr">
        <is>
          <t>tail</t>
        </is>
      </c>
      <c r="J10" s="440" t="inlineStr">
        <is>
          <t>tail</t>
        </is>
      </c>
      <c r="K10" s="440" t="inlineStr">
        <is>
          <t>tail</t>
        </is>
      </c>
      <c r="L10" s="440" t="inlineStr">
        <is>
          <t>tail</t>
        </is>
      </c>
      <c r="M10" s="440" t="inlineStr">
        <is>
          <t>tail</t>
        </is>
      </c>
      <c r="N10" s="440" t="inlineStr">
        <is>
          <t>tail</t>
        </is>
      </c>
      <c r="O10" s="440" t="inlineStr">
        <is>
          <t>tail</t>
        </is>
      </c>
      <c r="P10" s="440" t="inlineStr">
        <is>
          <t>tail</t>
        </is>
      </c>
      <c r="Q10" s="440" t="inlineStr">
        <is>
          <t>tail</t>
        </is>
      </c>
      <c r="R10" s="440" t="inlineStr">
        <is>
          <t>tail</t>
        </is>
      </c>
    </row>
    <row r="11" ht="22" customHeight="1">
      <c r="B11" s="396" t="inlineStr">
        <is>
          <t>F03 Ночной патруль</t>
        </is>
      </c>
      <c r="C11" s="441" t="n"/>
      <c r="D11" s="437" t="inlineStr">
        <is>
          <t>Dev</t>
        </is>
      </c>
      <c r="E11" s="437" t="inlineStr">
        <is>
          <t>Dev</t>
        </is>
      </c>
      <c r="F11" s="437" t="inlineStr">
        <is>
          <t>Dev</t>
        </is>
      </c>
      <c r="G11" s="438" t="inlineStr">
        <is>
          <t>Shoot</t>
        </is>
      </c>
      <c r="H11" s="439" t="inlineStr">
        <is>
          <t>★Rel</t>
        </is>
      </c>
      <c r="I11" s="440" t="inlineStr">
        <is>
          <t>tail</t>
        </is>
      </c>
      <c r="J11" s="440" t="inlineStr">
        <is>
          <t>tail</t>
        </is>
      </c>
      <c r="K11" s="440" t="inlineStr">
        <is>
          <t>tail</t>
        </is>
      </c>
      <c r="L11" s="440" t="inlineStr">
        <is>
          <t>tail</t>
        </is>
      </c>
      <c r="M11" s="440" t="inlineStr">
        <is>
          <t>tail</t>
        </is>
      </c>
      <c r="N11" s="440" t="inlineStr">
        <is>
          <t>tail</t>
        </is>
      </c>
      <c r="O11" s="440" t="inlineStr">
        <is>
          <t>tail</t>
        </is>
      </c>
      <c r="P11" s="440" t="inlineStr">
        <is>
          <t>tail</t>
        </is>
      </c>
      <c r="Q11" s="440" t="inlineStr">
        <is>
          <t>tail</t>
        </is>
      </c>
      <c r="R11" s="440" t="inlineStr">
        <is>
          <t>tail</t>
        </is>
      </c>
    </row>
    <row r="12" ht="22" customHeight="1">
      <c r="B12" s="396" t="inlineStr">
        <is>
          <t>F04 Последний экзамен</t>
        </is>
      </c>
      <c r="C12" s="441" t="n"/>
      <c r="D12" s="437" t="inlineStr">
        <is>
          <t>Dev</t>
        </is>
      </c>
      <c r="E12" s="437" t="inlineStr">
        <is>
          <t>Dev</t>
        </is>
      </c>
      <c r="F12" s="437" t="inlineStr">
        <is>
          <t>Dev</t>
        </is>
      </c>
      <c r="G12" s="438" t="inlineStr">
        <is>
          <t>Shoot</t>
        </is>
      </c>
      <c r="H12" s="439" t="inlineStr">
        <is>
          <t>★Rel</t>
        </is>
      </c>
      <c r="I12" s="440" t="inlineStr">
        <is>
          <t>tail</t>
        </is>
      </c>
      <c r="J12" s="440" t="inlineStr">
        <is>
          <t>tail</t>
        </is>
      </c>
      <c r="K12" s="440" t="inlineStr">
        <is>
          <t>tail</t>
        </is>
      </c>
      <c r="L12" s="440" t="inlineStr">
        <is>
          <t>tail</t>
        </is>
      </c>
      <c r="M12" s="440" t="inlineStr">
        <is>
          <t>tail</t>
        </is>
      </c>
      <c r="N12" s="440" t="inlineStr">
        <is>
          <t>tail</t>
        </is>
      </c>
      <c r="O12" s="440" t="inlineStr">
        <is>
          <t>tail</t>
        </is>
      </c>
      <c r="P12" s="440" t="inlineStr">
        <is>
          <t>tail</t>
        </is>
      </c>
      <c r="Q12" s="440" t="inlineStr">
        <is>
          <t>tail</t>
        </is>
      </c>
      <c r="R12" s="440" t="inlineStr">
        <is>
          <t>tail</t>
        </is>
      </c>
    </row>
    <row r="13" ht="22" customHeight="1">
      <c r="B13" s="396" t="inlineStr">
        <is>
          <t>F05 Время героев</t>
        </is>
      </c>
      <c r="C13" s="441" t="n"/>
      <c r="D13" s="437" t="inlineStr">
        <is>
          <t>Dev</t>
        </is>
      </c>
      <c r="E13" s="437" t="inlineStr">
        <is>
          <t>Dev</t>
        </is>
      </c>
      <c r="F13" s="437" t="inlineStr">
        <is>
          <t>Dev</t>
        </is>
      </c>
      <c r="G13" s="438" t="inlineStr">
        <is>
          <t>Shoot</t>
        </is>
      </c>
      <c r="H13" s="442" t="inlineStr">
        <is>
          <t>Post</t>
        </is>
      </c>
      <c r="I13" s="439" t="inlineStr">
        <is>
          <t>★Rel</t>
        </is>
      </c>
      <c r="J13" s="440" t="inlineStr">
        <is>
          <t>tail</t>
        </is>
      </c>
      <c r="K13" s="440" t="inlineStr">
        <is>
          <t>tail</t>
        </is>
      </c>
      <c r="L13" s="440" t="inlineStr">
        <is>
          <t>tail</t>
        </is>
      </c>
      <c r="M13" s="440" t="inlineStr">
        <is>
          <t>tail</t>
        </is>
      </c>
      <c r="N13" s="440" t="inlineStr">
        <is>
          <t>tail</t>
        </is>
      </c>
      <c r="O13" s="440" t="inlineStr">
        <is>
          <t>tail</t>
        </is>
      </c>
      <c r="P13" s="440" t="inlineStr">
        <is>
          <t>tail</t>
        </is>
      </c>
      <c r="Q13" s="440" t="inlineStr">
        <is>
          <t>tail</t>
        </is>
      </c>
      <c r="R13" s="440" t="inlineStr">
        <is>
          <t>tail</t>
        </is>
      </c>
    </row>
    <row r="14" ht="22" customHeight="1">
      <c r="B14" s="396" t="inlineStr">
        <is>
          <t>F06 Красная заря</t>
        </is>
      </c>
      <c r="C14" s="441" t="n"/>
      <c r="D14" s="441" t="n"/>
      <c r="E14" s="437" t="inlineStr">
        <is>
          <t>Dev</t>
        </is>
      </c>
      <c r="F14" s="437" t="inlineStr">
        <is>
          <t>Dev</t>
        </is>
      </c>
      <c r="G14" s="437" t="inlineStr">
        <is>
          <t>Dev</t>
        </is>
      </c>
      <c r="H14" s="438" t="inlineStr">
        <is>
          <t>Shoot</t>
        </is>
      </c>
      <c r="I14" s="442" t="inlineStr">
        <is>
          <t>Post</t>
        </is>
      </c>
      <c r="J14" s="439" t="inlineStr">
        <is>
          <t>★Rel</t>
        </is>
      </c>
      <c r="K14" s="440" t="inlineStr">
        <is>
          <t>tail</t>
        </is>
      </c>
      <c r="L14" s="440" t="inlineStr">
        <is>
          <t>tail</t>
        </is>
      </c>
      <c r="M14" s="440" t="inlineStr">
        <is>
          <t>tail</t>
        </is>
      </c>
      <c r="N14" s="440" t="inlineStr">
        <is>
          <t>tail</t>
        </is>
      </c>
      <c r="O14" s="440" t="inlineStr">
        <is>
          <t>tail</t>
        </is>
      </c>
      <c r="P14" s="440" t="inlineStr">
        <is>
          <t>tail</t>
        </is>
      </c>
      <c r="Q14" s="440" t="inlineStr">
        <is>
          <t>tail</t>
        </is>
      </c>
      <c r="R14" s="440" t="inlineStr">
        <is>
          <t>tail</t>
        </is>
      </c>
    </row>
    <row r="15" ht="22" customHeight="1">
      <c r="B15" s="396" t="inlineStr">
        <is>
          <t>F07 Сказка наяву</t>
        </is>
      </c>
      <c r="C15" s="441" t="n"/>
      <c r="D15" s="441" t="n"/>
      <c r="E15" s="437" t="inlineStr">
        <is>
          <t>Dev</t>
        </is>
      </c>
      <c r="F15" s="437" t="inlineStr">
        <is>
          <t>Dev</t>
        </is>
      </c>
      <c r="G15" s="437" t="inlineStr">
        <is>
          <t>Dev</t>
        </is>
      </c>
      <c r="H15" s="437" t="inlineStr">
        <is>
          <t>Dev</t>
        </is>
      </c>
      <c r="I15" s="438" t="inlineStr">
        <is>
          <t>Shoot</t>
        </is>
      </c>
      <c r="J15" s="442" t="inlineStr">
        <is>
          <t>Post</t>
        </is>
      </c>
      <c r="K15" s="439" t="inlineStr">
        <is>
          <t>★Rel</t>
        </is>
      </c>
      <c r="L15" s="440" t="inlineStr">
        <is>
          <t>tail</t>
        </is>
      </c>
      <c r="M15" s="440" t="inlineStr">
        <is>
          <t>tail</t>
        </is>
      </c>
      <c r="N15" s="440" t="inlineStr">
        <is>
          <t>tail</t>
        </is>
      </c>
      <c r="O15" s="440" t="inlineStr">
        <is>
          <t>tail</t>
        </is>
      </c>
      <c r="P15" s="440" t="inlineStr">
        <is>
          <t>tail</t>
        </is>
      </c>
      <c r="Q15" s="440" t="inlineStr">
        <is>
          <t>tail</t>
        </is>
      </c>
      <c r="R15" s="440" t="inlineStr">
        <is>
          <t>tail</t>
        </is>
      </c>
    </row>
    <row r="16" ht="22" customHeight="1">
      <c r="B16" s="396" t="inlineStr">
        <is>
          <t>F08 Неизвестный герой</t>
        </is>
      </c>
      <c r="C16" s="441" t="n"/>
      <c r="D16" s="441" t="n"/>
      <c r="E16" s="441" t="n"/>
      <c r="F16" s="437" t="inlineStr">
        <is>
          <t>Dev</t>
        </is>
      </c>
      <c r="G16" s="437" t="inlineStr">
        <is>
          <t>Dev</t>
        </is>
      </c>
      <c r="H16" s="437" t="inlineStr">
        <is>
          <t>Dev</t>
        </is>
      </c>
      <c r="I16" s="438" t="inlineStr">
        <is>
          <t>Shoot</t>
        </is>
      </c>
      <c r="J16" s="442" t="inlineStr">
        <is>
          <t>Post</t>
        </is>
      </c>
      <c r="K16" s="442" t="inlineStr">
        <is>
          <t>Post</t>
        </is>
      </c>
      <c r="L16" s="439" t="inlineStr">
        <is>
          <t>★Rel</t>
        </is>
      </c>
      <c r="M16" s="440" t="inlineStr">
        <is>
          <t>tail</t>
        </is>
      </c>
      <c r="N16" s="440" t="inlineStr">
        <is>
          <t>tail</t>
        </is>
      </c>
      <c r="O16" s="440" t="inlineStr">
        <is>
          <t>tail</t>
        </is>
      </c>
      <c r="P16" s="440" t="inlineStr">
        <is>
          <t>tail</t>
        </is>
      </c>
      <c r="Q16" s="440" t="inlineStr">
        <is>
          <t>tail</t>
        </is>
      </c>
      <c r="R16" s="440" t="inlineStr">
        <is>
          <t>tail</t>
        </is>
      </c>
    </row>
    <row r="17" ht="22" customHeight="1">
      <c r="B17" s="396" t="inlineStr">
        <is>
          <t>F09 Моё дело</t>
        </is>
      </c>
      <c r="C17" s="441" t="n"/>
      <c r="D17" s="441" t="n"/>
      <c r="E17" s="441" t="n"/>
      <c r="F17" s="437" t="inlineStr">
        <is>
          <t>Dev</t>
        </is>
      </c>
      <c r="G17" s="437" t="inlineStr">
        <is>
          <t>Dev</t>
        </is>
      </c>
      <c r="H17" s="437" t="inlineStr">
        <is>
          <t>Dev</t>
        </is>
      </c>
      <c r="I17" s="437" t="inlineStr">
        <is>
          <t>Dev</t>
        </is>
      </c>
      <c r="J17" s="438" t="inlineStr">
        <is>
          <t>Shoot</t>
        </is>
      </c>
      <c r="K17" s="442" t="inlineStr">
        <is>
          <t>Post</t>
        </is>
      </c>
      <c r="L17" s="439" t="inlineStr">
        <is>
          <t>★Rel</t>
        </is>
      </c>
      <c r="M17" s="440" t="inlineStr">
        <is>
          <t>tail</t>
        </is>
      </c>
      <c r="N17" s="440" t="inlineStr">
        <is>
          <t>tail</t>
        </is>
      </c>
      <c r="O17" s="440" t="inlineStr">
        <is>
          <t>tail</t>
        </is>
      </c>
      <c r="P17" s="440" t="inlineStr">
        <is>
          <t>tail</t>
        </is>
      </c>
      <c r="Q17" s="440" t="inlineStr">
        <is>
          <t>tail</t>
        </is>
      </c>
      <c r="R17" s="440" t="inlineStr">
        <is>
          <t>tail</t>
        </is>
      </c>
    </row>
    <row r="18" ht="22" customHeight="1">
      <c r="B18" s="396" t="inlineStr">
        <is>
          <t>F10 Северный ветер</t>
        </is>
      </c>
      <c r="C18" s="441" t="n"/>
      <c r="D18" s="441" t="n"/>
      <c r="E18" s="441" t="n"/>
      <c r="F18" s="437" t="inlineStr">
        <is>
          <t>Dev</t>
        </is>
      </c>
      <c r="G18" s="437" t="inlineStr">
        <is>
          <t>Dev</t>
        </is>
      </c>
      <c r="H18" s="437" t="inlineStr">
        <is>
          <t>Dev</t>
        </is>
      </c>
      <c r="I18" s="437" t="inlineStr">
        <is>
          <t>Dev</t>
        </is>
      </c>
      <c r="J18" s="438" t="inlineStr">
        <is>
          <t>Shoot</t>
        </is>
      </c>
      <c r="K18" s="442" t="inlineStr">
        <is>
          <t>Post</t>
        </is>
      </c>
      <c r="L18" s="442" t="inlineStr">
        <is>
          <t>Post</t>
        </is>
      </c>
      <c r="M18" s="439" t="inlineStr">
        <is>
          <t>★Rel</t>
        </is>
      </c>
      <c r="N18" s="440" t="inlineStr">
        <is>
          <t>tail</t>
        </is>
      </c>
      <c r="O18" s="440" t="inlineStr">
        <is>
          <t>tail</t>
        </is>
      </c>
      <c r="P18" s="440" t="inlineStr">
        <is>
          <t>tail</t>
        </is>
      </c>
      <c r="Q18" s="440" t="inlineStr">
        <is>
          <t>tail</t>
        </is>
      </c>
      <c r="R18" s="440" t="inlineStr">
        <is>
          <t>tail</t>
        </is>
      </c>
    </row>
    <row r="19" ht="22" customHeight="1">
      <c r="B19" s="396" t="inlineStr">
        <is>
          <t>F11 Полдень</t>
        </is>
      </c>
      <c r="C19" s="441" t="n"/>
      <c r="D19" s="441" t="n"/>
      <c r="E19" s="441" t="n"/>
      <c r="F19" s="441" t="n"/>
      <c r="G19" s="437" t="inlineStr">
        <is>
          <t>Dev</t>
        </is>
      </c>
      <c r="H19" s="437" t="inlineStr">
        <is>
          <t>Dev</t>
        </is>
      </c>
      <c r="I19" s="437" t="inlineStr">
        <is>
          <t>Dev</t>
        </is>
      </c>
      <c r="J19" s="437" t="inlineStr">
        <is>
          <t>Dev</t>
        </is>
      </c>
      <c r="K19" s="438" t="inlineStr">
        <is>
          <t>Shoot</t>
        </is>
      </c>
      <c r="L19" s="442" t="inlineStr">
        <is>
          <t>Post</t>
        </is>
      </c>
      <c r="M19" s="439" t="inlineStr">
        <is>
          <t>★Rel</t>
        </is>
      </c>
      <c r="N19" s="440" t="inlineStr">
        <is>
          <t>tail</t>
        </is>
      </c>
      <c r="O19" s="440" t="inlineStr">
        <is>
          <t>tail</t>
        </is>
      </c>
      <c r="P19" s="440" t="inlineStr">
        <is>
          <t>tail</t>
        </is>
      </c>
      <c r="Q19" s="440" t="inlineStr">
        <is>
          <t>tail</t>
        </is>
      </c>
      <c r="R19" s="440" t="inlineStr">
        <is>
          <t>tail</t>
        </is>
      </c>
    </row>
    <row r="20" ht="22" customHeight="1">
      <c r="B20" s="396" t="inlineStr">
        <is>
          <t>F12 Горизонт событий</t>
        </is>
      </c>
      <c r="C20" s="441" t="n"/>
      <c r="D20" s="441" t="n"/>
      <c r="E20" s="441" t="n"/>
      <c r="F20" s="441" t="n"/>
      <c r="G20" s="437" t="inlineStr">
        <is>
          <t>Dev</t>
        </is>
      </c>
      <c r="H20" s="437" t="inlineStr">
        <is>
          <t>Dev</t>
        </is>
      </c>
      <c r="I20" s="437" t="inlineStr">
        <is>
          <t>Dev</t>
        </is>
      </c>
      <c r="J20" s="437" t="inlineStr">
        <is>
          <t>Dev</t>
        </is>
      </c>
      <c r="K20" s="438" t="inlineStr">
        <is>
          <t>Shoot</t>
        </is>
      </c>
      <c r="L20" s="442" t="inlineStr">
        <is>
          <t>Post</t>
        </is>
      </c>
      <c r="M20" s="442" t="inlineStr">
        <is>
          <t>Post</t>
        </is>
      </c>
      <c r="N20" s="439" t="inlineStr">
        <is>
          <t>★Rel</t>
        </is>
      </c>
      <c r="O20" s="440" t="inlineStr">
        <is>
          <t>tail</t>
        </is>
      </c>
      <c r="P20" s="440" t="inlineStr">
        <is>
          <t>tail</t>
        </is>
      </c>
      <c r="Q20" s="440" t="inlineStr">
        <is>
          <t>tail</t>
        </is>
      </c>
      <c r="R20" s="440" t="inlineStr">
        <is>
          <t>tail</t>
        </is>
      </c>
    </row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</t>
        </is>
      </c>
      <c r="E22" s="445" t="inlineStr">
        <is>
          <t>Post</t>
        </is>
      </c>
      <c r="F22" s="446" t="inlineStr">
        <is>
          <t>★Rel Release</t>
        </is>
      </c>
      <c r="G22" s="447" t="inlineStr">
        <is>
          <t>tail Tail rev.</t>
        </is>
      </c>
    </row>
    <row r="24">
      <c r="B24" s="320" t="inlineStr">
        <is>
          <t>II. FUNDRAISING &amp; FINANCIAL MILESTONES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1 (20% = 250)</t>
        </is>
      </c>
      <c r="C27" s="439" t="inlineStr">
        <is>
          <t>★ 250 млн ₽</t>
        </is>
      </c>
      <c r="D27" s="441" t="n"/>
      <c r="E27" s="441" t="n"/>
      <c r="F27" s="441" t="n"/>
      <c r="G27" s="441" t="n"/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</row>
    <row r="28" ht="22" customHeight="1">
      <c r="B28" s="448" t="inlineStr">
        <is>
          <t>T₁ Tranche 2 (28% = 350)</t>
        </is>
      </c>
      <c r="C28" s="441" t="n"/>
      <c r="D28" s="439" t="inlineStr">
        <is>
          <t>★ 350 млн ₽</t>
        </is>
      </c>
      <c r="E28" s="441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</row>
    <row r="29" ht="22" customHeight="1">
      <c r="B29" s="448" t="inlineStr">
        <is>
          <t>T₁ Tranche 3 (28% = 350)</t>
        </is>
      </c>
      <c r="C29" s="441" t="n"/>
      <c r="D29" s="441" t="n"/>
      <c r="E29" s="439" t="inlineStr">
        <is>
          <t>★ 350 млн ₽</t>
        </is>
      </c>
      <c r="F29" s="441" t="n"/>
      <c r="G29" s="441" t="n"/>
      <c r="H29" s="441" t="n"/>
      <c r="I29" s="441" t="n"/>
      <c r="J29" s="441" t="n"/>
      <c r="K29" s="441" t="n"/>
      <c r="L29" s="441" t="n"/>
      <c r="M29" s="441" t="n"/>
      <c r="N29" s="441" t="n"/>
      <c r="O29" s="441" t="n"/>
      <c r="P29" s="441" t="n"/>
      <c r="Q29" s="441" t="n"/>
      <c r="R29" s="441" t="n"/>
    </row>
    <row r="30" ht="22" customHeight="1">
      <c r="B30" s="448" t="inlineStr">
        <is>
          <t>T₁ Tranche 4 (24% = 300)</t>
        </is>
      </c>
      <c r="C30" s="441" t="n"/>
      <c r="D30" s="441" t="n"/>
      <c r="E30" s="441" t="n"/>
      <c r="F30" s="439" t="inlineStr">
        <is>
          <t>★ 300 млн ₽</t>
        </is>
      </c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 t="n"/>
      <c r="E31" s="441" t="n"/>
      <c r="F31" s="441" t="n"/>
      <c r="G31" s="441" t="n"/>
      <c r="H31" s="441" t="n"/>
      <c r="I31" s="441" t="n"/>
      <c r="J31" s="441" t="n"/>
      <c r="K31" s="441" t="n"/>
      <c r="L31" s="441" t="n"/>
      <c r="M31" s="441" t="n"/>
      <c r="N31" s="441" t="n"/>
      <c r="O31" s="441" t="n"/>
      <c r="P31" s="441" t="n"/>
      <c r="Q31" s="441" t="n"/>
      <c r="R31" s="441" t="n"/>
    </row>
    <row r="32" ht="22" customHeight="1">
      <c r="B32" s="448" t="inlineStr">
        <is>
          <t>ФКП грант раунд 2</t>
        </is>
      </c>
      <c r="C32" s="441" t="n"/>
      <c r="D32" s="441" t="n"/>
      <c r="E32" s="441" t="n"/>
      <c r="F32" s="441" t="n"/>
      <c r="G32" s="449" t="inlineStr">
        <is>
          <t>ФКП 220</t>
        </is>
      </c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</row>
    <row r="33" ht="22" customHeight="1">
      <c r="B33" s="448" t="inlineStr">
        <is>
          <t>ФКП грант раунд 3</t>
        </is>
      </c>
      <c r="C33" s="441" t="n"/>
      <c r="D33" s="441" t="n"/>
      <c r="E33" s="441" t="n"/>
      <c r="F33" s="441" t="n"/>
      <c r="G33" s="441" t="n"/>
      <c r="H33" s="441" t="n"/>
      <c r="I33" s="441" t="n"/>
      <c r="J33" s="441" t="n"/>
      <c r="K33" s="449" t="inlineStr">
        <is>
          <t>ФКП 120</t>
        </is>
      </c>
      <c r="L33" s="441" t="n"/>
      <c r="M33" s="441" t="n"/>
      <c r="N33" s="441" t="n"/>
      <c r="O33" s="441" t="n"/>
      <c r="P33" s="441" t="n"/>
      <c r="Q33" s="441" t="n"/>
      <c r="R33" s="441" t="n"/>
    </row>
    <row r="34" ht="22" customHeight="1">
      <c r="B34" s="448" t="inlineStr">
        <is>
          <t>ИРИ раунд</t>
        </is>
      </c>
      <c r="C34" s="441" t="n"/>
      <c r="D34" s="441" t="n"/>
      <c r="E34" s="449" t="inlineStr">
        <is>
          <t>ИРИ 150</t>
        </is>
      </c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</row>
    <row r="35" ht="22" customHeight="1">
      <c r="B35" s="448" t="inlineStr">
        <is>
          <t>Producer equity (JV)</t>
        </is>
      </c>
      <c r="C35" s="449" t="inlineStr">
        <is>
          <t>600 equity</t>
        </is>
      </c>
      <c r="D35" s="441" t="n"/>
      <c r="E35" s="441" t="n"/>
      <c r="F35" s="441" t="n"/>
      <c r="G35" s="441" t="n"/>
      <c r="H35" s="441" t="n"/>
      <c r="I35" s="441" t="n"/>
      <c r="J35" s="441" t="n"/>
      <c r="K35" s="441" t="n"/>
      <c r="L35" s="441" t="n"/>
      <c r="M35" s="441" t="n"/>
      <c r="N35" s="441" t="n"/>
      <c r="O35" s="441" t="n"/>
      <c r="P35" s="441" t="n"/>
      <c r="Q35" s="441" t="n"/>
      <c r="R35" s="441" t="n"/>
    </row>
    <row r="36" ht="22" customHeight="1">
      <c r="B36" s="448" t="inlineStr">
        <is>
          <t>Revolving credit line</t>
        </is>
      </c>
      <c r="C36" s="441" t="n"/>
      <c r="D36" s="441" t="n"/>
      <c r="E36" s="441" t="n"/>
      <c r="F36" s="449" t="inlineStr">
        <is>
          <t>200 RCL</t>
        </is>
      </c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</row>
    <row r="37" ht="22" customHeight="1">
      <c r="B37" s="448" t="inlineStr">
        <is>
          <t>T₁ Repayment 1 (300)</t>
        </is>
      </c>
      <c r="C37" s="441" t="n"/>
      <c r="D37" s="441" t="n"/>
      <c r="E37" s="441" t="n"/>
      <c r="F37" s="441" t="n"/>
      <c r="G37" s="441" t="n"/>
      <c r="H37" s="441" t="n"/>
      <c r="I37" s="441" t="n"/>
      <c r="J37" s="441" t="n"/>
      <c r="K37" s="441" t="n"/>
      <c r="L37" s="441" t="n"/>
      <c r="M37" s="441" t="n"/>
      <c r="N37" s="441" t="n"/>
      <c r="O37" s="450" t="inlineStr">
        <is>
          <t>−300</t>
        </is>
      </c>
      <c r="P37" s="441" t="n"/>
      <c r="Q37" s="441" t="n"/>
      <c r="R37" s="441" t="n"/>
    </row>
    <row r="38" ht="22" customHeight="1">
      <c r="B38" s="448" t="inlineStr">
        <is>
          <t>T₁ Repayment 2 (700)</t>
        </is>
      </c>
      <c r="C38" s="441" t="n"/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50" t="inlineStr">
        <is>
          <t>−700</t>
        </is>
      </c>
      <c r="Q38" s="441" t="n"/>
      <c r="R38" s="441" t="n"/>
    </row>
    <row r="39" ht="22" customHeight="1">
      <c r="B39" s="448" t="inlineStr">
        <is>
          <t>T₁ Repayment 3 (500)</t>
        </is>
      </c>
      <c r="C39" s="441" t="n"/>
      <c r="D39" s="441" t="n"/>
      <c r="E39" s="441" t="n"/>
      <c r="F39" s="441" t="n"/>
      <c r="G39" s="441" t="n"/>
      <c r="H39" s="441" t="n"/>
      <c r="I39" s="441" t="n"/>
      <c r="J39" s="441" t="n"/>
      <c r="K39" s="441" t="n"/>
      <c r="L39" s="441" t="n"/>
      <c r="M39" s="441" t="n"/>
      <c r="N39" s="441" t="n"/>
      <c r="O39" s="441" t="n"/>
      <c r="P39" s="441" t="n"/>
      <c r="Q39" s="450" t="inlineStr">
        <is>
          <t>−500</t>
        </is>
      </c>
      <c r="R39" s="441" t="n"/>
    </row>
    <row r="40" ht="22" customHeight="1">
      <c r="B40" s="448" t="inlineStr">
        <is>
          <t>T₁ Final repayment</t>
        </is>
      </c>
      <c r="C40" s="441" t="n"/>
      <c r="D40" s="441" t="n"/>
      <c r="E40" s="441" t="n"/>
      <c r="F40" s="441" t="n"/>
      <c r="G40" s="441" t="n"/>
      <c r="H40" s="441" t="n"/>
      <c r="I40" s="441" t="n"/>
      <c r="J40" s="441" t="n"/>
      <c r="K40" s="441" t="n"/>
      <c r="L40" s="441" t="n"/>
      <c r="M40" s="441" t="n"/>
      <c r="N40" s="441" t="n"/>
      <c r="O40" s="441" t="n"/>
      <c r="P40" s="441" t="n"/>
      <c r="Q40" s="441" t="n"/>
      <c r="R40" s="450" t="inlineStr">
        <is>
          <t>−223</t>
        </is>
      </c>
    </row>
    <row r="43">
      <c r="B43" s="320" t="inlineStr">
        <is>
          <t>III. GOVERNANCE &amp; REPORTING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Board meeting</t>
        </is>
      </c>
      <c r="C46" s="451" t="inlineStr">
        <is>
          <t>BM</t>
        </is>
      </c>
      <c r="D46" s="441" t="n"/>
      <c r="E46" s="451" t="inlineStr">
        <is>
          <t>BM</t>
        </is>
      </c>
      <c r="F46" s="441" t="n"/>
      <c r="G46" s="451" t="inlineStr">
        <is>
          <t>BM</t>
        </is>
      </c>
      <c r="H46" s="441" t="n"/>
      <c r="I46" s="451" t="inlineStr">
        <is>
          <t>BM</t>
        </is>
      </c>
      <c r="J46" s="441" t="n"/>
      <c r="K46" s="451" t="inlineStr">
        <is>
          <t>BM</t>
        </is>
      </c>
      <c r="L46" s="441" t="n"/>
      <c r="M46" s="451" t="inlineStr">
        <is>
          <t>BM</t>
        </is>
      </c>
      <c r="N46" s="441" t="n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 t="n"/>
      <c r="P47" s="441" t="n"/>
      <c r="Q47" s="441" t="n"/>
      <c r="R47" s="441" t="n"/>
    </row>
    <row r="48" ht="22" customHeight="1">
      <c r="B48" s="448" t="inlineStr">
        <is>
          <t>Audit (годовой)</t>
        </is>
      </c>
      <c r="C48" s="441" t="n"/>
      <c r="D48" s="441" t="n"/>
      <c r="E48" s="441" t="n"/>
      <c r="F48" s="451" t="inlineStr">
        <is>
          <t>Audit</t>
        </is>
      </c>
      <c r="G48" s="441" t="n"/>
      <c r="H48" s="441" t="n"/>
      <c r="I48" s="441" t="n"/>
      <c r="J48" s="451" t="inlineStr">
        <is>
          <t>Audit</t>
        </is>
      </c>
      <c r="K48" s="441" t="n"/>
      <c r="L48" s="441" t="n"/>
      <c r="M48" s="441" t="n"/>
      <c r="N48" s="451" t="inlineStr">
        <is>
          <t>Audit</t>
        </is>
      </c>
      <c r="O48" s="451" t="inlineStr">
        <is>
          <t>Audit</t>
        </is>
      </c>
      <c r="P48" s="451" t="inlineStr">
        <is>
          <t>Audit</t>
        </is>
      </c>
      <c r="Q48" s="451" t="inlineStr">
        <is>
          <t>Audit</t>
        </is>
      </c>
      <c r="R48" s="451" t="inlineStr">
        <is>
          <t>Audit</t>
        </is>
      </c>
    </row>
    <row r="49" ht="22" customHeight="1">
      <c r="B49" s="448" t="inlineStr">
        <is>
          <t>Covenant test</t>
        </is>
      </c>
      <c r="C49" s="441" t="n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 t="n"/>
      <c r="P49" s="441" t="n"/>
      <c r="Q49" s="441" t="n"/>
      <c r="R49" s="441" t="n"/>
    </row>
    <row r="50" ht="22" customHeight="1">
      <c r="B50" s="448" t="inlineStr">
        <is>
          <t>Strategic review</t>
        </is>
      </c>
      <c r="C50" s="441" t="n"/>
      <c r="D50" s="441" t="n"/>
      <c r="E50" s="441" t="n"/>
      <c r="F50" s="441" t="n"/>
      <c r="G50" s="441" t="n"/>
      <c r="H50" s="451" t="inlineStr">
        <is>
          <t>Rev</t>
        </is>
      </c>
      <c r="I50" s="441" t="n"/>
      <c r="J50" s="441" t="n"/>
      <c r="K50" s="441" t="n"/>
      <c r="L50" s="441" t="n"/>
      <c r="M50" s="441" t="n"/>
      <c r="N50" s="451" t="inlineStr">
        <is>
          <t>Rev</t>
        </is>
      </c>
      <c r="O50" s="441" t="n"/>
      <c r="P50" s="451" t="inlineStr">
        <is>
          <t>Rev</t>
        </is>
      </c>
      <c r="Q50" s="441" t="n"/>
      <c r="R50" s="451" t="inlineStr">
        <is>
          <t>Rev</t>
        </is>
      </c>
    </row>
    <row r="53">
      <c r="B53" s="320" t="inlineStr">
        <is>
          <t>IV. EXIT ROUTES MILESTONES (из листа 25_Exit_Scenarios)</t>
        </is>
      </c>
    </row>
    <row r="55">
      <c r="B55" s="321" t="inlineStr">
        <is>
          <t>Exit route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sale</t>
        </is>
      </c>
      <c r="C56" s="441" t="n"/>
      <c r="D56" s="441" t="n"/>
      <c r="E56" s="441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52" t="inlineStr">
        <is>
          <t>SS ★</t>
        </is>
      </c>
      <c r="Q56" s="452" t="inlineStr">
        <is>
          <t>SS ★</t>
        </is>
      </c>
      <c r="R56" s="441" t="n"/>
    </row>
    <row r="57" ht="22" customHeight="1">
      <c r="B57" s="448" t="inlineStr">
        <is>
          <t>E2: Trade sale PE</t>
        </is>
      </c>
      <c r="C57" s="441" t="n"/>
      <c r="D57" s="441" t="n"/>
      <c r="E57" s="441" t="n"/>
      <c r="F57" s="441" t="n"/>
      <c r="G57" s="441" t="n"/>
      <c r="H57" s="441" t="n"/>
      <c r="I57" s="441" t="n"/>
      <c r="J57" s="441" t="n"/>
      <c r="K57" s="441" t="n"/>
      <c r="L57" s="441" t="n"/>
      <c r="M57" s="441" t="n"/>
      <c r="N57" s="441" t="n"/>
      <c r="O57" s="441" t="n"/>
      <c r="P57" s="441" t="n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(small-cap Мосбиржа)</t>
        </is>
      </c>
      <c r="C58" s="441" t="n"/>
      <c r="D58" s="441" t="n"/>
      <c r="E58" s="441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52" t="inlineStr">
        <is>
          <t>IPO</t>
        </is>
      </c>
      <c r="R58" s="452" t="inlineStr">
        <is>
          <t>IPO</t>
        </is>
      </c>
    </row>
    <row r="59" ht="22" customHeight="1">
      <c r="B59" s="448" t="inlineStr">
        <is>
          <t>E4: Secondary sale</t>
        </is>
      </c>
      <c r="C59" s="441" t="n"/>
      <c r="D59" s="441" t="n"/>
      <c r="E59" s="441" t="n"/>
      <c r="F59" s="441" t="n"/>
      <c r="G59" s="441" t="n"/>
      <c r="H59" s="441" t="n"/>
      <c r="I59" s="441" t="n"/>
      <c r="J59" s="441" t="n"/>
      <c r="K59" s="441" t="n"/>
      <c r="L59" s="441" t="n"/>
      <c r="M59" s="441" t="n"/>
      <c r="N59" s="441" t="n"/>
      <c r="O59" s="452" t="inlineStr">
        <is>
          <t>Sec</t>
        </is>
      </c>
      <c r="P59" s="452" t="inlineStr">
        <is>
          <t>Sec</t>
        </is>
      </c>
      <c r="Q59" s="441" t="n"/>
      <c r="R59" s="441" t="n"/>
    </row>
    <row r="60" ht="22" customHeight="1">
      <c r="B60" s="448" t="inlineStr">
        <is>
          <t>E5: Management buyout</t>
        </is>
      </c>
      <c r="C60" s="441" t="n"/>
      <c r="D60" s="441" t="n"/>
      <c r="E60" s="441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52" t="inlineStr">
        <is>
          <t>MBO</t>
        </is>
      </c>
    </row>
    <row r="61" ht="22" customHeight="1">
      <c r="B61" s="448" t="inlineStr">
        <is>
          <t>E6: Gov strategic (РФПИ)</t>
        </is>
      </c>
      <c r="C61" s="441" t="n"/>
      <c r="D61" s="441" t="n"/>
      <c r="E61" s="441" t="n"/>
      <c r="F61" s="441" t="n"/>
      <c r="G61" s="441" t="n"/>
      <c r="H61" s="441" t="n"/>
      <c r="I61" s="441" t="n"/>
      <c r="J61" s="441" t="n"/>
      <c r="K61" s="441" t="n"/>
      <c r="L61" s="441" t="n"/>
      <c r="M61" s="441" t="n"/>
      <c r="N61" s="441" t="n"/>
      <c r="O61" s="441" t="n"/>
      <c r="P61" s="452" t="inlineStr">
        <is>
          <t>Gov</t>
        </is>
      </c>
      <c r="Q61" s="452" t="inlineStr">
        <is>
          <t>Gov</t>
        </is>
      </c>
      <c r="R61" s="441" t="n"/>
    </row>
    <row r="62" ht="22" customHeight="1">
      <c r="B62" s="448" t="inlineStr">
        <is>
          <t>E7: Wind-down (hold)</t>
        </is>
      </c>
      <c r="C62" s="441" t="n"/>
      <c r="D62" s="441" t="n"/>
      <c r="E62" s="441" t="n"/>
      <c r="F62" s="441" t="n"/>
      <c r="G62" s="441" t="n"/>
      <c r="H62" s="441" t="n"/>
      <c r="I62" s="441" t="n"/>
      <c r="J62" s="441" t="n"/>
      <c r="K62" s="441" t="n"/>
      <c r="L62" s="441" t="n"/>
      <c r="M62" s="441" t="n"/>
      <c r="N62" s="441" t="n"/>
      <c r="O62" s="441" t="n"/>
      <c r="P62" s="441" t="n"/>
      <c r="Q62" s="441" t="n"/>
      <c r="R62" s="453" t="inlineStr">
        <is>
          <t>WD</t>
        </is>
      </c>
    </row>
    <row r="65">
      <c r="B65" s="454" t="inlineStr">
        <is>
          <t>V. CRITICAL PATH (ключевые зависимости)</t>
        </is>
      </c>
    </row>
    <row r="67">
      <c r="B67" s="323" t="inlineStr">
        <is>
          <t>• Q1'26: T₁ Tranche 1 250 млн ₽ → старт Dev F01-F05</t>
        </is>
      </c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7" t="n"/>
    </row>
    <row r="68">
      <c r="B68" s="323" t="inlineStr">
        <is>
          <t>• Q2'26: Tranche 2 350 → Shoot F01-F02 (без задержки)</t>
        </is>
      </c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7" t="n"/>
    </row>
    <row r="69">
      <c r="B69" s="323" t="inlineStr">
        <is>
          <t>• Q3'26: Tranche 3 350 → Shoot F03-F04, Pre-production F05</t>
        </is>
      </c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7" t="n"/>
    </row>
    <row r="70">
      <c r="B70" s="323" t="inlineStr">
        <is>
          <t>• Q4'26: Tranche 4 300 + Release F01 → первый revenue impulse</t>
        </is>
      </c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7" t="n"/>
    </row>
    <row r="71">
      <c r="B71" s="323" t="inlineStr">
        <is>
          <t>• Q2'27: Release F02-F04 → проверка slate performance vs прогноз</t>
        </is>
      </c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7" t="n"/>
    </row>
    <row r="72">
      <c r="B72" s="323" t="inlineStr">
        <is>
          <t>• Q3'27: Release F05 (блокбастер 250 млн) → critical test hypothesis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7" t="n"/>
    </row>
    <row r="73">
      <c r="B73" s="323" t="inlineStr">
        <is>
          <t>• Q4'27: Mid-term review → решение о продолжении Slate B (F11-F12) или pivot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7" t="n"/>
    </row>
    <row r="74">
      <c r="B74" s="323" t="inlineStr">
        <is>
          <t>• Q2'28: Release F08-F09 → cash flow breakpoint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7" t="n"/>
    </row>
    <row r="75">
      <c r="B75" s="323" t="inlineStr">
        <is>
          <t>• Q4'28: Release F12 + full slate completed → start exit prep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7" t="n"/>
    </row>
    <row r="76">
      <c r="B76" s="323" t="inlineStr">
        <is>
          <t>• 2029: Q1 — covenant pass или W₃ activation decision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7" t="n"/>
    </row>
    <row r="77">
      <c r="B77" s="323" t="inlineStr">
        <is>
          <t>• 2029-2030: Strategic review → exit route selection → T₁ repayment start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7" t="n"/>
    </row>
    <row r="78">
      <c r="B78" s="323" t="inlineStr">
        <is>
          <t>• 2030-2032: Exit execution + full T₁ repayment + library monetization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7" t="n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+ SPA</t>
        </is>
      </c>
      <c r="E84" s="455" t="inlineStr">
        <is>
          <t>Critical</t>
        </is>
      </c>
      <c r="F84" s="323" t="inlineStr">
        <is>
          <t>CFO / Legal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1 (250 млн ₽)</t>
        </is>
      </c>
      <c r="E85" s="455" t="inlineStr">
        <is>
          <t>Critical</t>
        </is>
      </c>
      <c r="F85" s="323" t="inlineStr">
        <is>
          <t>CFO / Board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F01 «Родные стены»</t>
        </is>
      </c>
      <c r="E86" s="399" t="inlineStr">
        <is>
          <t>High</t>
        </is>
      </c>
      <c r="F86" s="323" t="inlineStr">
        <is>
          <t>Producer F01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3 + старт съёмок F05</t>
        </is>
      </c>
      <c r="E87" s="455" t="inlineStr">
        <is>
          <t>Critical</t>
        </is>
      </c>
      <c r="F87" s="323" t="inlineStr">
        <is>
          <t>CFO + F05 Prod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F01 (широкий прокат)</t>
        </is>
      </c>
      <c r="E88" s="399" t="inlineStr">
        <is>
          <t>High</t>
        </is>
      </c>
      <c r="F88" s="323" t="inlineStr">
        <is>
          <t>Distribution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F05 «Время героев» (блокбастер)</t>
        </is>
      </c>
      <c r="E89" s="455" t="inlineStr">
        <is>
          <t>Critical</t>
        </is>
      </c>
      <c r="F89" s="323" t="inlineStr">
        <is>
          <t>CEO / Marketing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+ Slate B decision</t>
        </is>
      </c>
      <c r="E90" s="455" t="inlineStr">
        <is>
          <t>Critical</t>
        </is>
      </c>
      <c r="F90" s="323" t="inlineStr">
        <is>
          <t>Board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+ exit prep start</t>
        </is>
      </c>
      <c r="E91" s="455" t="inlineStr">
        <is>
          <t>Critical</t>
        </is>
      </c>
      <c r="F91" s="323" t="inlineStr">
        <is>
          <t>Board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+ T₁ Repayment 1</t>
        </is>
      </c>
      <c r="E92" s="455" t="inlineStr">
        <is>
          <t>Critical</t>
        </is>
      </c>
      <c r="F92" s="323" t="inlineStr">
        <is>
          <t>CFO / Board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Final T₁ repayment + exit execution</t>
        </is>
      </c>
      <c r="E93" s="455" t="inlineStr">
        <is>
          <t>Critical</t>
        </is>
      </c>
      <c r="F93" s="323" t="inlineStr">
        <is>
          <t>CFO / IR / Board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EXECUTIVE SUMMARY</t>
        </is>
      </c>
    </row>
    <row r="3" ht="18" customHeight="1">
      <c r="B3" s="457" t="inlineStr">
        <is>
          <t>Холдинг кино «ТрендСтудио» — Investor Package v1.0 Public — 2026-04-11</t>
        </is>
      </c>
    </row>
    <row r="5" ht="22" customHeight="1">
      <c r="B5" s="458" t="inlineStr">
        <is>
          <t>I. INVESTMENT HIGHLIGHTS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4 545 млн ₽, GAAP EBITDA margin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600 млн ₽ (off-P&amp;L JV капитал)</t>
        </is>
      </c>
    </row>
    <row r="9" ht="28" customHeight="1">
      <c r="B9" s="459" t="inlineStr">
        <is>
          <t>▶</t>
        </is>
      </c>
      <c r="C9" s="460" t="inlineStr">
        <is>
          <t>GAAP EBITDA Σ = 2 152 млн ₽ | Net Profit Σ = 1 689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≈ 6 038 млн ₽ на 2030, 7 маршрутов выхода (strategic / IPO / secondary / ESOP / buyback / mgmt / вторичный рынок)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KEY METRICS (ЯКОРЯ)</t>
        </is>
      </c>
    </row>
    <row r="16" ht="22" customHeight="1">
      <c r="C16" s="321" t="inlineStr">
        <is>
          <t>Показатель</t>
        </is>
      </c>
      <c r="D16" s="187" t="n"/>
      <c r="E16" s="321" t="inlineStr">
        <is>
          <t>Σ 2026–2028</t>
        </is>
      </c>
      <c r="F16" s="187" t="n"/>
      <c r="G16" s="321" t="inlineStr">
        <is>
          <t>Источник</t>
        </is>
      </c>
      <c r="H16" s="187" t="n"/>
      <c r="I16" s="321" t="inlineStr">
        <is>
          <t>Примечание</t>
        </is>
      </c>
      <c r="J16" s="186" t="n"/>
      <c r="K16" s="186" t="n"/>
      <c r="L16" s="186" t="n"/>
      <c r="M16" s="186" t="n"/>
      <c r="N16" s="187" t="n"/>
    </row>
    <row r="17" ht="20" customHeight="1">
      <c r="C17" s="461" t="inlineStr">
        <is>
          <t>Revenue (Выручка)</t>
        </is>
      </c>
      <c r="D17" s="187" t="n"/>
      <c r="E17" s="328" t="inlineStr">
        <is>
          <t>4 545 млн ₽</t>
        </is>
      </c>
      <c r="F17" s="187" t="n"/>
      <c r="G17" s="464" t="inlineStr">
        <is>
          <t>07_Revenue_Breakdown</t>
        </is>
      </c>
      <c r="H17" s="187" t="n"/>
      <c r="I17" s="465" t="inlineStr">
        <is>
          <t>12 фильмов + сиквелы + TV/OTT</t>
        </is>
      </c>
      <c r="J17" s="186" t="n"/>
      <c r="K17" s="186" t="n"/>
      <c r="L17" s="186" t="n"/>
      <c r="M17" s="186" t="n"/>
      <c r="N17" s="187" t="n"/>
    </row>
    <row r="18" ht="20" customHeight="1">
      <c r="C18" s="461" t="inlineStr">
        <is>
          <t>COGS (Себестоимость)</t>
        </is>
      </c>
      <c r="D18" s="187" t="n"/>
      <c r="E18" s="328" t="inlineStr">
        <is>
          <t>2 127.5 млн ₽</t>
        </is>
      </c>
      <c r="F18" s="187" t="n"/>
      <c r="G18" s="464" t="inlineStr">
        <is>
          <t>06_Cost_Structure</t>
        </is>
      </c>
      <c r="H18" s="187" t="n"/>
      <c r="I18" s="465" t="inlineStr">
        <is>
          <t>Производство + прокат + маркетинг</t>
        </is>
      </c>
      <c r="J18" s="186" t="n"/>
      <c r="K18" s="186" t="n"/>
      <c r="L18" s="186" t="n"/>
      <c r="M18" s="186" t="n"/>
      <c r="N18" s="187" t="n"/>
    </row>
    <row r="19" ht="20" customHeight="1">
      <c r="C19" s="461" t="inlineStr">
        <is>
          <t>OpEx</t>
        </is>
      </c>
      <c r="D19" s="187" t="n"/>
      <c r="E19" s="328" t="inlineStr">
        <is>
          <t>265.5 млн ₽</t>
        </is>
      </c>
      <c r="F19" s="187" t="n"/>
      <c r="G19" s="464" t="inlineStr">
        <is>
          <t>06_Cost_Structure</t>
        </is>
      </c>
      <c r="H19" s="187" t="n"/>
      <c r="I19" s="465" t="inlineStr">
        <is>
          <t>ФОТ + аренда + G&amp;A</t>
        </is>
      </c>
      <c r="J19" s="186" t="n"/>
      <c r="K19" s="186" t="n"/>
      <c r="L19" s="186" t="n"/>
      <c r="M19" s="186" t="n"/>
      <c r="N19" s="187" t="n"/>
    </row>
    <row r="20" ht="20" customHeight="1">
      <c r="C20" s="461" t="inlineStr">
        <is>
          <t>EBITDA (GAAP)</t>
        </is>
      </c>
      <c r="D20" s="187" t="n"/>
      <c r="E20" s="328" t="inlineStr">
        <is>
          <t>2 152 млн ₽</t>
        </is>
      </c>
      <c r="F20" s="187" t="n"/>
      <c r="G20" s="464" t="inlineStr">
        <is>
          <t>09_P&amp;L_Statement</t>
        </is>
      </c>
      <c r="H20" s="187" t="n"/>
      <c r="I20" s="465" t="inlineStr">
        <is>
          <t>Margin 47.3%</t>
        </is>
      </c>
      <c r="J20" s="186" t="n"/>
      <c r="K20" s="186" t="n"/>
      <c r="L20" s="186" t="n"/>
      <c r="M20" s="186" t="n"/>
      <c r="N20" s="187" t="n"/>
    </row>
    <row r="21" ht="20" customHeight="1">
      <c r="C21" s="461" t="inlineStr">
        <is>
          <t>NDP (legacy anchor)</t>
        </is>
      </c>
      <c r="D21" s="187" t="n"/>
      <c r="E21" s="328" t="inlineStr">
        <is>
          <t>3 000 млн ₽</t>
        </is>
      </c>
      <c r="F21" s="187" t="n"/>
      <c r="G21" s="464" t="inlineStr">
        <is>
          <t>09_P&amp;L (bridge)</t>
        </is>
      </c>
      <c r="H21" s="187" t="n"/>
      <c r="I21" s="465" t="inlineStr">
        <is>
          <t>Non-Discounted Profit, внутренний якорь холдинга</t>
        </is>
      </c>
      <c r="J21" s="186" t="n"/>
      <c r="K21" s="186" t="n"/>
      <c r="L21" s="186" t="n"/>
      <c r="M21" s="186" t="n"/>
      <c r="N21" s="187" t="n"/>
    </row>
    <row r="22" ht="20" customHeight="1">
      <c r="C22" s="461" t="inlineStr">
        <is>
          <t>Net Profit</t>
        </is>
      </c>
      <c r="D22" s="187" t="n"/>
      <c r="E22" s="328" t="inlineStr">
        <is>
          <t>1 689 млн ₽</t>
        </is>
      </c>
      <c r="F22" s="187" t="n"/>
      <c r="G22" s="464" t="inlineStr">
        <is>
          <t>09_P&amp;L_Statement</t>
        </is>
      </c>
      <c r="H22" s="187" t="n"/>
      <c r="I22" s="465" t="inlineStr">
        <is>
          <t>После налогов (prib 20% + прочее)</t>
        </is>
      </c>
      <c r="J22" s="186" t="n"/>
      <c r="K22" s="186" t="n"/>
      <c r="L22" s="186" t="n"/>
      <c r="M22" s="186" t="n"/>
      <c r="N22" s="187" t="n"/>
    </row>
    <row r="23" ht="20" customHeight="1">
      <c r="C23" s="461" t="inlineStr">
        <is>
          <t>Investment T₁</t>
        </is>
      </c>
      <c r="D23" s="187" t="n"/>
      <c r="E23" s="328" t="inlineStr">
        <is>
          <t>1 250 млн ₽</t>
        </is>
      </c>
      <c r="F23" s="187" t="n"/>
      <c r="G23" s="464" t="inlineStr">
        <is>
          <t>14_Investment_Inflow</t>
        </is>
      </c>
      <c r="H23" s="187" t="n"/>
      <c r="I23" s="465" t="inlineStr">
        <is>
          <t>4 транша: 250 / 350 / 350 / 300</t>
        </is>
      </c>
      <c r="J23" s="186" t="n"/>
      <c r="K23" s="186" t="n"/>
      <c r="L23" s="186" t="n"/>
      <c r="M23" s="186" t="n"/>
      <c r="N23" s="187" t="n"/>
    </row>
    <row r="24" ht="20" customHeight="1">
      <c r="C24" s="461" t="inlineStr">
        <is>
          <t>Producer Equity</t>
        </is>
      </c>
      <c r="D24" s="187" t="n"/>
      <c r="E24" s="328" t="inlineStr">
        <is>
          <t>600 млн ₽</t>
        </is>
      </c>
      <c r="F24" s="187" t="n"/>
      <c r="G24" s="464" t="inlineStr">
        <is>
          <t>17_Deal_Structures</t>
        </is>
      </c>
      <c r="H24" s="187" t="n"/>
      <c r="I24" s="465" t="inlineStr">
        <is>
          <t>JV капитал продюсеров (off-P&amp;L)</t>
        </is>
      </c>
      <c r="J24" s="186" t="n"/>
      <c r="K24" s="186" t="n"/>
      <c r="L24" s="186" t="n"/>
      <c r="M24" s="186" t="n"/>
      <c r="N24" s="187" t="n"/>
    </row>
    <row r="25" ht="20" customHeight="1">
      <c r="C25" s="461" t="inlineStr">
        <is>
          <t>Production Budget</t>
        </is>
      </c>
      <c r="D25" s="187" t="n"/>
      <c r="E25" s="328" t="inlineStr">
        <is>
          <t>1 850 млн ₽</t>
        </is>
      </c>
      <c r="F25" s="187" t="n"/>
      <c r="G25" s="464" t="inlineStr">
        <is>
          <t>08_Content_Pipeline</t>
        </is>
      </c>
      <c r="H25" s="187" t="n"/>
      <c r="I25" s="465" t="inlineStr">
        <is>
          <t>12 фильмов × avg 154 млн ₽</t>
        </is>
      </c>
      <c r="J25" s="186" t="n"/>
      <c r="K25" s="186" t="n"/>
      <c r="L25" s="186" t="n"/>
      <c r="M25" s="186" t="n"/>
      <c r="N25" s="187" t="n"/>
    </row>
    <row r="26" ht="20" customHeight="1">
      <c r="C26" s="461" t="inlineStr">
        <is>
          <t>Tax (7-year)</t>
        </is>
      </c>
      <c r="D26" s="187" t="n"/>
      <c r="E26" s="328" t="inlineStr">
        <is>
          <t>720 млн ₽</t>
        </is>
      </c>
      <c r="F26" s="187" t="n"/>
      <c r="G26" s="464" t="inlineStr">
        <is>
          <t>34_Tax_Schedule</t>
        </is>
      </c>
      <c r="H26" s="187" t="n"/>
      <c r="I26" s="465" t="inlineStr">
        <is>
          <t>2026–2032, эффективная ставка 12.9% от Revenue</t>
        </is>
      </c>
      <c r="J26" s="186" t="n"/>
      <c r="K26" s="186" t="n"/>
      <c r="L26" s="186" t="n"/>
      <c r="M26" s="186" t="n"/>
      <c r="N26" s="187" t="n"/>
    </row>
    <row r="29" ht="22" customHeight="1">
      <c r="B29" s="466" t="inlineStr">
        <is>
          <t>III. VALUATION RANGE INTERPRETATION (DCF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 t="n"/>
      <c r="D33" s="186" t="n"/>
      <c r="E33" s="187" t="n"/>
      <c r="F33" s="321" t="inlineStr">
        <is>
          <t>EV 2030</t>
        </is>
      </c>
      <c r="G33" s="186" t="n"/>
      <c r="H33" s="187" t="n"/>
      <c r="I33" s="432" t="inlineStr">
        <is>
          <t>Роль в оценке</t>
        </is>
      </c>
      <c r="J33" s="186" t="n"/>
      <c r="K33" s="186" t="n"/>
      <c r="L33" s="187" t="n"/>
      <c r="M33" s="432" t="inlineStr">
        <is>
          <t>Источник</t>
        </is>
      </c>
      <c r="N33" s="187" t="n"/>
    </row>
    <row r="34" ht="32" customHeight="1">
      <c r="B34" s="461" t="inlineStr">
        <is>
          <t>DCF (blend Gordon 40% + Exit 60%)</t>
        </is>
      </c>
      <c r="C34" s="186" t="n"/>
      <c r="D34" s="186" t="n"/>
      <c r="E34" s="187" t="n"/>
      <c r="F34" s="328" t="inlineStr">
        <is>
          <t>1 815 млн ₽</t>
        </is>
      </c>
      <c r="G34" s="186" t="n"/>
      <c r="H34" s="187" t="n"/>
      <c r="I34" s="465" t="inlineStr">
        <is>
          <t>Floor valuation (intrinsic, 5-летний горизонт, высокий WACC)</t>
        </is>
      </c>
      <c r="J34" s="186" t="n"/>
      <c r="K34" s="186" t="n"/>
      <c r="L34" s="187" t="n"/>
      <c r="M34" s="465" t="inlineStr">
        <is>
          <t>22_Valuation_DCF</t>
        </is>
      </c>
      <c r="N34" s="187" t="n"/>
    </row>
    <row r="35" ht="32" customHeight="1">
      <c r="B35" s="461" t="inlineStr">
        <is>
          <t>Comps Median (EV/EBITDA 8.9×)</t>
        </is>
      </c>
      <c r="C35" s="186" t="n"/>
      <c r="D35" s="186" t="n"/>
      <c r="E35" s="187" t="n"/>
      <c r="F35" s="328" t="inlineStr">
        <is>
          <t>7 550 млн ₽</t>
        </is>
      </c>
      <c r="G35" s="186" t="n"/>
      <c r="H35" s="187" t="n"/>
      <c r="I35" s="465" t="inlineStr">
        <is>
          <t>Market valuation (что реально платят в сделках)</t>
        </is>
      </c>
      <c r="J35" s="186" t="n"/>
      <c r="K35" s="186" t="n"/>
      <c r="L35" s="187" t="n"/>
      <c r="M35" s="465" t="inlineStr">
        <is>
          <t>32_Comparable_Transactions</t>
        </is>
      </c>
      <c r="N35" s="187" t="n"/>
    </row>
    <row r="36" ht="32" customHeight="1">
      <c r="B36" s="461" t="inlineStr">
        <is>
          <t>Weighted Exit EV (probability-weighted)</t>
        </is>
      </c>
      <c r="C36" s="186" t="n"/>
      <c r="D36" s="186" t="n"/>
      <c r="E36" s="187" t="n"/>
      <c r="F36" s="328" t="inlineStr">
        <is>
          <t>6 038 млн ₽</t>
        </is>
      </c>
      <c r="G36" s="186" t="n"/>
      <c r="H36" s="187" t="n"/>
      <c r="I36" s="465" t="inlineStr">
        <is>
          <t>Expected value (переговорный ориентир)</t>
        </is>
      </c>
      <c r="J36" s="186" t="n"/>
      <c r="K36" s="186" t="n"/>
      <c r="L36" s="187" t="n"/>
      <c r="M36" s="465" t="inlineStr">
        <is>
          <t>25_Exit_Scenarios</t>
        </is>
      </c>
      <c r="N36" s="187" t="n"/>
    </row>
    <row r="39" ht="20" customHeight="1">
      <c r="B39" s="470" t="inlineStr">
        <is>
          <t>Разрыв DCF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 t="n"/>
      <c r="E41" s="187" t="n"/>
      <c r="F41" s="321" t="inlineStr">
        <is>
          <t>Механика</t>
        </is>
      </c>
      <c r="G41" s="186" t="n"/>
      <c r="H41" s="186" t="n"/>
      <c r="I41" s="186" t="n"/>
      <c r="J41" s="186" t="n"/>
      <c r="K41" s="186" t="n"/>
      <c r="L41" s="187" t="n"/>
      <c r="M41" s="321" t="inlineStr">
        <is>
          <t>Вклад</t>
        </is>
      </c>
      <c r="N41" s="187" t="n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 t="n"/>
      <c r="E42" s="187" t="n"/>
      <c r="F42" s="471" t="inlineStr">
        <is>
          <t>Gordon Growth TV сжимает 30-летнюю библиотеку в константу g=3%. Фильмы 2028 года монетизируются до ~2048, но при WACC 19% CF 2046 = 0.5% от номинала. Cash flow из tail-окна не попадает в оценку.</t>
        </is>
      </c>
      <c r="G42" s="186" t="n"/>
      <c r="H42" s="186" t="n"/>
      <c r="I42" s="186" t="n"/>
      <c r="J42" s="186" t="n"/>
      <c r="K42" s="186" t="n"/>
      <c r="L42" s="187" t="n"/>
      <c r="M42" s="416" t="inlineStr">
        <is>
          <t>+2 500</t>
        </is>
      </c>
      <c r="N42" s="187" t="n"/>
    </row>
    <row r="43" ht="52" customHeight="1">
      <c r="B43" s="414" t="inlineStr">
        <is>
          <t>2</t>
        </is>
      </c>
      <c r="C43" s="471" t="inlineStr">
        <is>
          <t>WACC 19% vs buyer WACC 7%</t>
        </is>
      </c>
      <c r="D43" s="186" t="n"/>
      <c r="E43" s="187" t="n"/>
      <c r="F43" s="471" t="inlineStr">
        <is>
          <t>Страновой premium РФ «съедает» дальний tail. Strategic buyer (Яндекс / Сбер / Газпром-Медиа) дисконтирует тот же CF stream под 7–9%, получая принципиально другой NPV. Comps отражают цены buyer-side, не seller-side.</t>
        </is>
      </c>
      <c r="G43" s="186" t="n"/>
      <c r="H43" s="186" t="n"/>
      <c r="I43" s="186" t="n"/>
      <c r="J43" s="186" t="n"/>
      <c r="K43" s="186" t="n"/>
      <c r="L43" s="187" t="n"/>
      <c r="M43" s="416" t="inlineStr">
        <is>
          <t>+1 500</t>
        </is>
      </c>
      <c r="N43" s="187" t="n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 t="n"/>
      <c r="E44" s="187" t="n"/>
      <c r="F44" s="471" t="inlineStr">
        <is>
          <t>Франшизы (сиквелы F05, F12), кросс-медиа (игры, мерч, театр), международная копродукция — это опционные payoffs с асимметричным upside. DCF считает их = 0, хотя precedent transactions (Marvel, Harry Potter) показывают 3–5× upside от франшиз.</t>
        </is>
      </c>
      <c r="G44" s="186" t="n"/>
      <c r="H44" s="186" t="n"/>
      <c r="I44" s="186" t="n"/>
      <c r="J44" s="186" t="n"/>
      <c r="K44" s="186" t="n"/>
      <c r="L44" s="187" t="n"/>
      <c r="M44" s="416" t="inlineStr">
        <is>
          <t>+1 500</t>
        </is>
      </c>
      <c r="N44" s="187" t="n"/>
    </row>
    <row r="45" ht="52" customHeight="1">
      <c r="B45" s="414" t="inlineStr">
        <is>
          <t>4</t>
        </is>
      </c>
      <c r="C45" s="471" t="inlineStr">
        <is>
          <t>Execution risk — двойное начисление</t>
        </is>
      </c>
      <c r="D45" s="186" t="n"/>
      <c r="E45" s="187" t="n"/>
      <c r="F45" s="471" t="inlineStr">
        <is>
          <t>В DCF высокий WACC 19% + реалистичный forecast (без hockey-stick) = два независимых слоя консерватизма. В Multiples исполнительский риск уже реализован в цене сделок-прецедентов — double-counting устранён.</t>
        </is>
      </c>
      <c r="G45" s="186" t="n"/>
      <c r="H45" s="186" t="n"/>
      <c r="I45" s="186" t="n"/>
      <c r="J45" s="186" t="n"/>
      <c r="K45" s="186" t="n"/>
      <c r="L45" s="187" t="n"/>
      <c r="M45" s="416" t="inlineStr">
        <is>
          <t>(встроено)</t>
        </is>
      </c>
      <c r="N45" s="187" t="n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 t="n"/>
      <c r="E46" s="187" t="n"/>
      <c r="F46" s="471" t="inlineStr">
        <is>
          <t>CAPEX падает к 2029–2030 (инвестиционный цикл T₁ завершён), FCF растёт импульсом. Gordon g=3% сглаживает этот impulse в линейный рост и занижает post-peak cash generation.</t>
        </is>
      </c>
      <c r="G46" s="186" t="n"/>
      <c r="H46" s="186" t="n"/>
      <c r="I46" s="186" t="n"/>
      <c r="J46" s="186" t="n"/>
      <c r="K46" s="186" t="n"/>
      <c r="L46" s="187" t="n"/>
      <c r="M46" s="416" t="inlineStr">
        <is>
          <t>+500</t>
        </is>
      </c>
      <c r="N46" s="187" t="n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76" t="inlineStr">
        <is>
          <t>≈ +5 500</t>
        </is>
      </c>
      <c r="N47" s="187" t="n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1 815 млн ₽ — floor valuation (даунсайд, intrinsic, без опций и премий). Используется как downside benchmark при worst-case переговорах, не как fair exit price.
• Comps median 7 550 млн ₽ — market valuation (апсайд, что реально платят strategic buyers). Используется как upside anchor для блокировки нижней границы предложения.
• Weighted Exit EV 6 038 млн ₽ (probability-weighted) — expected value, оптимальный ориентир для переговоров и дизайна деал-структуры. Именно этот value закладывается в Investor Returns (24_Investor_Returns) и IRR расчёты.</t>
        </is>
      </c>
    </row>
    <row r="53" ht="22" customHeight="1">
      <c r="B53" s="458" t="inlineStr">
        <is>
          <t>IV. RISK SUMMARY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 t="n"/>
      <c r="E55" s="186" t="n"/>
      <c r="F55" s="187" t="n"/>
      <c r="G55" s="321" t="inlineStr">
        <is>
          <t>Категория</t>
        </is>
      </c>
      <c r="H55" s="187" t="n"/>
      <c r="I55" s="321" t="inlineStr">
        <is>
          <t>S×L</t>
        </is>
      </c>
      <c r="J55" s="321" t="inlineStr">
        <is>
          <t>Score</t>
        </is>
      </c>
      <c r="K55" s="187" t="n"/>
      <c r="L55" s="321" t="inlineStr">
        <is>
          <t>Митигация</t>
        </is>
      </c>
      <c r="M55" s="186" t="n"/>
      <c r="N55" s="187" t="n"/>
    </row>
    <row r="56" ht="36" customHeight="1">
      <c r="B56" s="414" t="inlineStr">
        <is>
          <t>R17</t>
        </is>
      </c>
      <c r="C56" s="471" t="inlineStr">
        <is>
          <t>Недостижение IRR hurdle 18% для T₁ Base</t>
        </is>
      </c>
      <c r="D56" s="186" t="n"/>
      <c r="E56" s="186" t="n"/>
      <c r="F56" s="187" t="n"/>
      <c r="G56" s="471" t="inlineStr">
        <is>
          <t>Financial</t>
        </is>
      </c>
      <c r="H56" s="187" t="n"/>
      <c r="I56" s="478" t="inlineStr">
        <is>
          <t>4×5</t>
        </is>
      </c>
      <c r="J56" s="479" t="inlineStr">
        <is>
          <t>20 (Critical)</t>
        </is>
      </c>
      <c r="K56" s="187" t="n"/>
      <c r="L56" s="471" t="inlineStr">
        <is>
          <t>Waterfall защита, preferred return 12%, makewhole clause</t>
        </is>
      </c>
      <c r="M56" s="186" t="n"/>
      <c r="N56" s="187" t="n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 t="n"/>
      <c r="E57" s="186" t="n"/>
      <c r="F57" s="187" t="n"/>
      <c r="G57" s="471" t="inlineStr">
        <is>
          <t>Production</t>
        </is>
      </c>
      <c r="H57" s="187" t="n"/>
      <c r="I57" s="478" t="inlineStr">
        <is>
          <t>3×4</t>
        </is>
      </c>
      <c r="J57" s="416" t="inlineStr">
        <is>
          <t>12 (High)</t>
        </is>
      </c>
      <c r="K57" s="187" t="n"/>
      <c r="L57" s="471" t="inlineStr">
        <is>
          <t>Pre-financing reserve 10%, страхование срывов, 2-х треков post-prod</t>
        </is>
      </c>
      <c r="M57" s="186" t="n"/>
      <c r="N57" s="187" t="n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 t="n"/>
      <c r="E58" s="186" t="n"/>
      <c r="F58" s="187" t="n"/>
      <c r="G58" s="471" t="inlineStr">
        <is>
          <t>Regulatory</t>
        </is>
      </c>
      <c r="H58" s="187" t="n"/>
      <c r="I58" s="478" t="inlineStr">
        <is>
          <t>4×3</t>
        </is>
      </c>
      <c r="J58" s="416" t="inlineStr">
        <is>
          <t>12 (High)</t>
        </is>
      </c>
      <c r="K58" s="187" t="n"/>
      <c r="L58" s="471" t="inlineStr">
        <is>
          <t>Двойной трек заявок, диверсификация источников (ФКП + регионы + РФК)</t>
        </is>
      </c>
      <c r="M58" s="186" t="n"/>
      <c r="N58" s="187" t="n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 t="n"/>
      <c r="E59" s="186" t="n"/>
      <c r="F59" s="187" t="n"/>
      <c r="G59" s="471" t="inlineStr">
        <is>
          <t>Market</t>
        </is>
      </c>
      <c r="H59" s="187" t="n"/>
      <c r="I59" s="478" t="inlineStr">
        <is>
          <t>3×4</t>
        </is>
      </c>
      <c r="J59" s="416" t="inlineStr">
        <is>
          <t>12 (High)</t>
        </is>
      </c>
      <c r="K59" s="187" t="n"/>
      <c r="L59" s="471" t="inlineStr">
        <is>
          <t>VFX/post-prod в РФ, долларовые контракты минимизированы, FX hedge для платформ</t>
        </is>
      </c>
      <c r="M59" s="186" t="n"/>
      <c r="N59" s="187" t="n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 t="n"/>
      <c r="E60" s="186" t="n"/>
      <c r="F60" s="187" t="n"/>
      <c r="G60" s="471" t="inlineStr">
        <is>
          <t>Operational</t>
        </is>
      </c>
      <c r="H60" s="187" t="n"/>
      <c r="I60" s="478" t="inlineStr">
        <is>
          <t>2×5</t>
        </is>
      </c>
      <c r="J60" s="416" t="inlineStr">
        <is>
          <t>10 (High)</t>
        </is>
      </c>
      <c r="K60" s="187" t="n"/>
      <c r="L60" s="471" t="inlineStr">
        <is>
          <t>Long-term contracts, ESOP vesting 4 года, 2nd-tier bench</t>
        </is>
      </c>
      <c r="M60" s="186" t="n"/>
      <c r="N60" s="187" t="n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 t="n"/>
      <c r="E67" s="186" t="n"/>
      <c r="F67" s="187" t="n"/>
      <c r="G67" s="321" t="inlineStr">
        <is>
          <t>P</t>
        </is>
      </c>
      <c r="H67" s="321" t="inlineStr">
        <is>
          <t>Окно</t>
        </is>
      </c>
      <c r="I67" s="187" t="n"/>
      <c r="J67" s="321" t="inlineStr">
        <is>
          <t>Условия / премия</t>
        </is>
      </c>
      <c r="K67" s="186" t="n"/>
      <c r="L67" s="186" t="n"/>
      <c r="M67" s="186" t="n"/>
      <c r="N67" s="187" t="n"/>
    </row>
    <row r="68" ht="22" customHeight="1">
      <c r="B68" s="400" t="inlineStr">
        <is>
          <t>E1</t>
        </is>
      </c>
      <c r="C68" s="481" t="inlineStr">
        <is>
          <t>Strategic sale — Яндекс / Сбер</t>
        </is>
      </c>
      <c r="D68" s="186" t="n"/>
      <c r="E68" s="186" t="n"/>
      <c r="F68" s="187" t="n"/>
      <c r="G68" s="322" t="inlineStr">
        <is>
          <t>30%</t>
        </is>
      </c>
      <c r="H68" s="322" t="inlineStr">
        <is>
          <t>2030</t>
        </is>
      </c>
      <c r="I68" s="187" t="n"/>
      <c r="J68" s="481" t="inlineStr">
        <is>
          <t>EV/EBITDA 9–11×, control premium 20%</t>
        </is>
      </c>
      <c r="K68" s="186" t="n"/>
      <c r="L68" s="186" t="n"/>
      <c r="M68" s="186" t="n"/>
      <c r="N68" s="187" t="n"/>
    </row>
    <row r="69" ht="22" customHeight="1">
      <c r="B69" s="400" t="inlineStr">
        <is>
          <t>E2</t>
        </is>
      </c>
      <c r="C69" s="481" t="inlineStr">
        <is>
          <t>Strategic sale — Газпром-Медиа / НМГ</t>
        </is>
      </c>
      <c r="D69" s="186" t="n"/>
      <c r="E69" s="186" t="n"/>
      <c r="F69" s="187" t="n"/>
      <c r="G69" s="322" t="inlineStr">
        <is>
          <t>20%</t>
        </is>
      </c>
      <c r="H69" s="322" t="inlineStr">
        <is>
          <t>2030</t>
        </is>
      </c>
      <c r="I69" s="187" t="n"/>
      <c r="J69" s="481" t="inlineStr">
        <is>
          <t>EV/EBITDA 7–9×, vertical integration premium</t>
        </is>
      </c>
      <c r="K69" s="186" t="n"/>
      <c r="L69" s="186" t="n"/>
      <c r="M69" s="186" t="n"/>
      <c r="N69" s="187" t="n"/>
    </row>
    <row r="70" ht="22" customHeight="1">
      <c r="B70" s="400" t="inlineStr">
        <is>
          <t>E3</t>
        </is>
      </c>
      <c r="C70" s="481" t="inlineStr">
        <is>
          <t>IPO на Мосбирже (main list)</t>
        </is>
      </c>
      <c r="D70" s="186" t="n"/>
      <c r="E70" s="186" t="n"/>
      <c r="F70" s="187" t="n"/>
      <c r="G70" s="322" t="inlineStr">
        <is>
          <t>15%</t>
        </is>
      </c>
      <c r="H70" s="322" t="inlineStr">
        <is>
          <t>2030–2031</t>
        </is>
      </c>
      <c r="I70" s="187" t="n"/>
      <c r="J70" s="481" t="inlineStr">
        <is>
          <t>Free float 25%, P/E 15–18×</t>
        </is>
      </c>
      <c r="K70" s="186" t="n"/>
      <c r="L70" s="186" t="n"/>
      <c r="M70" s="186" t="n"/>
      <c r="N70" s="187" t="n"/>
    </row>
    <row r="71" ht="22" customHeight="1">
      <c r="B71" s="400" t="inlineStr">
        <is>
          <t>E4</t>
        </is>
      </c>
      <c r="C71" s="481" t="inlineStr">
        <is>
          <t>Secondary placement (PE / VC)</t>
        </is>
      </c>
      <c r="D71" s="186" t="n"/>
      <c r="E71" s="186" t="n"/>
      <c r="F71" s="187" t="n"/>
      <c r="G71" s="322" t="inlineStr">
        <is>
          <t>15%</t>
        </is>
      </c>
      <c r="H71" s="322" t="inlineStr">
        <is>
          <t>2029–2030</t>
        </is>
      </c>
      <c r="I71" s="187" t="n"/>
      <c r="J71" s="481" t="inlineStr">
        <is>
          <t>Partial exit, roll-over 40–50%</t>
        </is>
      </c>
      <c r="K71" s="186" t="n"/>
      <c r="L71" s="186" t="n"/>
      <c r="M71" s="186" t="n"/>
      <c r="N71" s="187" t="n"/>
    </row>
    <row r="72" ht="22" customHeight="1">
      <c r="B72" s="400" t="inlineStr">
        <is>
          <t>E5</t>
        </is>
      </c>
      <c r="C72" s="481" t="inlineStr">
        <is>
          <t>ESOP buyout (management)</t>
        </is>
      </c>
      <c r="D72" s="186" t="n"/>
      <c r="E72" s="186" t="n"/>
      <c r="F72" s="187" t="n"/>
      <c r="G72" s="322" t="inlineStr">
        <is>
          <t>10%</t>
        </is>
      </c>
      <c r="H72" s="322" t="inlineStr">
        <is>
          <t>2030</t>
        </is>
      </c>
      <c r="I72" s="187" t="n"/>
      <c r="J72" s="481" t="inlineStr">
        <is>
          <t>Discounted valuation, ESG premium</t>
        </is>
      </c>
      <c r="K72" s="186" t="n"/>
      <c r="L72" s="186" t="n"/>
      <c r="M72" s="186" t="n"/>
      <c r="N72" s="187" t="n"/>
    </row>
    <row r="73" ht="22" customHeight="1">
      <c r="B73" s="400" t="inlineStr">
        <is>
          <t>E6</t>
        </is>
      </c>
      <c r="C73" s="481" t="inlineStr">
        <is>
          <t>Buyback (sponsor put option)</t>
        </is>
      </c>
      <c r="D73" s="186" t="n"/>
      <c r="E73" s="186" t="n"/>
      <c r="F73" s="187" t="n"/>
      <c r="G73" s="322" t="inlineStr">
        <is>
          <t>5%</t>
        </is>
      </c>
      <c r="H73" s="322" t="inlineStr">
        <is>
          <t>2029</t>
        </is>
      </c>
      <c r="I73" s="187" t="n"/>
      <c r="J73" s="481" t="inlineStr">
        <is>
          <t>Downside protection, IRR floor 12%</t>
        </is>
      </c>
      <c r="K73" s="186" t="n"/>
      <c r="L73" s="186" t="n"/>
      <c r="M73" s="186" t="n"/>
      <c r="N73" s="187" t="n"/>
    </row>
    <row r="74" ht="22" customHeight="1">
      <c r="B74" s="400" t="inlineStr">
        <is>
          <t>E7</t>
        </is>
      </c>
      <c r="C74" s="481" t="inlineStr">
        <is>
          <t>Open secondary market</t>
        </is>
      </c>
      <c r="D74" s="186" t="n"/>
      <c r="E74" s="186" t="n"/>
      <c r="F74" s="187" t="n"/>
      <c r="G74" s="322" t="inlineStr">
        <is>
          <t>5%</t>
        </is>
      </c>
      <c r="H74" s="322" t="inlineStr">
        <is>
          <t>2030+</t>
        </is>
      </c>
      <c r="I74" s="187" t="n"/>
      <c r="J74" s="481" t="inlineStr">
        <is>
          <t>Preservation of control, drag-along terms</t>
        </is>
      </c>
      <c r="K74" s="186" t="n"/>
      <c r="L74" s="186" t="n"/>
      <c r="M74" s="186" t="n"/>
      <c r="N74" s="187" t="n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RECOMMENDATION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Production gate 2026Q3 — 350 млн ₽, Release gate 2027Q2 — 350 млн ₽, Library gate 2028Q1 — 300 млн ₽).
ОСНОВАНИЯ:
(1) Якорные метрики устойчивы: GAAP EBITDA 2 152 млн ₽ при margin 47.3% — 2.4× выше отраслевой медианы РФ (20%);
(2) Expected exit value 6 038 млн ₽ даёт MoIC ≈ 4.8× и IRR 38%+ при probability-weighted раскладе;
(3) Downside защита: DCF floor 1 815 млн ₽ + preferred return 12% + makewhole clause;
(4) Гос-alignment с 6 национальными проектами обеспечивает ~1 040 млн ₽ non-dilutive funding;
(5) Risk register 30 рисков с митигациями, ни один не является deal-breaker для Base сценария.
СЛЕДУЮЩИЕ ШАГИ: (a) подписание term sheet с ключевыми LP до 2026Q2, (b) финальный due diligence по Pipeline 08 и Tax Schedule 34, (c) first tranche closing 2026Q2 (250 млн ₽).</t>
        </is>
      </c>
    </row>
    <row r="84" ht="36" customHeight="1">
      <c r="B84" s="482" t="inlineStr">
        <is>
          <t>⚠ Данный Executive Summary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483" t="inlineStr">
        <is>
          <t>Категория</t>
        </is>
      </c>
      <c r="N5" s="187" t="n"/>
    </row>
    <row r="6" ht="72" customHeight="1">
      <c r="B6" s="484" t="n">
        <v>1</v>
      </c>
      <c r="C6" s="485" t="inlineStr">
        <is>
          <t>EBITDA</t>
        </is>
      </c>
      <c r="D6" s="471" t="inlineStr">
        <is>
          <t>Earnings Before Interest, Taxes, Depreciation, Amortization — прибыль до вычета процентов, налогов и амортизации. В этой модели — GAAP EBITDA, рассчитанная по российской отчётности.</t>
        </is>
      </c>
      <c r="E6" s="186" t="n"/>
      <c r="F6" s="186" t="n"/>
      <c r="G6" s="186" t="n"/>
      <c r="H6" s="186" t="n"/>
      <c r="I6" s="186" t="n"/>
      <c r="J6" s="186" t="n"/>
      <c r="K6" s="186" t="n"/>
      <c r="L6" s="187" t="n"/>
      <c r="M6" s="486" t="inlineStr">
        <is>
          <t>FIN</t>
        </is>
      </c>
      <c r="N6" s="187" t="n"/>
    </row>
    <row r="7" ht="72" customHeight="1">
      <c r="B7" s="484" t="n">
        <v>2</v>
      </c>
      <c r="C7" s="485" t="inlineStr">
        <is>
          <t>GAAP EBITDA</t>
        </is>
      </c>
      <c r="D7" s="471" t="inlineStr">
        <is>
          <t>EBITDA, рассчитанная в соответствии с принципами бухучёта (Generally Accepted Accounting Principles). В ТрендСтудио = 2 152 млн ₽ за 3 года.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486" t="inlineStr">
        <is>
          <t>FIN</t>
        </is>
      </c>
      <c r="N7" s="187" t="n"/>
    </row>
    <row r="8" ht="72" customHeight="1">
      <c r="B8" s="484" t="n">
        <v>3</v>
      </c>
      <c r="C8" s="485" t="inlineStr">
        <is>
          <t>NDP</t>
        </is>
      </c>
      <c r="D8" s="471" t="inlineStr">
        <is>
          <t>Non-Discounted Profit — недисконтированная прибыль холдинга, внутренний якорь финмодели. В ТрендСтудио = 3 000 млн ₽ (legacy anchor).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486" t="inlineStr">
        <is>
          <t>FIN</t>
        </is>
      </c>
      <c r="N8" s="187" t="n"/>
    </row>
    <row r="9" ht="72" customHeight="1">
      <c r="B9" s="484" t="n">
        <v>4</v>
      </c>
      <c r="C9" s="485" t="inlineStr">
        <is>
          <t>Revenue</t>
        </is>
      </c>
      <c r="D9" s="471" t="inlineStr">
        <is>
          <t>Выручка — совокупные денежные поступления от реализации (прокат, TV/OTT права, мерч, сиквелы). В ТрендСтудио Σ = 4 545 млн ₽.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486" t="inlineStr">
        <is>
          <t>FIN</t>
        </is>
      </c>
      <c r="N9" s="187" t="n"/>
    </row>
    <row r="10" ht="72" customHeight="1">
      <c r="B10" s="484" t="n">
        <v>5</v>
      </c>
      <c r="C10" s="485" t="inlineStr">
        <is>
          <t>COGS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486" t="inlineStr">
        <is>
          <t>FIN</t>
        </is>
      </c>
      <c r="N10" s="187" t="n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— операционные расходы (ФОТ, аренда, G&amp;A, IT, юр). В ТрендСтудио Σ = 265.5 млн ₽.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486" t="inlineStr">
        <is>
          <t>FIN</t>
        </is>
      </c>
      <c r="N11" s="187" t="n"/>
    </row>
    <row r="12" ht="72" customHeight="1">
      <c r="B12" s="484" t="n">
        <v>7</v>
      </c>
      <c r="C12" s="485" t="inlineStr">
        <is>
          <t>CAPEX</t>
        </is>
      </c>
      <c r="D12" s="471" t="inlineStr">
        <is>
          <t>Capital Expenditures — капитальные затраты на долгосрочные активы (оборудование, студийные мощности, IT-инфраструктура).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7" t="n"/>
      <c r="M12" s="486" t="inlineStr">
        <is>
          <t>FIN</t>
        </is>
      </c>
      <c r="N12" s="187" t="n"/>
    </row>
    <row r="13" ht="45" customHeight="1">
      <c r="B13" s="484" t="n">
        <v>8</v>
      </c>
      <c r="C13" s="485" t="inlineStr">
        <is>
          <t>Net Profit</t>
        </is>
      </c>
      <c r="D13" s="471" t="inlineStr">
        <is>
          <t>Чистая прибыль после вычета налогов. В ТрендСтудио Σ = 1 689 млн ₽.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7" t="n"/>
      <c r="M13" s="486" t="inlineStr">
        <is>
          <t>FIN</t>
        </is>
      </c>
      <c r="N13" s="187" t="n"/>
    </row>
    <row r="14" ht="52" customHeight="1">
      <c r="B14" s="484" t="n">
        <v>9</v>
      </c>
      <c r="C14" s="485" t="inlineStr">
        <is>
          <t>Free Cash Flow (FCF)</t>
        </is>
      </c>
      <c r="D14" s="471" t="inlineStr">
        <is>
          <t>Свободный денежный поток = Operating CF − CAPEX. Ключевая метрика для DCF-оценки.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486" t="inlineStr">
        <is>
          <t>FIN</t>
        </is>
      </c>
      <c r="N14" s="187" t="n"/>
    </row>
    <row r="15" ht="55" customHeight="1">
      <c r="B15" s="484" t="n">
        <v>10</v>
      </c>
      <c r="C15" s="485" t="inlineStr">
        <is>
          <t>Working Capital</t>
        </is>
      </c>
      <c r="D15" s="471" t="inlineStr">
        <is>
          <t>Оборотный капитал = Current Assets − Current Liabilities. См. лист 12_Working_Capital.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486" t="inlineStr">
        <is>
          <t>FIN</t>
        </is>
      </c>
      <c r="N15" s="187" t="n"/>
    </row>
    <row r="16" ht="72" customHeight="1">
      <c r="B16" s="484" t="n">
        <v>11</v>
      </c>
      <c r="C16" s="485" t="inlineStr">
        <is>
          <t>WACC</t>
        </is>
      </c>
      <c r="D16" s="471" t="inlineStr">
        <is>
          <t>Weighted Average Cost of Capital — средневзвешенная стоимость капитала. В модели = 19% (высокий уровень отражает страновой риск РФ и execution risk кино-индустрии).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486" t="inlineStr">
        <is>
          <t>FIN</t>
        </is>
      </c>
      <c r="N16" s="187" t="n"/>
    </row>
    <row r="17" ht="68" customHeight="1">
      <c r="B17" s="484" t="n">
        <v>12</v>
      </c>
      <c r="C17" s="485" t="inlineStr">
        <is>
          <t>DCF</t>
        </is>
      </c>
      <c r="D17" s="471" t="inlineStr">
        <is>
          <t>Discounted Cash Flow — метод оценки через дисконтирование будущих денежных потоков по WACC. См. 22_Valuation_DCF.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486" t="inlineStr">
        <is>
          <t>FIN</t>
        </is>
      </c>
      <c r="N17" s="187" t="n"/>
    </row>
    <row r="18" ht="68" customHeight="1">
      <c r="B18" s="484" t="n">
        <v>13</v>
      </c>
      <c r="C18" s="485" t="inlineStr">
        <is>
          <t>NPV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486" t="inlineStr">
        <is>
          <t>FIN</t>
        </is>
      </c>
      <c r="N18" s="187" t="n"/>
    </row>
    <row r="19" ht="70" customHeight="1">
      <c r="B19" s="484" t="n">
        <v>14</v>
      </c>
      <c r="C19" s="485" t="inlineStr">
        <is>
          <t>IRR</t>
        </is>
      </c>
      <c r="D19" s="471" t="inlineStr">
        <is>
          <t>Internal Rate of Return — внутренняя норма доходности. Ставка, при которой NPV = 0. Hurdle rate для инвестора = 18%.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486" t="inlineStr">
        <is>
          <t>FIN</t>
        </is>
      </c>
      <c r="N19" s="187" t="n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of Invested Capital — множитель на вложенный капитал = Exit value / Investment. Для ТрендСтудио expected ≈ 4.8×.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7" t="n"/>
      <c r="M20" s="486" t="inlineStr">
        <is>
          <t>FIN</t>
        </is>
      </c>
      <c r="N20" s="187" t="n"/>
    </row>
    <row r="21" ht="57" customHeight="1">
      <c r="B21" s="484" t="n">
        <v>16</v>
      </c>
      <c r="C21" s="485" t="inlineStr">
        <is>
          <t>Payback Period</t>
        </is>
      </c>
      <c r="D21" s="471" t="inlineStr">
        <is>
          <t>Срок окупаемости — количество периодов до возврата инвестиции. В ТрендСтудио Base &lt; 24 мес.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7" t="n"/>
      <c r="M21" s="486" t="inlineStr">
        <is>
          <t>FIN</t>
        </is>
      </c>
      <c r="N21" s="187" t="n"/>
    </row>
    <row r="22" ht="68" customHeight="1">
      <c r="B22" s="484" t="n">
        <v>17</v>
      </c>
      <c r="C22" s="485" t="inlineStr">
        <is>
          <t>EV</t>
        </is>
      </c>
      <c r="D22" s="471" t="inlineStr">
        <is>
          <t>Enterprise Value — стоимость бизнеса = Equity Value + Net Debt. Используется в multiples (EV/EBITDA, EV/Revenue).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486" t="inlineStr">
        <is>
          <t>FIN</t>
        </is>
      </c>
      <c r="N22" s="187" t="n"/>
    </row>
    <row r="23" ht="53" customHeight="1">
      <c r="B23" s="484" t="n">
        <v>18</v>
      </c>
      <c r="C23" s="485" t="inlineStr">
        <is>
          <t>EV/EBITDA</t>
        </is>
      </c>
      <c r="D23" s="471" t="inlineStr">
        <is>
          <t>Мультипликатор оценки: EV делённый на EBITDA. РФ кино-median = 8.0×, Global = 9.8×.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486" t="inlineStr">
        <is>
          <t>FIN</t>
        </is>
      </c>
      <c r="N23" s="187" t="n"/>
    </row>
    <row r="24" ht="66" customHeight="1">
      <c r="B24" s="484" t="n">
        <v>19</v>
      </c>
      <c r="C24" s="485" t="inlineStr">
        <is>
          <t>Gordon Growth TV</t>
        </is>
      </c>
      <c r="D24" s="471" t="inlineStr">
        <is>
          <t>Модель терминальной стоимости при постоянном росте g. TV = FCF_last × (1 + g) / (WACC − g). В модели g = 3%.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486" t="inlineStr">
        <is>
          <t>FIN</t>
        </is>
      </c>
      <c r="N24" s="187" t="n"/>
    </row>
    <row r="25" ht="57" customHeight="1">
      <c r="B25" s="484" t="n">
        <v>20</v>
      </c>
      <c r="C25" s="485" t="inlineStr">
        <is>
          <t>Exit Multiple TV</t>
        </is>
      </c>
      <c r="D25" s="471" t="inlineStr">
        <is>
          <t>Альтернативная TV через множитель на EBITDA последнего года прогноза. В модели 6.5× EBITDA.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486" t="inlineStr">
        <is>
          <t>FIN</t>
        </is>
      </c>
      <c r="N25" s="187" t="n"/>
    </row>
    <row r="26" ht="72" customHeight="1">
      <c r="B26" s="484" t="n">
        <v>21</v>
      </c>
      <c r="C26" s="485" t="inlineStr">
        <is>
          <t>Monte Carlo Simulation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487" t="inlineStr">
        <is>
          <t>RISK</t>
        </is>
      </c>
      <c r="N26" s="187" t="n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— максимальный ожидаемый убыток на заданном уровне доверия (обычно 95% или 99%). VaR 95% в модели = 561 млн ₽.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487" t="inlineStr">
        <is>
          <t>RISK</t>
        </is>
      </c>
      <c r="N27" s="187" t="n"/>
    </row>
    <row r="28" ht="58" customHeight="1">
      <c r="B28" s="484" t="n">
        <v>23</v>
      </c>
      <c r="C28" s="485" t="inlineStr">
        <is>
          <t>CVaR (Expected Shortfall)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7" t="n"/>
      <c r="M28" s="487" t="inlineStr">
        <is>
          <t>RISK</t>
        </is>
      </c>
      <c r="N28" s="187" t="n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7" t="n"/>
      <c r="M29" s="487" t="inlineStr">
        <is>
          <t>RISK</t>
        </is>
      </c>
      <c r="N29" s="187" t="n"/>
    </row>
    <row r="30" ht="63" customHeight="1">
      <c r="B30" s="484" t="n">
        <v>25</v>
      </c>
      <c r="C30" s="485" t="inlineStr">
        <is>
          <t>Tornado Analysis</t>
        </is>
      </c>
      <c r="D30" s="471" t="inlineStr">
        <is>
          <t>Sensitivity анализ с ±20% вариацией каждого параметра. Ранжирует факторы по влиянию на целевую метрику.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487" t="inlineStr">
        <is>
          <t>RISK</t>
        </is>
      </c>
      <c r="N30" s="187" t="n"/>
    </row>
    <row r="31" ht="58" customHeight="1">
      <c r="B31" s="484" t="n">
        <v>26</v>
      </c>
      <c r="C31" s="485" t="inlineStr">
        <is>
          <t>Risk Score</t>
        </is>
      </c>
      <c r="D31" s="471" t="inlineStr">
        <is>
          <t>Severity × Likelihood (1–5 × 1–5 = 1–25). В ТрендСтудио 29_Risk_Register: max score 20 (R17).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487" t="inlineStr">
        <is>
          <t>RISK</t>
        </is>
      </c>
      <c r="N31" s="187" t="n"/>
    </row>
    <row r="32" ht="59" customHeight="1">
      <c r="B32" s="484" t="n">
        <v>27</v>
      </c>
      <c r="C32" s="485" t="inlineStr">
        <is>
          <t>Heat Map</t>
        </is>
      </c>
      <c r="D32" s="471" t="inlineStr">
        <is>
          <t>Визуализация рисков в матрице 5×5 (Severity × Likelihood) с цветовым кодированием критичности.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487" t="inlineStr">
        <is>
          <t>RISK</t>
        </is>
      </c>
      <c r="N32" s="187" t="n"/>
    </row>
    <row r="33" ht="54" customHeight="1">
      <c r="B33" s="484" t="n">
        <v>28</v>
      </c>
      <c r="C33" s="485" t="inlineStr">
        <is>
          <t>Hurdle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487" t="inlineStr">
        <is>
          <t>RISK</t>
        </is>
      </c>
      <c r="N33" s="187" t="n"/>
    </row>
    <row r="34" ht="56" customHeight="1">
      <c r="B34" s="484" t="n">
        <v>29</v>
      </c>
      <c r="C34" s="485" t="inlineStr">
        <is>
          <t>LP (Limited Partner)</t>
        </is>
      </c>
      <c r="D34" s="471" t="inlineStr">
        <is>
          <t>Инвестор-участник фонда / JV без операционного контроля, с ограниченной ответственностью.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488" t="inlineStr">
        <is>
          <t>DEAL</t>
        </is>
      </c>
      <c r="N34" s="187" t="n"/>
    </row>
    <row r="35" ht="54" customHeight="1">
      <c r="B35" s="484" t="n">
        <v>30</v>
      </c>
      <c r="C35" s="485" t="inlineStr">
        <is>
          <t>GP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488" t="inlineStr">
        <is>
          <t>DEAL</t>
        </is>
      </c>
      <c r="N35" s="187" t="n"/>
    </row>
    <row r="36" ht="48" customHeight="1">
      <c r="B36" s="484" t="n">
        <v>31</v>
      </c>
      <c r="C36" s="485" t="inlineStr">
        <is>
          <t>Preferred Return</t>
        </is>
      </c>
      <c r="D36" s="471" t="inlineStr">
        <is>
          <t>Минимальная гарантированная доходность LP до выплаты GP. В модели — 12%.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7" t="n"/>
      <c r="M36" s="488" t="inlineStr">
        <is>
          <t>DEAL</t>
        </is>
      </c>
      <c r="N36" s="187" t="n"/>
    </row>
    <row r="37" ht="55" customHeight="1">
      <c r="B37" s="484" t="n">
        <v>32</v>
      </c>
      <c r="C37" s="485" t="inlineStr">
        <is>
          <t>Waterfall</t>
        </is>
      </c>
      <c r="D37" s="471" t="inlineStr">
        <is>
          <t>Структура распределения cash flow между LP / GP согласно приоритетам. См. 19_Waterfall.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7" t="n"/>
      <c r="M37" s="488" t="inlineStr">
        <is>
          <t>DEAL</t>
        </is>
      </c>
      <c r="N37" s="187" t="n"/>
    </row>
    <row r="38" ht="55" customHeight="1">
      <c r="B38" s="484" t="n">
        <v>33</v>
      </c>
      <c r="C38" s="485" t="inlineStr">
        <is>
          <t>Makewhole Clause</t>
        </is>
      </c>
      <c r="D38" s="471" t="inlineStr">
        <is>
          <t>Защитная оговорка: при досрочном выходе эмитент компенсирует LP потерянную доходность.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488" t="inlineStr">
        <is>
          <t>DEAL</t>
        </is>
      </c>
      <c r="N38" s="187" t="n"/>
    </row>
    <row r="39" ht="56" customHeight="1">
      <c r="B39" s="484" t="n">
        <v>34</v>
      </c>
      <c r="C39" s="485" t="inlineStr">
        <is>
          <t>Cap Table</t>
        </is>
      </c>
      <c r="D39" s="471" t="inlineStr">
        <is>
          <t>Таблица капитализации — распределение долей между всеми акционерами/LP. См. 18_Cap_Table.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488" t="inlineStr">
        <is>
          <t>DEAL</t>
        </is>
      </c>
      <c r="N39" s="187" t="n"/>
    </row>
    <row r="40" ht="55" customHeight="1">
      <c r="B40" s="484" t="n">
        <v>35</v>
      </c>
      <c r="C40" s="485" t="inlineStr">
        <is>
          <t>Drag-Along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488" t="inlineStr">
        <is>
          <t>DEAL</t>
        </is>
      </c>
      <c r="N40" s="187" t="n"/>
    </row>
    <row r="41" ht="49" customHeight="1">
      <c r="B41" s="484" t="n">
        <v>36</v>
      </c>
      <c r="C41" s="485" t="inlineStr">
        <is>
          <t>Tag-Along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488" t="inlineStr">
        <is>
          <t>DEAL</t>
        </is>
      </c>
      <c r="N41" s="187" t="n"/>
    </row>
    <row r="42" ht="58" customHeight="1">
      <c r="B42" s="484" t="n">
        <v>37</v>
      </c>
      <c r="C42" s="485" t="inlineStr">
        <is>
          <t>ESOP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488" t="inlineStr">
        <is>
          <t>DEAL</t>
        </is>
      </c>
      <c r="N42" s="187" t="n"/>
    </row>
    <row r="43" ht="48" customHeight="1">
      <c r="B43" s="484" t="n">
        <v>38</v>
      </c>
      <c r="C43" s="485" t="inlineStr">
        <is>
          <t>Term Sheet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 t="n"/>
      <c r="F43" s="186" t="n"/>
      <c r="G43" s="186" t="n"/>
      <c r="H43" s="186" t="n"/>
      <c r="I43" s="186" t="n"/>
      <c r="J43" s="186" t="n"/>
      <c r="K43" s="186" t="n"/>
      <c r="L43" s="187" t="n"/>
      <c r="M43" s="488" t="inlineStr">
        <is>
          <t>DEAL</t>
        </is>
      </c>
      <c r="N43" s="187" t="n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Purchase Agreement — договор купли-продажи акций / долей.</t>
        </is>
      </c>
      <c r="E44" s="186" t="n"/>
      <c r="F44" s="186" t="n"/>
      <c r="G44" s="186" t="n"/>
      <c r="H44" s="186" t="n"/>
      <c r="I44" s="186" t="n"/>
      <c r="J44" s="186" t="n"/>
      <c r="K44" s="186" t="n"/>
      <c r="L44" s="187" t="n"/>
      <c r="M44" s="488" t="inlineStr">
        <is>
          <t>DEAL</t>
        </is>
      </c>
      <c r="N44" s="187" t="n"/>
    </row>
    <row r="45" ht="60" customHeight="1">
      <c r="B45" s="484" t="n">
        <v>40</v>
      </c>
      <c r="C45" s="485" t="inlineStr">
        <is>
          <t>Tranche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488" t="inlineStr">
        <is>
          <t>DEAL</t>
        </is>
      </c>
      <c r="N45" s="187" t="n"/>
    </row>
    <row r="46" ht="40" customHeight="1">
      <c r="B46" s="484" t="n">
        <v>41</v>
      </c>
      <c r="C46" s="485" t="inlineStr">
        <is>
          <t>Box Office</t>
        </is>
      </c>
      <c r="D46" s="471" t="inlineStr">
        <is>
          <t>Кассовые сборы — выручка от проката фильма в кинотеатрах.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490" t="inlineStr">
        <is>
          <t>CINEMA</t>
        </is>
      </c>
      <c r="N46" s="187" t="n"/>
    </row>
    <row r="47" ht="55" customHeight="1">
      <c r="B47" s="484" t="n">
        <v>42</v>
      </c>
      <c r="C47" s="485" t="inlineStr">
        <is>
          <t>P&amp;A</t>
        </is>
      </c>
      <c r="D47" s="471" t="inlineStr">
        <is>
          <t>Prints &amp; Advertising — расходы на копии и маркетинговое продвижение фильма при релизе.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90" t="inlineStr">
        <is>
          <t>CINEMA</t>
        </is>
      </c>
      <c r="N47" s="187" t="n"/>
    </row>
    <row r="48" ht="51" customHeight="1">
      <c r="B48" s="484" t="n">
        <v>43</v>
      </c>
      <c r="C48" s="485" t="inlineStr">
        <is>
          <t>Theatrical Window</t>
        </is>
      </c>
      <c r="D48" s="471" t="inlineStr">
        <is>
          <t>Эксклюзивный кинотеатральный релиз (обычно 45–90 дней) до выхода на VOD / OTT.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490" t="inlineStr">
        <is>
          <t>CINEMA</t>
        </is>
      </c>
      <c r="N48" s="187" t="n"/>
    </row>
    <row r="49" ht="53" customHeight="1">
      <c r="B49" s="484" t="n">
        <v>44</v>
      </c>
      <c r="C49" s="485" t="inlineStr">
        <is>
          <t>VOD / OTT</t>
        </is>
      </c>
      <c r="D49" s="471" t="inlineStr">
        <is>
          <t>Video On Demand / Over-The-Top — цифровая дистрибуция (Кинопоиск, Okko, IVI, Wink).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490" t="inlineStr">
        <is>
          <t>CINEMA</t>
        </is>
      </c>
      <c r="N49" s="187" t="n"/>
    </row>
    <row r="50" ht="63" customHeight="1">
      <c r="B50" s="484" t="n">
        <v>45</v>
      </c>
      <c r="C50" s="485" t="inlineStr">
        <is>
          <t>Slate Financing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 t="n"/>
      <c r="F50" s="186" t="n"/>
      <c r="G50" s="186" t="n"/>
      <c r="H50" s="186" t="n"/>
      <c r="I50" s="186" t="n"/>
      <c r="J50" s="186" t="n"/>
      <c r="K50" s="186" t="n"/>
      <c r="L50" s="187" t="n"/>
      <c r="M50" s="490" t="inlineStr">
        <is>
          <t>CINEMA</t>
        </is>
      </c>
      <c r="N50" s="187" t="n"/>
    </row>
    <row r="51" ht="57" customHeight="1">
      <c r="B51" s="484" t="n">
        <v>46</v>
      </c>
      <c r="C51" s="485" t="inlineStr">
        <is>
          <t>Development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 t="n"/>
      <c r="F51" s="186" t="n"/>
      <c r="G51" s="186" t="n"/>
      <c r="H51" s="186" t="n"/>
      <c r="I51" s="186" t="n"/>
      <c r="J51" s="186" t="n"/>
      <c r="K51" s="186" t="n"/>
      <c r="L51" s="187" t="n"/>
      <c r="M51" s="490" t="inlineStr">
        <is>
          <t>CINEMA</t>
        </is>
      </c>
      <c r="N51" s="187" t="n"/>
    </row>
    <row r="52" ht="51" customHeight="1">
      <c r="B52" s="484" t="n">
        <v>47</v>
      </c>
      <c r="C52" s="485" t="inlineStr">
        <is>
          <t>Principal Photography</t>
        </is>
      </c>
      <c r="D52" s="471" t="inlineStr">
        <is>
          <t>Основной съёмочный период. В ТрендСтудио Gantt = этап Shoot, 2–4 мес на фильм.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490" t="inlineStr">
        <is>
          <t>CINEMA</t>
        </is>
      </c>
      <c r="N52" s="187" t="n"/>
    </row>
    <row r="53" ht="43" customHeight="1">
      <c r="B53" s="484" t="n">
        <v>48</v>
      </c>
      <c r="C53" s="485" t="inlineStr">
        <is>
          <t>Post-Production</t>
        </is>
      </c>
      <c r="D53" s="471" t="inlineStr">
        <is>
          <t>Монтаж, VFX, цветокоррекция, sound design. В пайплайне 4–6 мес.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490" t="inlineStr">
        <is>
          <t>CINEMA</t>
        </is>
      </c>
      <c r="N53" s="187" t="n"/>
    </row>
    <row r="54" ht="55" customHeight="1">
      <c r="B54" s="484" t="n">
        <v>49</v>
      </c>
      <c r="C54" s="485" t="inlineStr">
        <is>
          <t>Producer Equity</t>
        </is>
      </c>
      <c r="D54" s="471" t="inlineStr">
        <is>
          <t>Капитал продюсеров в JV-структуре. В ТрендСтудио = 600 млн ₽ (off-P&amp;L, минори-интерес).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490" t="inlineStr">
        <is>
          <t>CINEMA</t>
        </is>
      </c>
      <c r="N54" s="187" t="n"/>
    </row>
    <row r="55" ht="56" customHeight="1">
      <c r="B55" s="484" t="n">
        <v>50</v>
      </c>
      <c r="C55" s="485" t="inlineStr">
        <is>
          <t>Library Value</t>
        </is>
      </c>
      <c r="D55" s="471" t="inlineStr">
        <is>
          <t>Стоимость накопленного каталога фильмов — источник tail revenue 2029–2032 (1 050 млн ₽).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490" t="inlineStr">
        <is>
          <t>CINEMA</t>
        </is>
      </c>
      <c r="N55" s="187" t="n"/>
    </row>
    <row r="56" ht="54" customHeight="1">
      <c r="B56" s="484" t="n">
        <v>51</v>
      </c>
      <c r="C56" s="485" t="inlineStr">
        <is>
          <t>Sequel Rights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490" t="inlineStr">
        <is>
          <t>CINEMA</t>
        </is>
      </c>
      <c r="N56" s="187" t="n"/>
    </row>
    <row r="57" ht="61" customHeight="1">
      <c r="B57" s="484" t="n">
        <v>52</v>
      </c>
      <c r="C57" s="485" t="inlineStr">
        <is>
          <t>Co-Production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490" t="inlineStr">
        <is>
          <t>CINEMA</t>
        </is>
      </c>
      <c r="N57" s="187" t="n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 t="n"/>
      <c r="F58" s="186" t="n"/>
      <c r="G58" s="186" t="n"/>
      <c r="H58" s="186" t="n"/>
      <c r="I58" s="186" t="n"/>
      <c r="J58" s="186" t="n"/>
      <c r="K58" s="186" t="n"/>
      <c r="L58" s="187" t="n"/>
      <c r="M58" s="491" t="inlineStr">
        <is>
          <t>REG</t>
        </is>
      </c>
      <c r="N58" s="187" t="n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 t="n"/>
      <c r="F59" s="186" t="n"/>
      <c r="G59" s="186" t="n"/>
      <c r="H59" s="186" t="n"/>
      <c r="I59" s="186" t="n"/>
      <c r="J59" s="186" t="n"/>
      <c r="K59" s="186" t="n"/>
      <c r="L59" s="187" t="n"/>
      <c r="M59" s="491" t="inlineStr">
        <is>
          <t>REG</t>
        </is>
      </c>
      <c r="N59" s="187" t="n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491" t="inlineStr">
        <is>
          <t>REG</t>
        </is>
      </c>
      <c r="N60" s="187" t="n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491" t="inlineStr">
        <is>
          <t>REG</t>
        </is>
      </c>
      <c r="N61" s="187" t="n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491" t="inlineStr">
        <is>
          <t>REG</t>
        </is>
      </c>
      <c r="N62" s="187" t="n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491" t="inlineStr">
        <is>
          <t>REG</t>
        </is>
      </c>
      <c r="N63" s="187" t="n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491" t="inlineStr">
        <is>
          <t>REG</t>
        </is>
      </c>
      <c r="N64" s="187" t="n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491" t="inlineStr">
        <is>
          <t>REG</t>
        </is>
      </c>
      <c r="N65" s="187" t="n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 t="n"/>
      <c r="F66" s="186" t="n"/>
      <c r="G66" s="186" t="n"/>
      <c r="H66" s="186" t="n"/>
      <c r="I66" s="186" t="n"/>
      <c r="J66" s="186" t="n"/>
      <c r="K66" s="186" t="n"/>
      <c r="L66" s="187" t="n"/>
      <c r="M66" s="491" t="inlineStr">
        <is>
          <t>REG</t>
        </is>
      </c>
      <c r="N66" s="187" t="n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 t="n"/>
      <c r="F67" s="186" t="n"/>
      <c r="G67" s="186" t="n"/>
      <c r="H67" s="186" t="n"/>
      <c r="I67" s="186" t="n"/>
      <c r="J67" s="186" t="n"/>
      <c r="K67" s="186" t="n"/>
      <c r="L67" s="187" t="n"/>
      <c r="M67" s="491" t="inlineStr">
        <is>
          <t>REG</t>
        </is>
      </c>
      <c r="N67" s="187" t="n"/>
    </row>
    <row r="69" ht="18" customHeight="1">
      <c r="B69" s="482" t="inlineStr">
        <is>
          <t>Легенда: FIN — финансовые термины | RISK — риск / MC | DEAL — структура сделки | CINEMA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NOTES &amp; SOURCES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(корпоративный) и A2 (JV / проектный). Страховые взносы 30.2% применены к обеим.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60" customHeight="1">
      <c r="C9" s="492" t="inlineStr">
        <is>
          <t>06_Cost_Structure</t>
        </is>
      </c>
      <c r="D9" s="471" t="inlineStr">
        <is>
          <t>COGS включает прямые производственные + прокатные + маркетинг. Split по категориям: производство 72%, прокат/P&amp;A 18%, маркетинг 10%.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55%, TV/OTT 25%, Мерч/лицензии 8%, Международный прокат 7%, Sequel options 5%.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1" ht="60" customHeight="1">
      <c r="C11" s="492" t="inlineStr">
        <is>
          <t>08_Content_Pipeline</t>
        </is>
      </c>
      <c r="D11" s="471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7" t="n"/>
    </row>
    <row r="12" ht="60" customHeight="1">
      <c r="C12" s="492" t="inlineStr">
        <is>
          <t>09_P&amp;L_Statement</t>
        </is>
      </c>
      <c r="D12" s="471" t="inlineStr">
        <is>
          <t>Dual metric: GAAP EBITDA 2 152 + legacy NDP 3 000. Reconciliation bridge в нижней части листа показывает 848 млн ₽ разницы через: (+) JV equity, (−) D&amp;A, (−) IFRS adjustments.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/>
    </row>
    <row r="13" ht="51" customHeight="1">
      <c r="C13" s="492" t="inlineStr">
        <is>
          <t>10_Cash_Flow</t>
        </is>
      </c>
      <c r="D13" s="471" t="inlineStr">
        <is>
          <t>Indirect method (через Net Profit). Working capital changes детализированы в 12_WC.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7" t="n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60" customHeight="1">
      <c r="C15" s="492" t="inlineStr">
        <is>
          <t>17_Deal_Structures</t>
        </is>
      </c>
      <c r="D15" s="471" t="inlineStr">
        <is>
          <t>Producer equity 600 млн ₽ — off-P&amp;L JV capital, не размывает основной cap table, учитывается как minority interest.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58" customHeight="1">
      <c r="C16" s="492" t="inlineStr">
        <is>
          <t>19_Waterfall</t>
        </is>
      </c>
      <c r="D16" s="471" t="inlineStr">
        <is>
          <t>Приоритеты: (1) LP return of capital, (2) LP preferred 12%, (3) GP catch-up 20%, (4) 80/20 split.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60" customHeight="1">
      <c r="C17" s="492" t="inlineStr">
        <is>
          <t>22_Valuation_DCF</t>
        </is>
      </c>
      <c r="D17" s="471" t="inlineStr">
        <is>
          <t>Blend 40% Gordon + 60% Exit Multiple. g=3%, exit mult 6.5×, WACC 19%. Quick note «Why DCF &lt; Multiples» на R59-72.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8" ht="52" customHeight="1">
      <c r="C18" s="492" t="inlineStr">
        <is>
          <t>23_Valuation_Multiples</t>
        </is>
      </c>
      <c r="D18" s="471" t="inlineStr">
        <is>
          <t>EV/EBITDA median по 32_Comparables. Применён discount 10% за liquidity + 5% за size.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7" t="n"/>
    </row>
    <row r="19" ht="48" customHeight="1">
      <c r="C19" s="492" t="inlineStr">
        <is>
          <t>25_Exit_Scenarios</t>
        </is>
      </c>
      <c r="D19" s="471" t="inlineStr">
        <is>
          <t>Probability-weighted EV = Σ (p × EV) по 7 маршрутам. Weighted = 6 038 млн ₽.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7" t="n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revenue (±420 на EBITDA).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/ Optimistic / Best с вероятностями 10/20/40/20/10.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Financial, Regulatory, Operational). Max score 20 (R17).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4" ht="60" customHeight="1">
      <c r="C24" s="492" t="inlineStr">
        <is>
          <t>30/31/32_Market</t>
        </is>
      </c>
      <c r="D24" s="471" t="inlineStr">
        <is>
          <t>TAM/SAM/SOM + benchmark KPI + precedent transactions. RU comps median 8.0×, Global 9.8×, blend 8.9×.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7" t="n"/>
    </row>
    <row r="25" ht="60" customHeight="1">
      <c r="C25" s="492" t="inlineStr">
        <is>
          <t>33_Gov_KPI</t>
        </is>
      </c>
      <c r="D25" s="471" t="inlineStr">
        <is>
          <t>6 нац. проектов + 10 KPI 2026–2028 + 5 источников господдержки 1 040 млн ₽. Комплаенс по Указу № 309.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7" t="n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tail. Эффективная ставка 12.9% благодаря льготе НДС 0% ст. 149 НК РФ.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7" t="n"/>
    </row>
    <row r="27" ht="60" customHeight="1">
      <c r="C27" s="492" t="inlineStr">
        <is>
          <t>35_Roadmap_2026_2032</t>
        </is>
      </c>
      <c r="D27" s="471" t="inlineStr">
        <is>
          <t>12 фильмов × 16 периодов × 4 фазы Gantt + 14 fundraising milestones + 7 exit routes + критический путь.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 t="n"/>
      <c r="E33" s="321" t="inlineStr">
        <is>
          <t>Назначение</t>
        </is>
      </c>
      <c r="F33" s="186" t="n"/>
      <c r="G33" s="186" t="n"/>
      <c r="H33" s="186" t="n"/>
      <c r="I33" s="186" t="n"/>
      <c r="J33" s="186" t="n"/>
      <c r="K33" s="186" t="n"/>
      <c r="L33" s="187" t="n"/>
      <c r="M33" s="321" t="inlineStr">
        <is>
          <t>URL / издатель</t>
        </is>
      </c>
      <c r="N33" s="187" t="n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 t="n"/>
      <c r="E34" s="471" t="inlineStr">
        <is>
          <t>О национальных целях развития РФ до 2030 и 2036 гг.</t>
        </is>
      </c>
      <c r="F34" s="186" t="n"/>
      <c r="G34" s="186" t="n"/>
      <c r="H34" s="186" t="n"/>
      <c r="I34" s="186" t="n"/>
      <c r="J34" s="186" t="n"/>
      <c r="K34" s="186" t="n"/>
      <c r="L34" s="187" t="n"/>
      <c r="M34" s="494" t="inlineStr">
        <is>
          <t>kremlin.ru</t>
        </is>
      </c>
      <c r="N34" s="187" t="n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 t="n"/>
      <c r="E35" s="471" t="inlineStr">
        <is>
          <t>Правила предоставления субсидий кинопродюсерам</t>
        </is>
      </c>
      <c r="F35" s="186" t="n"/>
      <c r="G35" s="186" t="n"/>
      <c r="H35" s="186" t="n"/>
      <c r="I35" s="186" t="n"/>
      <c r="J35" s="186" t="n"/>
      <c r="K35" s="186" t="n"/>
      <c r="L35" s="187" t="n"/>
      <c r="M35" s="494" t="inlineStr">
        <is>
          <t>government.ru</t>
        </is>
      </c>
      <c r="N35" s="187" t="n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 t="n"/>
      <c r="E36" s="471" t="inlineStr">
        <is>
          <t>Операции, освобождённые от НДС (включая кинопродукцию)</t>
        </is>
      </c>
      <c r="F36" s="186" t="n"/>
      <c r="G36" s="186" t="n"/>
      <c r="H36" s="186" t="n"/>
      <c r="I36" s="186" t="n"/>
      <c r="J36" s="186" t="n"/>
      <c r="K36" s="186" t="n"/>
      <c r="L36" s="187" t="n"/>
      <c r="M36" s="494" t="inlineStr">
        <is>
          <t>nalog.gov.ru</t>
        </is>
      </c>
      <c r="N36" s="187" t="n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 t="n"/>
      <c r="E37" s="471" t="inlineStr">
        <is>
          <t>Финансирование семейного / детского кино</t>
        </is>
      </c>
      <c r="F37" s="186" t="n"/>
      <c r="G37" s="186" t="n"/>
      <c r="H37" s="186" t="n"/>
      <c r="I37" s="186" t="n"/>
      <c r="J37" s="186" t="n"/>
      <c r="K37" s="186" t="n"/>
      <c r="L37" s="187" t="n"/>
      <c r="M37" s="494" t="inlineStr">
        <is>
          <t>government.ru</t>
        </is>
      </c>
      <c r="N37" s="187" t="n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 t="n"/>
      <c r="E38" s="471" t="inlineStr">
        <is>
          <t>Грантовая поддержка молодёжного контента</t>
        </is>
      </c>
      <c r="F38" s="186" t="n"/>
      <c r="G38" s="186" t="n"/>
      <c r="H38" s="186" t="n"/>
      <c r="I38" s="186" t="n"/>
      <c r="J38" s="186" t="n"/>
      <c r="K38" s="186" t="n"/>
      <c r="L38" s="187" t="n"/>
      <c r="M38" s="494" t="inlineStr">
        <is>
          <t>government.ru</t>
        </is>
      </c>
      <c r="N38" s="187" t="n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 t="n"/>
      <c r="E39" s="471" t="inlineStr">
        <is>
          <t>Субсидии и инфраструктура кинематографа</t>
        </is>
      </c>
      <c r="F39" s="186" t="n"/>
      <c r="G39" s="186" t="n"/>
      <c r="H39" s="186" t="n"/>
      <c r="I39" s="186" t="n"/>
      <c r="J39" s="186" t="n"/>
      <c r="K39" s="186" t="n"/>
      <c r="L39" s="187" t="n"/>
      <c r="M39" s="494" t="inlineStr">
        <is>
          <t>government.ru</t>
        </is>
      </c>
      <c r="N39" s="187" t="n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 t="n"/>
      <c r="E40" s="471" t="inlineStr">
        <is>
          <t>Безвозвратные субсидии кинопродюсерам</t>
        </is>
      </c>
      <c r="F40" s="186" t="n"/>
      <c r="G40" s="186" t="n"/>
      <c r="H40" s="186" t="n"/>
      <c r="I40" s="186" t="n"/>
      <c r="J40" s="186" t="n"/>
      <c r="K40" s="186" t="n"/>
      <c r="L40" s="187" t="n"/>
      <c r="M40" s="494" t="inlineStr">
        <is>
          <t>fond-kino.ru</t>
        </is>
      </c>
      <c r="N40" s="187" t="n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 t="n"/>
      <c r="E41" s="471" t="inlineStr">
        <is>
          <t>Верификация релизных планов и премьер</t>
        </is>
      </c>
      <c r="F41" s="186" t="n"/>
      <c r="G41" s="186" t="n"/>
      <c r="H41" s="186" t="n"/>
      <c r="I41" s="186" t="n"/>
      <c r="J41" s="186" t="n"/>
      <c r="K41" s="186" t="n"/>
      <c r="L41" s="187" t="n"/>
      <c r="M41" s="494" t="inlineStr">
        <is>
          <t>culture.gov.ru</t>
        </is>
      </c>
      <c r="N41" s="187" t="n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 t="n"/>
      <c r="E42" s="471" t="inlineStr">
        <is>
          <t>Box Office РФ 2020–2025</t>
        </is>
      </c>
      <c r="F42" s="186" t="n"/>
      <c r="G42" s="186" t="n"/>
      <c r="H42" s="186" t="n"/>
      <c r="I42" s="186" t="n"/>
      <c r="J42" s="186" t="n"/>
      <c r="K42" s="186" t="n"/>
      <c r="L42" s="187" t="n"/>
      <c r="M42" s="494" t="inlineStr">
        <is>
          <t>rosstat.gov.ru</t>
        </is>
      </c>
      <c r="N42" s="187" t="n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 t="n"/>
      <c r="E43" s="471" t="inlineStr">
        <is>
          <t>Оперативные новости индустрии, сделки, господдержка</t>
        </is>
      </c>
      <c r="F43" s="186" t="n"/>
      <c r="G43" s="186" t="n"/>
      <c r="H43" s="186" t="n"/>
      <c r="I43" s="186" t="n"/>
      <c r="J43" s="186" t="n"/>
      <c r="K43" s="186" t="n"/>
      <c r="L43" s="187" t="n"/>
      <c r="M43" s="494" t="inlineStr">
        <is>
          <t>tass.ru</t>
        </is>
      </c>
      <c r="N43" s="187" t="n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 t="n"/>
      <c r="E44" s="471" t="inlineStr">
        <is>
          <t>Регуляторные новости, нац. проекты</t>
        </is>
      </c>
      <c r="F44" s="186" t="n"/>
      <c r="G44" s="186" t="n"/>
      <c r="H44" s="186" t="n"/>
      <c r="I44" s="186" t="n"/>
      <c r="J44" s="186" t="n"/>
      <c r="K44" s="186" t="n"/>
      <c r="L44" s="187" t="n"/>
      <c r="M44" s="494" t="inlineStr">
        <is>
          <t>ria.ru</t>
        </is>
      </c>
      <c r="N44" s="187" t="n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 t="n"/>
      <c r="E45" s="471" t="inlineStr">
        <is>
          <t>Недельная касса, TOP-листы, статистика</t>
        </is>
      </c>
      <c r="F45" s="186" t="n"/>
      <c r="G45" s="186" t="n"/>
      <c r="H45" s="186" t="n"/>
      <c r="I45" s="186" t="n"/>
      <c r="J45" s="186" t="n"/>
      <c r="K45" s="186" t="n"/>
      <c r="L45" s="187" t="n"/>
      <c r="M45" s="494" t="inlineStr">
        <is>
          <t>bulletin.info.ru</t>
        </is>
      </c>
      <c r="N45" s="187" t="n"/>
    </row>
    <row r="46" ht="26" customHeight="1">
      <c r="B46" s="490" t="inlineStr">
        <is>
          <t>GLOBAL</t>
        </is>
      </c>
      <c r="C46" s="493" t="inlineStr">
        <is>
          <t>Box Office Mojo / IMDb Pro</t>
        </is>
      </c>
      <c r="D46" s="187" t="n"/>
      <c r="E46" s="471" t="inlineStr">
        <is>
          <t>Global benchmarks, casting, production credits</t>
        </is>
      </c>
      <c r="F46" s="186" t="n"/>
      <c r="G46" s="186" t="n"/>
      <c r="H46" s="186" t="n"/>
      <c r="I46" s="186" t="n"/>
      <c r="J46" s="186" t="n"/>
      <c r="K46" s="186" t="n"/>
      <c r="L46" s="187" t="n"/>
      <c r="M46" s="494" t="inlineStr">
        <is>
          <t>boxofficemojo.com</t>
        </is>
      </c>
      <c r="N46" s="187" t="n"/>
    </row>
    <row r="47" ht="26" customHeight="1">
      <c r="B47" s="490" t="inlineStr">
        <is>
          <t>GLOBAL</t>
        </is>
      </c>
      <c r="C47" s="493" t="inlineStr">
        <is>
          <t>Variety Intelligence Platform</t>
        </is>
      </c>
      <c r="D47" s="187" t="n"/>
      <c r="E47" s="471" t="inlineStr">
        <is>
          <t>Industry analytics, deal tracking</t>
        </is>
      </c>
      <c r="F47" s="186" t="n"/>
      <c r="G47" s="186" t="n"/>
      <c r="H47" s="186" t="n"/>
      <c r="I47" s="186" t="n"/>
      <c r="J47" s="186" t="n"/>
      <c r="K47" s="186" t="n"/>
      <c r="L47" s="187" t="n"/>
      <c r="M47" s="494" t="inlineStr">
        <is>
          <t>variety.com</t>
        </is>
      </c>
      <c r="N47" s="187" t="n"/>
    </row>
    <row r="48" ht="26" customHeight="1">
      <c r="B48" s="490" t="inlineStr">
        <is>
          <t>GLOBAL</t>
        </is>
      </c>
      <c r="C48" s="493" t="inlineStr">
        <is>
          <t>S&amp;P Capital IQ</t>
        </is>
      </c>
      <c r="D48" s="187" t="n"/>
      <c r="E48" s="471" t="inlineStr">
        <is>
          <t>EV/EBITDA multiples, comparable transactions</t>
        </is>
      </c>
      <c r="F48" s="186" t="n"/>
      <c r="G48" s="186" t="n"/>
      <c r="H48" s="186" t="n"/>
      <c r="I48" s="186" t="n"/>
      <c r="J48" s="186" t="n"/>
      <c r="K48" s="186" t="n"/>
      <c r="L48" s="187" t="n"/>
      <c r="M48" s="494" t="inlineStr">
        <is>
          <t>spglobal.com</t>
        </is>
      </c>
      <c r="N48" s="187" t="n"/>
    </row>
    <row r="49" ht="26" customHeight="1">
      <c r="B49" s="490" t="inlineStr">
        <is>
          <t>GLOBAL</t>
        </is>
      </c>
      <c r="C49" s="493" t="inlineStr">
        <is>
          <t>Mergermarket / PitchBook</t>
        </is>
      </c>
      <c r="D49" s="187" t="n"/>
      <c r="E49" s="471" t="inlineStr">
        <is>
          <t>M&amp;A precedent data, deal databases</t>
        </is>
      </c>
      <c r="F49" s="186" t="n"/>
      <c r="G49" s="186" t="n"/>
      <c r="H49" s="186" t="n"/>
      <c r="I49" s="186" t="n"/>
      <c r="J49" s="186" t="n"/>
      <c r="K49" s="186" t="n"/>
      <c r="L49" s="187" t="n"/>
      <c r="M49" s="494" t="inlineStr">
        <is>
          <t>pitchbook.com</t>
        </is>
      </c>
      <c r="N49" s="187" t="n"/>
    </row>
    <row r="50" ht="26" customHeight="1">
      <c r="B50" s="488" t="inlineStr">
        <is>
          <t>ACADEMIC</t>
        </is>
      </c>
      <c r="C50" s="493" t="inlineStr">
        <is>
          <t>Vogel, H. — Entertainment Industry Economics (10th ed.)</t>
        </is>
      </c>
      <c r="D50" s="187" t="n"/>
      <c r="E50" s="471" t="inlineStr">
        <is>
          <t>Учебник по экономике медиа-индустрии</t>
        </is>
      </c>
      <c r="F50" s="186" t="n"/>
      <c r="G50" s="186" t="n"/>
      <c r="H50" s="186" t="n"/>
      <c r="I50" s="186" t="n"/>
      <c r="J50" s="186" t="n"/>
      <c r="K50" s="186" t="n"/>
      <c r="L50" s="187" t="n"/>
      <c r="M50" s="494" t="inlineStr">
        <is>
          <t>Cambridge University Press</t>
        </is>
      </c>
      <c r="N50" s="187" t="n"/>
    </row>
    <row r="51" ht="26" customHeight="1">
      <c r="B51" s="487" t="inlineStr">
        <is>
          <t>INTERNAL</t>
        </is>
      </c>
      <c r="C51" s="493" t="inlineStr">
        <is>
          <t>ТрендСтудио финмодель v1.4.4</t>
        </is>
      </c>
      <c r="D51" s="187" t="n"/>
      <c r="E51" s="471" t="inlineStr">
        <is>
          <t>Якорная модель холдинга 2026–2028, cumulative NDP 3 000 млн ₽</t>
        </is>
      </c>
      <c r="F51" s="186" t="n"/>
      <c r="G51" s="186" t="n"/>
      <c r="H51" s="186" t="n"/>
      <c r="I51" s="186" t="n"/>
      <c r="J51" s="186" t="n"/>
      <c r="K51" s="186" t="n"/>
      <c r="L51" s="187" t="n"/>
      <c r="M51" s="494" t="inlineStr">
        <is>
          <t>pipeline/</t>
        </is>
      </c>
      <c r="N51" s="187" t="n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DISCLAIMERS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VERSION HISTORY</t>
        </is>
      </c>
    </row>
    <row r="63" ht="22" customHeight="1">
      <c r="B63" s="321" t="inlineStr">
        <is>
          <t>Version</t>
        </is>
      </c>
      <c r="C63" s="186" t="n"/>
      <c r="D63" s="187" t="n"/>
      <c r="E63" s="321" t="inlineStr">
        <is>
          <t>Date</t>
        </is>
      </c>
      <c r="F63" s="186" t="n"/>
      <c r="G63" s="187" t="n"/>
      <c r="H63" s="321" t="inlineStr">
        <is>
          <t>Changes</t>
        </is>
      </c>
      <c r="I63" s="186" t="n"/>
      <c r="J63" s="186" t="n"/>
      <c r="K63" s="186" t="n"/>
      <c r="L63" s="186" t="n"/>
      <c r="M63" s="186" t="n"/>
      <c r="N63" s="187" t="n"/>
    </row>
    <row r="64" ht="32" customHeight="1">
      <c r="B64" s="496" t="inlineStr">
        <is>
          <t>v1.0 Public</t>
        </is>
      </c>
      <c r="C64" s="186" t="n"/>
      <c r="D64" s="187" t="n"/>
      <c r="E64" s="354" t="inlineStr">
        <is>
          <t>2026-04-11</t>
        </is>
      </c>
      <c r="F64" s="186" t="n"/>
      <c r="G64" s="187" t="n"/>
      <c r="H64" s="471" t="inlineStr">
        <is>
          <t>Initial release — 38 листов, dual metric Variant C, П5 «Максимум» verification, sheets А.1–А.19 complete</t>
        </is>
      </c>
      <c r="I64" s="186" t="n"/>
      <c r="J64" s="186" t="n"/>
      <c r="K64" s="186" t="n"/>
      <c r="L64" s="186" t="n"/>
      <c r="M64" s="186" t="n"/>
      <c r="N64" s="187" t="n"/>
    </row>
    <row r="65" ht="32" customHeight="1">
      <c r="B65" s="496" t="inlineStr">
        <is>
          <t>v1.4.4 pipeline</t>
        </is>
      </c>
      <c r="C65" s="186" t="n"/>
      <c r="D65" s="187" t="n"/>
      <c r="E65" s="354" t="inlineStr">
        <is>
          <t>2026-04-11</t>
        </is>
      </c>
      <c r="F65" s="186" t="n"/>
      <c r="G65" s="187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 t="n"/>
      <c r="J65" s="186" t="n"/>
      <c r="K65" s="186" t="n"/>
      <c r="L65" s="186" t="n"/>
      <c r="M65" s="186" t="n"/>
      <c r="N65" s="187" t="n"/>
    </row>
    <row r="68" ht="18" customHeight="1">
      <c r="B68" s="482" t="inlineStr">
        <is>
          <t>Подготовлено: ТрендСтудио Holdings | Investor Package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/ СОДЕРЖАНИЕ</t>
        </is>
      </c>
    </row>
    <row r="3" ht="18" customHeight="1">
      <c r="B3" s="457" t="inlineStr">
        <is>
          <t>Investor Package v1.0 Public — 42 листа — hyperlinks</t>
        </is>
      </c>
    </row>
    <row r="5" ht="22" customHeight="1">
      <c r="B5" s="458" t="inlineStr">
        <is>
          <t>A. TITLE &amp; META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499" t="n"/>
      <c r="F7" s="499" t="n"/>
      <c r="G7" s="499" t="n"/>
      <c r="H7" s="499" t="n"/>
      <c r="I7" s="499" t="n"/>
      <c r="J7" s="499" t="n"/>
      <c r="K7" s="499" t="n"/>
      <c r="L7" s="499" t="n"/>
      <c r="M7" s="499" t="n"/>
      <c r="N7" s="499" t="n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316" t="n"/>
      <c r="F8" s="316" t="n"/>
      <c r="G8" s="316" t="n"/>
      <c r="H8" s="316" t="n"/>
      <c r="I8" s="316" t="n"/>
      <c r="J8" s="316" t="n"/>
      <c r="K8" s="316" t="n"/>
      <c r="L8" s="316" t="n"/>
      <c r="M8" s="316" t="n"/>
      <c r="N8" s="316" t="n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316" t="n"/>
      <c r="F9" s="316" t="n"/>
      <c r="G9" s="316" t="n"/>
      <c r="H9" s="316" t="n"/>
      <c r="I9" s="316" t="n"/>
      <c r="J9" s="316" t="n"/>
      <c r="K9" s="316" t="n"/>
      <c r="L9" s="316" t="n"/>
      <c r="M9" s="316" t="n"/>
      <c r="N9" s="316" t="n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316" t="n"/>
      <c r="F10" s="316" t="n"/>
      <c r="G10" s="316" t="n"/>
      <c r="H10" s="316" t="n"/>
      <c r="I10" s="316" t="n"/>
      <c r="J10" s="316" t="n"/>
      <c r="K10" s="316" t="n"/>
      <c r="L10" s="316" t="n"/>
      <c r="M10" s="316" t="n"/>
      <c r="N10" s="316" t="n"/>
    </row>
    <row r="12" ht="22" customHeight="1">
      <c r="B12" s="501" t="inlineStr">
        <is>
          <t>B. COST STRUCTURE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499" t="n"/>
      <c r="F14" s="499" t="n"/>
      <c r="G14" s="499" t="n"/>
      <c r="H14" s="499" t="n"/>
      <c r="I14" s="499" t="n"/>
      <c r="J14" s="499" t="n"/>
      <c r="K14" s="499" t="n"/>
      <c r="L14" s="499" t="n"/>
      <c r="M14" s="499" t="n"/>
      <c r="N14" s="499" t="n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316" t="n"/>
      <c r="F15" s="316" t="n"/>
      <c r="G15" s="316" t="n"/>
      <c r="H15" s="316" t="n"/>
      <c r="I15" s="316" t="n"/>
      <c r="J15" s="316" t="n"/>
      <c r="K15" s="316" t="n"/>
      <c r="L15" s="316" t="n"/>
      <c r="M15" s="316" t="n"/>
      <c r="N15" s="316" t="n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/ проектная)</t>
        </is>
      </c>
      <c r="E16" s="316" t="n"/>
      <c r="F16" s="316" t="n"/>
      <c r="G16" s="316" t="n"/>
      <c r="H16" s="316" t="n"/>
      <c r="I16" s="316" t="n"/>
      <c r="J16" s="316" t="n"/>
      <c r="K16" s="316" t="n"/>
      <c r="L16" s="316" t="n"/>
      <c r="M16" s="316" t="n"/>
      <c r="N16" s="316" t="n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+ OpEx детализация</t>
        </is>
      </c>
      <c r="E17" s="316" t="n"/>
      <c r="F17" s="316" t="n"/>
      <c r="G17" s="316" t="n"/>
      <c r="H17" s="316" t="n"/>
      <c r="I17" s="316" t="n"/>
      <c r="J17" s="316" t="n"/>
      <c r="K17" s="316" t="n"/>
      <c r="L17" s="316" t="n"/>
      <c r="M17" s="316" t="n"/>
      <c r="N17" s="316" t="n"/>
    </row>
    <row r="19" ht="22" customHeight="1">
      <c r="B19" s="501" t="inlineStr">
        <is>
          <t>C. REVENUE &amp; PIPELINE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499" t="n"/>
      <c r="F21" s="499" t="n"/>
      <c r="G21" s="499" t="n"/>
      <c r="H21" s="499" t="n"/>
      <c r="I21" s="499" t="n"/>
      <c r="J21" s="499" t="n"/>
      <c r="K21" s="499" t="n"/>
      <c r="L21" s="499" t="n"/>
      <c r="M21" s="499" t="n"/>
      <c r="N21" s="499" t="n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316" t="n"/>
      <c r="F22" s="316" t="n"/>
      <c r="G22" s="316" t="n"/>
      <c r="H22" s="316" t="n"/>
      <c r="I22" s="316" t="n"/>
      <c r="J22" s="316" t="n"/>
      <c r="K22" s="316" t="n"/>
      <c r="L22" s="316" t="n"/>
      <c r="M22" s="316" t="n"/>
      <c r="N22" s="316" t="n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12 фильмов × 154 млн ₽</t>
        </is>
      </c>
      <c r="E23" s="316" t="n"/>
      <c r="F23" s="316" t="n"/>
      <c r="G23" s="316" t="n"/>
      <c r="H23" s="316" t="n"/>
      <c r="I23" s="316" t="n"/>
      <c r="J23" s="316" t="n"/>
      <c r="K23" s="316" t="n"/>
      <c r="L23" s="316" t="n"/>
      <c r="M23" s="316" t="n"/>
      <c r="N23" s="316" t="n"/>
    </row>
    <row r="25" ht="22" customHeight="1">
      <c r="B25" s="501" t="inlineStr">
        <is>
          <t>D. FINANCIALS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499" t="n"/>
      <c r="F27" s="499" t="n"/>
      <c r="G27" s="499" t="n"/>
      <c r="H27" s="499" t="n"/>
      <c r="I27" s="499" t="n"/>
      <c r="J27" s="499" t="n"/>
      <c r="K27" s="499" t="n"/>
      <c r="L27" s="499" t="n"/>
      <c r="M27" s="499" t="n"/>
      <c r="N27" s="499" t="n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EBITDA 2 152 + NDP 3 000 bridge)</t>
        </is>
      </c>
      <c r="E28" s="316" t="n"/>
      <c r="F28" s="316" t="n"/>
      <c r="G28" s="316" t="n"/>
      <c r="H28" s="316" t="n"/>
      <c r="I28" s="316" t="n"/>
      <c r="J28" s="316" t="n"/>
      <c r="K28" s="316" t="n"/>
      <c r="L28" s="316" t="n"/>
      <c r="M28" s="316" t="n"/>
      <c r="N28" s="316" t="n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(indirect)</t>
        </is>
      </c>
      <c r="E29" s="316" t="n"/>
      <c r="F29" s="316" t="n"/>
      <c r="G29" s="316" t="n"/>
      <c r="H29" s="316" t="n"/>
      <c r="I29" s="316" t="n"/>
      <c r="J29" s="316" t="n"/>
      <c r="K29" s="316" t="n"/>
      <c r="L29" s="316" t="n"/>
      <c r="M29" s="316" t="n"/>
      <c r="N29" s="316" t="n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316" t="n"/>
      <c r="F30" s="316" t="n"/>
      <c r="G30" s="316" t="n"/>
      <c r="H30" s="316" t="n"/>
      <c r="I30" s="316" t="n"/>
      <c r="J30" s="316" t="n"/>
      <c r="K30" s="316" t="n"/>
      <c r="L30" s="316" t="n"/>
      <c r="M30" s="316" t="n"/>
      <c r="N30" s="316" t="n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316" t="n"/>
      <c r="F31" s="316" t="n"/>
      <c r="G31" s="316" t="n"/>
      <c r="H31" s="316" t="n"/>
      <c r="I31" s="316" t="n"/>
      <c r="J31" s="316" t="n"/>
      <c r="K31" s="316" t="n"/>
      <c r="L31" s="316" t="n"/>
      <c r="M31" s="316" t="n"/>
      <c r="N31" s="316" t="n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316" t="n"/>
      <c r="F32" s="316" t="n"/>
      <c r="G32" s="316" t="n"/>
      <c r="H32" s="316" t="n"/>
      <c r="I32" s="316" t="n"/>
      <c r="J32" s="316" t="n"/>
      <c r="K32" s="316" t="n"/>
      <c r="L32" s="316" t="n"/>
      <c r="M32" s="316" t="n"/>
      <c r="N32" s="316" t="n"/>
    </row>
    <row r="34" ht="22" customHeight="1">
      <c r="B34" s="501" t="inlineStr">
        <is>
          <t>E. INVESTMENT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499" t="n"/>
      <c r="F36" s="499" t="n"/>
      <c r="G36" s="499" t="n"/>
      <c r="H36" s="499" t="n"/>
      <c r="I36" s="499" t="n"/>
      <c r="J36" s="499" t="n"/>
      <c r="K36" s="499" t="n"/>
      <c r="L36" s="499" t="n"/>
      <c r="M36" s="499" t="n"/>
      <c r="N36" s="499" t="n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316" t="n"/>
      <c r="F37" s="316" t="n"/>
      <c r="G37" s="316" t="n"/>
      <c r="H37" s="316" t="n"/>
      <c r="I37" s="316" t="n"/>
      <c r="J37" s="316" t="n"/>
      <c r="K37" s="316" t="n"/>
      <c r="L37" s="316" t="n"/>
      <c r="M37" s="316" t="n"/>
      <c r="N37" s="316" t="n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316" t="n"/>
      <c r="F38" s="316" t="n"/>
      <c r="G38" s="316" t="n"/>
      <c r="H38" s="316" t="n"/>
      <c r="I38" s="316" t="n"/>
      <c r="J38" s="316" t="n"/>
      <c r="K38" s="316" t="n"/>
      <c r="L38" s="316" t="n"/>
      <c r="M38" s="316" t="n"/>
      <c r="N38" s="316" t="n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</t>
        </is>
      </c>
      <c r="E39" s="316" t="n"/>
      <c r="F39" s="316" t="n"/>
      <c r="G39" s="316" t="n"/>
      <c r="H39" s="316" t="n"/>
      <c r="I39" s="316" t="n"/>
      <c r="J39" s="316" t="n"/>
      <c r="K39" s="316" t="n"/>
      <c r="L39" s="316" t="n"/>
      <c r="M39" s="316" t="n"/>
      <c r="N39" s="316" t="n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+ Producer equity 600 млн ₽</t>
        </is>
      </c>
      <c r="E40" s="316" t="n"/>
      <c r="F40" s="316" t="n"/>
      <c r="G40" s="316" t="n"/>
      <c r="H40" s="316" t="n"/>
      <c r="I40" s="316" t="n"/>
      <c r="J40" s="316" t="n"/>
      <c r="K40" s="316" t="n"/>
      <c r="L40" s="316" t="n"/>
      <c r="M40" s="316" t="n"/>
      <c r="N40" s="316" t="n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316" t="n"/>
      <c r="F41" s="316" t="n"/>
      <c r="G41" s="316" t="n"/>
      <c r="H41" s="316" t="n"/>
      <c r="I41" s="316" t="n"/>
      <c r="J41" s="316" t="n"/>
      <c r="K41" s="316" t="n"/>
      <c r="L41" s="316" t="n"/>
      <c r="M41" s="316" t="n"/>
      <c r="N41" s="316" t="n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12% pref + 80/20)</t>
        </is>
      </c>
      <c r="E42" s="316" t="n"/>
      <c r="F42" s="316" t="n"/>
      <c r="G42" s="316" t="n"/>
      <c r="H42" s="316" t="n"/>
      <c r="I42" s="316" t="n"/>
      <c r="J42" s="316" t="n"/>
      <c r="K42" s="316" t="n"/>
      <c r="L42" s="316" t="n"/>
      <c r="M42" s="316" t="n"/>
      <c r="N42" s="316" t="n"/>
    </row>
    <row r="44" ht="22" customHeight="1">
      <c r="B44" s="501" t="inlineStr">
        <is>
          <t>F. UNIT ECON &amp; KPI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499" t="n"/>
      <c r="F46" s="499" t="n"/>
      <c r="G46" s="499" t="n"/>
      <c r="H46" s="499" t="n"/>
      <c r="I46" s="499" t="n"/>
      <c r="J46" s="499" t="n"/>
      <c r="K46" s="499" t="n"/>
      <c r="L46" s="499" t="n"/>
      <c r="M46" s="499" t="n"/>
      <c r="N46" s="499" t="n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316" t="n"/>
      <c r="F47" s="316" t="n"/>
      <c r="G47" s="316" t="n"/>
      <c r="H47" s="316" t="n"/>
      <c r="I47" s="316" t="n"/>
      <c r="J47" s="316" t="n"/>
      <c r="K47" s="316" t="n"/>
      <c r="L47" s="316" t="n"/>
      <c r="M47" s="316" t="n"/>
      <c r="N47" s="316" t="n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316" t="n"/>
      <c r="F48" s="316" t="n"/>
      <c r="G48" s="316" t="n"/>
      <c r="H48" s="316" t="n"/>
      <c r="I48" s="316" t="n"/>
      <c r="J48" s="316" t="n"/>
      <c r="K48" s="316" t="n"/>
      <c r="L48" s="316" t="n"/>
      <c r="M48" s="316" t="n"/>
      <c r="N48" s="316" t="n"/>
    </row>
    <row r="50" ht="22" customHeight="1">
      <c r="B50" s="501" t="inlineStr">
        <is>
          <t>G. VALUATION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499" t="n"/>
      <c r="F52" s="499" t="n"/>
      <c r="G52" s="499" t="n"/>
      <c r="H52" s="499" t="n"/>
      <c r="I52" s="499" t="n"/>
      <c r="J52" s="499" t="n"/>
      <c r="K52" s="499" t="n"/>
      <c r="L52" s="499" t="n"/>
      <c r="M52" s="499" t="n"/>
      <c r="N52" s="499" t="n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blend 40% Gordon + 60% Exit Mult = 1 815</t>
        </is>
      </c>
      <c r="E53" s="316" t="n"/>
      <c r="F53" s="316" t="n"/>
      <c r="G53" s="316" t="n"/>
      <c r="H53" s="316" t="n"/>
      <c r="I53" s="316" t="n"/>
      <c r="J53" s="316" t="n"/>
      <c r="K53" s="316" t="n"/>
      <c r="L53" s="316" t="n"/>
      <c r="M53" s="316" t="n"/>
      <c r="N53" s="316" t="n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EV/EBITDA multiples</t>
        </is>
      </c>
      <c r="E54" s="316" t="n"/>
      <c r="F54" s="316" t="n"/>
      <c r="G54" s="316" t="n"/>
      <c r="H54" s="316" t="n"/>
      <c r="I54" s="316" t="n"/>
      <c r="J54" s="316" t="n"/>
      <c r="K54" s="316" t="n"/>
      <c r="L54" s="316" t="n"/>
      <c r="M54" s="316" t="n"/>
      <c r="N54" s="316" t="n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для LP</t>
        </is>
      </c>
      <c r="E55" s="316" t="n"/>
      <c r="F55" s="316" t="n"/>
      <c r="G55" s="316" t="n"/>
      <c r="H55" s="316" t="n"/>
      <c r="I55" s="316" t="n"/>
      <c r="J55" s="316" t="n"/>
      <c r="K55" s="316" t="n"/>
      <c r="L55" s="316" t="n"/>
      <c r="M55" s="316" t="n"/>
      <c r="N55" s="316" t="n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= 6 038</t>
        </is>
      </c>
      <c r="E56" s="316" t="n"/>
      <c r="F56" s="316" t="n"/>
      <c r="G56" s="316" t="n"/>
      <c r="H56" s="316" t="n"/>
      <c r="I56" s="316" t="n"/>
      <c r="J56" s="316" t="n"/>
      <c r="K56" s="316" t="n"/>
      <c r="L56" s="316" t="n"/>
      <c r="M56" s="316" t="n"/>
      <c r="N56" s="316" t="n"/>
    </row>
    <row r="58" ht="22" customHeight="1">
      <c r="B58" s="501" t="inlineStr">
        <is>
          <t>H. RISK &amp; SENSITIVITY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499" t="n"/>
      <c r="F60" s="499" t="n"/>
      <c r="G60" s="499" t="n"/>
      <c r="H60" s="499" t="n"/>
      <c r="I60" s="499" t="n"/>
      <c r="J60" s="499" t="n"/>
      <c r="K60" s="499" t="n"/>
      <c r="L60" s="499" t="n"/>
      <c r="M60" s="499" t="n"/>
      <c r="N60" s="499" t="n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316" t="n"/>
      <c r="F61" s="316" t="n"/>
      <c r="G61" s="316" t="n"/>
      <c r="H61" s="316" t="n"/>
      <c r="I61" s="316" t="n"/>
      <c r="J61" s="316" t="n"/>
      <c r="K61" s="316" t="n"/>
      <c r="L61" s="316" t="n"/>
      <c r="M61" s="316" t="n"/>
      <c r="N61" s="316" t="n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316" t="n"/>
      <c r="F62" s="316" t="n"/>
      <c r="G62" s="316" t="n"/>
      <c r="H62" s="316" t="n"/>
      <c r="I62" s="316" t="n"/>
      <c r="J62" s="316" t="n"/>
      <c r="K62" s="316" t="n"/>
      <c r="L62" s="316" t="n"/>
      <c r="M62" s="316" t="n"/>
      <c r="N62" s="316" t="n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316" t="n"/>
      <c r="F63" s="316" t="n"/>
      <c r="G63" s="316" t="n"/>
      <c r="H63" s="316" t="n"/>
      <c r="I63" s="316" t="n"/>
      <c r="J63" s="316" t="n"/>
      <c r="K63" s="316" t="n"/>
      <c r="L63" s="316" t="n"/>
      <c r="M63" s="316" t="n"/>
      <c r="N63" s="316" t="n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316" t="n"/>
      <c r="F64" s="316" t="n"/>
      <c r="G64" s="316" t="n"/>
      <c r="H64" s="316" t="n"/>
      <c r="I64" s="316" t="n"/>
      <c r="J64" s="316" t="n"/>
      <c r="K64" s="316" t="n"/>
      <c r="L64" s="316" t="n"/>
      <c r="M64" s="316" t="n"/>
      <c r="N64" s="316" t="n"/>
    </row>
    <row r="66" ht="22" customHeight="1">
      <c r="B66" s="501" t="inlineStr">
        <is>
          <t>I. MARKET &amp; BENCHMARKS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499" t="n"/>
      <c r="F68" s="499" t="n"/>
      <c r="G68" s="499" t="n"/>
      <c r="H68" s="499" t="n"/>
      <c r="I68" s="499" t="n"/>
      <c r="J68" s="499" t="n"/>
      <c r="K68" s="499" t="n"/>
      <c r="L68" s="499" t="n"/>
      <c r="M68" s="499" t="n"/>
      <c r="N68" s="499" t="n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316" t="n"/>
      <c r="F69" s="316" t="n"/>
      <c r="G69" s="316" t="n"/>
      <c r="H69" s="316" t="n"/>
      <c r="I69" s="316" t="n"/>
      <c r="J69" s="316" t="n"/>
      <c r="K69" s="316" t="n"/>
      <c r="L69" s="316" t="n"/>
      <c r="M69" s="316" t="n"/>
      <c r="N69" s="316" t="n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+ 7 FIN KPI + 6 multiples</t>
        </is>
      </c>
      <c r="E70" s="316" t="n"/>
      <c r="F70" s="316" t="n"/>
      <c r="G70" s="316" t="n"/>
      <c r="H70" s="316" t="n"/>
      <c r="I70" s="316" t="n"/>
      <c r="J70" s="316" t="n"/>
      <c r="K70" s="316" t="n"/>
      <c r="L70" s="316" t="n"/>
      <c r="M70" s="316" t="n"/>
      <c r="N70" s="316" t="n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</t>
        </is>
      </c>
      <c r="E71" s="316" t="n"/>
      <c r="F71" s="316" t="n"/>
      <c r="G71" s="316" t="n"/>
      <c r="H71" s="316" t="n"/>
      <c r="I71" s="316" t="n"/>
      <c r="J71" s="316" t="n"/>
      <c r="K71" s="316" t="n"/>
      <c r="L71" s="316" t="n"/>
      <c r="M71" s="316" t="n"/>
      <c r="N71" s="316" t="n"/>
    </row>
    <row r="73" ht="22" customHeight="1">
      <c r="B73" s="501" t="inlineStr">
        <is>
          <t>J. GOV &amp; TAX &amp; ROADMAP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499" t="n"/>
      <c r="F75" s="499" t="n"/>
      <c r="G75" s="499" t="n"/>
      <c r="H75" s="499" t="n"/>
      <c r="I75" s="499" t="n"/>
      <c r="J75" s="499" t="n"/>
      <c r="K75" s="499" t="n"/>
      <c r="L75" s="499" t="n"/>
      <c r="M75" s="499" t="n"/>
      <c r="N75" s="499" t="n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+ 5 источников 1 040</t>
        </is>
      </c>
      <c r="E76" s="316" t="n"/>
      <c r="F76" s="316" t="n"/>
      <c r="G76" s="316" t="n"/>
      <c r="H76" s="316" t="n"/>
      <c r="I76" s="316" t="n"/>
      <c r="J76" s="316" t="n"/>
      <c r="K76" s="316" t="n"/>
      <c r="L76" s="316" t="n"/>
      <c r="M76" s="316" t="n"/>
      <c r="N76" s="316" t="n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316" t="n"/>
      <c r="F77" s="316" t="n"/>
      <c r="G77" s="316" t="n"/>
      <c r="H77" s="316" t="n"/>
      <c r="I77" s="316" t="n"/>
      <c r="J77" s="316" t="n"/>
      <c r="K77" s="316" t="n"/>
      <c r="L77" s="316" t="n"/>
      <c r="M77" s="316" t="n"/>
      <c r="N77" s="316" t="n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+ exit</t>
        </is>
      </c>
      <c r="E78" s="316" t="n"/>
      <c r="F78" s="316" t="n"/>
      <c r="G78" s="316" t="n"/>
      <c r="H78" s="316" t="n"/>
      <c r="I78" s="316" t="n"/>
      <c r="J78" s="316" t="n"/>
      <c r="K78" s="316" t="n"/>
      <c r="L78" s="316" t="n"/>
      <c r="M78" s="316" t="n"/>
      <c r="N78" s="316" t="n"/>
    </row>
    <row r="80" ht="22" customHeight="1">
      <c r="B80" s="466" t="inlineStr">
        <is>
          <t>K. SUMMARY &amp; GLOSSARY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499" t="n"/>
      <c r="F82" s="499" t="n"/>
      <c r="G82" s="499" t="n"/>
      <c r="H82" s="499" t="n"/>
      <c r="I82" s="499" t="n"/>
      <c r="J82" s="499" t="n"/>
      <c r="K82" s="499" t="n"/>
      <c r="L82" s="499" t="n"/>
      <c r="M82" s="499" t="n"/>
      <c r="N82" s="499" t="n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316" t="n"/>
      <c r="F83" s="316" t="n"/>
      <c r="G83" s="316" t="n"/>
      <c r="H83" s="316" t="n"/>
      <c r="I83" s="316" t="n"/>
      <c r="J83" s="316" t="n"/>
      <c r="K83" s="316" t="n"/>
      <c r="L83" s="316" t="n"/>
      <c r="M83" s="316" t="n"/>
      <c r="N83" s="316" t="n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316" t="n"/>
      <c r="F84" s="316" t="n"/>
      <c r="G84" s="316" t="n"/>
      <c r="H84" s="316" t="n"/>
      <c r="I84" s="316" t="n"/>
      <c r="J84" s="316" t="n"/>
      <c r="K84" s="316" t="n"/>
      <c r="L84" s="316" t="n"/>
      <c r="M84" s="316" t="n"/>
      <c r="N84" s="316" t="n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316" t="n"/>
      <c r="F85" s="316" t="n"/>
      <c r="G85" s="316" t="n"/>
      <c r="H85" s="316" t="n"/>
      <c r="I85" s="316" t="n"/>
      <c r="J85" s="316" t="n"/>
      <c r="K85" s="316" t="n"/>
      <c r="L85" s="316" t="n"/>
      <c r="M85" s="316" t="n"/>
      <c r="N85" s="316" t="n"/>
    </row>
    <row r="87" ht="22" customHeight="1">
      <c r="B87" s="466" t="inlineStr">
        <is>
          <t>L. SERVICE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499" t="n"/>
      <c r="F89" s="499" t="n"/>
      <c r="G89" s="499" t="n"/>
      <c r="H89" s="499" t="n"/>
      <c r="I89" s="499" t="n"/>
      <c r="J89" s="499" t="n"/>
      <c r="K89" s="499" t="n"/>
      <c r="L89" s="499" t="n"/>
      <c r="M89" s="499" t="n"/>
      <c r="N89" s="499" t="n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(этот лист)</t>
        </is>
      </c>
      <c r="E90" s="316" t="n"/>
      <c r="F90" s="316" t="n"/>
      <c r="G90" s="316" t="n"/>
      <c r="H90" s="316" t="n"/>
      <c r="I90" s="316" t="n"/>
      <c r="J90" s="316" t="n"/>
      <c r="K90" s="316" t="n"/>
      <c r="L90" s="316" t="n"/>
      <c r="M90" s="316" t="n"/>
      <c r="N90" s="316" t="n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316" t="n"/>
      <c r="F91" s="316" t="n"/>
      <c r="G91" s="316" t="n"/>
      <c r="H91" s="316" t="n"/>
      <c r="I91" s="316" t="n"/>
      <c r="J91" s="316" t="n"/>
      <c r="K91" s="316" t="n"/>
      <c r="L91" s="316" t="n"/>
      <c r="M91" s="316" t="n"/>
      <c r="N91" s="316" t="n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+ page breaks</t>
        </is>
      </c>
      <c r="E92" s="316" t="n"/>
      <c r="F92" s="316" t="n"/>
      <c r="G92" s="316" t="n"/>
      <c r="H92" s="316" t="n"/>
      <c r="I92" s="316" t="n"/>
      <c r="J92" s="316" t="n"/>
      <c r="K92" s="316" t="n"/>
      <c r="L92" s="316" t="n"/>
      <c r="M92" s="316" t="n"/>
      <c r="N92" s="316" t="n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</t>
        </is>
      </c>
      <c r="E93" s="316" t="n"/>
      <c r="F93" s="316" t="n"/>
      <c r="G93" s="316" t="n"/>
      <c r="H93" s="316" t="n"/>
      <c r="I93" s="316" t="n"/>
      <c r="J93" s="316" t="n"/>
      <c r="K93" s="316" t="n"/>
      <c r="L93" s="316" t="n"/>
      <c r="M93" s="316" t="n"/>
      <c r="N93" s="316" t="n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89:N89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23:N23"/>
    <mergeCell ref="D42:N42"/>
    <mergeCell ref="D38:N38"/>
    <mergeCell ref="B44:N44"/>
    <mergeCell ref="D14:N14"/>
    <mergeCell ref="D29:N29"/>
    <mergeCell ref="D85:N85"/>
    <mergeCell ref="B19:N19"/>
    <mergeCell ref="B34:N34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22" r:id="rId7"/>
    <hyperlink xmlns:r="http://schemas.openxmlformats.org/officeDocument/2006/relationships" ref="C23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  <hyperlink xmlns:r="http://schemas.openxmlformats.org/officeDocument/2006/relationships" ref="C40" r:id="rId17"/>
    <hyperlink xmlns:r="http://schemas.openxmlformats.org/officeDocument/2006/relationships" ref="C41" r:id="rId18"/>
    <hyperlink xmlns:r="http://schemas.openxmlformats.org/officeDocument/2006/relationships" ref="C42" r:id="rId19"/>
    <hyperlink xmlns:r="http://schemas.openxmlformats.org/officeDocument/2006/relationships" ref="C47" r:id="rId20"/>
    <hyperlink xmlns:r="http://schemas.openxmlformats.org/officeDocument/2006/relationships" ref="C48" r:id="rId21"/>
    <hyperlink xmlns:r="http://schemas.openxmlformats.org/officeDocument/2006/relationships" ref="C53" r:id="rId22"/>
    <hyperlink xmlns:r="http://schemas.openxmlformats.org/officeDocument/2006/relationships" ref="C54" r:id="rId23"/>
    <hyperlink xmlns:r="http://schemas.openxmlformats.org/officeDocument/2006/relationships" ref="C55" r:id="rId24"/>
    <hyperlink xmlns:r="http://schemas.openxmlformats.org/officeDocument/2006/relationships" ref="C56" r:id="rId25"/>
    <hyperlink xmlns:r="http://schemas.openxmlformats.org/officeDocument/2006/relationships" ref="C61" r:id="rId26"/>
    <hyperlink xmlns:r="http://schemas.openxmlformats.org/officeDocument/2006/relationships" ref="C62" r:id="rId27"/>
    <hyperlink xmlns:r="http://schemas.openxmlformats.org/officeDocument/2006/relationships" ref="C63" r:id="rId28"/>
    <hyperlink xmlns:r="http://schemas.openxmlformats.org/officeDocument/2006/relationships" ref="C64" r:id="rId29"/>
    <hyperlink xmlns:r="http://schemas.openxmlformats.org/officeDocument/2006/relationships" ref="C69" r:id="rId30"/>
    <hyperlink xmlns:r="http://schemas.openxmlformats.org/officeDocument/2006/relationships" ref="C70" r:id="rId31"/>
    <hyperlink xmlns:r="http://schemas.openxmlformats.org/officeDocument/2006/relationships" ref="C71" r:id="rId32"/>
    <hyperlink xmlns:r="http://schemas.openxmlformats.org/officeDocument/2006/relationships" ref="C76" r:id="rId33"/>
    <hyperlink xmlns:r="http://schemas.openxmlformats.org/officeDocument/2006/relationships" ref="C77" r:id="rId34"/>
    <hyperlink xmlns:r="http://schemas.openxmlformats.org/officeDocument/2006/relationships" ref="C78" r:id="rId35"/>
    <hyperlink xmlns:r="http://schemas.openxmlformats.org/officeDocument/2006/relationships" ref="C83" r:id="rId36"/>
    <hyperlink xmlns:r="http://schemas.openxmlformats.org/officeDocument/2006/relationships" ref="C84" r:id="rId37"/>
    <hyperlink xmlns:r="http://schemas.openxmlformats.org/officeDocument/2006/relationships" ref="C85" r:id="rId38"/>
    <hyperlink xmlns:r="http://schemas.openxmlformats.org/officeDocument/2006/relationships" ref="C90" r:id="rId39"/>
    <hyperlink xmlns:r="http://schemas.openxmlformats.org/officeDocument/2006/relationships" ref="C91" r:id="rId40"/>
    <hyperlink xmlns:r="http://schemas.openxmlformats.org/officeDocument/2006/relationships" ref="C92" r:id="rId41"/>
    <hyperlink xmlns:r="http://schemas.openxmlformats.org/officeDocument/2006/relationships"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INVESTOR DUE DILIGENCE CHECKLIST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469" t="n"/>
      <c r="F5" s="469" t="n"/>
      <c r="G5" s="469" t="n"/>
      <c r="H5" s="469" t="n"/>
      <c r="I5" s="469" t="n"/>
      <c r="J5" s="469" t="n"/>
      <c r="K5" s="469" t="n"/>
      <c r="L5" s="469" t="n"/>
      <c r="M5" s="321" t="inlineStr">
        <is>
          <t>Источник в модели</t>
        </is>
      </c>
      <c r="N5" s="469" t="n"/>
    </row>
    <row r="6" ht="20" customHeight="1">
      <c r="B6" s="502" t="inlineStr">
        <is>
          <t>A. БИЗНЕС-МОДЕЛЬ</t>
        </is>
      </c>
      <c r="C6" s="503" t="n"/>
      <c r="D6" s="503" t="n"/>
      <c r="E6" s="503" t="n"/>
      <c r="F6" s="503" t="n"/>
      <c r="G6" s="503" t="n"/>
      <c r="H6" s="503" t="n"/>
      <c r="I6" s="503" t="n"/>
      <c r="J6" s="503" t="n"/>
      <c r="K6" s="503" t="n"/>
      <c r="L6" s="503" t="n"/>
      <c r="M6" s="503" t="n"/>
      <c r="N6" s="503" t="n"/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EBITDA 2 152 vs NDP 3 000)</t>
        </is>
      </c>
      <c r="E7" s="316" t="n"/>
      <c r="F7" s="316" t="n"/>
      <c r="G7" s="316" t="n"/>
      <c r="H7" s="316" t="n"/>
      <c r="I7" s="316" t="n"/>
      <c r="J7" s="316" t="n"/>
      <c r="K7" s="316" t="n"/>
      <c r="L7" s="316" t="n"/>
      <c r="M7" s="505" t="inlineStr">
        <is>
          <t>09_P&amp;L_Statement</t>
        </is>
      </c>
      <c r="N7" s="316" t="n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split (Box Office 55% / OTT 25% / мерч 8% / интл 7% / sequel 5%)</t>
        </is>
      </c>
      <c r="E8" s="316" t="n"/>
      <c r="F8" s="316" t="n"/>
      <c r="G8" s="316" t="n"/>
      <c r="H8" s="316" t="n"/>
      <c r="I8" s="316" t="n"/>
      <c r="J8" s="316" t="n"/>
      <c r="K8" s="316" t="n"/>
      <c r="L8" s="316" t="n"/>
      <c r="M8" s="505" t="inlineStr">
        <is>
          <t>07_Revenue_Breakdown</t>
        </is>
      </c>
      <c r="N8" s="316" t="n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(производство 72% / прокат 18% / маркетинг 10%)</t>
        </is>
      </c>
      <c r="E9" s="316" t="n"/>
      <c r="F9" s="316" t="n"/>
      <c r="G9" s="316" t="n"/>
      <c r="H9" s="316" t="n"/>
      <c r="I9" s="316" t="n"/>
      <c r="J9" s="316" t="n"/>
      <c r="K9" s="316" t="n"/>
      <c r="L9" s="316" t="n"/>
      <c r="M9" s="505" t="inlineStr">
        <is>
          <t>06_Cost_Structure</t>
        </is>
      </c>
      <c r="N9" s="316" t="n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12 фильмов × средний бюджет 154 млн ₽</t>
        </is>
      </c>
      <c r="E10" s="316" t="n"/>
      <c r="F10" s="316" t="n"/>
      <c r="G10" s="316" t="n"/>
      <c r="H10" s="316" t="n"/>
      <c r="I10" s="316" t="n"/>
      <c r="J10" s="316" t="n"/>
      <c r="K10" s="316" t="n"/>
      <c r="L10" s="316" t="n"/>
      <c r="M10" s="505" t="inlineStr">
        <is>
          <t>08_Content_Pipeline</t>
        </is>
      </c>
      <c r="N10" s="316" t="n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revenue 1 050 млн ₽ 2029–2032)</t>
        </is>
      </c>
      <c r="E11" s="316" t="n"/>
      <c r="F11" s="316" t="n"/>
      <c r="G11" s="316" t="n"/>
      <c r="H11" s="316" t="n"/>
      <c r="I11" s="316" t="n"/>
      <c r="J11" s="316" t="n"/>
      <c r="K11" s="316" t="n"/>
      <c r="L11" s="316" t="n"/>
      <c r="M11" s="505" t="inlineStr">
        <is>
          <t>07_Revenue_Breakdown</t>
        </is>
      </c>
      <c r="N11" s="316" t="n"/>
    </row>
    <row r="13" ht="20" customHeight="1">
      <c r="B13" s="502" t="inlineStr">
        <is>
          <t>B. ФИНАНСОВАЯ СТРУКТУРА</t>
        </is>
      </c>
      <c r="C13" s="503" t="n"/>
      <c r="D13" s="503" t="n"/>
      <c r="E13" s="503" t="n"/>
      <c r="F13" s="503" t="n"/>
      <c r="G13" s="503" t="n"/>
      <c r="H13" s="503" t="n"/>
      <c r="I13" s="503" t="n"/>
      <c r="J13" s="503" t="n"/>
      <c r="K13" s="503" t="n"/>
      <c r="L13" s="503" t="n"/>
      <c r="M13" s="503" t="n"/>
      <c r="N13" s="503" t="n"/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316" t="n"/>
      <c r="F14" s="316" t="n"/>
      <c r="G14" s="316" t="n"/>
      <c r="H14" s="316" t="n"/>
      <c r="I14" s="316" t="n"/>
      <c r="J14" s="316" t="n"/>
      <c r="K14" s="316" t="n"/>
      <c r="L14" s="316" t="n"/>
      <c r="M14" s="505" t="inlineStr">
        <is>
          <t>14_Investment_Inflow</t>
        </is>
      </c>
      <c r="N14" s="316" t="n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600 млн ₽ — подтвердить off-P&amp;L статус (JV capital)</t>
        </is>
      </c>
      <c r="E15" s="316" t="n"/>
      <c r="F15" s="316" t="n"/>
      <c r="G15" s="316" t="n"/>
      <c r="H15" s="316" t="n"/>
      <c r="I15" s="316" t="n"/>
      <c r="J15" s="316" t="n"/>
      <c r="K15" s="316" t="n"/>
      <c r="L15" s="316" t="n"/>
      <c r="M15" s="505" t="inlineStr">
        <is>
          <t>17_Deal_Structures</t>
        </is>
      </c>
      <c r="N15" s="316" t="n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pre-money / post-money structure</t>
        </is>
      </c>
      <c r="E16" s="316" t="n"/>
      <c r="F16" s="316" t="n"/>
      <c r="G16" s="316" t="n"/>
      <c r="H16" s="316" t="n"/>
      <c r="I16" s="316" t="n"/>
      <c r="J16" s="316" t="n"/>
      <c r="K16" s="316" t="n"/>
      <c r="L16" s="316" t="n"/>
      <c r="M16" s="505" t="inlineStr">
        <is>
          <t>18_Cap_Table</t>
        </is>
      </c>
      <c r="N16" s="316" t="n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Waterfall: LP return of capital → preferred 12% → GP catch-up → 80/20</t>
        </is>
      </c>
      <c r="E17" s="316" t="n"/>
      <c r="F17" s="316" t="n"/>
      <c r="G17" s="316" t="n"/>
      <c r="H17" s="316" t="n"/>
      <c r="I17" s="316" t="n"/>
      <c r="J17" s="316" t="n"/>
      <c r="K17" s="316" t="n"/>
      <c r="L17" s="316" t="n"/>
      <c r="M17" s="505" t="inlineStr">
        <is>
          <t>19_Waterfall</t>
        </is>
      </c>
      <c r="N17" s="316" t="n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— привязка каждого рубля к статье</t>
        </is>
      </c>
      <c r="E18" s="316" t="n"/>
      <c r="F18" s="316" t="n"/>
      <c r="G18" s="316" t="n"/>
      <c r="H18" s="316" t="n"/>
      <c r="I18" s="316" t="n"/>
      <c r="J18" s="316" t="n"/>
      <c r="K18" s="316" t="n"/>
      <c r="L18" s="316" t="n"/>
      <c r="M18" s="505" t="inlineStr">
        <is>
          <t>15_Use_of_Funds</t>
        </is>
      </c>
      <c r="N18" s="316" t="n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schedule — все CAPEX ≤ 100 млн ₽ за 3 года</t>
        </is>
      </c>
      <c r="E19" s="316" t="n"/>
      <c r="F19" s="316" t="n"/>
      <c r="G19" s="316" t="n"/>
      <c r="H19" s="316" t="n"/>
      <c r="I19" s="316" t="n"/>
      <c r="J19" s="316" t="n"/>
      <c r="K19" s="316" t="n"/>
      <c r="L19" s="316" t="n"/>
      <c r="M19" s="505" t="inlineStr">
        <is>
          <t>16_CAPEX_Schedule</t>
        </is>
      </c>
      <c r="N19" s="316" t="n"/>
    </row>
    <row r="21" ht="20" customHeight="1">
      <c r="B21" s="502" t="inlineStr">
        <is>
          <t>C. ОЦЕНКА</t>
        </is>
      </c>
      <c r="C21" s="503" t="n"/>
      <c r="D21" s="503" t="n"/>
      <c r="E21" s="503" t="n"/>
      <c r="F21" s="503" t="n"/>
      <c r="G21" s="503" t="n"/>
      <c r="H21" s="503" t="n"/>
      <c r="I21" s="503" t="n"/>
      <c r="J21" s="503" t="n"/>
      <c r="K21" s="503" t="n"/>
      <c r="L21" s="503" t="n"/>
      <c r="M21" s="503" t="n"/>
      <c r="N21" s="503" t="n"/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blend 40% Gordon + 60% Exit Multiple — логика и параметры</t>
        </is>
      </c>
      <c r="E22" s="316" t="n"/>
      <c r="F22" s="316" t="n"/>
      <c r="G22" s="316" t="n"/>
      <c r="H22" s="316" t="n"/>
      <c r="I22" s="316" t="n"/>
      <c r="J22" s="316" t="n"/>
      <c r="K22" s="316" t="n"/>
      <c r="L22" s="316" t="n"/>
      <c r="M22" s="505" t="inlineStr">
        <is>
          <t>22_Valuation_DCF</t>
        </is>
      </c>
      <c r="N22" s="316" t="n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19% — justify страновой risk и execution</t>
        </is>
      </c>
      <c r="E23" s="316" t="n"/>
      <c r="F23" s="316" t="n"/>
      <c r="G23" s="316" t="n"/>
      <c r="H23" s="316" t="n"/>
      <c r="I23" s="316" t="n"/>
      <c r="J23" s="316" t="n"/>
      <c r="K23" s="316" t="n"/>
      <c r="L23" s="316" t="n"/>
      <c r="M23" s="505" t="inlineStr">
        <is>
          <t>22_Valuation_DCF</t>
        </is>
      </c>
      <c r="N23" s="316" t="n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316" t="n"/>
      <c r="F24" s="316" t="n"/>
      <c r="G24" s="316" t="n"/>
      <c r="H24" s="316" t="n"/>
      <c r="I24" s="316" t="n"/>
      <c r="J24" s="316" t="n"/>
      <c r="K24" s="316" t="n"/>
      <c r="L24" s="316" t="n"/>
      <c r="M24" s="505" t="inlineStr">
        <is>
          <t>36_Executive_Summary III</t>
        </is>
      </c>
      <c r="N24" s="316" t="n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EV/EBITDA multiples vs 32_Comparable_Transactions median 8.9×</t>
        </is>
      </c>
      <c r="E25" s="316" t="n"/>
      <c r="F25" s="316" t="n"/>
      <c r="G25" s="316" t="n"/>
      <c r="H25" s="316" t="n"/>
      <c r="I25" s="316" t="n"/>
      <c r="J25" s="316" t="n"/>
      <c r="K25" s="316" t="n"/>
      <c r="L25" s="316" t="n"/>
      <c r="M25" s="505" t="inlineStr">
        <is>
          <t>23_Valuation_Multiples</t>
        </is>
      </c>
      <c r="N25" s="316" t="n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6 038 = Σ (p × EV) по 7 маршрутам</t>
        </is>
      </c>
      <c r="E26" s="316" t="n"/>
      <c r="F26" s="316" t="n"/>
      <c r="G26" s="316" t="n"/>
      <c r="H26" s="316" t="n"/>
      <c r="I26" s="316" t="n"/>
      <c r="J26" s="316" t="n"/>
      <c r="K26" s="316" t="n"/>
      <c r="L26" s="316" t="n"/>
      <c r="M26" s="505" t="inlineStr">
        <is>
          <t>25_Exit_Scenarios</t>
        </is>
      </c>
      <c r="N26" s="316" t="n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Returns: MoIC ≈ 4.8×, IRR &gt; 18% hurdle</t>
        </is>
      </c>
      <c r="E27" s="316" t="n"/>
      <c r="F27" s="316" t="n"/>
      <c r="G27" s="316" t="n"/>
      <c r="H27" s="316" t="n"/>
      <c r="I27" s="316" t="n"/>
      <c r="J27" s="316" t="n"/>
      <c r="K27" s="316" t="n"/>
      <c r="L27" s="316" t="n"/>
      <c r="M27" s="505" t="inlineStr">
        <is>
          <t>24_Investor_Returns</t>
        </is>
      </c>
      <c r="N27" s="316" t="n"/>
    </row>
    <row r="29" ht="20" customHeight="1">
      <c r="B29" s="502" t="inlineStr">
        <is>
          <t>D. РИСКИ</t>
        </is>
      </c>
      <c r="C29" s="503" t="n"/>
      <c r="D29" s="503" t="n"/>
      <c r="E29" s="503" t="n"/>
      <c r="F29" s="503" t="n"/>
      <c r="G29" s="503" t="n"/>
      <c r="H29" s="503" t="n"/>
      <c r="I29" s="503" t="n"/>
      <c r="J29" s="503" t="n"/>
      <c r="K29" s="503" t="n"/>
      <c r="L29" s="503" t="n"/>
      <c r="M29" s="503" t="n"/>
      <c r="N29" s="503" t="n"/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score 20 Critical — IRR hurdle miss)</t>
        </is>
      </c>
      <c r="E30" s="316" t="n"/>
      <c r="F30" s="316" t="n"/>
      <c r="G30" s="316" t="n"/>
      <c r="H30" s="316" t="n"/>
      <c r="I30" s="316" t="n"/>
      <c r="J30" s="316" t="n"/>
      <c r="K30" s="316" t="n"/>
      <c r="L30" s="316" t="n"/>
      <c r="M30" s="505" t="inlineStr">
        <is>
          <t>29_Risk_Register</t>
        </is>
      </c>
      <c r="N30" s="316" t="n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316" t="n"/>
      <c r="F31" s="316" t="n"/>
      <c r="G31" s="316" t="n"/>
      <c r="H31" s="316" t="n"/>
      <c r="I31" s="316" t="n"/>
      <c r="J31" s="316" t="n"/>
      <c r="K31" s="316" t="n"/>
      <c r="L31" s="316" t="n"/>
      <c r="M31" s="505" t="inlineStr">
        <is>
          <t>29_Risk_Register</t>
        </is>
      </c>
      <c r="N31" s="316" t="n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316" t="n"/>
      <c r="F32" s="316" t="n"/>
      <c r="G32" s="316" t="n"/>
      <c r="H32" s="316" t="n"/>
      <c r="I32" s="316" t="n"/>
      <c r="J32" s="316" t="n"/>
      <c r="K32" s="316" t="n"/>
      <c r="L32" s="316" t="n"/>
      <c r="M32" s="505" t="inlineStr">
        <is>
          <t>29_Risk_Register</t>
        </is>
      </c>
      <c r="N32" s="316" t="n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Carlo: n=1000, VaR 95% = 561, P(IRR&gt;18%)</t>
        </is>
      </c>
      <c r="E33" s="316" t="n"/>
      <c r="F33" s="316" t="n"/>
      <c r="G33" s="316" t="n"/>
      <c r="H33" s="316" t="n"/>
      <c r="I33" s="316" t="n"/>
      <c r="J33" s="316" t="n"/>
      <c r="K33" s="316" t="n"/>
      <c r="L33" s="316" t="n"/>
      <c r="M33" s="505" t="inlineStr">
        <is>
          <t>28_Monte_Carlo_Summary</t>
        </is>
      </c>
      <c r="N33" s="316" t="n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</t>
        </is>
      </c>
      <c r="E34" s="316" t="n"/>
      <c r="F34" s="316" t="n"/>
      <c r="G34" s="316" t="n"/>
      <c r="H34" s="316" t="n"/>
      <c r="I34" s="316" t="n"/>
      <c r="J34" s="316" t="n"/>
      <c r="K34" s="316" t="n"/>
      <c r="L34" s="316" t="n"/>
      <c r="M34" s="505" t="inlineStr">
        <is>
          <t>26_Sensitivity</t>
        </is>
      </c>
      <c r="N34" s="316" t="n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(Worst/Pess/Base/Opt/Best)</t>
        </is>
      </c>
      <c r="E35" s="316" t="n"/>
      <c r="F35" s="316" t="n"/>
      <c r="G35" s="316" t="n"/>
      <c r="H35" s="316" t="n"/>
      <c r="I35" s="316" t="n"/>
      <c r="J35" s="316" t="n"/>
      <c r="K35" s="316" t="n"/>
      <c r="L35" s="316" t="n"/>
      <c r="M35" s="505" t="inlineStr">
        <is>
          <t>27_Scenario_Analysis</t>
        </is>
      </c>
      <c r="N35" s="316" t="n"/>
    </row>
    <row r="37" ht="20" customHeight="1">
      <c r="B37" s="502" t="inlineStr">
        <is>
          <t>E. РЫНОК</t>
        </is>
      </c>
      <c r="C37" s="503" t="n"/>
      <c r="D37" s="503" t="n"/>
      <c r="E37" s="503" t="n"/>
      <c r="F37" s="503" t="n"/>
      <c r="G37" s="503" t="n"/>
      <c r="H37" s="503" t="n"/>
      <c r="I37" s="503" t="n"/>
      <c r="J37" s="503" t="n"/>
      <c r="K37" s="503" t="n"/>
      <c r="L37" s="503" t="n"/>
      <c r="M37" s="503" t="n"/>
      <c r="N37" s="503" t="n"/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289.8 / SAM 118 / SOM 4.545 — justify SAM definition</t>
        </is>
      </c>
      <c r="E38" s="316" t="n"/>
      <c r="F38" s="316" t="n"/>
      <c r="G38" s="316" t="n"/>
      <c r="H38" s="316" t="n"/>
      <c r="I38" s="316" t="n"/>
      <c r="J38" s="316" t="n"/>
      <c r="K38" s="316" t="n"/>
      <c r="L38" s="316" t="n"/>
      <c r="M38" s="505" t="inlineStr">
        <is>
          <t>30_Market_Analysis</t>
        </is>
      </c>
      <c r="N38" s="316" t="n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Benchmark: ТрендСтудио EBITDA margin 47.3% vs РФ median 20%</t>
        </is>
      </c>
      <c r="E39" s="316" t="n"/>
      <c r="F39" s="316" t="n"/>
      <c r="G39" s="316" t="n"/>
      <c r="H39" s="316" t="n"/>
      <c r="I39" s="316" t="n"/>
      <c r="J39" s="316" t="n"/>
      <c r="K39" s="316" t="n"/>
      <c r="L39" s="316" t="n"/>
      <c r="M39" s="505" t="inlineStr">
        <is>
          <t>31_Benchmarks</t>
        </is>
      </c>
      <c r="N39" s="316" t="n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EV/EBITDA 8.0× median</t>
        </is>
      </c>
      <c r="E40" s="316" t="n"/>
      <c r="F40" s="316" t="n"/>
      <c r="G40" s="316" t="n"/>
      <c r="H40" s="316" t="n"/>
      <c r="I40" s="316" t="n"/>
      <c r="J40" s="316" t="n"/>
      <c r="K40" s="316" t="n"/>
      <c r="L40" s="316" t="n"/>
      <c r="M40" s="505" t="inlineStr">
        <is>
          <t>32_Comparable_Transactions</t>
        </is>
      </c>
      <c r="N40" s="316" t="n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— 9.8× median, blend 8.9×</t>
        </is>
      </c>
      <c r="E41" s="316" t="n"/>
      <c r="F41" s="316" t="n"/>
      <c r="G41" s="316" t="n"/>
      <c r="H41" s="316" t="n"/>
      <c r="I41" s="316" t="n"/>
      <c r="J41" s="316" t="n"/>
      <c r="K41" s="316" t="n"/>
      <c r="L41" s="316" t="n"/>
      <c r="M41" s="505" t="inlineStr">
        <is>
          <t>32_Comparable_Transactions</t>
        </is>
      </c>
      <c r="N41" s="316" t="n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рынка 8.2% до 2028 — источник Росстат / Бюллетень</t>
        </is>
      </c>
      <c r="E42" s="316" t="n"/>
      <c r="F42" s="316" t="n"/>
      <c r="G42" s="316" t="n"/>
      <c r="H42" s="316" t="n"/>
      <c r="I42" s="316" t="n"/>
      <c r="J42" s="316" t="n"/>
      <c r="K42" s="316" t="n"/>
      <c r="L42" s="316" t="n"/>
      <c r="M42" s="505" t="inlineStr">
        <is>
          <t>30_Market_Analysis</t>
        </is>
      </c>
      <c r="N42" s="316" t="n"/>
    </row>
    <row r="44" ht="20" customHeight="1">
      <c r="B44" s="502" t="inlineStr">
        <is>
          <t>F. ГОС-ПОДДЕРЖКА И НАЛОГИ</t>
        </is>
      </c>
      <c r="C44" s="503" t="n"/>
      <c r="D44" s="503" t="n"/>
      <c r="E44" s="503" t="n"/>
      <c r="F44" s="503" t="n"/>
      <c r="G44" s="503" t="n"/>
      <c r="H44" s="503" t="n"/>
      <c r="I44" s="503" t="n"/>
      <c r="J44" s="503" t="n"/>
      <c r="K44" s="503" t="n"/>
      <c r="L44" s="503" t="n"/>
      <c r="M44" s="503" t="n"/>
      <c r="N44" s="503" t="n"/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 (Семья / Молодёжь / Культура / ...)</t>
        </is>
      </c>
      <c r="E45" s="316" t="n"/>
      <c r="F45" s="316" t="n"/>
      <c r="G45" s="316" t="n"/>
      <c r="H45" s="316" t="n"/>
      <c r="I45" s="316" t="n"/>
      <c r="J45" s="316" t="n"/>
      <c r="K45" s="316" t="n"/>
      <c r="L45" s="316" t="n"/>
      <c r="M45" s="505" t="inlineStr">
        <is>
          <t>33_Gov_KPI</t>
        </is>
      </c>
      <c r="N45" s="316" t="n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316" t="n"/>
      <c r="F46" s="316" t="n"/>
      <c r="G46" s="316" t="n"/>
      <c r="H46" s="316" t="n"/>
      <c r="I46" s="316" t="n"/>
      <c r="J46" s="316" t="n"/>
      <c r="K46" s="316" t="n"/>
      <c r="L46" s="316" t="n"/>
      <c r="M46" s="505" t="inlineStr">
        <is>
          <t>33_Gov_KPI</t>
        </is>
      </c>
      <c r="N46" s="316" t="n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316" t="n"/>
      <c r="F47" s="316" t="n"/>
      <c r="G47" s="316" t="n"/>
      <c r="H47" s="316" t="n"/>
      <c r="I47" s="316" t="n"/>
      <c r="J47" s="316" t="n"/>
      <c r="K47" s="316" t="n"/>
      <c r="L47" s="316" t="n"/>
      <c r="M47" s="505" t="inlineStr">
        <is>
          <t>34_Tax_Schedule</t>
        </is>
      </c>
      <c r="N47" s="316" t="n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(720 / 5 595)</t>
        </is>
      </c>
      <c r="E48" s="316" t="n"/>
      <c r="F48" s="316" t="n"/>
      <c r="G48" s="316" t="n"/>
      <c r="H48" s="316" t="n"/>
      <c r="I48" s="316" t="n"/>
      <c r="J48" s="316" t="n"/>
      <c r="K48" s="316" t="n"/>
      <c r="L48" s="316" t="n"/>
      <c r="M48" s="505" t="inlineStr">
        <is>
          <t>34_Tax_Schedule</t>
        </is>
      </c>
      <c r="N48" s="316" t="n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(ПП № 1215, Указ № 309)</t>
        </is>
      </c>
      <c r="E49" s="316" t="n"/>
      <c r="F49" s="316" t="n"/>
      <c r="G49" s="316" t="n"/>
      <c r="H49" s="316" t="n"/>
      <c r="I49" s="316" t="n"/>
      <c r="J49" s="316" t="n"/>
      <c r="K49" s="316" t="n"/>
      <c r="L49" s="316" t="n"/>
      <c r="M49" s="505" t="inlineStr">
        <is>
          <t>33_Gov_KPI</t>
        </is>
      </c>
      <c r="N49" s="316" t="n"/>
    </row>
    <row r="51" ht="20" customHeight="1">
      <c r="B51" s="502" t="inlineStr">
        <is>
          <t>G. РОУДМАП И EXIT</t>
        </is>
      </c>
      <c r="C51" s="503" t="n"/>
      <c r="D51" s="503" t="n"/>
      <c r="E51" s="503" t="n"/>
      <c r="F51" s="503" t="n"/>
      <c r="G51" s="503" t="n"/>
      <c r="H51" s="503" t="n"/>
      <c r="I51" s="503" t="n"/>
      <c r="J51" s="503" t="n"/>
      <c r="K51" s="503" t="n"/>
      <c r="L51" s="503" t="n"/>
      <c r="M51" s="503" t="n"/>
      <c r="N51" s="503" t="n"/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12 фильмов × 16 периодов × 4 фазы (Dev/Shoot/Post/Release)</t>
        </is>
      </c>
      <c r="E52" s="316" t="n"/>
      <c r="F52" s="316" t="n"/>
      <c r="G52" s="316" t="n"/>
      <c r="H52" s="316" t="n"/>
      <c r="I52" s="316" t="n"/>
      <c r="J52" s="316" t="n"/>
      <c r="K52" s="316" t="n"/>
      <c r="L52" s="316" t="n"/>
      <c r="M52" s="505" t="inlineStr">
        <is>
          <t>35_Roadmap_2026_2032</t>
        </is>
      </c>
      <c r="N52" s="316" t="n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316" t="n"/>
      <c r="F53" s="316" t="n"/>
      <c r="G53" s="316" t="n"/>
      <c r="H53" s="316" t="n"/>
      <c r="I53" s="316" t="n"/>
      <c r="J53" s="316" t="n"/>
      <c r="K53" s="316" t="n"/>
      <c r="L53" s="316" t="n"/>
      <c r="M53" s="505" t="inlineStr">
        <is>
          <t>35_Roadmap_2026_2032</t>
        </is>
      </c>
      <c r="N53" s="316" t="n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(Board, audit, covenant, strategic review)</t>
        </is>
      </c>
      <c r="E54" s="316" t="n"/>
      <c r="F54" s="316" t="n"/>
      <c r="G54" s="316" t="n"/>
      <c r="H54" s="316" t="n"/>
      <c r="I54" s="316" t="n"/>
      <c r="J54" s="316" t="n"/>
      <c r="K54" s="316" t="n"/>
      <c r="L54" s="316" t="n"/>
      <c r="M54" s="505" t="inlineStr">
        <is>
          <t>35_Roadmap_2026_2032</t>
        </is>
      </c>
      <c r="N54" s="316" t="n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path — 12 критических элементов</t>
        </is>
      </c>
      <c r="E55" s="316" t="n"/>
      <c r="F55" s="316" t="n"/>
      <c r="G55" s="316" t="n"/>
      <c r="H55" s="316" t="n"/>
      <c r="I55" s="316" t="n"/>
      <c r="J55" s="316" t="n"/>
      <c r="K55" s="316" t="n"/>
      <c r="L55" s="316" t="n"/>
      <c r="M55" s="505" t="inlineStr">
        <is>
          <t>35_Roadmap_2026_2032</t>
        </is>
      </c>
      <c r="N55" s="316" t="n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316" t="n"/>
      <c r="F56" s="316" t="n"/>
      <c r="G56" s="316" t="n"/>
      <c r="H56" s="316" t="n"/>
      <c r="I56" s="316" t="n"/>
      <c r="J56" s="316" t="n"/>
      <c r="K56" s="316" t="n"/>
      <c r="L56" s="316" t="n"/>
      <c r="M56" s="505" t="inlineStr">
        <is>
          <t>25_Exit_Scenarios</t>
        </is>
      </c>
      <c r="N56" s="316" t="n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buyer mapping: Яндекс / Сбер / ГМ / НМГ</t>
        </is>
      </c>
      <c r="E57" s="316" t="n"/>
      <c r="F57" s="316" t="n"/>
      <c r="G57" s="316" t="n"/>
      <c r="H57" s="316" t="n"/>
      <c r="I57" s="316" t="n"/>
      <c r="J57" s="316" t="n"/>
      <c r="K57" s="316" t="n"/>
      <c r="L57" s="316" t="n"/>
      <c r="M57" s="505" t="inlineStr">
        <is>
          <t>36_Executive_Summary V</t>
        </is>
      </c>
      <c r="N57" s="316" t="n"/>
    </row>
    <row r="59" ht="20" customHeight="1">
      <c r="B59" s="502" t="inlineStr">
        <is>
          <t>H. ДОКУМЕНТЫ И LEGAL</t>
        </is>
      </c>
      <c r="C59" s="503" t="n"/>
      <c r="D59" s="503" t="n"/>
      <c r="E59" s="503" t="n"/>
      <c r="F59" s="503" t="n"/>
      <c r="G59" s="503" t="n"/>
      <c r="H59" s="503" t="n"/>
      <c r="I59" s="503" t="n"/>
      <c r="J59" s="503" t="n"/>
      <c r="K59" s="503" t="n"/>
      <c r="L59" s="503" t="n"/>
      <c r="M59" s="503" t="n"/>
      <c r="N59" s="503" t="n"/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до 2026Q2</t>
        </is>
      </c>
      <c r="E60" s="316" t="n"/>
      <c r="F60" s="316" t="n"/>
      <c r="G60" s="316" t="n"/>
      <c r="H60" s="316" t="n"/>
      <c r="I60" s="316" t="n"/>
      <c r="J60" s="316" t="n"/>
      <c r="K60" s="316" t="n"/>
      <c r="L60" s="316" t="n"/>
      <c r="M60" s="505" t="inlineStr">
        <is>
          <t>внешний</t>
        </is>
      </c>
      <c r="N60" s="316" t="n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316" t="n"/>
      <c r="F61" s="316" t="n"/>
      <c r="G61" s="316" t="n"/>
      <c r="H61" s="316" t="n"/>
      <c r="I61" s="316" t="n"/>
      <c r="J61" s="316" t="n"/>
      <c r="K61" s="316" t="n"/>
      <c r="L61" s="316" t="n"/>
      <c r="M61" s="505" t="inlineStr">
        <is>
          <t>внешний</t>
        </is>
      </c>
      <c r="N61" s="316" t="n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316" t="n"/>
      <c r="F62" s="316" t="n"/>
      <c r="G62" s="316" t="n"/>
      <c r="H62" s="316" t="n"/>
      <c r="I62" s="316" t="n"/>
      <c r="J62" s="316" t="n"/>
      <c r="K62" s="316" t="n"/>
      <c r="L62" s="316" t="n"/>
      <c r="M62" s="505" t="inlineStr">
        <is>
          <t>внешний</t>
        </is>
      </c>
      <c r="N62" s="316" t="n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316" t="n"/>
      <c r="F63" s="316" t="n"/>
      <c r="G63" s="316" t="n"/>
      <c r="H63" s="316" t="n"/>
      <c r="I63" s="316" t="n"/>
      <c r="J63" s="316" t="n"/>
      <c r="K63" s="316" t="n"/>
      <c r="L63" s="316" t="n"/>
      <c r="M63" s="505" t="inlineStr">
        <is>
          <t>внешний</t>
        </is>
      </c>
      <c r="N63" s="316" t="n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Board composition: 2 LP seats + 2 management + 1 independent</t>
        </is>
      </c>
      <c r="E64" s="316" t="n"/>
      <c r="F64" s="316" t="n"/>
      <c r="G64" s="316" t="n"/>
      <c r="H64" s="316" t="n"/>
      <c r="I64" s="316" t="n"/>
      <c r="J64" s="316" t="n"/>
      <c r="K64" s="316" t="n"/>
      <c r="L64" s="316" t="n"/>
      <c r="M64" s="505" t="inlineStr">
        <is>
          <t>18_Cap_Table</t>
        </is>
      </c>
      <c r="N64" s="316" t="n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316" t="n"/>
      <c r="F65" s="316" t="n"/>
      <c r="G65" s="316" t="n"/>
      <c r="H65" s="316" t="n"/>
      <c r="I65" s="316" t="n"/>
      <c r="J65" s="316" t="n"/>
      <c r="K65" s="316" t="n"/>
      <c r="L65" s="316" t="n"/>
      <c r="M65" s="505" t="inlineStr">
        <is>
          <t>38_Notes_and_Sources III</t>
        </is>
      </c>
      <c r="N65" s="316" t="n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PRINT SETUP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</t>
        </is>
      </c>
      <c r="G7" s="469" t="n"/>
      <c r="H7" s="321" t="inlineStr">
        <is>
          <t>Повтор. строки</t>
        </is>
      </c>
      <c r="I7" s="469" t="n"/>
      <c r="J7" s="469" t="n"/>
      <c r="K7" s="469" t="n"/>
      <c r="L7" s="469" t="n"/>
      <c r="M7" s="469" t="n"/>
      <c r="N7" s="469" t="n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316" t="n"/>
      <c r="H8" s="354" t="inlineStr">
        <is>
          <t>1:3</t>
        </is>
      </c>
      <c r="I8" s="316" t="n"/>
      <c r="J8" s="316" t="n"/>
      <c r="K8" s="316" t="n"/>
      <c r="L8" s="316" t="n"/>
      <c r="M8" s="316" t="n"/>
      <c r="N8" s="316" t="n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316" t="n"/>
      <c r="H9" s="354" t="inlineStr">
        <is>
          <t>1:5</t>
        </is>
      </c>
      <c r="I9" s="316" t="n"/>
      <c r="J9" s="316" t="n"/>
      <c r="K9" s="316" t="n"/>
      <c r="L9" s="316" t="n"/>
      <c r="M9" s="316" t="n"/>
      <c r="N9" s="316" t="n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316" t="n"/>
      <c r="H10" s="354" t="inlineStr">
        <is>
          <t>1:5</t>
        </is>
      </c>
      <c r="I10" s="316" t="n"/>
      <c r="J10" s="316" t="n"/>
      <c r="K10" s="316" t="n"/>
      <c r="L10" s="316" t="n"/>
      <c r="M10" s="316" t="n"/>
      <c r="N10" s="316" t="n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316" t="n"/>
      <c r="H11" s="354" t="inlineStr">
        <is>
          <t>1:5</t>
        </is>
      </c>
      <c r="I11" s="316" t="n"/>
      <c r="J11" s="316" t="n"/>
      <c r="K11" s="316" t="n"/>
      <c r="L11" s="316" t="n"/>
      <c r="M11" s="316" t="n"/>
      <c r="N11" s="316" t="n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316" t="n"/>
      <c r="H12" s="354" t="inlineStr">
        <is>
          <t>1:5</t>
        </is>
      </c>
      <c r="I12" s="316" t="n"/>
      <c r="J12" s="316" t="n"/>
      <c r="K12" s="316" t="n"/>
      <c r="L12" s="316" t="n"/>
      <c r="M12" s="316" t="n"/>
      <c r="N12" s="316" t="n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316" t="n"/>
      <c r="H13" s="354" t="inlineStr">
        <is>
          <t>1:5</t>
        </is>
      </c>
      <c r="I13" s="316" t="n"/>
      <c r="J13" s="316" t="n"/>
      <c r="K13" s="316" t="n"/>
      <c r="L13" s="316" t="n"/>
      <c r="M13" s="316" t="n"/>
      <c r="N13" s="316" t="n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316" t="n"/>
      <c r="H14" s="354" t="inlineStr">
        <is>
          <t>1:5</t>
        </is>
      </c>
      <c r="I14" s="316" t="n"/>
      <c r="J14" s="316" t="n"/>
      <c r="K14" s="316" t="n"/>
      <c r="L14" s="316" t="n"/>
      <c r="M14" s="316" t="n"/>
      <c r="N14" s="316" t="n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316" t="n"/>
      <c r="H15" s="354" t="inlineStr">
        <is>
          <t>1:5</t>
        </is>
      </c>
      <c r="I15" s="316" t="n"/>
      <c r="J15" s="316" t="n"/>
      <c r="K15" s="316" t="n"/>
      <c r="L15" s="316" t="n"/>
      <c r="M15" s="316" t="n"/>
      <c r="N15" s="316" t="n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316" t="n"/>
      <c r="H16" s="354" t="inlineStr">
        <is>
          <t>1:5</t>
        </is>
      </c>
      <c r="I16" s="316" t="n"/>
      <c r="J16" s="316" t="n"/>
      <c r="K16" s="316" t="n"/>
      <c r="L16" s="316" t="n"/>
      <c r="M16" s="316" t="n"/>
      <c r="N16" s="316" t="n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316" t="n"/>
      <c r="H17" s="354" t="inlineStr">
        <is>
          <t>1:5</t>
        </is>
      </c>
      <c r="I17" s="316" t="n"/>
      <c r="J17" s="316" t="n"/>
      <c r="K17" s="316" t="n"/>
      <c r="L17" s="316" t="n"/>
      <c r="M17" s="316" t="n"/>
      <c r="N17" s="316" t="n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316" t="n"/>
      <c r="H18" s="354" t="inlineStr">
        <is>
          <t>1:5</t>
        </is>
      </c>
      <c r="I18" s="316" t="n"/>
      <c r="J18" s="316" t="n"/>
      <c r="K18" s="316" t="n"/>
      <c r="L18" s="316" t="n"/>
      <c r="M18" s="316" t="n"/>
      <c r="N18" s="316" t="n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316" t="n"/>
      <c r="H19" s="354" t="inlineStr">
        <is>
          <t>1:5</t>
        </is>
      </c>
      <c r="I19" s="316" t="n"/>
      <c r="J19" s="316" t="n"/>
      <c r="K19" s="316" t="n"/>
      <c r="L19" s="316" t="n"/>
      <c r="M19" s="316" t="n"/>
      <c r="N19" s="316" t="n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316" t="n"/>
      <c r="H20" s="354" t="inlineStr">
        <is>
          <t>1:5</t>
        </is>
      </c>
      <c r="I20" s="316" t="n"/>
      <c r="J20" s="316" t="n"/>
      <c r="K20" s="316" t="n"/>
      <c r="L20" s="316" t="n"/>
      <c r="M20" s="316" t="n"/>
      <c r="N20" s="316" t="n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316" t="n"/>
      <c r="H21" s="354" t="inlineStr">
        <is>
          <t>1:5</t>
        </is>
      </c>
      <c r="I21" s="316" t="n"/>
      <c r="J21" s="316" t="n"/>
      <c r="K21" s="316" t="n"/>
      <c r="L21" s="316" t="n"/>
      <c r="M21" s="316" t="n"/>
      <c r="N21" s="316" t="n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316" t="n"/>
      <c r="H22" s="354" t="inlineStr">
        <is>
          <t>1:5</t>
        </is>
      </c>
      <c r="I22" s="316" t="n"/>
      <c r="J22" s="316" t="n"/>
      <c r="K22" s="316" t="n"/>
      <c r="L22" s="316" t="n"/>
      <c r="M22" s="316" t="n"/>
      <c r="N22" s="316" t="n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316" t="n"/>
      <c r="H23" s="354" t="inlineStr">
        <is>
          <t>1:5</t>
        </is>
      </c>
      <c r="I23" s="316" t="n"/>
      <c r="J23" s="316" t="n"/>
      <c r="K23" s="316" t="n"/>
      <c r="L23" s="316" t="n"/>
      <c r="M23" s="316" t="n"/>
      <c r="N23" s="316" t="n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316" t="n"/>
      <c r="H24" s="354" t="inlineStr">
        <is>
          <t>1:5</t>
        </is>
      </c>
      <c r="I24" s="316" t="n"/>
      <c r="J24" s="316" t="n"/>
      <c r="K24" s="316" t="n"/>
      <c r="L24" s="316" t="n"/>
      <c r="M24" s="316" t="n"/>
      <c r="N24" s="316" t="n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316" t="n"/>
      <c r="H25" s="354" t="inlineStr">
        <is>
          <t>1:5</t>
        </is>
      </c>
      <c r="I25" s="316" t="n"/>
      <c r="J25" s="316" t="n"/>
      <c r="K25" s="316" t="n"/>
      <c r="L25" s="316" t="n"/>
      <c r="M25" s="316" t="n"/>
      <c r="N25" s="316" t="n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316" t="n"/>
      <c r="H26" s="354" t="inlineStr">
        <is>
          <t>1:5</t>
        </is>
      </c>
      <c r="I26" s="316" t="n"/>
      <c r="J26" s="316" t="n"/>
      <c r="K26" s="316" t="n"/>
      <c r="L26" s="316" t="n"/>
      <c r="M26" s="316" t="n"/>
      <c r="N26" s="316" t="n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316" t="n"/>
      <c r="H27" s="354" t="inlineStr">
        <is>
          <t>1:5</t>
        </is>
      </c>
      <c r="I27" s="316" t="n"/>
      <c r="J27" s="316" t="n"/>
      <c r="K27" s="316" t="n"/>
      <c r="L27" s="316" t="n"/>
      <c r="M27" s="316" t="n"/>
      <c r="N27" s="316" t="n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316" t="n"/>
      <c r="H28" s="354" t="inlineStr">
        <is>
          <t>1:5</t>
        </is>
      </c>
      <c r="I28" s="316" t="n"/>
      <c r="J28" s="316" t="n"/>
      <c r="K28" s="316" t="n"/>
      <c r="L28" s="316" t="n"/>
      <c r="M28" s="316" t="n"/>
      <c r="N28" s="316" t="n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316" t="n"/>
      <c r="H29" s="354" t="inlineStr">
        <is>
          <t>1:6</t>
        </is>
      </c>
      <c r="I29" s="316" t="n"/>
      <c r="J29" s="316" t="n"/>
      <c r="K29" s="316" t="n"/>
      <c r="L29" s="316" t="n"/>
      <c r="M29" s="316" t="n"/>
      <c r="N29" s="316" t="n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316" t="n"/>
      <c r="H30" s="354" t="inlineStr">
        <is>
          <t>1:5</t>
        </is>
      </c>
      <c r="I30" s="316" t="n"/>
      <c r="J30" s="316" t="n"/>
      <c r="K30" s="316" t="n"/>
      <c r="L30" s="316" t="n"/>
      <c r="M30" s="316" t="n"/>
      <c r="N30" s="316" t="n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316" t="n"/>
      <c r="H31" s="354" t="inlineStr">
        <is>
          <t>1:5</t>
        </is>
      </c>
      <c r="I31" s="316" t="n"/>
      <c r="J31" s="316" t="n"/>
      <c r="K31" s="316" t="n"/>
      <c r="L31" s="316" t="n"/>
      <c r="M31" s="316" t="n"/>
      <c r="N31" s="316" t="n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316" t="n"/>
      <c r="H32" s="354" t="inlineStr">
        <is>
          <t>1:5</t>
        </is>
      </c>
      <c r="I32" s="316" t="n"/>
      <c r="J32" s="316" t="n"/>
      <c r="K32" s="316" t="n"/>
      <c r="L32" s="316" t="n"/>
      <c r="M32" s="316" t="n"/>
      <c r="N32" s="316" t="n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316" t="n"/>
      <c r="H33" s="354" t="inlineStr">
        <is>
          <t>1:5</t>
        </is>
      </c>
      <c r="I33" s="316" t="n"/>
      <c r="J33" s="316" t="n"/>
      <c r="K33" s="316" t="n"/>
      <c r="L33" s="316" t="n"/>
      <c r="M33" s="316" t="n"/>
      <c r="N33" s="316" t="n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316" t="n"/>
      <c r="H34" s="354" t="inlineStr">
        <is>
          <t>1:5</t>
        </is>
      </c>
      <c r="I34" s="316" t="n"/>
      <c r="J34" s="316" t="n"/>
      <c r="K34" s="316" t="n"/>
      <c r="L34" s="316" t="n"/>
      <c r="M34" s="316" t="n"/>
      <c r="N34" s="316" t="n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316" t="n"/>
      <c r="H35" s="354" t="inlineStr">
        <is>
          <t>1:5</t>
        </is>
      </c>
      <c r="I35" s="316" t="n"/>
      <c r="J35" s="316" t="n"/>
      <c r="K35" s="316" t="n"/>
      <c r="L35" s="316" t="n"/>
      <c r="M35" s="316" t="n"/>
      <c r="N35" s="316" t="n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316" t="n"/>
      <c r="H36" s="354" t="inlineStr">
        <is>
          <t>1:6</t>
        </is>
      </c>
      <c r="I36" s="316" t="n"/>
      <c r="J36" s="316" t="n"/>
      <c r="K36" s="316" t="n"/>
      <c r="L36" s="316" t="n"/>
      <c r="M36" s="316" t="n"/>
      <c r="N36" s="316" t="n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316" t="n"/>
      <c r="H37" s="354" t="inlineStr">
        <is>
          <t>1:5</t>
        </is>
      </c>
      <c r="I37" s="316" t="n"/>
      <c r="J37" s="316" t="n"/>
      <c r="K37" s="316" t="n"/>
      <c r="L37" s="316" t="n"/>
      <c r="M37" s="316" t="n"/>
      <c r="N37" s="316" t="n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316" t="n"/>
      <c r="H38" s="354" t="inlineStr">
        <is>
          <t>1:5</t>
        </is>
      </c>
      <c r="I38" s="316" t="n"/>
      <c r="J38" s="316" t="n"/>
      <c r="K38" s="316" t="n"/>
      <c r="L38" s="316" t="n"/>
      <c r="M38" s="316" t="n"/>
      <c r="N38" s="316" t="n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316" t="n"/>
      <c r="H39" s="354" t="inlineStr">
        <is>
          <t>1:5</t>
        </is>
      </c>
      <c r="I39" s="316" t="n"/>
      <c r="J39" s="316" t="n"/>
      <c r="K39" s="316" t="n"/>
      <c r="L39" s="316" t="n"/>
      <c r="M39" s="316" t="n"/>
      <c r="N39" s="316" t="n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316" t="n"/>
      <c r="H40" s="354" t="inlineStr">
        <is>
          <t>1:5</t>
        </is>
      </c>
      <c r="I40" s="316" t="n"/>
      <c r="J40" s="316" t="n"/>
      <c r="K40" s="316" t="n"/>
      <c r="L40" s="316" t="n"/>
      <c r="M40" s="316" t="n"/>
      <c r="N40" s="316" t="n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316" t="n"/>
      <c r="H41" s="354" t="inlineStr">
        <is>
          <t>1:5</t>
        </is>
      </c>
      <c r="I41" s="316" t="n"/>
      <c r="J41" s="316" t="n"/>
      <c r="K41" s="316" t="n"/>
      <c r="L41" s="316" t="n"/>
      <c r="M41" s="316" t="n"/>
      <c r="N41" s="316" t="n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316" t="n"/>
      <c r="H42" s="354" t="inlineStr">
        <is>
          <t>1:5</t>
        </is>
      </c>
      <c r="I42" s="316" t="n"/>
      <c r="J42" s="316" t="n"/>
      <c r="K42" s="316" t="n"/>
      <c r="L42" s="316" t="n"/>
      <c r="M42" s="316" t="n"/>
      <c r="N42" s="316" t="n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316" t="n"/>
      <c r="H43" s="354" t="inlineStr">
        <is>
          <t>1:6</t>
        </is>
      </c>
      <c r="I43" s="316" t="n"/>
      <c r="J43" s="316" t="n"/>
      <c r="K43" s="316" t="n"/>
      <c r="L43" s="316" t="n"/>
      <c r="M43" s="316" t="n"/>
      <c r="N43" s="316" t="n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316" t="n"/>
      <c r="H44" s="354" t="inlineStr">
        <is>
          <t>1:5</t>
        </is>
      </c>
      <c r="I44" s="316" t="n"/>
      <c r="J44" s="316" t="n"/>
      <c r="K44" s="316" t="n"/>
      <c r="L44" s="316" t="n"/>
      <c r="M44" s="316" t="n"/>
      <c r="N44" s="316" t="n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316" t="n"/>
      <c r="H45" s="354" t="inlineStr">
        <is>
          <t>1:5</t>
        </is>
      </c>
      <c r="I45" s="316" t="n"/>
      <c r="J45" s="316" t="n"/>
      <c r="K45" s="316" t="n"/>
      <c r="L45" s="316" t="n"/>
      <c r="M45" s="316" t="n"/>
      <c r="N45" s="316" t="n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316" t="n"/>
      <c r="H46" s="354" t="inlineStr">
        <is>
          <t>1:5</t>
        </is>
      </c>
      <c r="I46" s="316" t="n"/>
      <c r="J46" s="316" t="n"/>
      <c r="K46" s="316" t="n"/>
      <c r="L46" s="316" t="n"/>
      <c r="M46" s="316" t="n"/>
      <c r="N46" s="316" t="n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316" t="n"/>
      <c r="H47" s="354" t="inlineStr">
        <is>
          <t>1:5</t>
        </is>
      </c>
      <c r="I47" s="316" t="n"/>
      <c r="J47" s="316" t="n"/>
      <c r="K47" s="316" t="n"/>
      <c r="L47" s="316" t="n"/>
      <c r="M47" s="316" t="n"/>
      <c r="N47" s="316" t="n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316" t="n"/>
      <c r="H48" s="354" t="inlineStr">
        <is>
          <t>1:5</t>
        </is>
      </c>
      <c r="I48" s="316" t="n"/>
      <c r="J48" s="316" t="n"/>
      <c r="K48" s="316" t="n"/>
      <c r="L48" s="316" t="n"/>
      <c r="M48" s="316" t="n"/>
      <c r="N48" s="316" t="n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316" t="n"/>
      <c r="H49" s="354" t="inlineStr">
        <is>
          <t>1:3</t>
        </is>
      </c>
      <c r="I49" s="316" t="n"/>
      <c r="J49" s="316" t="n"/>
      <c r="K49" s="316" t="n"/>
      <c r="L49" s="316" t="n"/>
      <c r="M49" s="316" t="n"/>
      <c r="N49" s="316" t="n"/>
    </row>
    <row r="51" ht="28" customHeight="1">
      <c r="B51" s="482" t="inlineStr">
        <is>
          <t>ПРИМЕНЕНО: orientation, paper size, fit-to-width=1, поля 1.5см, горизонтальное центрирование. Print areas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11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INVESTOR PACKAGE v1.0</t>
        </is>
      </c>
    </row>
    <row r="11" ht="22" customHeight="1">
      <c r="B11" s="515" t="inlineStr">
        <is>
          <t>Уважаемый LP,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2029–2032
• 12 премиальных фильмов со средним бюджетом 154 млн ₽
• Совокупная выручка 4 545 млн ₽ (Base сценарий)
• GAAP EBITDA 2 152 млн ₽ (margin 47.3% — 2.4× отраслевой медианы РФ)
• Net Profit 1 689 млн ₽ после налогов (эффективная нагрузка 12.9%)
• Expected exit EV 6 038 млн ₽ на 2030 (probability-weighted)
• MoIC ≈ 4.8× / IRR 38%+ при Base сценарии
• Payback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Development gate 2026Q1
(2) 350 млн ₽ — Production gate 2026Q3
(3) 350 млн ₽ — Release gate 2027Q2
(4) 300 млн ₽ — Library gate 2028Q1
Дополнительно Producer equity 600 млн ₽ предоставляется продюсерским пулом как off-P&amp;L JV-капитал (minority interest).</t>
        </is>
      </c>
    </row>
    <row r="19" ht="128" customHeight="1">
      <c r="B19" s="516" t="inlineStr">
        <is>
          <t>ЗАЩИТА ИНВЕСТОРА:
• Preferred return 12% до начала GP catch-up (waterfall)
• Makewhole clause для защиты от dilution
• 7 маршрутов выхода (strategic / IPO / secondary / ESOP / buyback / mgmt / открытый рынок)
• Downside benchmark (DCF floor) = 1 815 млн ₽
• Risk register: 30 рисков с митигациями, Monte Carlo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v1.0 Public — investor_model_v1.0_Public.xlsx (42 листа)</t>
        </is>
      </c>
    </row>
    <row r="37" ht="18" customHeight="1">
      <c r="B37" s="477" t="inlineStr">
        <is>
          <t>2. Executive Summary — см. лист 36</t>
        </is>
      </c>
    </row>
    <row r="38" ht="18" customHeight="1">
      <c r="B38" s="477" t="inlineStr">
        <is>
          <t>3. Due Diligence Checklist — см. лист 40 (62 пункта)</t>
        </is>
      </c>
    </row>
    <row r="39" ht="18" customHeight="1">
      <c r="B39" s="477" t="inlineStr">
        <is>
          <t>4. Risk Register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2026-04-11T20:33:48Z</dcterms:modified>
  <cp:keywords>investor, financial model, L3, pre-IPO, cinema</cp:keywords>
</cp:coreProperties>
</file>