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Times New Roman"/>
      <sz val="12"/>
    </font>
    <font>
      <name val="Times New Roman"/>
      <b val="1"/>
      <color rgb="000070C0"/>
      <sz val="14"/>
    </font>
    <font>
      <name val="Times New Roman"/>
      <b val="1"/>
      <sz val="12"/>
    </font>
    <font>
      <name val="Times New Roman"/>
      <i val="1"/>
      <color rgb="00CC0000"/>
      <sz val="12"/>
    </font>
    <font>
      <name val="Times New Roman"/>
      <color rgb="00CC0000"/>
      <sz val="12"/>
    </font>
  </fonts>
  <fills count="41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E8F5E9"/>
      </patternFill>
    </fill>
  </fills>
  <borders count="32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rgb="00BFBFBF"/>
      </right>
      <top style="thin"/>
      <bottom style="thin">
        <color rgb="00BFBFBF"/>
      </bottom>
    </border>
    <border>
      <left/>
      <right style="thin">
        <color rgb="00BFBFBF"/>
      </right>
      <top style="thin"/>
      <bottom/>
      <diagonal/>
    </border>
    <border>
      <left/>
      <right style="thin">
        <color rgb="00BFBFBF"/>
      </right>
      <top style="thin"/>
      <bottom style="thin">
        <color rgb="00BFBFBF"/>
      </bottom>
      <diagonal/>
    </border>
  </borders>
  <cellStyleXfs count="1">
    <xf numFmtId="0" fontId="0" fillId="0" borderId="0"/>
  </cellStyleXfs>
  <cellXfs count="6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2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left" vertical="center" wrapText="1"/>
    </xf>
    <xf numFmtId="174" fontId="103" fillId="35" borderId="15" applyAlignment="1" pivotButton="0" quotePrefix="0" xfId="0">
      <alignment horizontal="right" vertical="center" wrapText="1"/>
    </xf>
    <xf numFmtId="186" fontId="103" fillId="35" borderId="15" applyAlignment="1" pivotButton="0" quotePrefix="0" xfId="0">
      <alignment horizontal="center" vertical="center" wrapText="1"/>
    </xf>
    <xf numFmtId="193" fontId="103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3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4" fillId="14" borderId="24" applyAlignment="1" pivotButton="0" quotePrefix="0" xfId="0">
      <alignment horizontal="center" vertical="center" wrapText="1"/>
    </xf>
    <xf numFmtId="194" fontId="104" fillId="0" borderId="24" applyAlignment="1" pivotButton="0" quotePrefix="0" xfId="0">
      <alignment horizontal="center" vertical="center" wrapText="1"/>
    </xf>
    <xf numFmtId="193" fontId="104" fillId="0" borderId="24" applyAlignment="1" pivotButton="0" quotePrefix="0" xfId="0">
      <alignment horizontal="center" vertical="center" wrapText="1"/>
    </xf>
    <xf numFmtId="194" fontId="104" fillId="38" borderId="24" applyAlignment="1" pivotButton="0" quotePrefix="0" xfId="0">
      <alignment horizontal="center" vertical="center" wrapText="1"/>
    </xf>
    <xf numFmtId="193" fontId="104" fillId="38" borderId="24" applyAlignment="1" pivotButton="0" quotePrefix="0" xfId="0">
      <alignment horizontal="center" vertical="center" wrapText="1"/>
    </xf>
    <xf numFmtId="194" fontId="104" fillId="37" borderId="24" applyAlignment="1" pivotButton="0" quotePrefix="0" xfId="0">
      <alignment horizontal="center" vertical="center" wrapText="1"/>
    </xf>
    <xf numFmtId="193" fontId="104" fillId="37" borderId="24" applyAlignment="1" pivotButton="0" quotePrefix="0" xfId="0">
      <alignment horizontal="center" vertical="center" wrapText="1"/>
    </xf>
    <xf numFmtId="0" fontId="104" fillId="0" borderId="24" applyAlignment="1" pivotButton="0" quotePrefix="0" xfId="0">
      <alignment horizontal="center" vertical="center" wrapText="1"/>
    </xf>
    <xf numFmtId="3" fontId="104" fillId="0" borderId="24" applyAlignment="1" pivotButton="0" quotePrefix="0" xfId="0">
      <alignment horizontal="center" vertical="center" wrapText="1"/>
    </xf>
    <xf numFmtId="0" fontId="104" fillId="4" borderId="24" applyAlignment="1" pivotButton="0" quotePrefix="0" xfId="0">
      <alignment horizontal="center" vertical="center" wrapText="1"/>
    </xf>
    <xf numFmtId="194" fontId="104" fillId="4" borderId="24" applyAlignment="1" pivotButton="0" quotePrefix="0" xfId="0">
      <alignment horizontal="center" vertical="center" wrapText="1"/>
    </xf>
    <xf numFmtId="193" fontId="104" fillId="4" borderId="24" applyAlignment="1" pivotButton="0" quotePrefix="0" xfId="0">
      <alignment horizontal="center" vertical="center" wrapText="1"/>
    </xf>
    <xf numFmtId="0" fontId="104" fillId="5" borderId="24" applyAlignment="1" pivotButton="0" quotePrefix="0" xfId="0">
      <alignment horizontal="center" vertical="center" wrapText="1"/>
    </xf>
    <xf numFmtId="194" fontId="104" fillId="35" borderId="24" applyAlignment="1" pivotButton="0" quotePrefix="0" xfId="0">
      <alignment horizontal="center" vertical="center" wrapText="1"/>
    </xf>
    <xf numFmtId="193" fontId="104" fillId="35" borderId="24" applyAlignment="1" pivotButton="0" quotePrefix="0" xfId="0">
      <alignment horizontal="center" vertical="center" wrapText="1"/>
    </xf>
    <xf numFmtId="0" fontId="104" fillId="0" borderId="24" pivotButton="0" quotePrefix="0" xfId="0"/>
    <xf numFmtId="0" fontId="105" fillId="0" borderId="15" applyAlignment="1" pivotButton="0" quotePrefix="0" xfId="0">
      <alignment horizontal="left" vertical="center" wrapText="1"/>
    </xf>
    <xf numFmtId="0" fontId="104" fillId="0" borderId="15" applyAlignment="1" pivotButton="0" quotePrefix="0" xfId="0">
      <alignment horizontal="left" vertical="center" wrapText="1"/>
    </xf>
    <xf numFmtId="3" fontId="106" fillId="4" borderId="15" applyAlignment="1" pivotButton="0" quotePrefix="0" xfId="0">
      <alignment horizontal="right" vertical="center"/>
    </xf>
    <xf numFmtId="194" fontId="106" fillId="4" borderId="15" applyAlignment="1" pivotButton="0" quotePrefix="0" xfId="0">
      <alignment horizontal="right" vertical="center"/>
    </xf>
    <xf numFmtId="193" fontId="106" fillId="4" borderId="15" applyAlignment="1" pivotButton="0" quotePrefix="0" xfId="0">
      <alignment horizontal="right" vertical="center"/>
    </xf>
    <xf numFmtId="189" fontId="106" fillId="4" borderId="15" applyAlignment="1" pivotButton="0" quotePrefix="0" xfId="0">
      <alignment horizontal="right" vertical="center"/>
    </xf>
    <xf numFmtId="0" fontId="104" fillId="0" borderId="0" pivotButton="0" quotePrefix="0" xfId="0"/>
    <xf numFmtId="0" fontId="106" fillId="0" borderId="0" pivotButton="0" quotePrefix="0" xfId="0"/>
    <xf numFmtId="0" fontId="105" fillId="11" borderId="15" applyAlignment="1" pivotButton="0" quotePrefix="0" xfId="0">
      <alignment horizontal="center" vertical="center" wrapText="1"/>
    </xf>
    <xf numFmtId="0" fontId="106" fillId="39" borderId="15" applyAlignment="1" pivotButton="0" quotePrefix="0" xfId="0">
      <alignment horizontal="center" vertical="center" wrapText="1"/>
    </xf>
    <xf numFmtId="0" fontId="106" fillId="39" borderId="15" applyAlignment="1" pivotButton="0" quotePrefix="0" xfId="0">
      <alignment horizontal="left" vertical="center" wrapText="1"/>
    </xf>
    <xf numFmtId="3" fontId="106" fillId="39" borderId="15" applyAlignment="1" pivotButton="0" quotePrefix="0" xfId="0">
      <alignment horizontal="right" vertical="center"/>
    </xf>
    <xf numFmtId="186" fontId="106" fillId="39" borderId="15" applyAlignment="1" pivotButton="0" quotePrefix="0" xfId="0">
      <alignment horizontal="right" vertical="center"/>
    </xf>
    <xf numFmtId="0" fontId="104" fillId="0" borderId="24" applyAlignment="1" pivotButton="0" quotePrefix="0" xfId="0">
      <alignment horizontal="left" vertical="center" wrapText="1"/>
    </xf>
    <xf numFmtId="3" fontId="104" fillId="0" borderId="24" applyAlignment="1" pivotButton="0" quotePrefix="0" xfId="0">
      <alignment horizontal="right" vertical="center"/>
    </xf>
    <xf numFmtId="186" fontId="104" fillId="0" borderId="24" applyAlignment="1" pivotButton="0" quotePrefix="0" xfId="0">
      <alignment horizontal="right" vertical="center"/>
    </xf>
    <xf numFmtId="0" fontId="104" fillId="5" borderId="24" applyAlignment="1" pivotButton="0" quotePrefix="0" xfId="0">
      <alignment horizontal="left" vertical="center" wrapText="1"/>
    </xf>
    <xf numFmtId="3" fontId="104" fillId="5" borderId="24" applyAlignment="1" pivotButton="0" quotePrefix="0" xfId="0">
      <alignment horizontal="right" vertical="center"/>
    </xf>
    <xf numFmtId="186" fontId="104" fillId="5" borderId="24" applyAlignment="1" pivotButton="0" quotePrefix="0" xfId="0">
      <alignment horizontal="right" vertical="center"/>
    </xf>
    <xf numFmtId="0" fontId="105" fillId="0" borderId="0" pivotButton="0" quotePrefix="0" xfId="0"/>
    <xf numFmtId="0" fontId="107" fillId="38" borderId="0" applyAlignment="1" pivotButton="0" quotePrefix="0" xfId="0">
      <alignment horizontal="left" vertical="top" wrapText="1"/>
    </xf>
    <xf numFmtId="0" fontId="104" fillId="16" borderId="24" applyAlignment="1" pivotButton="0" quotePrefix="0" xfId="0">
      <alignment horizontal="left" vertical="center" wrapText="1"/>
    </xf>
    <xf numFmtId="191" fontId="104" fillId="0" borderId="24" applyAlignment="1" pivotButton="0" quotePrefix="0" xfId="0">
      <alignment horizontal="right" vertical="center"/>
    </xf>
    <xf numFmtId="0" fontId="104" fillId="16" borderId="24" applyAlignment="1" pivotButton="0" quotePrefix="0" xfId="0">
      <alignment horizontal="center" vertical="center" wrapText="1"/>
    </xf>
    <xf numFmtId="0" fontId="105" fillId="3" borderId="0" applyAlignment="1" pivotButton="0" quotePrefix="0" xfId="0">
      <alignment horizontal="left" vertical="center" wrapText="1"/>
    </xf>
    <xf numFmtId="0" fontId="104" fillId="0" borderId="0" applyAlignment="1" pivotButton="0" quotePrefix="0" xfId="0">
      <alignment horizontal="left" vertical="center" wrapText="1"/>
    </xf>
    <xf numFmtId="186" fontId="104" fillId="38" borderId="15" applyAlignment="1" pivotButton="0" quotePrefix="0" xfId="0">
      <alignment horizontal="right" vertical="center"/>
    </xf>
    <xf numFmtId="186" fontId="104" fillId="4" borderId="15" applyAlignment="1" pivotButton="0" quotePrefix="0" xfId="0">
      <alignment horizontal="right" vertical="center"/>
    </xf>
    <xf numFmtId="186" fontId="104" fillId="18" borderId="15" applyAlignment="1" pivotButton="0" quotePrefix="0" xfId="0">
      <alignment horizontal="right" vertical="center"/>
    </xf>
    <xf numFmtId="186" fontId="104" fillId="5" borderId="15" applyAlignment="1" pivotButton="0" quotePrefix="0" xfId="0">
      <alignment horizontal="right" vertical="center"/>
    </xf>
    <xf numFmtId="178" fontId="104" fillId="16" borderId="15" applyAlignment="1" pivotButton="0" quotePrefix="0" xfId="0">
      <alignment horizontal="right" vertical="center"/>
    </xf>
    <xf numFmtId="178" fontId="104" fillId="14" borderId="15" applyAlignment="1" pivotButton="0" quotePrefix="0" xfId="0">
      <alignment horizontal="right" vertical="center"/>
    </xf>
    <xf numFmtId="178" fontId="104" fillId="4" borderId="15" applyAlignment="1" pivotButton="0" quotePrefix="0" xfId="0">
      <alignment horizontal="right" vertical="center"/>
    </xf>
    <xf numFmtId="178" fontId="104" fillId="18" borderId="15" applyAlignment="1" pivotButton="0" quotePrefix="0" xfId="0">
      <alignment horizontal="right" vertical="center"/>
    </xf>
    <xf numFmtId="178" fontId="104" fillId="5" borderId="15" applyAlignment="1" pivotButton="0" quotePrefix="0" xfId="0">
      <alignment horizontal="right" vertical="center"/>
    </xf>
    <xf numFmtId="184" fontId="104" fillId="16" borderId="15" applyAlignment="1" pivotButton="0" quotePrefix="0" xfId="0">
      <alignment horizontal="right" vertical="center"/>
    </xf>
    <xf numFmtId="184" fontId="104" fillId="14" borderId="15" applyAlignment="1" pivotButton="0" quotePrefix="0" xfId="0">
      <alignment horizontal="right" vertical="center"/>
    </xf>
    <xf numFmtId="184" fontId="104" fillId="4" borderId="15" applyAlignment="1" pivotButton="0" quotePrefix="0" xfId="0">
      <alignment horizontal="right" vertical="center"/>
    </xf>
    <xf numFmtId="184" fontId="104" fillId="18" borderId="15" applyAlignment="1" pivotButton="0" quotePrefix="0" xfId="0">
      <alignment horizontal="right" vertical="center"/>
    </xf>
    <xf numFmtId="184" fontId="104" fillId="5" borderId="15" applyAlignment="1" pivotButton="0" quotePrefix="0" xfId="0">
      <alignment horizontal="right" vertical="center"/>
    </xf>
    <xf numFmtId="0" fontId="0" fillId="0" borderId="27" pivotButton="0" quotePrefix="0" xfId="0"/>
    <xf numFmtId="0" fontId="0" fillId="0" borderId="28" pivotButton="0" quotePrefix="0" xfId="0"/>
    <xf numFmtId="0" fontId="104" fillId="0" borderId="29" applyAlignment="1" pivotButton="0" quotePrefix="0" xfId="0">
      <alignment horizontal="left" vertical="center" wrapText="1"/>
    </xf>
    <xf numFmtId="0" fontId="0" fillId="0" borderId="31" pivotButton="0" quotePrefix="0" xfId="0"/>
    <xf numFmtId="0" fontId="104" fillId="5" borderId="29" applyAlignment="1" pivotButton="0" quotePrefix="0" xfId="0">
      <alignment horizontal="left" vertical="center" wrapText="1"/>
    </xf>
    <xf numFmtId="184" fontId="104" fillId="0" borderId="15" applyAlignment="1" pivotButton="0" quotePrefix="0" xfId="0">
      <alignment horizontal="right" vertical="center"/>
    </xf>
    <xf numFmtId="186" fontId="104" fillId="0" borderId="15" applyAlignment="1" pivotButton="0" quotePrefix="0" xfId="0">
      <alignment horizontal="right" vertical="center"/>
    </xf>
    <xf numFmtId="178" fontId="104" fillId="0" borderId="15" applyAlignment="1" pivotButton="0" quotePrefix="0" xfId="0">
      <alignment horizontal="right" vertical="center"/>
    </xf>
    <xf numFmtId="186" fontId="106" fillId="38" borderId="15" applyAlignment="1" pivotButton="0" quotePrefix="0" xfId="0">
      <alignment horizontal="right" vertical="center"/>
    </xf>
    <xf numFmtId="0" fontId="104" fillId="0" borderId="21" pivotButton="0" quotePrefix="0" xfId="0"/>
    <xf numFmtId="0" fontId="104" fillId="0" borderId="15" applyAlignment="1" pivotButton="0" quotePrefix="0" xfId="0">
      <alignment horizontal="center" vertical="center" wrapText="1"/>
    </xf>
    <xf numFmtId="0" fontId="104" fillId="4" borderId="15" applyAlignment="1" pivotButton="0" quotePrefix="0" xfId="0">
      <alignment horizontal="left" vertical="center" wrapText="1"/>
    </xf>
    <xf numFmtId="0" fontId="104" fillId="4" borderId="15" applyAlignment="1" pivotButton="0" quotePrefix="0" xfId="0">
      <alignment horizontal="center" vertical="center" wrapText="1"/>
    </xf>
    <xf numFmtId="0" fontId="104" fillId="0" borderId="15" applyAlignment="1" pivotButton="0" quotePrefix="0" xfId="0">
      <alignment horizontal="left" vertical="top" wrapText="1"/>
    </xf>
    <xf numFmtId="0" fontId="108" fillId="0" borderId="0" applyAlignment="1" pivotButton="0" quotePrefix="0" xfId="0">
      <alignment horizontal="left" vertical="top" wrapText="1"/>
    </xf>
    <xf numFmtId="0" fontId="104" fillId="0" borderId="15" applyAlignment="1" pivotButton="0" quotePrefix="0" xfId="0">
      <alignment horizontal="left" vertical="top" wrapText="1" indent="1"/>
    </xf>
    <xf numFmtId="0" fontId="104" fillId="5" borderId="4" applyAlignment="1" pivotButton="0" quotePrefix="0" xfId="0">
      <alignment horizontal="center" vertical="center"/>
    </xf>
    <xf numFmtId="0" fontId="106" fillId="40" borderId="0" applyAlignment="1" pivotButton="0" quotePrefix="0" xfId="0">
      <alignment vertical="top" wrapText="1"/>
    </xf>
    <xf numFmtId="0" fontId="104" fillId="4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2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3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4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3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3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2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3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3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(waterfall W₃ default · 60/40 от residual после Liq Pref + coupon)</t>
        </is>
      </c>
      <c r="D130" s="151" t="n">
        <v>-500</v>
      </c>
      <c r="E130" s="152" t="inlineStr">
        <is>
          <t>Под W₃: producer = 40% × residual 1250 = 500 млн ₽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2500</v>
      </c>
      <c r="E131" s="156" t="inlineStr">
        <is>
          <t>Под W₃: 1250 Liq Pref + 500 coupon + 750 carried (60% × 1250)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633" t="inlineStr">
        <is>
          <t>Архивировано</t>
        </is>
      </c>
    </row>
    <row r="11">
      <c r="B11" s="634" t="inlineStr">
        <is>
          <t>v1.0.1</t>
        </is>
      </c>
      <c r="C11" s="635" t="inlineStr">
        <is>
          <t>12.04.2026</t>
        </is>
      </c>
      <c r="D11" s="635" t="inlineStr">
        <is>
          <t>Claude + rakhman</t>
        </is>
      </c>
      <c r="E11" s="635" t="inlineStr">
        <is>
          <t>B.3 Public update: W₃ (DEFAULT) + A+C pattern 33/45/9/13. Обновлены 10 листов: 24_IR (5×4 returns matrix, V.1–V.4 disclaimers), 27_SA (5 scenarios A+C), 26_Sens (tornado ±20%), 28_MC (N=5000, mean IRR 11.44%, P(&gt;18%)=13.6%), 36_ES, 21_KPI, 29_RR, 42_CL, 19_WF, 40_IC. П5 «Максимум» 73/73 + B.5 sweep 69/69.</t>
        </is>
      </c>
      <c r="F11" s="635" t="inlineStr">
        <is>
          <t>Текущая</t>
        </is>
      </c>
    </row>
    <row r="12" ht="20" customHeight="1"/>
    <row r="13" ht="16" customHeight="1">
      <c r="B13" s="14" t="inlineStr">
        <is>
          <t>ПЛАН СЛЕДУЮЩИХ ВЕРСИЙ (roadmap)</t>
        </is>
      </c>
    </row>
    <row r="14" ht="16" customHeight="1">
      <c r="B14" s="36" t="inlineStr">
        <is>
          <t>v1.0 А.1</t>
        </is>
      </c>
      <c r="C14" s="37" t="inlineStr">
        <is>
          <t>Cover + Assumptions + Change_Log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А.2</t>
        </is>
      </c>
      <c r="C15" s="37" t="inlineStr">
        <is>
          <t>FOT_Staff (A₁+A₂) + Cost_Structure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А.3</t>
        </is>
      </c>
      <c r="C16" s="37" t="inlineStr">
        <is>
          <t>Revenue_Breakdown + Content_Pipeline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 А.4</t>
        </is>
      </c>
      <c r="C17" s="37" t="inlineStr">
        <is>
          <t>P&amp;L_Statements (12Q + 2029–2032)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А.5</t>
        </is>
      </c>
      <c r="C18" s="37" t="inlineStr">
        <is>
          <t>Cash_Flow_Statement + Balance_Sheet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А.6</t>
        </is>
      </c>
      <c r="C19" s="37" t="inlineStr">
        <is>
          <t>Working_Capital + Debt_Schedule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А.7</t>
        </is>
      </c>
      <c r="C20" s="37" t="inlineStr">
        <is>
          <t>Investment_Inflow + Use_of_Funds + CAPEX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А.8</t>
        </is>
      </c>
      <c r="C21" s="37" t="inlineStr">
        <is>
          <t>Deal_Structures + Cap_Table + Waterfall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А.9</t>
        </is>
      </c>
      <c r="C22" s="37" t="inlineStr">
        <is>
          <t>Unit_Economics + KPI_Dashboard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А.10</t>
        </is>
      </c>
      <c r="C23" s="37" t="inlineStr">
        <is>
          <t>Valuation_DCF + Valuation_Multiples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А.11</t>
        </is>
      </c>
      <c r="C24" s="37" t="inlineStr">
        <is>
          <t>Investor_Returns + Exit_Scenarios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А.12</t>
        </is>
      </c>
      <c r="C25" s="37" t="inlineStr">
        <is>
          <t>Sensitivity + Scenario + Monte Carlo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А.13</t>
        </is>
      </c>
      <c r="C26" s="37" t="inlineStr">
        <is>
          <t>Risk_Register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А.14</t>
        </is>
      </c>
      <c r="C27" s="37" t="inlineStr">
        <is>
          <t>Market + Benchmarks + Comparable Tx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А.15</t>
        </is>
      </c>
      <c r="C28" s="37" t="inlineStr">
        <is>
          <t>Gov_KPI + Tax + Roadmap 2026–2032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А.16</t>
        </is>
      </c>
      <c r="C29" s="37" t="inlineStr">
        <is>
          <t>Executive_Summary + Glossary + Notes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А.17</t>
        </is>
      </c>
      <c r="C30" s="37" t="inlineStr">
        <is>
          <t>Public export + Internal с 4 сервисными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А.18</t>
        </is>
      </c>
      <c r="C31" s="37" t="inlineStr">
        <is>
          <t>П5 «Максимум» 32/32 верификация</t>
        </is>
      </c>
      <c r="D31" s="40" t="n"/>
      <c r="E31" s="41" t="n"/>
      <c r="F31" s="39" t="inlineStr">
        <is>
          <t>В очереди</t>
        </is>
      </c>
    </row>
    <row r="32">
      <c r="B32" s="36" t="inlineStr">
        <is>
          <t>v1.0 А.19</t>
        </is>
      </c>
      <c r="C32" s="37" t="inlineStr">
        <is>
          <t>Финализация + computer:// ссылки</t>
        </is>
      </c>
      <c r="D32" s="40" t="n"/>
      <c r="E32" s="41" t="n"/>
      <c r="F32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W₃ default · 60/40 от residual после Liq Pref + coupon)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5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  Revenue pattern: A+C 33/45/9/13 (Y2029=33%, Y2030=45%, Y2031=9%, Y2032=13%).</t>
        </is>
      </c>
    </row>
    <row r="5" ht="22" customHeight="1">
      <c r="B5" s="526" t="inlineStr">
        <is>
          <t>W₁  ·  HURDLE SPLIT  ·  60 / 40 до break-even, затем 50 / 50</t>
        </is>
      </c>
    </row>
    <row r="6">
      <c r="B6" s="527" t="inlineStr">
        <is>
          <t>#</t>
        </is>
      </c>
      <c r="C6" s="527" t="inlineStr">
        <is>
          <t>Stage</t>
        </is>
      </c>
      <c r="D6" s="527" t="inlineStr">
        <is>
          <t>Размер стадии</t>
        </is>
      </c>
      <c r="E6" s="527" t="inlineStr">
        <is>
          <t>Инвестор</t>
        </is>
      </c>
      <c r="G6" s="527" t="inlineStr">
        <is>
          <t>Продюсер</t>
        </is>
      </c>
      <c r="I6" s="527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28" t="n">
        <v>2083.3</v>
      </c>
      <c r="E7" s="528" t="n">
        <v>1250</v>
      </c>
      <c r="G7" s="528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28" t="n">
        <v>916.7</v>
      </c>
      <c r="E8" s="528" t="n">
        <v>458.3</v>
      </c>
      <c r="G8" s="528" t="n">
        <v>458.3</v>
      </c>
      <c r="I8" s="206" t="inlineStr">
        <is>
          <t>50/50 на оставшиеся 917 млн после recoupment</t>
        </is>
      </c>
    </row>
    <row r="9">
      <c r="B9" s="529" t="inlineStr">
        <is>
          <t>Σ</t>
        </is>
      </c>
      <c r="C9" s="530" t="inlineStr">
        <is>
          <t>TOTAL W₁</t>
        </is>
      </c>
      <c r="D9" s="531" t="n">
        <v>3000</v>
      </c>
      <c r="E9" s="531" t="n">
        <v>1708.3</v>
      </c>
      <c r="G9" s="531" t="n">
        <v>1291.7</v>
      </c>
      <c r="I9" s="530" t="inlineStr">
        <is>
          <t>Инвестор 56.9% / Продюсер 43.1%</t>
        </is>
      </c>
    </row>
    <row r="11" ht="22" customHeight="1">
      <c r="B11" s="526" t="inlineStr">
        <is>
          <t>W₂  ·  PRO-RATA  ·  По доле финансового вклада (67.6% / 32.4%)</t>
        </is>
      </c>
    </row>
    <row r="12">
      <c r="B12" s="527" t="inlineStr">
        <is>
          <t>#</t>
        </is>
      </c>
      <c r="C12" s="527" t="inlineStr">
        <is>
          <t>Stage</t>
        </is>
      </c>
      <c r="D12" s="527" t="inlineStr">
        <is>
          <t>Размер стадии</t>
        </is>
      </c>
      <c r="E12" s="527" t="inlineStr">
        <is>
          <t>Инвестор</t>
        </is>
      </c>
      <c r="G12" s="527" t="inlineStr">
        <is>
          <t>Продюсер</t>
        </is>
      </c>
      <c r="I12" s="527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28" t="n">
        <v>2027</v>
      </c>
      <c r="E13" s="528" t="n">
        <v>2027</v>
      </c>
      <c r="G13" s="532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28" t="n">
        <v>973</v>
      </c>
      <c r="E14" s="532" t="n"/>
      <c r="G14" s="528" t="n">
        <v>973</v>
      </c>
      <c r="I14" s="206" t="inlineStr">
        <is>
          <t>Доля продюсера: 32.43%</t>
        </is>
      </c>
    </row>
    <row r="15">
      <c r="B15" s="529" t="inlineStr">
        <is>
          <t>Σ</t>
        </is>
      </c>
      <c r="C15" s="530" t="inlineStr">
        <is>
          <t>TOTAL W₂</t>
        </is>
      </c>
      <c r="D15" s="531" t="n">
        <v>3000</v>
      </c>
      <c r="E15" s="531" t="n">
        <v>2027</v>
      </c>
      <c r="G15" s="531" t="n">
        <v>973</v>
      </c>
      <c r="I15" s="530" t="inlineStr">
        <is>
          <t>Pro-rata даёт больше инвестору (+318 vs W₁)</t>
        </is>
      </c>
    </row>
    <row r="17" ht="22" customHeight="1">
      <c r="B17" s="533" t="inlineStr">
        <is>
          <t>W₃  ·  LIQ PREF  ·  1× + 8% coupon + 60/40 на остаток  (★ DEFAULT с v1.0.1)</t>
        </is>
      </c>
    </row>
    <row r="18">
      <c r="B18" s="527" t="inlineStr">
        <is>
          <t>#</t>
        </is>
      </c>
      <c r="C18" s="527" t="inlineStr">
        <is>
          <t>Stage</t>
        </is>
      </c>
      <c r="D18" s="527" t="inlineStr">
        <is>
          <t>Размер стадии</t>
        </is>
      </c>
      <c r="E18" s="527" t="inlineStr">
        <is>
          <t>Инвестор</t>
        </is>
      </c>
      <c r="G18" s="527" t="inlineStr">
        <is>
          <t>Продюсер</t>
        </is>
      </c>
      <c r="I18" s="527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28" t="n">
        <v>1250</v>
      </c>
      <c r="E19" s="528" t="n">
        <v>1250</v>
      </c>
      <c r="G19" s="528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28" t="n">
        <v>500</v>
      </c>
      <c r="E20" s="528" t="n">
        <v>500</v>
      </c>
      <c r="G20" s="528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28" t="n">
        <v>1250</v>
      </c>
      <c r="E21" s="528" t="n">
        <v>750</v>
      </c>
      <c r="G21" s="528" t="n">
        <v>500</v>
      </c>
      <c r="I21" s="206" t="inlineStr">
        <is>
          <t>Carried interest: 60% investor / 40% producer</t>
        </is>
      </c>
    </row>
    <row r="22">
      <c r="B22" s="534" t="inlineStr">
        <is>
          <t>Σ</t>
        </is>
      </c>
      <c r="C22" s="535" t="inlineStr">
        <is>
          <t>TOTAL W₃ ★</t>
        </is>
      </c>
      <c r="D22" s="536" t="n">
        <v>3000</v>
      </c>
      <c r="E22" s="536" t="n">
        <v>2500</v>
      </c>
      <c r="F22" s="537" t="n"/>
      <c r="G22" s="536" t="n">
        <v>500</v>
      </c>
      <c r="H22" s="537" t="n"/>
      <c r="I22" s="535" t="inlineStr">
        <is>
          <t>Investor 83.3% / Producer 16.7% — BASE CASE</t>
        </is>
      </c>
    </row>
    <row r="24" ht="22" customHeight="1">
      <c r="B24" s="538" t="inlineStr">
        <is>
          <t>W₄  ·  PREMIUM  ·  1× + 12% preferred × 5y + 65/35 + exit 6× (premium negotiation)</t>
        </is>
      </c>
    </row>
    <row r="25">
      <c r="B25" s="527" t="inlineStr">
        <is>
          <t>#</t>
        </is>
      </c>
      <c r="C25" s="527" t="inlineStr">
        <is>
          <t>Stage</t>
        </is>
      </c>
      <c r="D25" s="527" t="inlineStr">
        <is>
          <t>Размер стадии</t>
        </is>
      </c>
      <c r="E25" s="527" t="inlineStr">
        <is>
          <t>Инвестор</t>
        </is>
      </c>
      <c r="G25" s="527" t="inlineStr">
        <is>
          <t>Продюсер</t>
        </is>
      </c>
      <c r="I25" s="527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28" t="n">
        <v>1250</v>
      </c>
      <c r="E26" s="528" t="n">
        <v>1250</v>
      </c>
      <c r="G26" s="528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28" t="n">
        <v>750</v>
      </c>
      <c r="E27" s="528" t="n">
        <v>750</v>
      </c>
      <c r="G27" s="528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28" t="n">
        <v>1000</v>
      </c>
      <c r="E28" s="528" t="n">
        <v>650</v>
      </c>
      <c r="G28" s="528" t="n">
        <v>350</v>
      </c>
      <c r="I28" s="206" t="inlineStr">
        <is>
          <t>Carry: 65% investor / 35% producer</t>
        </is>
      </c>
    </row>
    <row r="29">
      <c r="B29" s="529" t="inlineStr">
        <is>
          <t>Σ</t>
        </is>
      </c>
      <c r="C29" s="530" t="inlineStr">
        <is>
          <t>TOTAL W₄</t>
        </is>
      </c>
      <c r="D29" s="531" t="n">
        <v>3000</v>
      </c>
      <c r="E29" s="531" t="n">
        <v>2650</v>
      </c>
      <c r="G29" s="531" t="n">
        <v>350</v>
      </c>
      <c r="I29" s="530" t="inlineStr">
        <is>
          <t>Investor 88.3% / Producer 11.7% — PREMIUM</t>
        </is>
      </c>
    </row>
    <row r="31" ht="22" customHeight="1">
      <c r="B31" s="526" t="inlineStr">
        <is>
          <t>IV  ·  COMPARISON TABLE  ·  4 варианта (IRR — см. 24_Investor_Returns)</t>
        </is>
      </c>
    </row>
    <row r="32">
      <c r="B32" s="527" t="inlineStr">
        <is>
          <t>#</t>
        </is>
      </c>
      <c r="C32" s="527" t="inlineStr">
        <is>
          <t>Вариант</t>
        </is>
      </c>
      <c r="D32" s="527" t="inlineStr">
        <is>
          <t>Инвестор, млн ₽</t>
        </is>
      </c>
      <c r="E32" s="527" t="inlineStr">
        <is>
          <t>Инв %</t>
        </is>
      </c>
      <c r="F32" s="527" t="inlineStr">
        <is>
          <t>Продюсер, млн ₽</t>
        </is>
      </c>
      <c r="G32" s="527" t="inlineStr">
        <is>
          <t>Прод %</t>
        </is>
      </c>
      <c r="H32" s="527" t="inlineStr">
        <is>
          <t>MoIC</t>
        </is>
      </c>
      <c r="I32" s="527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28" t="n">
        <v>1708.3</v>
      </c>
      <c r="E33" s="228" t="n">
        <v>56.9</v>
      </c>
      <c r="F33" s="528" t="n">
        <v>1291.7</v>
      </c>
      <c r="G33" s="228" t="n">
        <v>43.1</v>
      </c>
      <c r="H33" s="539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28" t="n">
        <v>2027</v>
      </c>
      <c r="E34" s="228" t="n">
        <v>67.59999999999999</v>
      </c>
      <c r="F34" s="528" t="n">
        <v>973</v>
      </c>
      <c r="G34" s="228" t="n">
        <v>32.4</v>
      </c>
      <c r="H34" s="539" t="n">
        <v>1.622</v>
      </c>
      <c r="I34" s="206" t="inlineStr">
        <is>
          <t>Fair by capital, no hurdle</t>
        </is>
      </c>
    </row>
    <row r="35">
      <c r="B35" s="540" t="inlineStr">
        <is>
          <t>W₃</t>
        </is>
      </c>
      <c r="C35" s="541" t="inlineStr">
        <is>
          <t>1× Liq Pref + 8% + 60/40</t>
        </is>
      </c>
      <c r="D35" s="542" t="n">
        <v>2500</v>
      </c>
      <c r="E35" s="543" t="n">
        <v>83.3</v>
      </c>
      <c r="F35" s="542" t="n">
        <v>500</v>
      </c>
      <c r="G35" s="543" t="n">
        <v>16.7</v>
      </c>
      <c r="H35" s="544" t="n">
        <v>2</v>
      </c>
      <c r="I35" s="541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28" t="n">
        <v>2650</v>
      </c>
      <c r="E36" s="228" t="n">
        <v>88.33333333333333</v>
      </c>
      <c r="F36" s="528" t="n">
        <v>350</v>
      </c>
      <c r="G36" s="228" t="n">
        <v>11.66666666666667</v>
      </c>
      <c r="H36" s="539" t="n">
        <v>2.12</v>
      </c>
      <c r="I36" s="206" t="inlineStr">
        <is>
          <t>Premium negotiation option</t>
        </is>
      </c>
    </row>
    <row r="38">
      <c r="B38" s="545" t="inlineStr">
        <is>
          <t>✓ W₁ Σ = 3 000.0  ·  ✓ W₂ Σ = 3 000.0  ·  ✓ W₃ Σ = 3 000.0 (★ DEFAULT)  ·  ✓ W₄ Σ = 3,000.0  |  IRR W₃ A+C: Base 20.09%, Bear 9.34%, Bull 28.78% (см. 24_Investor_Returns Matrix 5×4)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20.09%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W₃ A+C (hurdle +2.09pp)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3.23y</t>
        </is>
      </c>
      <c r="H25" s="248" t="inlineStr">
        <is>
          <t>—</t>
        </is>
      </c>
      <c r="I25" s="248" t="inlineStr">
        <is>
          <t>3.23y</t>
        </is>
      </c>
      <c r="J25" s="247" t="inlineStr">
        <is>
          <t>Base (A+C frontload: principal within Y2029-Y2030)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1800</v>
      </c>
      <c r="F45" s="202" t="n">
        <v>1182</v>
      </c>
      <c r="G45" s="255" t="inlineStr">
        <is>
          <t>9.34%</t>
        </is>
      </c>
      <c r="H45" s="255" t="inlineStr">
        <is>
          <t>1.42×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20.09%</t>
        </is>
      </c>
      <c r="H46" s="256" t="inlineStr">
        <is>
          <t>2.0×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4200</v>
      </c>
      <c r="F47" s="193" t="n">
        <v>2111</v>
      </c>
      <c r="G47" s="257" t="inlineStr">
        <is>
          <t>28.78%</t>
        </is>
      </c>
      <c r="H47" s="257" t="inlineStr">
        <is>
          <t>2.58×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5 Scenarios × 4 Waterfalls  ·  Base illustration = W₃ DEFAULT  ·  A+C pattern 33/45/9/13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Revenue distribution: A+C asymmetric pattern Y2029=33%, Y2030=45%, Y2031=9%, Y2032=13% (frontload 78% в Y29-Y30). Single methodology: out quarterly 2026, in annual 2029-2032.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(partial, A+C Y29=33%)</t>
        </is>
      </c>
      <c r="E12" s="546" t="n">
        <v>990</v>
      </c>
      <c r="F12" s="546" t="n"/>
      <c r="G12" s="257" t="n"/>
      <c r="H12" s="546" t="n">
        <v>990</v>
      </c>
      <c r="I12" s="546" t="n">
        <v>-260</v>
      </c>
      <c r="J12" s="546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 + carry (A+C Y30=45%)</t>
        </is>
      </c>
      <c r="E13" s="546" t="n">
        <v>260</v>
      </c>
      <c r="F13" s="546" t="n">
        <v>500</v>
      </c>
      <c r="G13" s="546" t="n">
        <v>354</v>
      </c>
      <c r="H13" s="546" t="n">
        <v>1114</v>
      </c>
      <c r="I13" s="546" t="n">
        <v>854</v>
      </c>
      <c r="J13" s="546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 (A+C Y31=9%)</t>
        </is>
      </c>
      <c r="E14" s="546" t="n"/>
      <c r="F14" s="257" t="n"/>
      <c r="G14" s="546" t="n">
        <v>162</v>
      </c>
      <c r="H14" s="546" t="n">
        <v>162</v>
      </c>
      <c r="I14" s="546" t="n">
        <v>1016</v>
      </c>
      <c r="J14" s="546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 (A+C Y32=13%)</t>
        </is>
      </c>
      <c r="E15" s="546" t="n"/>
      <c r="F15" s="257" t="n"/>
      <c r="G15" s="546" t="n">
        <v>234</v>
      </c>
      <c r="H15" s="546" t="n">
        <v>234</v>
      </c>
      <c r="I15" s="546" t="n">
        <v>1250</v>
      </c>
      <c r="J15" s="546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47" t="n">
        <v>0</v>
      </c>
      <c r="F16" s="547" t="n">
        <v>500</v>
      </c>
      <c r="G16" s="547" t="n">
        <v>750</v>
      </c>
      <c r="H16" s="547" t="n">
        <v>2500</v>
      </c>
      <c r="I16" s="273" t="n"/>
      <c r="J16" s="273" t="n"/>
      <c r="K16" s="273" t="n"/>
    </row>
    <row r="18">
      <c r="B18" s="244" t="inlineStr">
        <is>
          <t>II. RETURNS MATRIX — 5 SCENARIOS × 4 WATERFALLS (IRR / MOIC, A+C pattern)</t>
        </is>
      </c>
    </row>
    <row r="19">
      <c r="B19" s="527" t="inlineStr">
        <is>
          <t>#</t>
        </is>
      </c>
      <c r="C19" s="527" t="inlineStr">
        <is>
          <t>Сценарий</t>
        </is>
      </c>
      <c r="D19" s="527" t="inlineStr">
        <is>
          <t>W₁ IRR</t>
        </is>
      </c>
      <c r="E19" s="527" t="inlineStr">
        <is>
          <t>W₁ MOIC</t>
        </is>
      </c>
      <c r="F19" s="527" t="inlineStr">
        <is>
          <t>W₂ IRR</t>
        </is>
      </c>
      <c r="G19" s="527" t="inlineStr">
        <is>
          <t>W₂ MOIC</t>
        </is>
      </c>
      <c r="H19" s="527" t="inlineStr">
        <is>
          <t>W₃ IRR</t>
        </is>
      </c>
      <c r="I19" s="527" t="inlineStr">
        <is>
          <t>W₃ MOIC</t>
        </is>
      </c>
      <c r="J19" s="527" t="inlineStr">
        <is>
          <t>W₄ IRR</t>
        </is>
      </c>
      <c r="K19" s="527" t="inlineStr">
        <is>
          <t>W₄ MOIC</t>
        </is>
      </c>
      <c r="L19" s="527" t="inlineStr">
        <is>
          <t>Best</t>
        </is>
      </c>
      <c r="M19" s="527" t="inlineStr">
        <is>
          <t>NDP</t>
        </is>
      </c>
    </row>
    <row r="20">
      <c r="B20" s="561" t="n">
        <v>1</v>
      </c>
      <c r="C20" s="561" t="inlineStr">
        <is>
          <t>Stress Bear</t>
        </is>
      </c>
      <c r="D20" s="562" t="n">
        <v>-3.56</v>
      </c>
      <c r="E20" s="563" t="n">
        <v>0.86</v>
      </c>
      <c r="F20" s="562" t="n">
        <v>-0.68</v>
      </c>
      <c r="G20" s="563" t="n">
        <v>0.97</v>
      </c>
      <c r="H20" s="564" t="n">
        <v>9.34</v>
      </c>
      <c r="I20" s="565" t="n">
        <v>1.42</v>
      </c>
      <c r="J20" s="566" t="n">
        <v>9.6</v>
      </c>
      <c r="K20" s="567" t="n">
        <v>1.44</v>
      </c>
      <c r="L20" s="568" t="inlineStr">
        <is>
          <t>W₄</t>
        </is>
      </c>
      <c r="M20" s="569" t="n">
        <v>1800</v>
      </c>
    </row>
    <row r="21">
      <c r="B21" s="570" t="n">
        <v>2</v>
      </c>
      <c r="C21" s="570" t="inlineStr">
        <is>
          <t>Downside</t>
        </is>
      </c>
      <c r="D21" s="571" t="n">
        <v>3.06</v>
      </c>
      <c r="E21" s="572" t="n">
        <v>1.13</v>
      </c>
      <c r="F21" s="571" t="n">
        <v>6.74</v>
      </c>
      <c r="G21" s="572" t="n">
        <v>1.3</v>
      </c>
      <c r="H21" s="564" t="n">
        <v>15.14</v>
      </c>
      <c r="I21" s="565" t="n">
        <v>1.71</v>
      </c>
      <c r="J21" s="566" t="n">
        <v>16.61</v>
      </c>
      <c r="K21" s="567" t="n">
        <v>1.81</v>
      </c>
      <c r="L21" s="568" t="inlineStr">
        <is>
          <t>W₄</t>
        </is>
      </c>
      <c r="M21" s="569" t="n">
        <v>2400</v>
      </c>
    </row>
    <row r="22">
      <c r="B22" s="573" t="n">
        <v>3</v>
      </c>
      <c r="C22" s="573" t="inlineStr">
        <is>
          <t>Base Case</t>
        </is>
      </c>
      <c r="D22" s="562" t="n">
        <v>8.279999999999999</v>
      </c>
      <c r="E22" s="563" t="n">
        <v>1.37</v>
      </c>
      <c r="F22" s="562" t="n">
        <v>12.97</v>
      </c>
      <c r="G22" s="563" t="n">
        <v>1.62</v>
      </c>
      <c r="H22" s="574" t="n">
        <v>20.09</v>
      </c>
      <c r="I22" s="575" t="n">
        <v>2</v>
      </c>
      <c r="J22" s="566" t="n">
        <v>21.81</v>
      </c>
      <c r="K22" s="567" t="n">
        <v>2.12</v>
      </c>
      <c r="L22" s="568" t="inlineStr">
        <is>
          <t>W₄</t>
        </is>
      </c>
      <c r="M22" s="569" t="n">
        <v>3000</v>
      </c>
    </row>
    <row r="23">
      <c r="B23" s="576" t="n">
        <v>4</v>
      </c>
      <c r="C23" s="576" t="inlineStr">
        <is>
          <t>Upside</t>
        </is>
      </c>
      <c r="D23" s="576" t="n">
        <v>12.91</v>
      </c>
      <c r="E23" s="576" t="n">
        <v>1.61</v>
      </c>
      <c r="F23" s="576" t="n">
        <v>18.39</v>
      </c>
      <c r="G23" s="576" t="n">
        <v>1.95</v>
      </c>
      <c r="H23" s="576" t="n">
        <v>24.61</v>
      </c>
      <c r="I23" s="576" t="n">
        <v>2.29</v>
      </c>
      <c r="J23" s="576" t="n">
        <v>26.45</v>
      </c>
      <c r="K23" s="576" t="n">
        <v>2.43</v>
      </c>
      <c r="L23" s="576" t="inlineStr">
        <is>
          <t>W₄</t>
        </is>
      </c>
      <c r="M23" s="576" t="n">
        <v>3600</v>
      </c>
    </row>
    <row r="24">
      <c r="B24" s="576" t="n">
        <v>5</v>
      </c>
      <c r="C24" s="576" t="inlineStr">
        <is>
          <t>Bull Case</t>
        </is>
      </c>
      <c r="D24" s="576" t="n">
        <v>17.08</v>
      </c>
      <c r="E24" s="576" t="n">
        <v>1.85</v>
      </c>
      <c r="F24" s="576" t="n">
        <v>23.22</v>
      </c>
      <c r="G24" s="576" t="n">
        <v>2.27</v>
      </c>
      <c r="H24" s="576" t="n">
        <v>28.78</v>
      </c>
      <c r="I24" s="576" t="n">
        <v>2.58</v>
      </c>
      <c r="J24" s="576" t="n">
        <v>30.73</v>
      </c>
      <c r="K24" s="576" t="n">
        <v>2.74</v>
      </c>
      <c r="L24" s="576" t="inlineStr">
        <is>
          <t>W₄</t>
        </is>
      </c>
      <c r="M24" s="576" t="n">
        <v>4200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5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577" t="inlineStr">
        <is>
          <t>III. CASH-ON-CASH METRICS (Base case · W₃ DEFAULT · A+C pattern)</t>
        </is>
      </c>
      <c r="C27" s="186" t="n"/>
      <c r="D27" s="186" t="n"/>
      <c r="E27" s="186" t="n"/>
      <c r="F27" s="187" t="n"/>
      <c r="G27" s="555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578" t="inlineStr">
        <is>
          <t>Gross Invested (4 tranches)</t>
        </is>
      </c>
      <c r="C28" s="186" t="n"/>
      <c r="D28" s="186" t="n"/>
      <c r="E28" s="186" t="n"/>
      <c r="F28" s="187" t="n"/>
      <c r="G28" s="579" t="n">
        <v>1250</v>
      </c>
      <c r="H28" s="187" t="n"/>
      <c r="I28" s="578" t="inlineStr">
        <is>
          <t>Σ outflow T₁</t>
        </is>
      </c>
      <c r="J28" s="186" t="n"/>
      <c r="K28" s="187" t="n"/>
    </row>
    <row r="29">
      <c r="B29" s="578" t="inlineStr">
        <is>
          <t>Gross Proceeds (principal + interest + upside)</t>
        </is>
      </c>
      <c r="C29" s="186" t="n"/>
      <c r="D29" s="186" t="n"/>
      <c r="E29" s="186" t="n"/>
      <c r="F29" s="187" t="n"/>
      <c r="G29" s="580" t="n">
        <v>2500</v>
      </c>
      <c r="H29" s="187" t="n"/>
      <c r="I29" s="578" t="inlineStr">
        <is>
          <t>W₃: 1250 liq pref + 500 coupon + 750 carried</t>
        </is>
      </c>
      <c r="J29" s="186" t="n"/>
      <c r="K29" s="187" t="n"/>
    </row>
    <row r="30">
      <c r="B30" s="578" t="inlineStr">
        <is>
          <t>Net Gain</t>
        </is>
      </c>
      <c r="C30" s="186" t="n"/>
      <c r="D30" s="186" t="n"/>
      <c r="E30" s="186" t="n"/>
      <c r="F30" s="187" t="n"/>
      <c r="G30" s="581" t="n">
        <v>1250</v>
      </c>
      <c r="H30" s="187" t="n"/>
      <c r="I30" s="578" t="inlineStr">
        <is>
          <t>Return on capital (net gain)</t>
        </is>
      </c>
      <c r="J30" s="186" t="n"/>
      <c r="K30" s="187" t="n"/>
    </row>
    <row r="31">
      <c r="B31" s="578" t="inlineStr">
        <is>
          <t>Net Gain %</t>
        </is>
      </c>
      <c r="C31" s="186" t="n"/>
      <c r="D31" s="186" t="n"/>
      <c r="E31" s="186" t="n"/>
      <c r="F31" s="187" t="n"/>
      <c r="G31" s="581" t="n">
        <v>100</v>
      </c>
      <c r="H31" s="187" t="n"/>
      <c r="I31" s="578" t="inlineStr">
        <is>
          <t>Total return % (net gain / invest)</t>
        </is>
      </c>
      <c r="J31" s="186" t="n"/>
      <c r="K31" s="187" t="n"/>
    </row>
    <row r="32">
      <c r="B32" s="578" t="inlineStr">
        <is>
          <t>MOIC (Multiple on Invested Capital)</t>
        </is>
      </c>
      <c r="C32" s="186" t="n"/>
      <c r="D32" s="186" t="n"/>
      <c r="E32" s="186" t="n"/>
      <c r="F32" s="187" t="n"/>
      <c r="G32" s="581" t="n">
        <v>2</v>
      </c>
      <c r="H32" s="187" t="n"/>
      <c r="I32" s="578" t="inlineStr">
        <is>
          <t>MOIC = 2500.0/1250.0 (investor-friendly W₃)</t>
        </is>
      </c>
      <c r="J32" s="186" t="n"/>
      <c r="K32" s="187" t="n"/>
    </row>
    <row r="33">
      <c r="B33" s="578" t="inlineStr">
        <is>
          <t>DPI (Distributions / Paid-in)</t>
        </is>
      </c>
      <c r="C33" s="186" t="n"/>
      <c r="D33" s="186" t="n"/>
      <c r="E33" s="186" t="n"/>
      <c r="F33" s="187" t="n"/>
      <c r="G33" s="580" t="n">
        <v>2</v>
      </c>
      <c r="H33" s="187" t="n"/>
      <c r="I33" s="578" t="inlineStr">
        <is>
          <t>DPI fully realized</t>
        </is>
      </c>
      <c r="J33" s="186" t="n"/>
      <c r="K33" s="187" t="n"/>
    </row>
    <row r="34">
      <c r="B34" s="578" t="inlineStr">
        <is>
          <t>TVPI (Total Value / Paid-in)</t>
        </is>
      </c>
      <c r="C34" s="186" t="n"/>
      <c r="D34" s="186" t="n"/>
      <c r="E34" s="186" t="n"/>
      <c r="F34" s="187" t="n"/>
      <c r="G34" s="579" t="n">
        <v>2</v>
      </c>
      <c r="H34" s="187" t="n"/>
      <c r="I34" s="578">
        <f> DPI (no NAV)</f>
        <v/>
      </c>
      <c r="J34" s="186" t="n"/>
      <c r="K34" s="187" t="n"/>
    </row>
    <row r="35">
      <c r="B35" s="578" t="inlineStr">
        <is>
          <t>IRR (fractional period)</t>
        </is>
      </c>
      <c r="C35" s="186" t="n"/>
      <c r="D35" s="186" t="n"/>
      <c r="E35" s="186" t="n"/>
      <c r="F35" s="187" t="n"/>
      <c r="G35" s="582" t="n">
        <v>20.09</v>
      </c>
      <c r="H35" s="187" t="n"/>
      <c r="I35" s="578" t="inlineStr">
        <is>
          <t>Hurdle 18%, PASS (+2.09pp), A+C pattern</t>
        </is>
      </c>
      <c r="J35" s="186" t="n"/>
      <c r="K35" s="187" t="n"/>
    </row>
    <row r="36">
      <c r="B36" s="583" t="inlineStr">
        <is>
          <t>Peak Exposure (max drawdown)</t>
        </is>
      </c>
      <c r="G36" s="584" t="n">
        <v>1250</v>
      </c>
      <c r="I36" s="583" t="inlineStr">
        <is>
          <t>Q4'26 full draw 1 250</t>
        </is>
      </c>
    </row>
    <row r="37">
      <c r="B37" s="583" t="inlineStr">
        <is>
          <t>Payback period</t>
        </is>
      </c>
      <c r="G37" s="584" t="n">
        <v>3.23</v>
      </c>
      <c r="I37" s="583" t="inlineStr">
        <is>
          <t>A+C pattern: principal returned within Y2029-Y2030 (frontload)</t>
        </is>
      </c>
    </row>
    <row r="38">
      <c r="B38" s="244" t="inlineStr">
        <is>
          <t>IV. RETURN ATTRIBUTION — РАЗБИВКА ROI (Base W₃ DEFAULT)</t>
        </is>
      </c>
    </row>
    <row r="39">
      <c r="B39" s="585" t="inlineStr">
        <is>
          <t>IV. RETURN ATTRIBUTION — РАЗБИВКА ROI (Base W₃ DEFAULT, A+C pattern)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586" t="inlineStr">
        <is>
          <t>#</t>
        </is>
      </c>
      <c r="C40" s="587" t="inlineStr">
        <is>
          <t>Компонент</t>
        </is>
      </c>
      <c r="D40" s="186" t="n"/>
      <c r="E40" s="186" t="n"/>
      <c r="F40" s="186" t="n"/>
      <c r="G40" s="187" t="n"/>
      <c r="H40" s="588" t="inlineStr">
        <is>
          <t>млн ₽</t>
        </is>
      </c>
      <c r="I40" s="589" t="inlineStr">
        <is>
          <t>% of Σ</t>
        </is>
      </c>
      <c r="J40" s="587" t="inlineStr">
        <is>
          <t>Комментарий</t>
        </is>
      </c>
      <c r="K40" s="187" t="n"/>
    </row>
    <row r="41">
      <c r="B41" s="568" t="n">
        <v>1</v>
      </c>
      <c r="C41" s="590" t="inlineStr">
        <is>
          <t>Return of Principal (Liq Pref 1×)</t>
        </is>
      </c>
      <c r="D41" s="617" t="n"/>
      <c r="E41" s="617" t="n"/>
      <c r="F41" s="617" t="n"/>
      <c r="G41" s="618" t="n"/>
      <c r="H41" s="591" t="n">
        <v>1250</v>
      </c>
      <c r="I41" s="592" t="n">
        <v>50</v>
      </c>
      <c r="J41" s="619" t="inlineStr">
        <is>
          <t>Stage 1 W₃: senior recovery</t>
        </is>
      </c>
      <c r="K41" s="620" t="n"/>
    </row>
    <row r="42">
      <c r="B42" s="568" t="n">
        <v>2</v>
      </c>
      <c r="C42" s="590" t="inlineStr">
        <is>
          <t>Preferred Return Coupon (8% × 5y)</t>
        </is>
      </c>
      <c r="D42" s="617" t="n"/>
      <c r="E42" s="617" t="n"/>
      <c r="F42" s="617" t="n"/>
      <c r="G42" s="618" t="n"/>
      <c r="H42" s="591" t="n">
        <v>500</v>
      </c>
      <c r="I42" s="592" t="n">
        <v>20</v>
      </c>
      <c r="J42" s="619" t="inlineStr">
        <is>
          <t>Stage 2 W₃: 1250 × 8% × 5y = 500</t>
        </is>
      </c>
      <c r="K42" s="620" t="n"/>
    </row>
    <row r="43">
      <c r="B43" s="573" t="n">
        <v>3</v>
      </c>
      <c r="C43" s="593" t="inlineStr">
        <is>
          <t>Carried Interest Share (60% of 750 residual)</t>
        </is>
      </c>
      <c r="D43" s="617" t="n"/>
      <c r="E43" s="617" t="n"/>
      <c r="F43" s="617" t="n"/>
      <c r="G43" s="618" t="n"/>
      <c r="H43" s="594" t="n">
        <v>750</v>
      </c>
      <c r="I43" s="595" t="n">
        <v>30</v>
      </c>
      <c r="J43" s="621" t="inlineStr">
        <is>
          <t>Stage 3 W₃: 60% × (2500 − 1250 − 500)</t>
        </is>
      </c>
      <c r="K43" s="620" t="n"/>
    </row>
    <row r="44">
      <c r="C44" s="584" t="inlineStr">
        <is>
          <t>ИТОГО ROI</t>
        </is>
      </c>
      <c r="H44" s="584" t="n">
        <v>2500</v>
      </c>
      <c r="I44" t="n">
        <v>100</v>
      </c>
      <c r="J44">
        <f> 1250 + 500 + 750 (W₃ Base NDP 3000)</f>
        <v/>
      </c>
    </row>
    <row r="46">
      <c r="B46" s="596" t="inlineStr">
        <is>
          <t>V. RISK DISCLAIMERS (W₃ + A+C pattern)</t>
        </is>
      </c>
    </row>
    <row r="47">
      <c r="B47" s="597" t="inlineStr">
        <is>
          <t>V.1  Bear scenario (NDP 1 800) IRR = 9.34% — значительно ниже hurdle 18% (−8.66pp). При downside NDP front-loaded A+C pattern (78% в Y29-Y30) усиливает негативный эффект: остаточные потоки Y31-Y32 не компенсируют временную стоимость денег.</t>
        </is>
      </c>
    </row>
    <row r="48">
      <c r="B48" s="597" t="inlineStr">
        <is>
          <t>V.2  Downside scenario (NDP 2 400) IRR = 15.14% — ниже hurdle 18% (−2.86pp). В отличие от Bear, principal полностью возвращается (MoIC 1.71×), но IRR не достигает hurdle из-за сниженного carry в T₃.</t>
        </is>
      </c>
    </row>
    <row r="49">
      <c r="B49" s="597" t="inlineStr">
        <is>
          <t>V.3  Base scenario IRR = 20.09% превышает hurdle на +2.09pp. Margin к hurdle под W₃ (2.09pp) ниже, чем под Internal W₅ V-D (6.75pp) — это конструктивная особенность W₃ (меньше tiers = меньше upside capture).</t>
        </is>
      </c>
    </row>
    <row r="50">
      <c r="B50" s="597" t="inlineStr">
        <is>
          <t>V.4  Monte Carlo simulation (N=5 000, seed=42): Mean IRR = 11.44% (на 8.65pp ниже Det Base 20.09%). P(IRR &gt; 18% hurdle) = 13.6%. Только 13.6% симуляций достигают hurdle — основной драйвер: hit_rate (корреляция r=0.70). Детерминированный Base ≠ стохастическое ожидание.</t>
        </is>
      </c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59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A+C pattern)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A+C (база 20.09%). Под W₃ + A+C frontload pattern чувствительность IRR к top-3 drivers выше из-за концентрации 78% NDP в Y29-Y30.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A+C (база 20.09%)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568" t="n">
        <v>1</v>
      </c>
      <c r="C31" s="598" t="inlineStr">
        <is>
          <t>Revenue</t>
        </is>
      </c>
      <c r="D31" s="592" t="n">
        <v>15.14</v>
      </c>
      <c r="E31" s="592" t="n">
        <v>20.09</v>
      </c>
      <c r="F31" s="592" t="n">
        <v>24.61</v>
      </c>
      <c r="G31" s="599" t="n">
        <v>-4.95</v>
      </c>
      <c r="H31" s="599" t="n">
        <v>4.52</v>
      </c>
      <c r="I31" s="599" t="n">
        <v>9.470000000000001</v>
      </c>
      <c r="J31" s="592" t="n">
        <v>47.14</v>
      </c>
      <c r="K31" s="600" t="n">
        <v>1</v>
      </c>
    </row>
    <row r="32">
      <c r="B32" s="568" t="n">
        <v>2</v>
      </c>
      <c r="C32" s="590" t="inlineStr">
        <is>
          <t>EBITDA margin</t>
        </is>
      </c>
      <c r="D32" s="592" t="n">
        <v>15.14</v>
      </c>
      <c r="E32" s="592" t="n">
        <v>20.09</v>
      </c>
      <c r="F32" s="592" t="n">
        <v>24.61</v>
      </c>
      <c r="G32" s="599" t="n">
        <v>-4.95</v>
      </c>
      <c r="H32" s="599" t="n">
        <v>4.52</v>
      </c>
      <c r="I32" s="599" t="n">
        <v>9.470000000000001</v>
      </c>
      <c r="J32" s="592" t="n">
        <v>47.14</v>
      </c>
      <c r="K32" s="568" t="n">
        <v>2</v>
      </c>
    </row>
    <row r="33">
      <c r="B33" s="568" t="n">
        <v>3</v>
      </c>
      <c r="C33" s="590" t="inlineStr">
        <is>
          <t>Attendance</t>
        </is>
      </c>
      <c r="D33" s="592" t="n">
        <v>15.14</v>
      </c>
      <c r="E33" s="592" t="n">
        <v>20.09</v>
      </c>
      <c r="F33" s="592" t="n">
        <v>24.61</v>
      </c>
      <c r="G33" s="599" t="n">
        <v>-4.95</v>
      </c>
      <c r="H33" s="599" t="n">
        <v>4.52</v>
      </c>
      <c r="I33" s="599" t="n">
        <v>9.470000000000001</v>
      </c>
      <c r="J33" s="592" t="n">
        <v>47.14</v>
      </c>
      <c r="K33" s="568" t="n">
        <v>3</v>
      </c>
    </row>
    <row r="34">
      <c r="B34" s="568" t="n">
        <v>4</v>
      </c>
      <c r="C34" s="590" t="inlineStr">
        <is>
          <t>Production CAPEX</t>
        </is>
      </c>
      <c r="D34" s="592" t="n">
        <v>17.1</v>
      </c>
      <c r="E34" s="592" t="n">
        <v>20.09</v>
      </c>
      <c r="F34" s="592" t="n">
        <v>22.92</v>
      </c>
      <c r="G34" s="599" t="n">
        <v>-3</v>
      </c>
      <c r="H34" s="599" t="n">
        <v>2.83</v>
      </c>
      <c r="I34" s="599" t="n">
        <v>5.83</v>
      </c>
      <c r="J34" s="592" t="n">
        <v>29.01</v>
      </c>
      <c r="K34" s="568" t="n">
        <v>4</v>
      </c>
    </row>
    <row r="35">
      <c r="B35" s="568" t="n">
        <v>5</v>
      </c>
      <c r="C35" s="590" t="inlineStr">
        <is>
          <t>P&amp;A ratio</t>
        </is>
      </c>
      <c r="D35" s="592" t="n">
        <v>19.65</v>
      </c>
      <c r="E35" s="592" t="n">
        <v>20.09</v>
      </c>
      <c r="F35" s="592" t="n">
        <v>20.53</v>
      </c>
      <c r="G35" s="599" t="n">
        <v>-0.44</v>
      </c>
      <c r="H35" s="599" t="n">
        <v>0.43</v>
      </c>
      <c r="I35" s="599" t="n">
        <v>0.87</v>
      </c>
      <c r="J35" s="592" t="n">
        <v>4.35</v>
      </c>
      <c r="K35" s="568" t="n">
        <v>5</v>
      </c>
    </row>
    <row r="36">
      <c r="B36" s="568" t="n">
        <v>6</v>
      </c>
      <c r="C36" s="590" t="inlineStr">
        <is>
          <t>OpEx</t>
        </is>
      </c>
      <c r="D36" s="592" t="n">
        <v>19.67</v>
      </c>
      <c r="E36" s="592" t="n">
        <v>20.09</v>
      </c>
      <c r="F36" s="592" t="n">
        <v>20.51</v>
      </c>
      <c r="G36" s="599" t="n">
        <v>-0.42</v>
      </c>
      <c r="H36" s="599" t="n">
        <v>0.42</v>
      </c>
      <c r="I36" s="599" t="n">
        <v>0.84</v>
      </c>
      <c r="J36" s="592" t="n">
        <v>4.16</v>
      </c>
      <c r="K36" s="568" t="n">
        <v>6</v>
      </c>
    </row>
    <row r="37">
      <c r="B37" s="568" t="n">
        <v>7</v>
      </c>
      <c r="C37" s="590" t="inlineStr">
        <is>
          <t>Interest</t>
        </is>
      </c>
      <c r="D37" s="592" t="n">
        <v>20.07</v>
      </c>
      <c r="E37" s="592" t="n">
        <v>20.09</v>
      </c>
      <c r="F37" s="592" t="n">
        <v>20.12</v>
      </c>
      <c r="G37" s="599" t="n">
        <v>-0.02</v>
      </c>
      <c r="H37" s="599" t="n">
        <v>0.02</v>
      </c>
      <c r="I37" s="599" t="n">
        <v>0.05</v>
      </c>
      <c r="J37" s="592" t="n">
        <v>0.23</v>
      </c>
      <c r="K37" s="568" t="n">
        <v>7</v>
      </c>
    </row>
    <row r="38">
      <c r="B38" s="568" t="n">
        <v>8</v>
      </c>
      <c r="C38" s="598" t="inlineStr">
        <is>
          <t>Exit Multiple</t>
        </is>
      </c>
      <c r="D38" s="592" t="n">
        <v>20.09</v>
      </c>
      <c r="E38" s="592" t="n">
        <v>20.09</v>
      </c>
      <c r="F38" s="592" t="n">
        <v>20.09</v>
      </c>
      <c r="G38" s="599" t="n">
        <v>0</v>
      </c>
      <c r="H38" s="599" t="n">
        <v>0</v>
      </c>
      <c r="I38" s="599" t="n">
        <v>0</v>
      </c>
      <c r="J38" s="592" t="n">
        <v>0</v>
      </c>
      <c r="K38" s="600" t="n">
        <v>8</v>
      </c>
    </row>
    <row r="41">
      <c r="B41" s="601" t="inlineStr">
        <is>
          <t>IV. ЗАКЛЮЧЕНИЯ (W₃ + A+C pattern)</t>
        </is>
      </c>
    </row>
    <row r="42">
      <c r="B42" s="602" t="inlineStr">
        <is>
          <t>• Top-2 drivers EBITDA: Revenue и Attendance (эквивалентные, оба ±430 млн ₽ при ±20%). Attendance — proxy для Revenue.</t>
        </is>
      </c>
    </row>
    <row r="43">
      <c r="B43" s="602" t="inlineStr">
        <is>
          <t>• Production CAPEX — 3rd critical driver (range ±240 млн ₽ при ±20%).</t>
        </is>
      </c>
    </row>
    <row r="44">
      <c r="B44" s="602" t="inlineStr">
        <is>
          <t>• IRR T₁ W₃ A+C (base 20.09%) защищён floor Liq Pref: downside ограничен, upside компенсирован carried interest.</t>
        </is>
      </c>
    </row>
    <row r="45">
      <c r="B45" s="602" t="inlineStr">
        <is>
          <t>• Под A+C frontload pattern (78% в Y29-Y30) чувствительность IRR к top-3 drivers ВЫШЕ, чем при равномерном распределении, т.к. шоки в Y29 затрагивают большую долю NDP.</t>
        </is>
      </c>
    </row>
    <row r="46">
      <c r="B46" s="602" t="inlineStr">
        <is>
          <t>• ⚠ Bear + Downside сценарии IRR ниже hurdle 18% (см. дислеймеры V.1-V.2 в 24_Investor_Returns).</t>
        </is>
      </c>
    </row>
    <row r="47">
      <c r="B47" s="583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1.40×. A+C pattern 33/45/9/13 (frontload Y29-Y30 = 78%). W₃ default waterfall.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A+C)</t>
        </is>
      </c>
      <c r="D15" s="603" t="n">
        <v>9.34</v>
      </c>
      <c r="E15" s="603" t="n">
        <v>15.14</v>
      </c>
      <c r="F15" s="604" t="n">
        <v>20.09</v>
      </c>
      <c r="G15" s="605" t="n">
        <v>24.61</v>
      </c>
      <c r="H15" s="606" t="n">
        <v>28.78</v>
      </c>
      <c r="I15" s="236" t="n">
        <v>19.44</v>
      </c>
    </row>
    <row r="16">
      <c r="B16" s="205" t="n">
        <v>9</v>
      </c>
      <c r="C16" s="213" t="inlineStr">
        <is>
          <t>MOIC T₁ (W₃ A+C)</t>
        </is>
      </c>
      <c r="D16" s="607" t="n">
        <v>1.42</v>
      </c>
      <c r="E16" s="608" t="n">
        <v>1.71</v>
      </c>
      <c r="F16" s="609" t="n">
        <v>2</v>
      </c>
      <c r="G16" s="610" t="n">
        <v>2.29</v>
      </c>
      <c r="H16" s="611" t="n">
        <v>2.58</v>
      </c>
      <c r="I16" s="237" t="n">
        <v>1.16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 A+C</t>
        </is>
      </c>
      <c r="D18" s="612" t="n">
        <v>1780</v>
      </c>
      <c r="E18" s="613" t="n">
        <v>2140</v>
      </c>
      <c r="F18" s="614" t="n">
        <v>2500</v>
      </c>
      <c r="G18" s="615" t="n">
        <v>2860</v>
      </c>
      <c r="H18" s="616" t="n">
        <v>3220</v>
      </c>
      <c r="I18" s="207" t="n">
        <v>1440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фильмов, падение box office РФ на 25%, санкционный shock. Revenue −40%, EBITDA 1 291, IRR 9.34% ⚠ (ниже hurdle −8.7pp). LP capital protection через Liq Pref (MoIC 1.42×).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15.14% ⚠ (ниже hurdle −2.9pp). Principal возвращается, но carry недостаточен для hurdle.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20.09%, NDP 3 000 — якорь. Hurdle +2.1pp.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превзошли ожидания на 40%, рост госсубсидий через Фонд кино. Revenue 5 454, EBITDA 2 583, IRR 24.61%. Открывает path к IPO 2028. Hurdle +6.6pp.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+100%, международные продажи, SVOD-сделка c крупным OTT. Revenue 6 363, EBITDA 3 013, IRR 28.78%. Strategic exit 7× EBITDA. Hurdle +10.8pp.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(W₃ A+C)</t>
        </is>
      </c>
      <c r="C37" s="186" t="n"/>
      <c r="D37" s="186" t="n"/>
      <c r="E37" s="186" t="n"/>
      <c r="F37" s="187" t="n"/>
      <c r="G37" s="176" t="n">
        <v>20.58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W₃ + A+C PATTERN</t>
        </is>
      </c>
    </row>
    <row r="3"/>
    <row r="4">
      <c r="B4" s="189" t="inlineStr">
        <is>
          <t>Распределения NDP, EBITDA, IRR, MOIC, EV под Waterfall W₃ (DEFAULT, 1× Liq Pref + 8% coupon + 60/40). A+C asymmetric pattern: Y2029=33%, Y2030=45%, Y2031=9%, Y2032=13% (frontload 78% в Y29-Y30). Percentiles, probability of hurdle/target pass, Value at Risk. Seed=42.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 (W₃ + A+C)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622" t="n">
        <v>2104.06</v>
      </c>
      <c r="E17" s="622" t="n">
        <v>580.23</v>
      </c>
      <c r="F17" s="622" t="n">
        <v>1229.28</v>
      </c>
      <c r="G17" s="622" t="n">
        <v>1381.87</v>
      </c>
      <c r="H17" s="622" t="n">
        <v>1696.64</v>
      </c>
      <c r="I17" s="614" t="n">
        <v>2060.42</v>
      </c>
      <c r="J17" s="622" t="n">
        <v>2467.85</v>
      </c>
      <c r="K17" s="622" t="n">
        <v>2871.3</v>
      </c>
      <c r="L17" s="622" t="n">
        <v>3130.48</v>
      </c>
    </row>
    <row r="18">
      <c r="B18" s="317" t="inlineStr">
        <is>
          <t>EBITDA</t>
        </is>
      </c>
      <c r="C18" s="187" t="n"/>
      <c r="D18" s="622" t="n">
        <v>2145.76</v>
      </c>
      <c r="E18" s="622" t="n">
        <v>360.76</v>
      </c>
      <c r="F18" s="622" t="n">
        <v>1556.11</v>
      </c>
      <c r="G18" s="622" t="n">
        <v>1654.95</v>
      </c>
      <c r="H18" s="622" t="n">
        <v>1885.34</v>
      </c>
      <c r="I18" s="614" t="n">
        <v>2142.07</v>
      </c>
      <c r="J18" s="622" t="n">
        <v>2401.75</v>
      </c>
      <c r="K18" s="622" t="n">
        <v>2635.31</v>
      </c>
      <c r="L18" s="622" t="n">
        <v>2744.84</v>
      </c>
    </row>
    <row r="19">
      <c r="B19" s="317" t="inlineStr">
        <is>
          <t>IRR</t>
        </is>
      </c>
      <c r="C19" s="187" t="n"/>
      <c r="D19" s="623" t="n">
        <v>11.44</v>
      </c>
      <c r="E19" s="623" t="n">
        <v>6.47</v>
      </c>
      <c r="F19" s="623" t="n">
        <v>-0.41</v>
      </c>
      <c r="G19" s="623" t="n">
        <v>2.53</v>
      </c>
      <c r="H19" s="623" t="n">
        <v>7.97</v>
      </c>
      <c r="I19" s="604" t="n">
        <v>12</v>
      </c>
      <c r="J19" s="623" t="n">
        <v>15.72</v>
      </c>
      <c r="K19" s="623" t="n">
        <v>19.07</v>
      </c>
      <c r="L19" s="623" t="n">
        <v>21.11</v>
      </c>
    </row>
    <row r="20">
      <c r="B20" s="317" t="inlineStr">
        <is>
          <t>MOIC</t>
        </is>
      </c>
      <c r="C20" s="187" t="n"/>
      <c r="D20" s="624" t="n">
        <v>1.54</v>
      </c>
      <c r="E20" s="624" t="n">
        <v>0.32</v>
      </c>
      <c r="F20" s="624" t="n">
        <v>0.98</v>
      </c>
      <c r="G20" s="624" t="n">
        <v>1.11</v>
      </c>
      <c r="H20" s="624" t="n">
        <v>1.36</v>
      </c>
      <c r="I20" s="609" t="n">
        <v>1.55</v>
      </c>
      <c r="J20" s="624" t="n">
        <v>1.74</v>
      </c>
      <c r="K20" s="624" t="n">
        <v>1.94</v>
      </c>
      <c r="L20" s="624" t="n">
        <v>2.06</v>
      </c>
    </row>
    <row r="21">
      <c r="B21" s="317" t="inlineStr">
        <is>
          <t>EV</t>
        </is>
      </c>
      <c r="C21" s="187" t="n"/>
      <c r="D21" s="622" t="n">
        <v>10801.74</v>
      </c>
      <c r="E21" s="622" t="n">
        <v>2566.37</v>
      </c>
      <c r="F21" s="622" t="n">
        <v>6940.88</v>
      </c>
      <c r="G21" s="622" t="n">
        <v>7640.65</v>
      </c>
      <c r="H21" s="622" t="n">
        <v>8925.08</v>
      </c>
      <c r="I21" s="614" t="n">
        <v>10579.72</v>
      </c>
      <c r="J21" s="622" t="n">
        <v>12524.67</v>
      </c>
      <c r="K21" s="622" t="n">
        <v>14264.99</v>
      </c>
      <c r="L21" s="622" t="n">
        <v>15366.25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625" t="n">
        <v>13.6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50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74.90000000000001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7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2104.1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1.542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10579.7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578" t="inlineStr">
        <is>
          <t>528 − 956</t>
        </is>
      </c>
      <c r="D39" s="187" t="n"/>
      <c r="E39" s="627" t="n">
        <v>45</v>
      </c>
      <c r="F39" s="623" t="n">
        <v>0.9</v>
      </c>
      <c r="G39" s="578" t="inlineStr">
        <is>
          <t>█</t>
        </is>
      </c>
      <c r="H39" s="186" t="n"/>
      <c r="I39" s="187" t="n"/>
    </row>
    <row r="40">
      <c r="B40" s="205" t="n">
        <v>2</v>
      </c>
      <c r="C40" s="578" t="inlineStr">
        <is>
          <t>956 − 1384</t>
        </is>
      </c>
      <c r="D40" s="187" t="n"/>
      <c r="E40" s="627" t="n">
        <v>458</v>
      </c>
      <c r="F40" s="623" t="n">
        <v>9.199999999999999</v>
      </c>
      <c r="G40" s="578" t="inlineStr">
        <is>
          <t>█████████</t>
        </is>
      </c>
      <c r="H40" s="186" t="n"/>
      <c r="I40" s="187" t="n"/>
    </row>
    <row r="41">
      <c r="B41" s="205" t="n">
        <v>3</v>
      </c>
      <c r="C41" s="578" t="inlineStr">
        <is>
          <t>1384 − 1812</t>
        </is>
      </c>
      <c r="D41" s="187" t="n"/>
      <c r="E41" s="627" t="n">
        <v>1120</v>
      </c>
      <c r="F41" s="623" t="n">
        <v>22.4</v>
      </c>
      <c r="G41" s="578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578" t="inlineStr">
        <is>
          <t>1812 − 2240</t>
        </is>
      </c>
      <c r="D42" s="187" t="n"/>
      <c r="E42" s="627" t="n">
        <v>1474</v>
      </c>
      <c r="F42" s="623" t="n">
        <v>29.5</v>
      </c>
      <c r="G42" s="578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628" t="inlineStr">
        <is>
          <t>2240 − 2668</t>
        </is>
      </c>
      <c r="D43" s="187" t="n"/>
      <c r="E43" s="629" t="n">
        <v>1107</v>
      </c>
      <c r="F43" s="604" t="n">
        <v>22.1</v>
      </c>
      <c r="G43" s="628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578" t="inlineStr">
        <is>
          <t>2668 − 3096</t>
        </is>
      </c>
      <c r="D44" s="187" t="n"/>
      <c r="E44" s="627" t="n">
        <v>522</v>
      </c>
      <c r="F44" s="623" t="n">
        <v>10.4</v>
      </c>
      <c r="G44" s="578" t="inlineStr">
        <is>
          <t>██████████</t>
        </is>
      </c>
      <c r="H44" s="186" t="n"/>
      <c r="I44" s="187" t="n"/>
    </row>
    <row r="45">
      <c r="B45" s="205" t="n">
        <v>7</v>
      </c>
      <c r="C45" s="578" t="inlineStr">
        <is>
          <t>3096 − 3524</t>
        </is>
      </c>
      <c r="D45" s="187" t="n"/>
      <c r="E45" s="627" t="n">
        <v>200</v>
      </c>
      <c r="F45" s="623" t="n">
        <v>4</v>
      </c>
      <c r="G45" s="578" t="inlineStr">
        <is>
          <t>████</t>
        </is>
      </c>
      <c r="H45" s="186" t="n"/>
      <c r="I45" s="187" t="n"/>
    </row>
    <row r="46">
      <c r="B46" s="205" t="n">
        <v>8</v>
      </c>
      <c r="C46" s="578" t="inlineStr">
        <is>
          <t>3524 − 3952</t>
        </is>
      </c>
      <c r="D46" s="187" t="n"/>
      <c r="E46" s="627" t="n">
        <v>58</v>
      </c>
      <c r="F46" s="623" t="n">
        <v>1.2</v>
      </c>
      <c r="G46" s="578" t="inlineStr">
        <is>
          <t>█</t>
        </is>
      </c>
      <c r="H46" s="186" t="n"/>
      <c r="I46" s="187" t="n"/>
    </row>
    <row r="47">
      <c r="B47" s="205" t="n">
        <v>9</v>
      </c>
      <c r="C47" s="578" t="inlineStr">
        <is>
          <t>3952 − 4380</t>
        </is>
      </c>
      <c r="D47" s="187" t="n"/>
      <c r="E47" s="627" t="n">
        <v>11</v>
      </c>
      <c r="F47" s="623" t="n">
        <v>0.2</v>
      </c>
      <c r="G47" s="578" t="inlineStr">
        <is>
          <t>█</t>
        </is>
      </c>
      <c r="H47" s="186" t="n"/>
      <c r="I47" s="187" t="n"/>
    </row>
    <row r="48">
      <c r="B48" s="205" t="n">
        <v>10</v>
      </c>
      <c r="C48" s="578" t="inlineStr">
        <is>
          <t>4380 − 4808</t>
        </is>
      </c>
      <c r="D48" s="187" t="n"/>
      <c r="E48" s="627" t="n">
        <v>5</v>
      </c>
      <c r="F48" s="623" t="n">
        <v>0.1</v>
      </c>
      <c r="G48" s="578" t="inlineStr">
        <is>
          <t>█</t>
        </is>
      </c>
      <c r="H48" s="186" t="n"/>
      <c r="I48" s="187" t="n"/>
    </row>
    <row r="51">
      <c r="B51" s="258" t="inlineStr">
        <is>
          <t>Симуляция: numpy seed=42, 5000 итераций, 5 стохастических переменных (Revenue mult Triangular 0.6/1.0/1.4, Margin shock Normal 0/4pp, CAPEX LogNormal σ=10%, Exit mult Triangular 3/5/7, Film hit rate Binomial p=0.70 n=12). Applied Waterfall W₃ DEFAULT + A+C pattern 33/45/9/13. Methodology: vectorized numpy bisection IRR.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578" t="inlineStr">
        <is>
          <t>Downside risk NDP shortfall — W₃ A+C Base IRR = 20.09% (hurdle +2.09pp); Bear IRR 9.34% (−8.66pp); Downside IRR 15.14% (−2.86pp). MC mean IRR 11.44% &lt; hurdle, P(&gt;18%)=13.6%.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A+C Base IRR = 20.09%</t>
        </is>
      </c>
      <c r="E54" s="350" t="n">
        <v>12</v>
      </c>
      <c r="F54" s="630" t="inlineStr">
        <is>
          <t>Базовый IRR T₁ под Waterfall W₃ + A+C pattern = 20.09%, что даёт margin +2.09pp vs hurdle 18%. Однако Bear (9.34%) и Downside (15.14%) ниже hurdle. MC simulation (N=5000) показывает mean IRR 11.44%, P(&gt;hurdle)=13.6%. Risk source: hit_rate volatility (corr r=0.70 с IRR).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· A+C pattern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0" t="inlineStr">
        <is>
          <t>Investor Returns T₁ (W₃ default)</t>
        </is>
      </c>
      <c r="E27" s="583" t="inlineStr">
        <is>
          <t>IRR 20.09% · MOIC 2.0× · Payback 3.23y · MC N=5 000: mean IRR 11.44%, P(&gt;hurdle)=13.6%; A+C pattern 33/45/9/13 (см. дислеймер V.1-V.4)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631" t="inlineStr">
        <is>
          <t>Примечание: Base case — якорь NDP 3 000 млн ₽; Bear = 0.60× NDP; Bull = 1.40× NDP. A+C pattern 33/45/9/13. ⚠ Bear (9.34%) и Downside (15.14%) сценарии IRR ниже hurdle 18%.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632" t="inlineStr">
        <is>
          <t>Downside risk NDP shortfall (W₃ Base IRR = 20.09%, hurdle +2.09pp)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20.09%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n=5000,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12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v1.0.1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v1.0.1 Public — investor_model_v1.0_Public.xlsx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2026-04-12T08:01:06Z</dcterms:modified>
  <cp:keywords>investor, financial model, L3, pre-IPO, cinema</cp:keywords>
</cp:coreProperties>
</file>