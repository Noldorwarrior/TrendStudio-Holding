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2152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1689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3</v>
      </c>
      <c r="G24" s="727" t="n">
        <v>500</v>
      </c>
      <c r="H24" s="727" t="n">
        <v>520</v>
      </c>
      <c r="I24" s="754" t="n">
        <v>1029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3</v>
      </c>
      <c r="G27" s="727" t="n">
        <v>500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5 000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2104.06</v>
      </c>
      <c r="E17" s="814" t="n">
        <v>580.23</v>
      </c>
      <c r="F17" s="814" t="n">
        <v>1229.28</v>
      </c>
      <c r="G17" s="814" t="n">
        <v>1381.87</v>
      </c>
      <c r="H17" s="814" t="n">
        <v>1696.64</v>
      </c>
      <c r="I17" s="805" t="n">
        <v>2060.42</v>
      </c>
      <c r="J17" s="814" t="n">
        <v>2467.85</v>
      </c>
      <c r="K17" s="814" t="n">
        <v>2871.3</v>
      </c>
      <c r="L17" s="814" t="n">
        <v>3130.48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2145.76</v>
      </c>
      <c r="E18" s="814" t="n">
        <v>360.76</v>
      </c>
      <c r="F18" s="814" t="n">
        <v>1556.11</v>
      </c>
      <c r="G18" s="814" t="n">
        <v>1654.95</v>
      </c>
      <c r="H18" s="814" t="n">
        <v>1885.34</v>
      </c>
      <c r="I18" s="805" t="n">
        <v>2142.07</v>
      </c>
      <c r="J18" s="814" t="n">
        <v>2401.75</v>
      </c>
      <c r="K18" s="814" t="n">
        <v>2635.31</v>
      </c>
      <c r="L18" s="814" t="n">
        <v>2744.84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11.44</v>
      </c>
      <c r="E19" s="815" t="n">
        <v>6.47</v>
      </c>
      <c r="F19" s="815" t="n">
        <v>-0.41</v>
      </c>
      <c r="G19" s="815" t="n">
        <v>2.53</v>
      </c>
      <c r="H19" s="815" t="n">
        <v>7.97</v>
      </c>
      <c r="I19" s="795" t="n">
        <v>12</v>
      </c>
      <c r="J19" s="815" t="n">
        <v>15.72</v>
      </c>
      <c r="K19" s="815" t="n">
        <v>19.07</v>
      </c>
      <c r="L19" s="815" t="n">
        <v>21.11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1.54</v>
      </c>
      <c r="E20" s="816" t="n">
        <v>0.32</v>
      </c>
      <c r="F20" s="816" t="n">
        <v>0.98</v>
      </c>
      <c r="G20" s="816" t="n">
        <v>1.11</v>
      </c>
      <c r="H20" s="816" t="n">
        <v>1.36</v>
      </c>
      <c r="I20" s="800" t="n">
        <v>1.55</v>
      </c>
      <c r="J20" s="816" t="n">
        <v>1.74</v>
      </c>
      <c r="K20" s="816" t="n">
        <v>1.94</v>
      </c>
      <c r="L20" s="816" t="n">
        <v>2.06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10801.74</v>
      </c>
      <c r="E21" s="814" t="n">
        <v>2566.37</v>
      </c>
      <c r="F21" s="814" t="n">
        <v>6940.88</v>
      </c>
      <c r="G21" s="814" t="n">
        <v>7640.65</v>
      </c>
      <c r="H21" s="814" t="n">
        <v>8925.08</v>
      </c>
      <c r="I21" s="805" t="n">
        <v>10579.72</v>
      </c>
      <c r="J21" s="814" t="n">
        <v>12524.67</v>
      </c>
      <c r="K21" s="814" t="n">
        <v>14264.99</v>
      </c>
      <c r="L21" s="814" t="n">
        <v>15366.25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13.6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50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74.90000000000001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5.5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7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1770.7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1930.1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2104.1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1.542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10579.7</v>
      </c>
      <c r="H34" s="483" t="n"/>
      <c r="I34" s="475" t="n"/>
    </row>
    <row r="37">
      <c r="B37" s="559" t="inlineStr">
        <is>
          <t>IV. NDP (чистые распределяемые поступления) DISTRIBUTION HISTOGRAM (5 000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528 − 956</t>
        </is>
      </c>
      <c r="D39" s="475" t="n"/>
      <c r="E39" s="432" t="n">
        <v>45</v>
      </c>
      <c r="F39" s="815" t="n">
        <v>0.9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956 − 1384</t>
        </is>
      </c>
      <c r="D40" s="475" t="n"/>
      <c r="E40" s="432" t="n">
        <v>458</v>
      </c>
      <c r="F40" s="815" t="n">
        <v>9.199999999999999</v>
      </c>
      <c r="G40" s="576" t="inlineStr">
        <is>
          <t>█████████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1384 − 1812</t>
        </is>
      </c>
      <c r="D41" s="475" t="n"/>
      <c r="E41" s="432" t="n">
        <v>1120</v>
      </c>
      <c r="F41" s="815" t="n">
        <v>22.4</v>
      </c>
      <c r="G41" s="576" t="inlineStr">
        <is>
          <t>██████████████████████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1812 − 2240</t>
        </is>
      </c>
      <c r="D42" s="475" t="n"/>
      <c r="E42" s="432" t="n">
        <v>1474</v>
      </c>
      <c r="F42" s="815" t="n">
        <v>29.5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2240 − 2668</t>
        </is>
      </c>
      <c r="D43" s="475" t="n"/>
      <c r="E43" s="433" t="n">
        <v>1107</v>
      </c>
      <c r="F43" s="795" t="n">
        <v>22.1</v>
      </c>
      <c r="G43" s="604" t="inlineStr">
        <is>
          <t>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2668 − 3096</t>
        </is>
      </c>
      <c r="D44" s="475" t="n"/>
      <c r="E44" s="432" t="n">
        <v>522</v>
      </c>
      <c r="F44" s="815" t="n">
        <v>10.4</v>
      </c>
      <c r="G44" s="576" t="inlineStr">
        <is>
          <t>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3096 − 3524</t>
        </is>
      </c>
      <c r="D45" s="475" t="n"/>
      <c r="E45" s="432" t="n">
        <v>200</v>
      </c>
      <c r="F45" s="815" t="n">
        <v>4</v>
      </c>
      <c r="G45" s="576" t="inlineStr">
        <is>
          <t>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3524 − 3952</t>
        </is>
      </c>
      <c r="D46" s="475" t="n"/>
      <c r="E46" s="432" t="n">
        <v>58</v>
      </c>
      <c r="F46" s="815" t="n">
        <v>1.2</v>
      </c>
      <c r="G46" s="576" t="inlineStr">
        <is>
          <t>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3952 − 4380</t>
        </is>
      </c>
      <c r="D47" s="475" t="n"/>
      <c r="E47" s="432" t="n">
        <v>11</v>
      </c>
      <c r="F47" s="815" t="n">
        <v>0.2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4380 − 4808</t>
        </is>
      </c>
      <c r="D48" s="475" t="n"/>
      <c r="E48" s="432" t="n">
        <v>5</v>
      </c>
      <c r="F48" s="815" t="n">
        <v>0.1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8.9×)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B87:N87"/>
    <mergeCell ref="D23:N23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62 пункта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12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v1.0.1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v1.0.1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(62 пункта)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2026-04-14T06:04:35Z</dcterms:modified>
  <cp:lastModifiedBy>TrendStudio</cp:lastModifiedBy>
  <cp:keywords>investor, financial model, pre-IPO, cinema</cp:keywords>
</cp:coreProperties>
</file>