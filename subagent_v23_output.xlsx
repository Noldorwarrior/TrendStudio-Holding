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nL" sheetId="1" state="visible" r:id="rId1"/>
    <sheet xmlns:r="http://schemas.openxmlformats.org/officeDocument/2006/relationships" name="Расходы" sheetId="2" state="visible" r:id="rId2"/>
    <sheet xmlns:r="http://schemas.openxmlformats.org/officeDocument/2006/relationships" name="Доходы" sheetId="3" state="visible" r:id="rId3"/>
    <sheet xmlns:r="http://schemas.openxmlformats.org/officeDocument/2006/relationships" name="модел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charset val="204"/>
      <family val="2"/>
      <color theme="1"/>
      <sz val="12"/>
      <scheme val="minor"/>
    </font>
    <font>
      <name val="Calibri"/>
      <charset val="204"/>
      <family val="2"/>
      <color theme="1"/>
      <sz val="12"/>
      <scheme val="minor"/>
    </font>
    <font>
      <name val="Calibri"/>
      <charset val="204"/>
      <family val="2"/>
      <strike val="0"/>
      <color theme="1"/>
      <sz val="12"/>
      <scheme val="minor"/>
    </font>
    <font>
      <name val="quote-cjk-patch"/>
      <strike val="0"/>
      <color theme="1"/>
      <sz val="12"/>
    </font>
    <font>
      <name val="Helvetica Neue"/>
      <family val="2"/>
      <strike val="0"/>
      <color theme="0"/>
      <sz val="18"/>
    </font>
    <font>
      <name val="Helvetica Neue"/>
      <family val="2"/>
      <strike val="0"/>
      <color theme="1"/>
      <sz val="16"/>
    </font>
    <font>
      <name val="Helvetica Neue"/>
      <family val="2"/>
      <strike val="0"/>
      <color theme="1"/>
      <sz val="14"/>
    </font>
    <font>
      <name val="Helvetica Neue"/>
      <family val="2"/>
      <strike val="0"/>
      <color theme="4" tint="-0.25"/>
      <sz val="14"/>
    </font>
    <font>
      <name val="Calibri"/>
      <charset val="204"/>
      <family val="2"/>
      <strike val="0"/>
      <color theme="1"/>
      <sz val="14"/>
      <scheme val="minor"/>
    </font>
    <font>
      <name val="Arial"/>
      <family val="2"/>
      <strike val="0"/>
      <color theme="1"/>
      <sz val="12"/>
    </font>
    <font>
      <name val="Arial"/>
      <family val="2"/>
      <strike val="0"/>
      <color theme="1"/>
      <sz val="14"/>
    </font>
    <font>
      <name val="Helvetica Neue"/>
      <family val="2"/>
      <strike val="0"/>
      <color theme="1"/>
      <sz val="13.5"/>
    </font>
  </fonts>
  <fills count="2">
    <fill>
      <patternFill/>
    </fill>
    <fill>
      <patternFill patternType="gray125"/>
    </fill>
  </fills>
  <borders count="51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</border>
    <border>
      <right style="thin"/>
      <top style="thin"/>
    </border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bottom style="hair"/>
    </border>
    <border>
      <left style="hair"/>
      <right style="hair"/>
      <top style="hair"/>
      <bottom style="hair"/>
    </border>
    <border>
      <right style="hair"/>
      <top style="hair"/>
      <bottom style="hair"/>
    </border>
    <border>
      <right style="hair"/>
      <bottom style="hair"/>
    </border>
    <border>
      <left style="hair"/>
      <right style="hair"/>
      <top style="hair"/>
    </border>
    <border>
      <right style="hair"/>
      <top style="hair"/>
    </border>
    <border>
      <right style="hair"/>
    </border>
    <border>
      <left style="hair"/>
      <bottom style="hair"/>
    </border>
    <border>
      <right style="thin"/>
      <top style="hair"/>
    </border>
    <border>
      <left style="thin"/>
      <right style="thin"/>
      <top style="thin"/>
    </border>
    <border>
      <left style="hair"/>
      <right style="thin"/>
      <top style="hair"/>
      <bottom style="hair"/>
    </border>
    <border>
      <left style="thin"/>
      <right style="thin"/>
      <top style="hair"/>
      <bottom style="hair"/>
    </border>
    <border>
      <left style="thin"/>
      <right style="hair"/>
      <top style="hair"/>
      <bottom style="hair"/>
    </border>
    <border>
      <left style="hair"/>
      <right style="thin"/>
    </border>
    <border>
      <left style="thin"/>
      <right style="thin"/>
    </border>
    <border>
      <left style="hair"/>
      <top style="hair"/>
      <bottom style="hair"/>
    </border>
    <border>
      <left style="thin"/>
      <right style="thin"/>
      <top style="hair"/>
      <bottom style="thin"/>
    </border>
    <border>
      <right style="thin"/>
      <top style="thin"/>
      <bottom style="thin"/>
    </border>
    <border>
      <left style="thin"/>
      <right style="hair"/>
      <top style="hair"/>
    </border>
    <border>
      <left style="hair"/>
      <right style="hair"/>
      <bottom style="hair"/>
    </border>
    <border>
      <left style="hair"/>
      <right style="hair"/>
    </border>
    <border>
      <left style="hair"/>
      <top style="hair"/>
      <bottom style="thin"/>
    </border>
    <border>
      <left style="hair"/>
      <right style="thin"/>
      <bottom style="hair"/>
    </border>
    <border>
      <top style="hair"/>
      <bottom style="hair"/>
    </border>
    <border>
      <left style="hair"/>
    </border>
    <border>
      <left style="hair"/>
      <top style="hair"/>
    </border>
    <border>
      <left style="dashed"/>
    </border>
    <border>
      <left style="hair"/>
      <right style="dashed"/>
    </border>
    <border>
      <left style="hair"/>
      <right style="dashed"/>
      <bottom style="hair"/>
    </border>
    <border>
      <top style="hair"/>
    </border>
    <border>
      <left/>
      <right style="hair"/>
      <top/>
      <bottom/>
      <diagonal/>
    </border>
    <border>
      <left/>
      <right style="thin"/>
      <top style="thin"/>
      <bottom style="thin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/>
      <top/>
      <bottom style="hair"/>
      <diagonal/>
    </border>
  </borders>
  <cellStyleXfs count="1">
    <xf numFmtId="0" fontId="1" fillId="0" borderId="0"/>
  </cellStyleXfs>
  <cellXfs count="118">
    <xf numFmtId="0" fontId="0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pivotButton="0" quotePrefix="0" xfId="0"/>
    <xf numFmtId="0" fontId="2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wrapText="1"/>
    </xf>
    <xf numFmtId="4" fontId="2" fillId="0" borderId="1" applyAlignment="1" pivotButton="0" quotePrefix="0" xfId="0">
      <alignment wrapText="1"/>
    </xf>
    <xf numFmtId="0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center"/>
    </xf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2" fillId="0" borderId="1" applyAlignment="1" pivotButton="0" quotePrefix="0" xfId="0">
      <alignment horizontal="left"/>
    </xf>
    <xf numFmtId="0" fontId="2" fillId="0" borderId="1" pivotButton="0" quotePrefix="0" xfId="0"/>
    <xf numFmtId="0" fontId="3" fillId="0" borderId="1" applyAlignment="1" pivotButton="0" quotePrefix="0" xfId="0">
      <alignment horizontal="left"/>
    </xf>
    <xf numFmtId="3" fontId="2" fillId="0" borderId="1" pivotButton="0" quotePrefix="0" xfId="0"/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3" fontId="2" fillId="0" borderId="1" applyAlignment="1" pivotButton="0" quotePrefix="0" xfId="0">
      <alignment wrapText="1"/>
    </xf>
    <xf numFmtId="0" fontId="4" fillId="0" borderId="16" applyAlignment="1" pivotButton="0" quotePrefix="0" xfId="0">
      <alignment horizontal="center" vertical="center"/>
    </xf>
    <xf numFmtId="0" fontId="0" fillId="0" borderId="50" pivotButton="0" quotePrefix="0" xfId="0"/>
    <xf numFmtId="0" fontId="2" fillId="0" borderId="0" applyAlignment="1" pivotButton="0" quotePrefix="0" xfId="0">
      <alignment vertical="center"/>
    </xf>
    <xf numFmtId="0" fontId="5" fillId="0" borderId="17" applyAlignment="1" pivotButton="0" quotePrefix="0" xfId="0">
      <alignment horizontal="center"/>
    </xf>
    <xf numFmtId="0" fontId="5" fillId="0" borderId="17" applyAlignment="1" pivotButton="0" quotePrefix="0" xfId="0">
      <alignment horizontal="left" vertical="center"/>
    </xf>
    <xf numFmtId="0" fontId="5" fillId="0" borderId="17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 wrapText="1"/>
    </xf>
    <xf numFmtId="49" fontId="2" fillId="0" borderId="0" applyAlignment="1" pivotButton="0" quotePrefix="0" xfId="0">
      <alignment horizontal="center"/>
    </xf>
    <xf numFmtId="0" fontId="6" fillId="0" borderId="17" applyAlignment="1" pivotButton="0" quotePrefix="0" xfId="0">
      <alignment horizontal="left" vertical="center"/>
    </xf>
    <xf numFmtId="3" fontId="6" fillId="0" borderId="18" applyAlignment="1" pivotButton="0" quotePrefix="0" xfId="0">
      <alignment horizontal="center" vertical="center"/>
    </xf>
    <xf numFmtId="0" fontId="6" fillId="0" borderId="17" applyAlignment="1" pivotButton="0" quotePrefix="0" xfId="0">
      <alignment horizontal="left" vertical="center" wrapText="1"/>
    </xf>
    <xf numFmtId="10" fontId="2" fillId="0" borderId="17" applyAlignment="1" pivotButton="0" quotePrefix="0" xfId="0">
      <alignment vertical="center" wrapText="1"/>
    </xf>
    <xf numFmtId="0" fontId="2" fillId="0" borderId="0" applyAlignment="1" pivotButton="0" quotePrefix="0" xfId="0">
      <alignment horizontal="center"/>
    </xf>
    <xf numFmtId="0" fontId="6" fillId="0" borderId="19" applyAlignment="1" pivotButton="0" quotePrefix="0" xfId="0">
      <alignment horizontal="left" vertical="center" wrapText="1"/>
    </xf>
    <xf numFmtId="0" fontId="6" fillId="0" borderId="18" applyAlignment="1" pivotButton="0" quotePrefix="0" xfId="0">
      <alignment horizontal="left" vertical="center" wrapText="1"/>
    </xf>
    <xf numFmtId="0" fontId="6" fillId="0" borderId="20" applyAlignment="1" pivotButton="0" quotePrefix="0" xfId="0">
      <alignment horizontal="left" vertical="center"/>
    </xf>
    <xf numFmtId="3" fontId="6" fillId="0" borderId="21" applyAlignment="1" pivotButton="0" quotePrefix="0" xfId="0">
      <alignment horizontal="center" vertical="center"/>
    </xf>
    <xf numFmtId="0" fontId="6" fillId="0" borderId="20" applyAlignment="1" pivotButton="0" quotePrefix="0" xfId="0">
      <alignment horizontal="left" vertical="center" wrapText="1"/>
    </xf>
    <xf numFmtId="0" fontId="6" fillId="0" borderId="21" applyAlignment="1" pivotButton="0" quotePrefix="0" xfId="0">
      <alignment horizontal="left" vertical="center" wrapText="1"/>
    </xf>
    <xf numFmtId="3" fontId="7" fillId="0" borderId="2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3" fontId="7" fillId="0" borderId="18" applyAlignment="1" pivotButton="0" quotePrefix="0" xfId="0">
      <alignment horizontal="center" vertical="center"/>
    </xf>
    <xf numFmtId="3" fontId="2" fillId="0" borderId="17" applyAlignment="1" pivotButton="0" quotePrefix="0" xfId="0">
      <alignment vertical="center" wrapText="1"/>
    </xf>
    <xf numFmtId="0" fontId="6" fillId="0" borderId="21" applyAlignment="1" pivotButton="0" quotePrefix="0" xfId="0">
      <alignment horizontal="center" vertical="center" wrapText="1"/>
    </xf>
    <xf numFmtId="0" fontId="8" fillId="0" borderId="18" applyAlignment="1" pivotButton="0" quotePrefix="0" xfId="0">
      <alignment vertical="center" wrapText="1"/>
    </xf>
    <xf numFmtId="0" fontId="4" fillId="0" borderId="22" applyAlignment="1" pivotButton="0" quotePrefix="0" xfId="0">
      <alignment horizontal="center" vertical="center"/>
    </xf>
    <xf numFmtId="0" fontId="0" fillId="0" borderId="46" pivotButton="0" quotePrefix="0" xfId="0"/>
    <xf numFmtId="0" fontId="5" fillId="0" borderId="23" applyAlignment="1" pivotButton="0" quotePrefix="0" xfId="0">
      <alignment horizontal="left" vertical="center"/>
    </xf>
    <xf numFmtId="0" fontId="5" fillId="0" borderId="23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5" fillId="0" borderId="24" applyAlignment="1" pivotButton="0" quotePrefix="0" xfId="0">
      <alignment horizontal="left" vertical="center"/>
    </xf>
    <xf numFmtId="0" fontId="5" fillId="0" borderId="25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9" fontId="6" fillId="0" borderId="27" applyAlignment="1" pivotButton="0" quotePrefix="0" xfId="0">
      <alignment horizontal="center" vertical="center"/>
    </xf>
    <xf numFmtId="3" fontId="6" fillId="0" borderId="28" applyAlignment="1" pivotButton="0" quotePrefix="0" xfId="0">
      <alignment horizontal="center" vertical="center"/>
    </xf>
    <xf numFmtId="3" fontId="6" fillId="0" borderId="17" applyAlignment="1" pivotButton="0" quotePrefix="0" xfId="0">
      <alignment horizontal="center" vertical="center"/>
    </xf>
    <xf numFmtId="0" fontId="6" fillId="0" borderId="29" applyAlignment="1" pivotButton="0" quotePrefix="0" xfId="0">
      <alignment horizontal="left" vertical="center"/>
    </xf>
    <xf numFmtId="9" fontId="6" fillId="0" borderId="30" applyAlignment="1" pivotButton="0" quotePrefix="0" xfId="0">
      <alignment horizontal="center" vertical="center"/>
    </xf>
    <xf numFmtId="0" fontId="6" fillId="0" borderId="31" applyAlignment="1" pivotButton="0" quotePrefix="0" xfId="0">
      <alignment horizontal="left" vertical="center"/>
    </xf>
    <xf numFmtId="9" fontId="6" fillId="0" borderId="32" applyAlignment="1" pivotButton="0" quotePrefix="0" xfId="0">
      <alignment horizontal="center" vertical="center"/>
    </xf>
    <xf numFmtId="0" fontId="5" fillId="0" borderId="26" applyAlignment="1" pivotButton="0" quotePrefix="0" xfId="0">
      <alignment horizontal="center"/>
    </xf>
    <xf numFmtId="0" fontId="9" fillId="0" borderId="1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0" fillId="0" borderId="47" pivotButton="0" quotePrefix="0" xfId="0"/>
    <xf numFmtId="0" fontId="2" fillId="0" borderId="34" applyAlignment="1" pivotButton="0" quotePrefix="0" xfId="0">
      <alignment vertical="center" wrapText="1"/>
    </xf>
    <xf numFmtId="0" fontId="10" fillId="0" borderId="1" applyAlignment="1" pivotButton="0" quotePrefix="0" xfId="0">
      <alignment horizontal="center" vertical="center" wrapText="1"/>
    </xf>
    <xf numFmtId="0" fontId="5" fillId="0" borderId="35" pivotButton="0" quotePrefix="0" xfId="0"/>
    <xf numFmtId="0" fontId="8" fillId="0" borderId="36" applyAlignment="1" pivotButton="0" quotePrefix="0" xfId="0">
      <alignment horizontal="center"/>
    </xf>
    <xf numFmtId="0" fontId="2" fillId="0" borderId="22" pivotButton="0" quotePrefix="0" xfId="0"/>
    <xf numFmtId="0" fontId="2" fillId="0" borderId="20" applyAlignment="1" pivotButton="0" quotePrefix="0" xfId="0">
      <alignment vertical="center" wrapText="1"/>
    </xf>
    <xf numFmtId="0" fontId="2" fillId="0" borderId="17" applyAlignment="1" pivotButton="0" quotePrefix="0" xfId="0">
      <alignment horizontal="center"/>
    </xf>
    <xf numFmtId="0" fontId="5" fillId="0" borderId="37" applyAlignment="1" pivotButton="0" quotePrefix="0" xfId="0">
      <alignment wrapText="1"/>
    </xf>
    <xf numFmtId="3" fontId="8" fillId="0" borderId="20" applyAlignment="1" pivotButton="0" quotePrefix="0" xfId="0">
      <alignment horizontal="left"/>
    </xf>
    <xf numFmtId="0" fontId="0" fillId="0" borderId="49" pivotButton="0" quotePrefix="0" xfId="0"/>
    <xf numFmtId="0" fontId="2" fillId="0" borderId="38" applyAlignment="1" pivotButton="0" quotePrefix="0" xfId="0">
      <alignment horizontal="center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2" fillId="0" borderId="39" applyAlignment="1" pivotButton="0" quotePrefix="0" xfId="0">
      <alignment horizontal="center"/>
    </xf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3" fontId="5" fillId="0" borderId="22" applyAlignment="1" pivotButton="0" quotePrefix="0" xfId="0">
      <alignment horizontal="center" vertical="center"/>
    </xf>
    <xf numFmtId="0" fontId="2" fillId="0" borderId="21" applyAlignment="1" pivotButton="0" quotePrefix="0" xfId="0">
      <alignment vertical="center" wrapText="1"/>
    </xf>
    <xf numFmtId="3" fontId="2" fillId="0" borderId="20" applyAlignment="1" pivotButton="0" quotePrefix="0" xfId="0">
      <alignment vertical="center" wrapText="1"/>
    </xf>
    <xf numFmtId="4" fontId="2" fillId="0" borderId="0" applyAlignment="1" pivotButton="0" quotePrefix="0" xfId="0">
      <alignment vertical="center"/>
    </xf>
    <xf numFmtId="3" fontId="2" fillId="0" borderId="20" applyAlignment="1" pivotButton="0" quotePrefix="0" xfId="0">
      <alignment horizontal="right" vertical="center" wrapText="1"/>
    </xf>
    <xf numFmtId="0" fontId="5" fillId="0" borderId="40" applyAlignment="1" pivotButton="0" quotePrefix="0" xfId="0">
      <alignment horizontal="left" vertical="center"/>
    </xf>
    <xf numFmtId="9" fontId="5" fillId="0" borderId="40" applyAlignment="1" pivotButton="0" quotePrefix="0" xfId="0">
      <alignment horizontal="center" vertical="center"/>
    </xf>
    <xf numFmtId="9" fontId="5" fillId="0" borderId="41" applyAlignment="1" pivotButton="0" quotePrefix="0" xfId="0">
      <alignment horizontal="center" vertical="center"/>
    </xf>
    <xf numFmtId="3" fontId="5" fillId="0" borderId="21" applyAlignment="1" pivotButton="0" quotePrefix="0" xfId="0">
      <alignment horizontal="center" vertical="center"/>
    </xf>
    <xf numFmtId="0" fontId="2" fillId="0" borderId="31" applyAlignment="1" pivotButton="0" quotePrefix="0" xfId="0">
      <alignment vertical="center"/>
    </xf>
    <xf numFmtId="0" fontId="2" fillId="0" borderId="17" applyAlignment="1" pivotButton="0" quotePrefix="0" xfId="0">
      <alignment horizontal="left" vertical="center"/>
    </xf>
    <xf numFmtId="3" fontId="5" fillId="0" borderId="18" applyAlignment="1" pivotButton="0" quotePrefix="0" xfId="0">
      <alignment horizontal="left" vertical="center"/>
    </xf>
    <xf numFmtId="0" fontId="5" fillId="0" borderId="23" applyAlignment="1" pivotButton="0" quotePrefix="0" xfId="0">
      <alignment vertical="center"/>
    </xf>
    <xf numFmtId="0" fontId="2" fillId="0" borderId="35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42" applyAlignment="1" pivotButton="0" quotePrefix="0" xfId="0">
      <alignment vertical="center"/>
    </xf>
    <xf numFmtId="0" fontId="2" fillId="0" borderId="20" applyAlignment="1" pivotButton="0" quotePrefix="0" xfId="0">
      <alignment horizontal="left" vertical="center"/>
    </xf>
    <xf numFmtId="0" fontId="5" fillId="0" borderId="20" applyAlignment="1" pivotButton="0" quotePrefix="0" xfId="0">
      <alignment vertical="center"/>
    </xf>
    <xf numFmtId="0" fontId="5" fillId="0" borderId="21" applyAlignment="1" pivotButton="0" quotePrefix="0" xfId="0">
      <alignment horizontal="left" vertical="center"/>
    </xf>
    <xf numFmtId="0" fontId="2" fillId="0" borderId="17" applyAlignment="1" pivotButton="0" quotePrefix="0" xfId="0">
      <alignment vertical="center"/>
    </xf>
    <xf numFmtId="0" fontId="2" fillId="0" borderId="36" applyAlignment="1" pivotButton="0" quotePrefix="0" xfId="0">
      <alignment horizontal="left" vertical="center"/>
    </xf>
    <xf numFmtId="0" fontId="2" fillId="0" borderId="22" applyAlignment="1" pivotButton="0" quotePrefix="0" xfId="0">
      <alignment vertical="center"/>
    </xf>
    <xf numFmtId="0" fontId="11" fillId="0" borderId="42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5" fillId="0" borderId="42" pivotButton="0" quotePrefix="0" xfId="0"/>
    <xf numFmtId="0" fontId="2" fillId="0" borderId="36" applyAlignment="1" pivotButton="0" quotePrefix="0" xfId="0">
      <alignment horizontal="left"/>
    </xf>
    <xf numFmtId="0" fontId="2" fillId="0" borderId="43" applyAlignment="1" pivotButton="0" quotePrefix="0" xfId="0">
      <alignment horizontal="left"/>
    </xf>
    <xf numFmtId="0" fontId="5" fillId="0" borderId="17" pivotButton="0" quotePrefix="0" xfId="0"/>
    <xf numFmtId="0" fontId="2" fillId="0" borderId="44" applyAlignment="1" pivotButton="0" quotePrefix="0" xfId="0">
      <alignment horizontal="left"/>
    </xf>
    <xf numFmtId="0" fontId="2" fillId="0" borderId="19" pivotButton="0" quotePrefix="0" xfId="0"/>
    <xf numFmtId="0" fontId="2" fillId="0" borderId="45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3" fontId="6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cols>
    <col width="191.88" customWidth="1" min="1" max="1"/>
    <col width="12.7" customWidth="1" min="2" max="2"/>
    <col width="13.81" customWidth="1" min="3" max="3"/>
  </cols>
  <sheetData>
    <row r="1" ht="40.5" customHeight="1">
      <c r="A1" s="1" t="inlineStr">
        <is>
          <t>Мы имеем интегральную модель: производственные инвестиции 1250 млн руб., операционные расходы 88,505 млн руб. в год (22,12625 млн руб. в квартал). Доходы начинаются с 5-го квартала (после завершения производства), они могут быть распределены по кварталам.
Нужно: окупаемость за 2 года (8 кварталов) и на 3-й год заработать еще 2 млрд руб. (сверх окупаемости). То есть к концу 3-го года (12 кварталов) чистый накопленный доход должен быть +2000 млн руб.
имеется в виду чистая прибыль (или кумулятивный поток) на конец третьего года должна быть на 2 млрд больше, чем нулевая точка окупаемости. Поскольку окупаемость за 2 года – это к концу 8 кварталов кумулятивный поток = 0. И к концу 12 кварталов он должен стать +2000 млн руб.
необходимые ежеквартальные доходы, которые обеспечат такой график.</t>
        </is>
      </c>
      <c r="B1" s="2" t="n"/>
      <c r="C1" s="2" t="n"/>
      <c r="D1" s="2" t="n"/>
      <c r="E1" s="2" t="n"/>
      <c r="F1" s="2" t="n"/>
      <c r="G1" s="2" t="n"/>
      <c r="H1" s="2" t="n"/>
    </row>
    <row r="2" ht="15" customHeight="1">
      <c r="B2" s="2" t="n"/>
      <c r="C2" s="2" t="n"/>
      <c r="D2" s="2" t="n"/>
      <c r="E2" s="2" t="n"/>
      <c r="F2" s="2" t="n"/>
      <c r="G2" s="2" t="n"/>
      <c r="H2" s="2" t="n"/>
    </row>
    <row r="3" ht="15" customHeight="1">
      <c r="B3" s="2" t="n"/>
      <c r="C3" s="2" t="n"/>
      <c r="D3" s="2" t="n"/>
      <c r="E3" s="2" t="n"/>
      <c r="F3" s="2" t="n"/>
      <c r="G3" s="2" t="n"/>
      <c r="H3" s="2" t="n"/>
    </row>
    <row r="4" ht="15" customHeight="1">
      <c r="B4" s="2" t="n"/>
      <c r="C4" s="2" t="n"/>
      <c r="D4" s="2" t="n"/>
      <c r="E4" s="2" t="n"/>
      <c r="F4" s="2" t="n"/>
      <c r="G4" s="2" t="n"/>
      <c r="H4" s="2" t="n"/>
    </row>
    <row r="5" ht="27.75" customHeight="1">
      <c r="A5" s="1" t="inlineStr">
        <is>
          <t>Примем:
	• Производственные инвестиции: 312,5 млн руб. в квартал в течение 4 кварталов (1-4).
	• Операционные расходы: 22,12625 млн руб. в квартал (постоянно, с 1 по 12 квартал).
	• Доходы начинаются с 5 квартала и идут по 12 квартал включительно (8 кварталов). Обозначим X – ежеквартальный доход (одинаковый для упрощения, но можно и неравномерный; для расчёта среднего достаточно).
Тогда кумулятивный чистый поток на конец 8 кварталов (2 года) должен быть равен 0.
На конец 8 кварталов:
	• Суммарные инвестиции в производство: 4 * 312,5 = 1250 млн руб.
	• Суммарные операционные расходы за 8 кварталов: 8 * 22,12625 = 177,01 млн руб.
	• Суммарные доходы за 5-8 кварталы: 4 * X (доходы поступают только 4 квартала к концу 2-го года).
Чистый поток = Доходы – Расходы (производственные + операционные) = 4X – (1250 + 177,01) = 0.
=&gt; 4X = 1427,01 =&gt; X = 356,7525 млн руб. в квартал.
Теперь проверим, что на конец 3-го года (12 кварталов) кумулятивный поток станет +2000 млн руб. (сверх окупаемости). К концу 12 кварталов:
	• Производственные инвестиции: 1250 млн руб. (уже учтены)
	• Операционные расходы за 12 кварталов: 12 * 22,12625 = 265,515 млн руб.
	• Доходы за 5-12 кварталы: 8 * X = 8 * 356,7525 = 2854,02 млн руб.
Чистый поток = 2854,02 – (1250 + 265,515) = 2854,02 – 1515,515 = 1338,505 млн руб.
Это не 2000, а 1338,5. Значит, если окупаемость ровно в конце 8 квартала, то к концу 12 квартала накопленный чистый поток будет около 1338,5 млн руб. Нам же нужно 2000 млн руб. на конец 12 квартала.
Значит, требуется либо увеличить ежеквартальные доходы (чтобы и к 8 кварталу был ноль, и к 12-му больше), либо перераспределить доходы (например, сделать их выше в последние кварталы). В модели с равномерными доходами можно подобрать X так, чтобы выполнялись оба условия одновременно? Невозможно, так как два условия: 4X – (1250+8*22,12625)=0 и 8X – (1250+12*22,12625)=2000. Эти уравнения несовместны. Поэтому нужно либо изменить форму доходов (например, не равномерные, а с нарастанием), либо пересмотреть условие окупаемости за 2 года как момент, когда кумулятивный поток становится положительным, а не точно ноль в конце 8 квартала. Однако в условии сказано «выйти на окупаемость за 2 года и на 3 год заработать еще 2 миллиарда рублей». Это может означать, что окупаемость (возврат инвестиций) достигается к концу 2-го года, а за третий год чистая прибыль составляет 2 млрд руб. (т.е. за период с 9 по 12 квартал чистый доход = 2000 млн руб.). Тогда это возможно.
Примем вторую интерпретацию: к концу 8 кварталов кумулятивный поток = 0 (окупаемость). За 3-й год (кварталы 9-12) чистый поток должен составить 2000 млн руб. То есть за 4 квартала 3-го года нужно получить 2000 млн руб. чистого дохода после вычета операционных расходов. Операционные расходы в год – 88,505 млн руб., за 4 квартала – 88,505 млн руб. (или ровно за год). Значит, за 3-й год доходы должны быть: 2000 + 88,505 = 2088,505 млн руб. Если доходы поступают равномерно по кварталам 3-го года, то ежеквартально это 522,12625 млн руб.
Но при этом в первые два года доходы были меньше, чтобы обеспечить окупаемость к концу 2-го года. Рассчитаем отдельно для 1-го и 2-го годов.
Сделаем более общий расчёт: пусть ежеквартальные доходы не обязательно равномерны, но для простоты разделим на два периода: первые два года (кварталы 5-8) – доход Y в квартал; третий год (кварталы 9-12) – доход Z в квартал. Нам нужно:
	1. К концу 8 квартала кумулятивный поток = 0.
	2. Чистый поток за 3-й год (9-12 кварталы) = 2000 млн руб. (чистый, т.е. доходы минус операционные расходы за эти 4 квартала).
Операционные расходы за 8 кварталов: 8 * 22,12625 = 177,01 млн руб.
Производственные инвестиции за 4 квартала: 1250 млн руб.
Доходы за кварталы 5-8: 4Y.
Уравнение окупаемости к концу 8 квартала:
4Y – (1250 + 177,01) = 0 =&gt; 4Y = 1427,01 =&gt; Y = 356,7525 млн руб.
Третий год:
Операционные расходы за 4 квартала: 4 * 22,12625 = 88,505 млн руб.
Доходы за 9-12 кварталы: 4Z.
Чистый поток за 3-й год: 4Z – 88,505 = 2000 =&gt; 4Z = 2088,505 =&gt; Z = 522,12625 млн руб.
Таким образом, чтобы окупиться за 2 года и заработать за 3-й год 2 млрд руб. чистыми, необходимо:
	• В течение первого года после производства (5-8 кварталы) получать ежеквартальные доходы около 356,75 млн руб.
	• В течение третьего года (9-12 кварталы) – ежеквартальные доходы около 522,13 млн руб.
Суммарные доходы за 3 года (8 кварталов поступлений) составят:
4*356,75 + 4*522,13 = 1427,01 + 2088,52 = 3515,53 млн руб.
Суммарные расходы (производство + операционные за 3 года): 1250 + 265,515 = 1515,515 млн руб.
Чистый результат: 3515,53 – 1515,515 = 2000,015 млн руб.</t>
        </is>
      </c>
      <c r="B5" s="2" t="n"/>
      <c r="C5" s="2" t="n"/>
      <c r="D5" s="2" t="n"/>
      <c r="E5" s="2" t="n"/>
      <c r="F5" s="2" t="n"/>
      <c r="G5" s="2" t="n"/>
      <c r="H5" s="2" t="n"/>
    </row>
    <row r="6" ht="15" customHeight="1">
      <c r="B6" s="2" t="n"/>
      <c r="C6" s="2" t="n"/>
      <c r="D6" s="2" t="n"/>
      <c r="E6" s="2" t="n"/>
      <c r="F6" s="2" t="n"/>
      <c r="G6" s="2" t="n"/>
      <c r="H6" s="2" t="n"/>
    </row>
    <row r="7" ht="15" customHeight="1">
      <c r="B7" s="2" t="n"/>
      <c r="C7" s="2" t="n"/>
      <c r="D7" s="2" t="n"/>
      <c r="E7" s="2" t="n"/>
      <c r="F7" s="2" t="n"/>
      <c r="G7" s="2" t="n"/>
      <c r="H7" s="2" t="n"/>
    </row>
    <row r="8" ht="15" customHeight="1">
      <c r="B8" s="2" t="n"/>
      <c r="C8" s="2" t="n"/>
      <c r="D8" s="2" t="n"/>
      <c r="E8" s="2" t="n"/>
      <c r="F8" s="2" t="n"/>
      <c r="G8" s="2" t="n"/>
      <c r="H8" s="2" t="n"/>
    </row>
    <row r="9" ht="15" customHeight="1">
      <c r="B9" s="2" t="n"/>
      <c r="C9" s="2" t="n"/>
      <c r="D9" s="2" t="n"/>
      <c r="E9" s="2" t="n"/>
      <c r="F9" s="2" t="n"/>
      <c r="G9" s="2" t="n"/>
      <c r="H9" s="2" t="n"/>
    </row>
    <row r="10" ht="15" customHeight="1">
      <c r="B10" s="2" t="n"/>
      <c r="C10" s="2" t="n"/>
      <c r="D10" s="2" t="n"/>
      <c r="E10" s="2" t="n"/>
      <c r="F10" s="2" t="n"/>
      <c r="G10" s="2" t="n"/>
      <c r="H10" s="2" t="n"/>
    </row>
    <row r="11" ht="15" customHeight="1">
      <c r="B11" s="2" t="n"/>
      <c r="C11" s="2" t="n"/>
      <c r="D11" s="2" t="n"/>
      <c r="E11" s="2" t="n"/>
      <c r="F11" s="2" t="n"/>
      <c r="G11" s="2" t="n"/>
      <c r="H11" s="2" t="n"/>
    </row>
    <row r="12" ht="15" customHeight="1">
      <c r="B12" s="2" t="n"/>
      <c r="C12" s="2" t="n"/>
      <c r="D12" s="2" t="n"/>
      <c r="E12" s="2" t="n"/>
      <c r="F12" s="2" t="n"/>
      <c r="G12" s="2" t="n"/>
      <c r="H12" s="2" t="n"/>
    </row>
    <row r="13" ht="15" customHeight="1">
      <c r="B13" s="2" t="n"/>
      <c r="C13" s="2" t="n"/>
      <c r="D13" s="2" t="n"/>
      <c r="E13" s="2" t="n"/>
      <c r="F13" s="2" t="n"/>
      <c r="G13" s="2" t="n"/>
      <c r="H13" s="2" t="n"/>
    </row>
    <row r="14" ht="15" customHeight="1">
      <c r="B14" s="2" t="n"/>
      <c r="C14" s="2" t="n"/>
      <c r="D14" s="2" t="n"/>
      <c r="E14" s="2" t="n"/>
      <c r="F14" s="2" t="n"/>
      <c r="G14" s="2" t="n"/>
      <c r="H14" s="2" t="n"/>
    </row>
    <row r="15" ht="15" customHeight="1">
      <c r="B15" s="2" t="n"/>
      <c r="C15" s="2" t="n"/>
      <c r="D15" s="2" t="n"/>
      <c r="E15" s="2" t="n"/>
      <c r="F15" s="2" t="n"/>
      <c r="G15" s="2" t="n"/>
      <c r="H15" s="2" t="n"/>
    </row>
    <row r="16" ht="15" customHeight="1">
      <c r="B16" s="2" t="n"/>
      <c r="C16" s="2" t="n"/>
      <c r="D16" s="2" t="n"/>
      <c r="E16" s="2" t="n"/>
      <c r="F16" s="2" t="n"/>
      <c r="G16" s="2" t="n"/>
      <c r="H16" s="2" t="n"/>
    </row>
    <row r="17" ht="15" customHeight="1">
      <c r="B17" s="2" t="n"/>
      <c r="C17" s="2" t="n"/>
      <c r="D17" s="2" t="n"/>
      <c r="E17" s="2" t="n"/>
      <c r="F17" s="2" t="n"/>
      <c r="G17" s="2" t="n"/>
      <c r="H17" s="2" t="n"/>
    </row>
    <row r="18" ht="15" customHeight="1">
      <c r="B18" s="2" t="n"/>
      <c r="C18" s="2" t="n"/>
      <c r="D18" s="2" t="n"/>
      <c r="E18" s="2" t="n"/>
      <c r="F18" s="2" t="n"/>
      <c r="G18" s="2" t="n"/>
      <c r="H18" s="2" t="n"/>
    </row>
    <row r="19" ht="15" customHeight="1">
      <c r="B19" s="2" t="n"/>
      <c r="C19" s="2" t="n"/>
      <c r="D19" s="2" t="n"/>
      <c r="E19" s="2" t="n"/>
      <c r="F19" s="2" t="n"/>
      <c r="G19" s="2" t="n"/>
      <c r="H19" s="2" t="n"/>
    </row>
    <row r="20" ht="15" customHeight="1">
      <c r="B20" s="2" t="n"/>
      <c r="C20" s="2" t="n"/>
      <c r="D20" s="2" t="n"/>
      <c r="E20" s="2" t="n"/>
      <c r="F20" s="2" t="n"/>
      <c r="G20" s="2" t="n"/>
      <c r="H20" s="2" t="n"/>
    </row>
    <row r="21" ht="15" customHeight="1">
      <c r="B21" s="2" t="n"/>
      <c r="C21" s="2" t="n"/>
      <c r="D21" s="2" t="n"/>
      <c r="E21" s="2" t="n"/>
      <c r="F21" s="2" t="n"/>
      <c r="G21" s="2" t="n"/>
      <c r="H21" s="2" t="n"/>
    </row>
    <row r="22" ht="15" customHeight="1">
      <c r="B22" s="2" t="n"/>
      <c r="C22" s="2" t="n"/>
      <c r="D22" s="2" t="n"/>
      <c r="E22" s="2" t="n"/>
      <c r="F22" s="2" t="n"/>
      <c r="G22" s="2" t="n"/>
      <c r="H22" s="2" t="n"/>
    </row>
    <row r="23" ht="15" customHeight="1">
      <c r="B23" s="2" t="n"/>
      <c r="C23" s="2" t="n"/>
      <c r="D23" s="2" t="n"/>
      <c r="E23" s="2" t="n"/>
      <c r="F23" s="2" t="n"/>
      <c r="G23" s="2" t="n"/>
      <c r="H23" s="2" t="n"/>
    </row>
    <row r="24" ht="15" customHeight="1">
      <c r="B24" s="2" t="n"/>
      <c r="C24" s="2" t="n"/>
      <c r="D24" s="2" t="n"/>
      <c r="E24" s="2" t="n"/>
      <c r="F24" s="2" t="n"/>
      <c r="G24" s="2" t="n"/>
      <c r="H24" s="2" t="n"/>
    </row>
    <row r="25" ht="15" customHeight="1">
      <c r="B25" s="2" t="n"/>
      <c r="C25" s="2" t="n"/>
      <c r="D25" s="2" t="n"/>
      <c r="E25" s="2" t="n"/>
      <c r="F25" s="2" t="n"/>
      <c r="G25" s="2" t="n"/>
      <c r="H25" s="2" t="n"/>
    </row>
    <row r="26" ht="15" customHeight="1">
      <c r="B26" s="2" t="n"/>
      <c r="C26" s="2" t="n"/>
      <c r="D26" s="2" t="n"/>
      <c r="E26" s="2" t="n"/>
      <c r="F26" s="2" t="n"/>
      <c r="G26" s="2" t="n"/>
      <c r="H26" s="2" t="n"/>
    </row>
    <row r="27" ht="15" customHeight="1">
      <c r="B27" s="2" t="n"/>
      <c r="C27" s="2" t="n"/>
      <c r="D27" s="2" t="n"/>
      <c r="E27" s="2" t="n"/>
      <c r="F27" s="2" t="n"/>
      <c r="G27" s="2" t="n"/>
      <c r="H27" s="2" t="n"/>
    </row>
    <row r="28" ht="15" customHeight="1">
      <c r="B28" s="2" t="n"/>
      <c r="C28" s="2" t="n"/>
      <c r="D28" s="2" t="n"/>
      <c r="E28" s="2" t="n"/>
      <c r="F28" s="2" t="n"/>
      <c r="G28" s="2" t="n"/>
      <c r="H28" s="2" t="n"/>
    </row>
    <row r="29" ht="15" customHeight="1">
      <c r="B29" s="2" t="n"/>
      <c r="C29" s="2" t="n"/>
      <c r="D29" s="2" t="n"/>
      <c r="E29" s="2" t="n"/>
      <c r="F29" s="2" t="n"/>
      <c r="G29" s="2" t="n"/>
      <c r="H29" s="2" t="n"/>
    </row>
    <row r="30" ht="15" customHeight="1">
      <c r="B30" s="2" t="n"/>
      <c r="C30" s="2" t="n"/>
      <c r="D30" s="2" t="n"/>
      <c r="E30" s="2" t="n"/>
      <c r="F30" s="2" t="n"/>
      <c r="G30" s="2" t="n"/>
      <c r="H30" s="2" t="n"/>
    </row>
    <row r="31" ht="15" customHeight="1">
      <c r="B31" s="2" t="n"/>
      <c r="C31" s="2" t="n"/>
      <c r="D31" s="2" t="n"/>
      <c r="E31" s="2" t="n"/>
      <c r="F31" s="2" t="n"/>
      <c r="G31" s="2" t="n"/>
      <c r="H31" s="2" t="n"/>
    </row>
    <row r="32" ht="15" customHeight="1">
      <c r="B32" s="2" t="n"/>
      <c r="C32" s="2" t="n"/>
      <c r="D32" s="2" t="n"/>
      <c r="E32" s="2" t="n"/>
      <c r="F32" s="2" t="n"/>
      <c r="G32" s="2" t="n"/>
      <c r="H32" s="2" t="n"/>
    </row>
    <row r="33" ht="15" customHeight="1">
      <c r="B33" s="2" t="n"/>
      <c r="C33" s="2" t="n"/>
      <c r="D33" s="2" t="n"/>
      <c r="E33" s="2" t="n"/>
      <c r="F33" s="2" t="n"/>
      <c r="G33" s="2" t="n"/>
      <c r="H33" s="2" t="n"/>
    </row>
    <row r="34" ht="15" customHeight="1">
      <c r="B34" s="2" t="n"/>
      <c r="C34" s="2" t="n"/>
      <c r="D34" s="2" t="n"/>
      <c r="E34" s="2" t="n"/>
      <c r="F34" s="2" t="n"/>
      <c r="G34" s="2" t="n"/>
      <c r="H34" s="2" t="n"/>
    </row>
    <row r="35" ht="15" customHeight="1">
      <c r="B35" s="2" t="n"/>
      <c r="C35" s="2" t="n"/>
      <c r="D35" s="2" t="n"/>
      <c r="E35" s="2" t="n"/>
      <c r="F35" s="2" t="n"/>
      <c r="G35" s="2" t="n"/>
      <c r="H35" s="2" t="n"/>
    </row>
    <row r="36" ht="15" customHeight="1">
      <c r="B36" s="2" t="n"/>
      <c r="C36" s="2" t="n"/>
      <c r="D36" s="2" t="n"/>
      <c r="E36" s="2" t="n"/>
      <c r="F36" s="2" t="n"/>
      <c r="G36" s="2" t="n"/>
      <c r="H36" s="2" t="n"/>
    </row>
    <row r="37" ht="15" customHeight="1">
      <c r="B37" s="2" t="n"/>
      <c r="C37" s="2" t="n"/>
      <c r="D37" s="2" t="n"/>
      <c r="E37" s="2" t="n"/>
      <c r="F37" s="2" t="n"/>
      <c r="G37" s="2" t="n"/>
      <c r="H37" s="2" t="n"/>
    </row>
    <row r="38" ht="15" customHeight="1">
      <c r="B38" s="2" t="n"/>
      <c r="C38" s="2" t="n"/>
      <c r="D38" s="2" t="n"/>
      <c r="E38" s="2" t="n"/>
      <c r="F38" s="2" t="n"/>
      <c r="G38" s="2" t="n"/>
      <c r="H38" s="2" t="n"/>
    </row>
    <row r="39" ht="15" customHeight="1">
      <c r="B39" s="2" t="n"/>
      <c r="C39" s="2" t="n"/>
      <c r="D39" s="2" t="n"/>
      <c r="E39" s="2" t="n"/>
      <c r="F39" s="2" t="n"/>
      <c r="G39" s="2" t="n"/>
      <c r="H39" s="2" t="n"/>
    </row>
    <row r="40" ht="15" customHeight="1">
      <c r="B40" s="2" t="n"/>
      <c r="C40" s="2" t="n"/>
      <c r="D40" s="2" t="n"/>
      <c r="E40" s="2" t="n"/>
      <c r="F40" s="2" t="n"/>
      <c r="G40" s="2" t="n"/>
      <c r="H40" s="2" t="n"/>
    </row>
    <row r="41" ht="15" customHeight="1">
      <c r="B41" s="2" t="n"/>
      <c r="C41" s="2" t="n"/>
      <c r="D41" s="2" t="n"/>
      <c r="E41" s="2" t="n"/>
      <c r="F41" s="2" t="n"/>
      <c r="G41" s="2" t="n"/>
      <c r="H41" s="2" t="n"/>
    </row>
    <row r="42" ht="15" customHeight="1">
      <c r="B42" s="2" t="n"/>
      <c r="C42" s="2" t="n"/>
      <c r="D42" s="2" t="n"/>
      <c r="E42" s="2" t="n"/>
      <c r="F42" s="2" t="n"/>
      <c r="G42" s="2" t="n"/>
      <c r="H42" s="2" t="n"/>
    </row>
    <row r="43" ht="15" customHeight="1">
      <c r="B43" s="2" t="n"/>
      <c r="C43" s="2" t="n"/>
      <c r="D43" s="2" t="n"/>
      <c r="E43" s="2" t="n"/>
      <c r="F43" s="2" t="n"/>
      <c r="G43" s="2" t="n"/>
      <c r="H43" s="2" t="n"/>
    </row>
    <row r="44" ht="30" customHeight="1">
      <c r="A44" s="3" t="inlineStr">
        <is>
          <t>Квартал</t>
        </is>
      </c>
      <c r="B44" s="3" t="inlineStr">
        <is>
          <t>Производственные инв.</t>
        </is>
      </c>
      <c r="C44" s="3" t="inlineStr">
        <is>
          <t>Операционные расходы</t>
        </is>
      </c>
      <c r="D44" s="3" t="inlineStr">
        <is>
          <t>Доходы</t>
        </is>
      </c>
      <c r="E44" s="3" t="inlineStr">
        <is>
          <t>Чистый поток</t>
        </is>
      </c>
      <c r="F44" s="3" t="inlineStr">
        <is>
          <t>Кумулятивный поток</t>
        </is>
      </c>
      <c r="G44" s="2" t="n"/>
      <c r="H44" s="2" t="n"/>
    </row>
    <row r="45" ht="15" customHeight="1">
      <c r="A45" s="3" t="n">
        <v>1</v>
      </c>
      <c r="B45" s="4" t="n">
        <v>-312.5</v>
      </c>
      <c r="C45" s="4" t="n">
        <v>-22.12625</v>
      </c>
      <c r="D45" s="4" t="n">
        <v>0</v>
      </c>
      <c r="E45" s="4" t="n">
        <v>-334.62625</v>
      </c>
      <c r="F45" s="4" t="n">
        <v>-334.62625</v>
      </c>
      <c r="G45" s="2" t="n"/>
      <c r="H45" s="2" t="n"/>
    </row>
    <row r="46" ht="15" customHeight="1">
      <c r="A46" s="3" t="n">
        <v>2</v>
      </c>
      <c r="B46" s="4" t="n">
        <v>-312.5</v>
      </c>
      <c r="C46" s="4" t="n">
        <v>-22.12625</v>
      </c>
      <c r="D46" s="4" t="n">
        <v>0</v>
      </c>
      <c r="E46" s="4" t="n">
        <v>-334.62625</v>
      </c>
      <c r="F46" s="4" t="n">
        <v>-669.2525000000001</v>
      </c>
      <c r="G46" s="2" t="n"/>
      <c r="H46" s="2" t="n"/>
    </row>
    <row r="47" ht="15" customHeight="1">
      <c r="A47" s="3" t="n">
        <v>3</v>
      </c>
      <c r="B47" s="4" t="n">
        <v>-312.5</v>
      </c>
      <c r="C47" s="4" t="n">
        <v>-22.12625</v>
      </c>
      <c r="D47" s="4" t="n">
        <v>0</v>
      </c>
      <c r="E47" s="4" t="n">
        <v>-334.62625</v>
      </c>
      <c r="F47" s="5" t="n">
        <v>-1003.87875</v>
      </c>
      <c r="G47" s="2" t="n"/>
      <c r="H47" s="2" t="n"/>
    </row>
    <row r="48" ht="15" customHeight="1">
      <c r="A48" s="3" t="n">
        <v>4</v>
      </c>
      <c r="B48" s="4" t="n">
        <v>-312.5</v>
      </c>
      <c r="C48" s="4" t="n">
        <v>-22.12625</v>
      </c>
      <c r="D48" s="4" t="n">
        <v>0</v>
      </c>
      <c r="E48" s="4" t="n">
        <v>-334.62625</v>
      </c>
      <c r="F48" s="5" t="n">
        <v>-1338.505</v>
      </c>
      <c r="G48" s="2" t="n"/>
      <c r="H48" s="2" t="n"/>
    </row>
    <row r="49" ht="15" customHeight="1">
      <c r="A49" s="3" t="n">
        <v>5</v>
      </c>
      <c r="B49" s="4" t="n">
        <v>0</v>
      </c>
      <c r="C49" s="4" t="n">
        <v>-22.12625</v>
      </c>
      <c r="D49" s="4" t="n">
        <v>356.7525</v>
      </c>
      <c r="E49" s="4" t="n">
        <v>334.62625</v>
      </c>
      <c r="F49" s="5" t="n">
        <v>-1003.87875</v>
      </c>
      <c r="G49" s="2" t="n"/>
      <c r="H49" s="2" t="n"/>
    </row>
    <row r="50" ht="15" customHeight="1">
      <c r="A50" s="3" t="n">
        <v>6</v>
      </c>
      <c r="B50" s="4" t="n">
        <v>0</v>
      </c>
      <c r="C50" s="4" t="n">
        <v>-22.12625</v>
      </c>
      <c r="D50" s="4" t="n">
        <v>356.7525</v>
      </c>
      <c r="E50" s="4" t="n">
        <v>334.62625</v>
      </c>
      <c r="F50" s="4" t="n">
        <v>-669.2525000000001</v>
      </c>
      <c r="G50" s="2" t="n"/>
      <c r="H50" s="2" t="n"/>
    </row>
    <row r="51" ht="15" customHeight="1">
      <c r="A51" s="3" t="n">
        <v>7</v>
      </c>
      <c r="B51" s="4" t="n">
        <v>0</v>
      </c>
      <c r="C51" s="4" t="n">
        <v>-22.12625</v>
      </c>
      <c r="D51" s="4" t="n">
        <v>356.7525</v>
      </c>
      <c r="E51" s="4" t="n">
        <v>334.62625</v>
      </c>
      <c r="F51" s="4" t="n">
        <v>-334.62625</v>
      </c>
      <c r="G51" s="2" t="n"/>
      <c r="H51" s="2" t="n"/>
    </row>
    <row r="52" ht="15" customHeight="1">
      <c r="A52" s="3" t="n">
        <v>8</v>
      </c>
      <c r="B52" s="4" t="n">
        <v>0</v>
      </c>
      <c r="C52" s="4" t="n">
        <v>-22.12625</v>
      </c>
      <c r="D52" s="4" t="n">
        <v>356.7525</v>
      </c>
      <c r="E52" s="4" t="n">
        <v>334.62625</v>
      </c>
      <c r="F52" s="4" t="n">
        <v>0</v>
      </c>
      <c r="G52" s="2" t="n"/>
      <c r="H52" s="2" t="n"/>
    </row>
    <row r="53" ht="15" customHeight="1">
      <c r="A53" s="3" t="n">
        <v>9</v>
      </c>
      <c r="B53" s="4" t="n">
        <v>0</v>
      </c>
      <c r="C53" s="4" t="n">
        <v>-22.12625</v>
      </c>
      <c r="D53" s="4" t="n">
        <v>522.12625</v>
      </c>
      <c r="E53" s="4" t="n">
        <v>500</v>
      </c>
      <c r="F53" s="4" t="n">
        <v>500</v>
      </c>
      <c r="G53" s="2" t="n"/>
      <c r="H53" s="2" t="n"/>
    </row>
    <row r="54" ht="15" customHeight="1">
      <c r="A54" s="3" t="n">
        <v>10</v>
      </c>
      <c r="B54" s="4" t="n">
        <v>0</v>
      </c>
      <c r="C54" s="4" t="n">
        <v>-22.12625</v>
      </c>
      <c r="D54" s="4" t="n">
        <v>522.12625</v>
      </c>
      <c r="E54" s="4" t="n">
        <v>500</v>
      </c>
      <c r="F54" s="4" t="n">
        <v>1000</v>
      </c>
      <c r="G54" s="2" t="n"/>
      <c r="H54" s="2" t="n"/>
    </row>
    <row r="55" ht="15" customHeight="1">
      <c r="A55" s="3" t="n">
        <v>11</v>
      </c>
      <c r="B55" s="4" t="n">
        <v>0</v>
      </c>
      <c r="C55" s="4" t="n">
        <v>-22.12625</v>
      </c>
      <c r="D55" s="4" t="n">
        <v>522.12625</v>
      </c>
      <c r="E55" s="4" t="n">
        <v>500</v>
      </c>
      <c r="F55" s="4" t="n">
        <v>1500</v>
      </c>
      <c r="G55" s="2" t="n"/>
      <c r="H55" s="2" t="n"/>
    </row>
    <row r="56" ht="15" customHeight="1">
      <c r="A56" s="3" t="n">
        <v>12</v>
      </c>
      <c r="B56" s="4" t="n">
        <v>0</v>
      </c>
      <c r="C56" s="4" t="n">
        <v>-22.12625</v>
      </c>
      <c r="D56" s="4" t="n">
        <v>522.12625</v>
      </c>
      <c r="E56" s="4" t="n">
        <v>500</v>
      </c>
      <c r="F56" s="4" t="n">
        <v>2000</v>
      </c>
      <c r="G56" s="2" t="n"/>
      <c r="H56" s="2" t="n"/>
    </row>
    <row r="57" ht="15" customHeight="1">
      <c r="A57" s="1" t="inlineStr">
        <is>
          <t>в 9-12 кварталах чистый поток каждого квартала = 522,12625 – 22,12625 = 500,0 млн руб. ровно. За 4 квартала – 2000 млн руб.
Таким образом, для достижения поставленной цели необходимо обеспечить ежеквартальные поступления от реализации контента в размере:
	• 356,75 млн руб. в квартал в первый год после выхода (кварталы 5–8),
	• 522,13 млн руб. в квартал во второй год после выхода (кварталы 9–12).
Такая динамика может быть реализована,  за счёт:
	• первого года – кинотеатральный прокат и начальные продажи стримингам,
	• второго года – международные продажи, телевизионные права, расширение на новые платформы.
В случае если проект является сериалом с несколькими сезонами, можно выстроить выпуск сезонов так, чтобы доходы нарастали.
Также можно варьировать распределение доходов, но главное – суммарный доход за 8 кварталов должен быть не менее ~3515 млн руб.
Данная модель показывает количественные ориентиры для планирования продаж и заключения контрактов.
Для достижения окупаемости за 2 года и получения 2 млрд руб. чистой прибыли за 3‑й год необходимо сформировать следующие ежеквартальные доходы:
	• 5–8 кварталы (1‑й год после производства):
356,75 млн руб./квартал
	• 9–12 кварталы (2‑й год после производства):
522,13 млн руб./квартал
Общий объём доходов за 8 кварталов должен составить ~3 515,5 млн руб., что при суммарных расходах (производство 1 250 млн руб. + операционные расходы 265,5 млн руб.) даёт чистый результат +2 000 млн руб. к концу 3‑го года.</t>
        </is>
      </c>
      <c r="B57" s="2" t="n"/>
      <c r="C57" s="2" t="n"/>
      <c r="D57" s="2" t="n"/>
      <c r="E57" s="2" t="n"/>
      <c r="F57" s="2" t="n"/>
      <c r="G57" s="2" t="n"/>
      <c r="H57" s="2" t="n"/>
    </row>
    <row r="58" ht="15" customHeight="1">
      <c r="B58" s="2" t="n"/>
      <c r="C58" s="2" t="n"/>
      <c r="D58" s="2" t="n"/>
      <c r="E58" s="2" t="n"/>
      <c r="F58" s="2" t="n"/>
      <c r="G58" s="2" t="n"/>
      <c r="H58" s="2" t="n"/>
    </row>
    <row r="59" ht="15" customHeight="1">
      <c r="B59" s="2" t="n"/>
      <c r="C59" s="2" t="n"/>
      <c r="D59" s="2" t="n"/>
      <c r="E59" s="2" t="n"/>
      <c r="F59" s="2" t="n"/>
      <c r="G59" s="2" t="n"/>
      <c r="H59" s="2" t="n"/>
    </row>
    <row r="60" ht="15" customHeight="1">
      <c r="B60" s="2" t="n"/>
      <c r="C60" s="2" t="n"/>
      <c r="D60" s="2" t="n"/>
      <c r="E60" s="2" t="n"/>
      <c r="F60" s="2" t="n"/>
      <c r="G60" s="2" t="n"/>
      <c r="H60" s="2" t="n"/>
    </row>
    <row r="61" ht="15" customHeight="1">
      <c r="B61" s="2" t="n"/>
      <c r="C61" s="2" t="n"/>
      <c r="D61" s="2" t="n"/>
      <c r="E61" s="2" t="n"/>
      <c r="F61" s="2" t="n"/>
      <c r="G61" s="2" t="n"/>
      <c r="H61" s="2" t="n"/>
    </row>
    <row r="62" ht="15" customHeight="1">
      <c r="B62" s="2" t="n"/>
      <c r="C62" s="2" t="n"/>
      <c r="D62" s="2" t="n"/>
      <c r="E62" s="2" t="n"/>
      <c r="F62" s="2" t="n"/>
      <c r="G62" s="2" t="n"/>
      <c r="H62" s="2" t="n"/>
    </row>
    <row r="63" ht="15" customHeight="1">
      <c r="B63" s="2" t="n"/>
      <c r="C63" s="2" t="n"/>
      <c r="D63" s="2" t="n"/>
      <c r="E63" s="2" t="n"/>
      <c r="F63" s="2" t="n"/>
      <c r="G63" s="2" t="n"/>
      <c r="H63" s="2" t="n"/>
    </row>
    <row r="64" ht="15" customHeight="1">
      <c r="B64" s="2" t="n"/>
      <c r="C64" s="2" t="n"/>
      <c r="D64" s="2" t="n"/>
      <c r="E64" s="2" t="n"/>
      <c r="F64" s="2" t="n"/>
      <c r="G64" s="2" t="n"/>
      <c r="H64" s="2" t="n"/>
    </row>
    <row r="65" ht="15" customHeight="1">
      <c r="B65" s="2" t="n"/>
      <c r="C65" s="2" t="n"/>
      <c r="D65" s="2" t="n"/>
      <c r="E65" s="2" t="n"/>
      <c r="F65" s="2" t="n"/>
      <c r="G65" s="2" t="n"/>
      <c r="H65" s="2" t="n"/>
    </row>
    <row r="66" ht="15" customHeight="1">
      <c r="B66" s="2" t="n"/>
      <c r="C66" s="2" t="n"/>
      <c r="D66" s="2" t="n"/>
      <c r="E66" s="2" t="n"/>
      <c r="F66" s="2" t="n"/>
      <c r="G66" s="2" t="n"/>
      <c r="H66" s="2" t="n"/>
    </row>
    <row r="67" ht="15" customHeight="1">
      <c r="B67" s="2" t="n"/>
      <c r="C67" s="2" t="n"/>
      <c r="D67" s="2" t="n"/>
      <c r="E67" s="2" t="n"/>
      <c r="F67" s="2" t="n"/>
      <c r="G67" s="2" t="n"/>
      <c r="H67" s="2" t="n"/>
    </row>
    <row r="68" ht="15" customHeight="1">
      <c r="B68" s="2" t="n"/>
      <c r="C68" s="2" t="n"/>
      <c r="D68" s="2" t="n"/>
      <c r="E68" s="2" t="n"/>
      <c r="F68" s="2" t="n"/>
      <c r="G68" s="2" t="n"/>
      <c r="H68" s="2" t="n"/>
    </row>
    <row r="69" ht="15" customHeight="1">
      <c r="B69" s="2" t="n"/>
      <c r="C69" s="2" t="n"/>
      <c r="D69" s="2" t="n"/>
      <c r="E69" s="2" t="n"/>
      <c r="F69" s="2" t="n"/>
      <c r="G69" s="2" t="n"/>
      <c r="H69" s="2" t="n"/>
    </row>
    <row r="70" ht="15" customHeight="1">
      <c r="B70" s="2" t="n"/>
      <c r="C70" s="2" t="n"/>
      <c r="D70" s="2" t="n"/>
      <c r="E70" s="2" t="n"/>
      <c r="F70" s="2" t="n"/>
      <c r="G70" s="2" t="n"/>
      <c r="H70" s="2" t="n"/>
    </row>
    <row r="71" ht="15" customHeight="1">
      <c r="B71" s="2" t="n"/>
      <c r="C71" s="2" t="n"/>
      <c r="D71" s="2" t="n"/>
      <c r="E71" s="2" t="n"/>
      <c r="F71" s="2" t="n"/>
      <c r="G71" s="2" t="n"/>
      <c r="H71" s="2" t="n"/>
    </row>
    <row r="72" ht="15" customHeight="1">
      <c r="B72" s="2" t="n"/>
      <c r="C72" s="2" t="n"/>
      <c r="D72" s="2" t="n"/>
      <c r="E72" s="2" t="n"/>
      <c r="F72" s="2" t="n"/>
      <c r="G72" s="2" t="n"/>
      <c r="H72" s="2" t="n"/>
    </row>
    <row r="73" ht="15" customHeight="1">
      <c r="A73" s="2" t="inlineStr">
        <is>
          <t>Таблица денежных потоков (млн руб.)</t>
        </is>
      </c>
      <c r="B73" s="2" t="n"/>
      <c r="C73" s="2" t="n"/>
      <c r="D73" s="2" t="n"/>
      <c r="E73" s="2" t="n"/>
      <c r="F73" s="2" t="n"/>
      <c r="G73" s="2" t="n"/>
      <c r="H73" s="2" t="n"/>
    </row>
    <row r="74" ht="30" customHeight="1">
      <c r="A74" s="6" t="inlineStr">
        <is>
          <t>Квартал</t>
        </is>
      </c>
      <c r="B74" s="6" t="inlineStr">
        <is>
          <t>Инвестиции в производство</t>
        </is>
      </c>
      <c r="C74" s="6" t="inlineStr">
        <is>
          <t>Операционные расходы</t>
        </is>
      </c>
      <c r="D74" s="6" t="inlineStr">
        <is>
          <t>Доходы</t>
        </is>
      </c>
      <c r="E74" s="6" t="inlineStr">
        <is>
          <t>Чистый поток</t>
        </is>
      </c>
      <c r="F74" s="6" t="inlineStr">
        <is>
          <t>Кумулятивный поток</t>
        </is>
      </c>
      <c r="G74" s="2" t="n"/>
      <c r="H74" s="2" t="n"/>
    </row>
    <row r="75" ht="15" customHeight="1">
      <c r="A75" s="3" t="n">
        <v>1</v>
      </c>
      <c r="B75" s="4" t="n">
        <v>-312.5</v>
      </c>
      <c r="C75" s="4" t="n">
        <v>-22.13</v>
      </c>
      <c r="D75" s="4" t="n">
        <v>0</v>
      </c>
      <c r="E75" s="4" t="n">
        <v>-334.63</v>
      </c>
      <c r="F75" s="4" t="n">
        <v>-334.63</v>
      </c>
      <c r="G75" s="2" t="n"/>
      <c r="H75" s="2" t="n"/>
    </row>
    <row r="76" ht="15" customHeight="1">
      <c r="A76" s="3" t="n">
        <v>2</v>
      </c>
      <c r="B76" s="4" t="n">
        <v>-312.5</v>
      </c>
      <c r="C76" s="4" t="n">
        <v>-22.13</v>
      </c>
      <c r="D76" s="4" t="n">
        <v>0</v>
      </c>
      <c r="E76" s="4" t="n">
        <v>-334.63</v>
      </c>
      <c r="F76" s="4" t="n">
        <v>-669.26</v>
      </c>
      <c r="G76" s="2" t="n"/>
      <c r="H76" s="2" t="n"/>
    </row>
    <row r="77" ht="15" customHeight="1">
      <c r="A77" s="3" t="n">
        <v>3</v>
      </c>
      <c r="B77" s="4" t="n">
        <v>-312.5</v>
      </c>
      <c r="C77" s="4" t="n">
        <v>-22.13</v>
      </c>
      <c r="D77" s="4" t="n">
        <v>0</v>
      </c>
      <c r="E77" s="4" t="n">
        <v>-334.63</v>
      </c>
      <c r="F77" s="5" t="n">
        <v>-1003.89</v>
      </c>
      <c r="G77" s="2" t="n"/>
      <c r="H77" s="2" t="n"/>
    </row>
    <row r="78" ht="15" customHeight="1">
      <c r="A78" s="3" t="n">
        <v>4</v>
      </c>
      <c r="B78" s="4" t="n">
        <v>-312.5</v>
      </c>
      <c r="C78" s="4" t="n">
        <v>-22.13</v>
      </c>
      <c r="D78" s="4" t="n">
        <v>0</v>
      </c>
      <c r="E78" s="4" t="n">
        <v>-334.63</v>
      </c>
      <c r="F78" s="5" t="n">
        <v>-1338.52</v>
      </c>
      <c r="G78" s="2" t="n"/>
      <c r="H78" s="2" t="n"/>
    </row>
    <row r="79" ht="15" customHeight="1">
      <c r="A79" s="3" t="n">
        <v>5</v>
      </c>
      <c r="B79" s="4" t="n">
        <v>0</v>
      </c>
      <c r="C79" s="4" t="n">
        <v>-22.13</v>
      </c>
      <c r="D79" s="4" t="n">
        <v>356.75</v>
      </c>
      <c r="E79" s="4" t="n">
        <v>334.62</v>
      </c>
      <c r="F79" s="5" t="n">
        <v>-1003.9</v>
      </c>
      <c r="G79" s="2" t="n"/>
      <c r="H79" s="2" t="n"/>
    </row>
    <row r="80" ht="15" customHeight="1">
      <c r="A80" s="3" t="n">
        <v>6</v>
      </c>
      <c r="B80" s="4" t="n">
        <v>0</v>
      </c>
      <c r="C80" s="4" t="n">
        <v>-22.13</v>
      </c>
      <c r="D80" s="4" t="n">
        <v>356.75</v>
      </c>
      <c r="E80" s="4" t="n">
        <v>334.62</v>
      </c>
      <c r="F80" s="4" t="n">
        <v>-669.28</v>
      </c>
      <c r="G80" s="2" t="n"/>
      <c r="H80" s="2" t="n"/>
    </row>
    <row r="81" ht="15" customHeight="1">
      <c r="A81" s="3" t="n">
        <v>7</v>
      </c>
      <c r="B81" s="4" t="n">
        <v>0</v>
      </c>
      <c r="C81" s="4" t="n">
        <v>-22.13</v>
      </c>
      <c r="D81" s="4" t="n">
        <v>356.75</v>
      </c>
      <c r="E81" s="4" t="n">
        <v>334.62</v>
      </c>
      <c r="F81" s="4" t="n">
        <v>-334.66</v>
      </c>
      <c r="G81" s="2" t="n"/>
      <c r="H81" s="2" t="n"/>
    </row>
    <row r="82" ht="15.75" customHeight="1">
      <c r="A82" s="3" t="n">
        <v>8</v>
      </c>
      <c r="B82" s="4" t="n">
        <v>0</v>
      </c>
      <c r="C82" s="4" t="n">
        <v>-22.13</v>
      </c>
      <c r="D82" s="4" t="n">
        <v>356.75</v>
      </c>
      <c r="E82" s="4" t="n">
        <v>334.62</v>
      </c>
      <c r="F82" s="4" t="inlineStr">
        <is>
          <t>-0,04 ≈ 0</t>
        </is>
      </c>
      <c r="G82" s="2" t="n"/>
      <c r="H82" s="2" t="n"/>
    </row>
    <row r="83" ht="15" customHeight="1">
      <c r="A83" s="3" t="n">
        <v>9</v>
      </c>
      <c r="B83" s="4" t="n">
        <v>0</v>
      </c>
      <c r="C83" s="4" t="n">
        <v>-22.13</v>
      </c>
      <c r="D83" s="4" t="n">
        <v>522.13</v>
      </c>
      <c r="E83" s="4" t="n">
        <v>500</v>
      </c>
      <c r="F83" s="4" t="n">
        <v>500</v>
      </c>
      <c r="G83" s="2" t="n"/>
      <c r="H83" s="2" t="n"/>
    </row>
    <row r="84" ht="15" customHeight="1">
      <c r="A84" s="3" t="n">
        <v>10</v>
      </c>
      <c r="B84" s="4" t="n">
        <v>0</v>
      </c>
      <c r="C84" s="4" t="n">
        <v>-22.13</v>
      </c>
      <c r="D84" s="4" t="n">
        <v>522.13</v>
      </c>
      <c r="E84" s="4" t="n">
        <v>500</v>
      </c>
      <c r="F84" s="5" t="n">
        <v>1000</v>
      </c>
      <c r="G84" s="2" t="n"/>
      <c r="H84" s="2" t="n"/>
    </row>
    <row r="85" ht="15" customHeight="1">
      <c r="A85" s="3" t="n">
        <v>11</v>
      </c>
      <c r="B85" s="4" t="n">
        <v>0</v>
      </c>
      <c r="C85" s="4" t="n">
        <v>-22.13</v>
      </c>
      <c r="D85" s="4" t="n">
        <v>522.13</v>
      </c>
      <c r="E85" s="4" t="n">
        <v>500</v>
      </c>
      <c r="F85" s="5" t="n">
        <v>1500</v>
      </c>
      <c r="G85" s="2" t="n"/>
      <c r="H85" s="2" t="n"/>
    </row>
    <row r="86" ht="15" customHeight="1">
      <c r="A86" s="3" t="n">
        <v>12</v>
      </c>
      <c r="B86" s="4" t="n">
        <v>0</v>
      </c>
      <c r="C86" s="4" t="n">
        <v>-22.13</v>
      </c>
      <c r="D86" s="4" t="n">
        <v>522.13</v>
      </c>
      <c r="E86" s="4" t="n">
        <v>500</v>
      </c>
      <c r="F86" s="5" t="n">
        <v>2000</v>
      </c>
      <c r="G86" s="2" t="n"/>
      <c r="H86" s="2" t="n"/>
    </row>
    <row r="87" ht="2.25" customHeight="1">
      <c r="A87" s="7" t="inlineStr">
        <is>
          <t xml:space="preserve">Как обеспечить такие поступления							
	1. Кинотеатральный прокат – основной драйвер в первые кварталы после выхода (5–8). При бюджете 1,25 млрд руб. фильм должен собрать в России и СНГ 2,8–3,5 млрд руб., чтобы принести компании 1,2–1,5 млрд руб. (с учётом доли 45–55%).							
	2. Продажа прав стримингам и ТВ – заключение сделок с предоплатой и пост-релизными платежами. Для выхода на доходы 522 млн руб./квартал потребуются либо многопроектный портфель (несколько релизов в год), либо экспортные продажи, либо сериал с несколькими сезонами.							
	3. Международные продажи и спонсорство – могут обеспечить дополнительный приток во 2‑й и 3‑й годы. Для достижения целевых 522 млн руб./квартал необходимы либо крупные сделки с зарубежными платформами (например, продажа прав на адаптацию или глобальный стриминг), либо последовательный выпуск нового контента.							
Ключевые условия							
	• Необходимо не менее двух крупных проектов в портфеле либо один мега‑проект с длительным жизненным циклом (сериал, франшиза).							
	• Доходы должны поступать равномерно или с нарастанием, что требует гибкой стратегии продаж (предпродажи, поэтапные лицензионные платежи, распределение релизов во времени).							
	• Операционные расходы должны оставаться в пределах 88,5 млн руб./год (контроль накладных издержек).							
Такая модель позволяет не только окупить вложения за 2 года, но и получить значительную чистую прибыль к концу 3‑го года.							</t>
        </is>
      </c>
      <c r="B87" s="8" t="n"/>
      <c r="C87" s="8" t="n"/>
      <c r="D87" s="8" t="n"/>
      <c r="E87" s="8" t="n"/>
      <c r="F87" s="8" t="n"/>
      <c r="G87" s="8" t="n"/>
      <c r="H87" s="9" t="n"/>
    </row>
    <row r="88" ht="15" customHeight="1">
      <c r="A88" s="10" t="n"/>
      <c r="H88" s="11" t="n"/>
    </row>
    <row r="89" ht="15" customHeight="1">
      <c r="A89" s="10" t="n"/>
      <c r="H89" s="11" t="n"/>
    </row>
    <row r="90" ht="15" customHeight="1">
      <c r="A90" s="10" t="n"/>
      <c r="H90" s="11" t="n"/>
    </row>
    <row r="91" ht="15" customHeight="1">
      <c r="A91" s="10" t="n"/>
      <c r="H91" s="11" t="n"/>
    </row>
    <row r="92" ht="15" customHeight="1">
      <c r="A92" s="10" t="n"/>
      <c r="H92" s="11" t="n"/>
    </row>
    <row r="93" ht="15" customHeight="1">
      <c r="A93" s="10" t="n"/>
      <c r="H93" s="11" t="n"/>
    </row>
    <row r="94" ht="15" customHeight="1">
      <c r="A94" s="10" t="n"/>
      <c r="H94" s="11" t="n"/>
    </row>
    <row r="95" ht="15" customHeight="1">
      <c r="A95" s="12" t="n"/>
      <c r="B95" s="13" t="n"/>
      <c r="C95" s="13" t="n"/>
      <c r="D95" s="13" t="n"/>
      <c r="E95" s="13" t="n"/>
      <c r="F95" s="13" t="n"/>
      <c r="G95" s="13" t="n"/>
      <c r="H95" s="14" t="n"/>
    </row>
  </sheetData>
  <mergeCells count="4">
    <mergeCell ref="A57:A72"/>
    <mergeCell ref="A5:A43"/>
    <mergeCell ref="A87:H95"/>
    <mergeCell ref="A1:A4"/>
  </mergeCells>
  <pageMargins left="0.7" right="0.7" top="0.75" bottom="0.75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193.85" customWidth="1" min="1" max="1"/>
    <col width="18.99" customWidth="1" min="2" max="2"/>
    <col width="25.89" customWidth="1" min="3" max="3"/>
    <col width="16.03" customWidth="1" min="4" max="4"/>
    <col width="8.75" customWidth="1" min="5" max="5"/>
    <col width="10.97" customWidth="1" min="6" max="6"/>
  </cols>
  <sheetData>
    <row r="1">
      <c r="A1" s="15" t="inlineStr">
        <is>
          <t>1. Аренда помещения</t>
        </is>
      </c>
      <c r="B1" s="16" t="n"/>
      <c r="C1" s="16" t="n"/>
      <c r="D1" s="16" t="n"/>
      <c r="E1" s="16" t="n"/>
      <c r="F1" s="16" t="n"/>
    </row>
    <row r="2">
      <c r="A2" s="15" t="inlineStr">
        <is>
          <t>Параметр</t>
        </is>
      </c>
      <c r="B2" s="15" t="inlineStr">
        <is>
          <t>Значение</t>
        </is>
      </c>
      <c r="C2" s="16" t="n"/>
      <c r="D2" s="16" t="n"/>
      <c r="E2" s="16" t="n"/>
      <c r="F2" s="16" t="n"/>
    </row>
    <row r="3">
      <c r="A3" s="16" t="inlineStr">
        <is>
          <t>Площадь</t>
        </is>
      </c>
      <c r="B3" s="16" t="inlineStr">
        <is>
          <t>275 м²</t>
        </is>
      </c>
      <c r="C3" s="16" t="n"/>
      <c r="D3" s="16" t="n"/>
      <c r="E3" s="16" t="n"/>
      <c r="F3" s="16" t="n"/>
    </row>
    <row r="4">
      <c r="A4" s="16" t="inlineStr">
        <is>
          <t>Ставка аренды (включена эксплуатация)</t>
        </is>
      </c>
      <c r="B4" s="16" t="inlineStr">
        <is>
          <t>2 500 руб./м² в месяц</t>
        </is>
      </c>
      <c r="C4" s="16" t="n"/>
      <c r="D4" s="16" t="n"/>
      <c r="E4" s="16" t="n"/>
      <c r="F4" s="16" t="n"/>
    </row>
    <row r="5">
      <c r="A5" s="16" t="inlineStr">
        <is>
          <t>Аренда в месяц</t>
        </is>
      </c>
      <c r="B5" s="16" t="inlineStr">
        <is>
          <t>687 500 руб.</t>
        </is>
      </c>
      <c r="C5" s="16" t="n"/>
      <c r="D5" s="16" t="n"/>
      <c r="E5" s="16" t="n"/>
      <c r="F5" s="16" t="n"/>
    </row>
    <row r="6">
      <c r="A6" s="16" t="inlineStr">
        <is>
          <t>Аренда в год</t>
        </is>
      </c>
      <c r="B6" s="16" t="inlineStr">
        <is>
          <t>8 250 000 руб.</t>
        </is>
      </c>
      <c r="C6" s="16" t="n"/>
      <c r="D6" s="16" t="n"/>
      <c r="E6" s="16" t="n"/>
      <c r="F6" s="16" t="n"/>
    </row>
    <row r="7">
      <c r="A7" s="16" t="inlineStr">
        <is>
          <t>Аренда за 3 года</t>
        </is>
      </c>
      <c r="B7" s="16" t="inlineStr">
        <is>
          <t>24 750 000 руб.</t>
        </is>
      </c>
      <c r="C7" s="16" t="n"/>
      <c r="D7" s="16" t="n"/>
      <c r="E7" s="16" t="n"/>
      <c r="F7" s="16" t="n"/>
    </row>
    <row r="8">
      <c r="A8" s="15" t="inlineStr">
        <is>
          <t>2. Фонд оплаты труда (ФОТ) с налогами</t>
        </is>
      </c>
      <c r="B8" s="16" t="n"/>
      <c r="C8" s="16" t="n"/>
      <c r="D8" s="16" t="n"/>
      <c r="E8" s="16" t="n"/>
      <c r="F8" s="16" t="n"/>
    </row>
    <row r="9">
      <c r="A9" s="17" t="inlineStr">
        <is>
          <t>Штатное расписание (50 человек):</t>
        </is>
      </c>
      <c r="B9" s="16" t="n"/>
      <c r="C9" s="16" t="n"/>
      <c r="D9" s="16" t="n"/>
      <c r="E9" s="16" t="n"/>
      <c r="F9" s="16" t="n"/>
    </row>
    <row r="10">
      <c r="A10" s="15" t="inlineStr">
        <is>
          <t>Должность</t>
        </is>
      </c>
      <c r="B10" s="15" t="inlineStr">
        <is>
          <t>Кол-во</t>
        </is>
      </c>
      <c r="C10" s="15" t="inlineStr">
        <is>
          <t>Средняя з/п (гросс), руб./мес.</t>
        </is>
      </c>
      <c r="D10" s="15" t="inlineStr">
        <is>
          <t>ФОТ в месяц, руб.</t>
        </is>
      </c>
      <c r="E10" s="16" t="n"/>
      <c r="F10" s="16" t="n"/>
    </row>
    <row r="11">
      <c r="A11" s="16" t="inlineStr">
        <is>
          <t>Продюсеры</t>
        </is>
      </c>
      <c r="B11" s="16" t="n">
        <v>5</v>
      </c>
      <c r="C11" s="18" t="n">
        <v>200000</v>
      </c>
      <c r="D11" s="18" t="n">
        <v>1000000</v>
      </c>
      <c r="E11" s="16" t="n"/>
      <c r="F11" s="16" t="n"/>
    </row>
    <row r="12">
      <c r="A12" s="16" t="inlineStr">
        <is>
          <t>Юристы</t>
        </is>
      </c>
      <c r="B12" s="16" t="n">
        <v>3</v>
      </c>
      <c r="C12" s="18" t="n">
        <v>150000</v>
      </c>
      <c r="D12" s="18" t="n">
        <v>450000</v>
      </c>
      <c r="E12" s="16" t="n"/>
      <c r="F12" s="16" t="n"/>
    </row>
    <row r="13">
      <c r="A13" s="16" t="inlineStr">
        <is>
          <t>Производственный цех</t>
        </is>
      </c>
      <c r="B13" s="16" t="n">
        <v>5</v>
      </c>
      <c r="C13" s="18" t="n">
        <v>120000</v>
      </c>
      <c r="D13" s="18" t="n">
        <v>600000</v>
      </c>
      <c r="E13" s="16" t="n"/>
      <c r="F13" s="16" t="n"/>
    </row>
    <row r="14">
      <c r="A14" s="16" t="inlineStr">
        <is>
          <t>Аналитики</t>
        </is>
      </c>
      <c r="B14" s="16" t="n">
        <v>7</v>
      </c>
      <c r="C14" s="18" t="n">
        <v>100000</v>
      </c>
      <c r="D14" s="18" t="n">
        <v>700000</v>
      </c>
      <c r="E14" s="16" t="n"/>
      <c r="F14" s="16" t="n"/>
    </row>
    <row r="15">
      <c r="A15" s="16" t="inlineStr">
        <is>
          <t>Бухгалтеры</t>
        </is>
      </c>
      <c r="B15" s="16" t="n">
        <v>4</v>
      </c>
      <c r="C15" s="18" t="n">
        <v>80000</v>
      </c>
      <c r="D15" s="18" t="n">
        <v>320000</v>
      </c>
      <c r="E15" s="16" t="n"/>
      <c r="F15" s="16" t="n"/>
    </row>
    <row r="16">
      <c r="A16" s="16" t="inlineStr">
        <is>
          <t>Эксперты (творческая группа)</t>
        </is>
      </c>
      <c r="B16" s="16" t="n">
        <v>15</v>
      </c>
      <c r="C16" s="18" t="n">
        <v>60000</v>
      </c>
      <c r="D16" s="18" t="n">
        <v>900000</v>
      </c>
      <c r="E16" s="16" t="n"/>
      <c r="F16" s="16" t="n"/>
    </row>
    <row r="17">
      <c r="A17" s="16" t="inlineStr">
        <is>
          <t>Водитель</t>
        </is>
      </c>
      <c r="B17" s="16" t="n">
        <v>1</v>
      </c>
      <c r="C17" s="18" t="n">
        <v>70000</v>
      </c>
      <c r="D17" s="18" t="n">
        <v>70000</v>
      </c>
      <c r="E17" s="16" t="n"/>
      <c r="F17" s="16" t="n"/>
    </row>
    <row r="18">
      <c r="A18" s="16" t="inlineStr">
        <is>
          <t>Административный / IT-персонал</t>
        </is>
      </c>
      <c r="B18" s="16" t="n">
        <v>10</v>
      </c>
      <c r="C18" s="18" t="n">
        <v>70000</v>
      </c>
      <c r="D18" s="18" t="n">
        <v>700000</v>
      </c>
      <c r="E18" s="16" t="n"/>
      <c r="F18" s="16" t="n"/>
    </row>
    <row r="19">
      <c r="A19" s="16" t="inlineStr">
        <is>
          <t>Итого</t>
        </is>
      </c>
      <c r="B19" s="16" t="n">
        <v>50</v>
      </c>
      <c r="C19" s="16" t="n"/>
      <c r="D19" s="18" t="n">
        <v>4740000</v>
      </c>
      <c r="E19" s="16" t="n"/>
      <c r="F19" s="16" t="n"/>
    </row>
    <row r="20">
      <c r="A20" s="17" t="inlineStr">
        <is>
          <t>Страховые взносы (30% от ФОТ, усреднённо):</t>
        </is>
      </c>
      <c r="B20" s="16" t="n"/>
      <c r="C20" s="16" t="n"/>
      <c r="D20" s="16" t="n"/>
      <c r="E20" s="16" t="n"/>
      <c r="F20" s="16" t="n"/>
    </row>
    <row r="21">
      <c r="A21" s="16" t="inlineStr">
        <is>
          <t>4 740 000 × 30% = 1 422 000 руб./мес.</t>
        </is>
      </c>
      <c r="B21" s="16" t="n"/>
      <c r="C21" s="16" t="n"/>
      <c r="D21" s="16" t="n"/>
      <c r="E21" s="16" t="n"/>
      <c r="F21" s="16" t="n"/>
    </row>
    <row r="22">
      <c r="A22" s="17" t="inlineStr">
        <is>
          <t>Общий ФОТ с налогами в месяц:</t>
        </is>
      </c>
      <c r="B22" s="16" t="n"/>
      <c r="C22" s="16" t="n"/>
      <c r="D22" s="16" t="n"/>
      <c r="E22" s="16" t="n"/>
      <c r="F22" s="16" t="n"/>
    </row>
    <row r="23">
      <c r="A23" s="16" t="inlineStr">
        <is>
          <t>4 740 000 + 1 422 000 = 6 162 000 руб.</t>
        </is>
      </c>
      <c r="B23" s="16" t="n"/>
      <c r="C23" s="16" t="n"/>
      <c r="D23" s="16" t="n"/>
      <c r="E23" s="16" t="n"/>
      <c r="F23" s="16" t="n"/>
    </row>
    <row r="24">
      <c r="A24" s="17" t="inlineStr">
        <is>
          <t>За год: 6 162 000 × 12 = 73 944 000 руб.</t>
        </is>
      </c>
      <c r="B24" s="16" t="n"/>
      <c r="C24" s="16" t="n"/>
      <c r="D24" s="16" t="n"/>
      <c r="E24" s="16" t="n"/>
      <c r="F24" s="16" t="n"/>
    </row>
    <row r="25">
      <c r="A25" s="17" t="inlineStr">
        <is>
          <t>За 3 года: 73 944 000 × 3 = 221 832 000 руб.</t>
        </is>
      </c>
      <c r="B25" s="16" t="n"/>
      <c r="C25" s="16" t="n"/>
      <c r="D25" s="16" t="n"/>
      <c r="E25" s="16" t="n"/>
      <c r="F25" s="16" t="n"/>
    </row>
    <row r="26">
      <c r="A26" s="17" t="n"/>
      <c r="B26" s="16" t="n"/>
      <c r="C26" s="16" t="n"/>
      <c r="D26" s="16" t="n"/>
      <c r="E26" s="16" t="n"/>
      <c r="F26" s="16" t="n"/>
    </row>
    <row r="27">
      <c r="A27" s="15" t="inlineStr">
        <is>
          <t>3. Коммунальные и эксплуатационные расходы</t>
        </is>
      </c>
      <c r="B27" s="16" t="n"/>
      <c r="C27" s="16" t="n"/>
      <c r="D27" s="16" t="n"/>
      <c r="E27" s="16" t="n"/>
      <c r="F27" s="16" t="n"/>
    </row>
    <row r="28">
      <c r="A28" s="17" t="inlineStr">
        <is>
          <t>(электричество, вода, отопление, вывоз мусора)</t>
        </is>
      </c>
      <c r="B28" s="16" t="n"/>
      <c r="C28" s="16" t="n"/>
      <c r="D28" s="16" t="n"/>
      <c r="E28" s="16" t="n"/>
      <c r="F28" s="16" t="n"/>
    </row>
    <row r="29">
      <c r="A29" s="17" t="inlineStr">
        <is>
          <t>Ставка: 120 руб./м² в месяц</t>
        </is>
      </c>
      <c r="B29" s="16" t="n"/>
      <c r="C29" s="16" t="n"/>
      <c r="D29" s="16" t="n"/>
      <c r="E29" s="16" t="n"/>
      <c r="F29" s="16" t="n"/>
    </row>
    <row r="30">
      <c r="A30" s="16" t="inlineStr">
        <is>
          <t>275 м² × 120 = 33 000 руб./мес.</t>
        </is>
      </c>
      <c r="B30" s="16" t="n"/>
      <c r="C30" s="16" t="n"/>
      <c r="D30" s="16" t="n"/>
      <c r="E30" s="16" t="n"/>
      <c r="F30" s="16" t="n"/>
    </row>
    <row r="31">
      <c r="A31" s="17" t="inlineStr">
        <is>
          <t>За год: 396 000 руб.</t>
        </is>
      </c>
      <c r="B31" s="16" t="n"/>
      <c r="C31" s="16" t="n"/>
      <c r="D31" s="16" t="n"/>
      <c r="E31" s="16" t="n"/>
      <c r="F31" s="16" t="n"/>
    </row>
    <row r="32">
      <c r="A32" s="17" t="inlineStr">
        <is>
          <t>За 3 года: 1 188 000 руб.</t>
        </is>
      </c>
      <c r="B32" s="16" t="n"/>
      <c r="C32" s="16" t="n"/>
      <c r="D32" s="16" t="n"/>
      <c r="E32" s="16" t="n"/>
      <c r="F32" s="16" t="n"/>
    </row>
    <row r="33">
      <c r="A33" s="17" t="n"/>
      <c r="B33" s="16" t="n"/>
      <c r="C33" s="16" t="n"/>
      <c r="D33" s="16" t="n"/>
      <c r="E33" s="16" t="n"/>
      <c r="F33" s="16" t="n"/>
    </row>
    <row r="34">
      <c r="A34" s="15" t="inlineStr">
        <is>
          <t>4. Прочие операционные расходы</t>
        </is>
      </c>
      <c r="B34" s="16" t="n"/>
      <c r="C34" s="16" t="n"/>
      <c r="D34" s="16" t="n"/>
      <c r="E34" s="16" t="n"/>
      <c r="F34" s="16" t="n"/>
    </row>
    <row r="35">
      <c r="A35" s="17" t="inlineStr">
        <is>
          <t>(интернет, телефония, канцелярия, хозтовары, лицензии на ПО, обслуживание техники)</t>
        </is>
      </c>
      <c r="B35" s="16" t="n"/>
      <c r="C35" s="16" t="n"/>
      <c r="D35" s="16" t="n"/>
      <c r="E35" s="16" t="n"/>
      <c r="F35" s="16" t="n"/>
    </row>
    <row r="36">
      <c r="A36" s="16" t="inlineStr">
        <is>
          <t>Принимаем как 8% от ФОТ с налогами (или ~500 000 руб./мес. по факту).</t>
        </is>
      </c>
      <c r="B36" s="16" t="n"/>
      <c r="C36" s="16" t="n"/>
      <c r="D36" s="16" t="n"/>
      <c r="E36" s="16" t="n"/>
      <c r="F36" s="16" t="n"/>
    </row>
    <row r="37">
      <c r="A37" s="16" t="inlineStr">
        <is>
          <t>8% × 6 162 000 = 492 960 руб./мес.</t>
        </is>
      </c>
      <c r="B37" s="16" t="n"/>
      <c r="C37" s="16" t="n"/>
      <c r="D37" s="16" t="n"/>
      <c r="E37" s="16" t="n"/>
      <c r="F37" s="16" t="n"/>
    </row>
    <row r="38">
      <c r="A38" s="17" t="inlineStr">
        <is>
          <t>За год: 5 915 520 руб.</t>
        </is>
      </c>
      <c r="B38" s="16" t="n"/>
      <c r="C38" s="16" t="n"/>
      <c r="D38" s="16" t="n"/>
      <c r="E38" s="16" t="n"/>
      <c r="F38" s="16" t="n"/>
    </row>
    <row r="39">
      <c r="A39" s="17" t="inlineStr">
        <is>
          <t>За 3 года: 17 746 560 руб.</t>
        </is>
      </c>
      <c r="B39" s="16" t="n"/>
      <c r="C39" s="16" t="n"/>
      <c r="D39" s="16" t="n"/>
      <c r="E39" s="16" t="n"/>
      <c r="F39" s="16" t="n"/>
    </row>
    <row r="40">
      <c r="A40" s="17" t="n"/>
      <c r="B40" s="16" t="n"/>
      <c r="C40" s="16" t="n"/>
      <c r="D40" s="16" t="n"/>
      <c r="E40" s="16" t="n"/>
      <c r="F40" s="16" t="n"/>
    </row>
    <row r="41">
      <c r="A41" s="15" t="inlineStr">
        <is>
          <t>5. Сводная таблица расходов на 3 года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Статья расходов</t>
        </is>
      </c>
      <c r="B42" s="15" t="inlineStr">
        <is>
          <t>В месяц, руб.</t>
        </is>
      </c>
      <c r="C42" s="15" t="inlineStr">
        <is>
          <t>В год, руб.</t>
        </is>
      </c>
      <c r="D42" s="15" t="inlineStr">
        <is>
          <t>За 3 года, руб.</t>
        </is>
      </c>
      <c r="E42" s="16" t="n"/>
      <c r="F42" s="16" t="n"/>
    </row>
    <row r="43">
      <c r="A43" s="16" t="inlineStr">
        <is>
          <t>Аренда</t>
        </is>
      </c>
      <c r="B43" s="18" t="n">
        <v>687500</v>
      </c>
      <c r="C43" s="18" t="n">
        <v>8250000</v>
      </c>
      <c r="D43" s="18" t="n">
        <v>24750000</v>
      </c>
      <c r="E43" s="16" t="n"/>
      <c r="F43" s="16" t="n"/>
    </row>
    <row r="44">
      <c r="A44" s="16" t="inlineStr">
        <is>
          <t>ФОТ (с налогами)</t>
        </is>
      </c>
      <c r="B44" s="18" t="n">
        <v>6162000</v>
      </c>
      <c r="C44" s="18" t="n">
        <v>73944000</v>
      </c>
      <c r="D44" s="18" t="n">
        <v>221832000</v>
      </c>
      <c r="E44" s="16" t="n"/>
      <c r="F44" s="16" t="n"/>
    </row>
    <row r="45">
      <c r="A45" s="16" t="inlineStr">
        <is>
          <t>Коммунальные</t>
        </is>
      </c>
      <c r="B45" s="18" t="n">
        <v>33000</v>
      </c>
      <c r="C45" s="18" t="n">
        <v>396000</v>
      </c>
      <c r="D45" s="18" t="n">
        <v>1188000</v>
      </c>
      <c r="E45" s="16" t="n"/>
      <c r="F45" s="16" t="n"/>
    </row>
    <row r="46">
      <c r="A46" s="16" t="inlineStr">
        <is>
          <t>Прочие операционные</t>
        </is>
      </c>
      <c r="B46" s="18" t="n">
        <v>492960</v>
      </c>
      <c r="C46" s="18" t="n">
        <v>5915520</v>
      </c>
      <c r="D46" s="18" t="n">
        <v>17746560</v>
      </c>
      <c r="E46" s="16" t="n"/>
      <c r="F46" s="16" t="n"/>
    </row>
    <row r="47">
      <c r="A47" s="16" t="inlineStr">
        <is>
          <t>ИТОГО</t>
        </is>
      </c>
      <c r="B47" s="18" t="n">
        <v>7375460</v>
      </c>
      <c r="C47" s="18" t="n">
        <v>88505520</v>
      </c>
      <c r="D47" s="18" t="n">
        <v>265516560</v>
      </c>
      <c r="E47" s="16" t="n"/>
      <c r="F47" s="16" t="n"/>
    </row>
    <row r="48">
      <c r="A48" s="15" t="inlineStr">
        <is>
          <t>Средние расходы в разбивке по годам (для включения в общую модель)</t>
        </is>
      </c>
      <c r="B48" s="16" t="n"/>
      <c r="C48" s="16" t="n"/>
      <c r="D48" s="16" t="n"/>
      <c r="E48" s="16" t="n"/>
      <c r="F48" s="16" t="n"/>
    </row>
    <row r="49">
      <c r="A49" s="15" t="inlineStr">
        <is>
          <t>Год</t>
        </is>
      </c>
      <c r="B49" s="15" t="inlineStr">
        <is>
          <t>Аренда</t>
        </is>
      </c>
      <c r="C49" s="15" t="inlineStr">
        <is>
          <t>ФОТ (с налогами)</t>
        </is>
      </c>
      <c r="D49" s="15" t="inlineStr">
        <is>
          <t>Коммунальные</t>
        </is>
      </c>
      <c r="E49" s="15" t="inlineStr">
        <is>
          <t>Прочие</t>
        </is>
      </c>
      <c r="F49" s="15" t="inlineStr">
        <is>
          <t>Всего за год</t>
        </is>
      </c>
    </row>
    <row r="50">
      <c r="A50" s="16" t="inlineStr">
        <is>
          <t>1-й</t>
        </is>
      </c>
      <c r="B50" s="18" t="n">
        <v>8250000</v>
      </c>
      <c r="C50" s="18" t="n">
        <v>73944000</v>
      </c>
      <c r="D50" s="18" t="n">
        <v>396000</v>
      </c>
      <c r="E50" s="18" t="n">
        <v>5915520</v>
      </c>
      <c r="F50" s="18" t="n">
        <v>88505520</v>
      </c>
    </row>
    <row r="51">
      <c r="A51" s="16" t="inlineStr">
        <is>
          <t>2-й</t>
        </is>
      </c>
      <c r="B51" s="18" t="n">
        <v>8250000</v>
      </c>
      <c r="C51" s="18" t="n">
        <v>73944000</v>
      </c>
      <c r="D51" s="18" t="n">
        <v>396000</v>
      </c>
      <c r="E51" s="18" t="n">
        <v>5915520</v>
      </c>
      <c r="F51" s="18" t="n">
        <v>88505520</v>
      </c>
    </row>
    <row r="52">
      <c r="A52" s="16" t="inlineStr">
        <is>
          <t>3-й</t>
        </is>
      </c>
      <c r="B52" s="18" t="n">
        <v>8250000</v>
      </c>
      <c r="C52" s="18" t="n">
        <v>73944000</v>
      </c>
      <c r="D52" s="18" t="n">
        <v>396000</v>
      </c>
      <c r="E52" s="18" t="n">
        <v>5915520</v>
      </c>
      <c r="F52" s="18" t="n">
        <v>88505520</v>
      </c>
    </row>
    <row r="53">
      <c r="A53" s="19" t="inlineStr">
        <is>
          <t>Примечания</t>
        </is>
      </c>
      <c r="B53" s="2" t="n"/>
      <c r="C53" s="2" t="n"/>
      <c r="D53" s="2" t="n"/>
      <c r="E53" s="2" t="n"/>
      <c r="F53" s="2" t="n"/>
    </row>
    <row r="54">
      <c r="A54" s="2" t="inlineStr">
        <is>
          <t xml:space="preserve">	1. Аренда может варьироваться в зависимости от класса помещения и включения коммунальных услуг. В расчёте принята ставка для офиса класса B в Москве или крупном региональном центре.</t>
        </is>
      </c>
      <c r="B54" s="2" t="n"/>
      <c r="C54" s="2" t="n"/>
      <c r="D54" s="2" t="n"/>
      <c r="E54" s="2" t="n"/>
      <c r="F54" s="2" t="n"/>
    </row>
    <row r="55">
      <c r="A55" s="2" t="inlineStr">
        <is>
          <t xml:space="preserve">	2. Страховые взносы рассчитаны по ставке 30% (ОПС, ОМС, ВНиМ). Для отдельных категорий (например, IT-компании) возможны льготы, но в кинопроизводстве обычно применяется общий тариф.</t>
        </is>
      </c>
      <c r="B55" s="2" t="n"/>
      <c r="C55" s="2" t="n"/>
      <c r="D55" s="2" t="n"/>
      <c r="E55" s="2" t="n"/>
      <c r="F55" s="2" t="n"/>
    </row>
    <row r="56">
      <c r="A56" s="2" t="inlineStr">
        <is>
          <t xml:space="preserve">	3. Прочие расходы включают связь, интернет, канцелярию, ПО, юридические услуги (если сверх штата), командировочные и пр. Процент может быть скорректирован в зависимости от специфики.</t>
        </is>
      </c>
      <c r="B56" s="2" t="n"/>
      <c r="C56" s="2" t="n"/>
      <c r="D56" s="2" t="n"/>
      <c r="E56" s="2" t="n"/>
      <c r="F56" s="2" t="n"/>
    </row>
    <row r="57">
      <c r="A57" s="2" t="inlineStr">
        <is>
          <t xml:space="preserve">	4. Если компания ведёт несколько проектов одновременно, часть затрат может быть отнесена на себестоимость конкретных фильмов, но в данном расчёте показаны постоянные административно-хозяйственные расходы без учёта прямых производственных затрат (съёмки, постпродакшн, маркетинг).</t>
        </is>
      </c>
      <c r="B57" s="2" t="n"/>
      <c r="C57" s="2" t="n"/>
      <c r="D57" s="2" t="n"/>
      <c r="E57" s="2" t="n"/>
      <c r="F57" s="2" t="n"/>
    </row>
  </sheetData>
  <pageMargins left="0.7" right="0.7" top="0.75" bottom="0.75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cols>
    <col width="182.62" customWidth="1" min="1" max="1"/>
  </cols>
  <sheetData>
    <row r="1" ht="15" customHeight="1">
      <c r="A1" s="1" t="inlineStr">
        <is>
          <t>1. Кинотеатральный прокат (Box Office)
	• Для релиза в России и странах СНГ.
	• Компания получает долю от кассовых сборов (обычно 45–55% после вычета налогов).
	• При бюджете производства 1,25 млрд руб. фильм должен собрать в прокате 2,5–3 млрд руб., чтобы окупить производство и маркетинг. При успешном старте сборы могут принести 500–800 млн руб. в течение первых 3–6 месяцев.
	• Потенциал: до 1 000 млн руб. и выше для блокбастера.
2. Продажа прав онлайн-кинотеатрам (SVOD, AVOD)
	• Эксклюзивные лицензии на определённый срок (обычно 3–5 лет) для крупных платформ (IVI, Okko, Kinopoisk, Wink и др.).
	• Стоимость прав для высокобюджетного проекта может составлять 200–500 млн руб. в зависимости от количества серий и эксклюзивности.
	• Возможна сделка с предоплатой ещё до завершения производства (pre-sale), что улучшает cash flow.
3. Телевизионные права (FTA, Pay TV)
	• Продажа прав федеральным каналам (Первый, Россия 1, СТС, ТНТ и др.) на ограниченное число показов.
	• Для премьерного сериала или фильма сумма может достигать 50–200 млн руб.
	• Часто комбинируется с продажей прав стримингам в пакете.
4. Международные продажи (World Sales)
	• Продажа прав дистрибьюторам за рубежом (кинотеатры, ТВ, VOD).
	• Для локального российского контента суммы варьируются от 10–50 млн руб. (некоторые европейские страны) до 200–500 млн руб. при успешных продажах в Китай, США, Латинскую Америку.
	• Зависит от жанра, звёзд, фестивального успеха.
5. VOD/Transactional (TVOD, EST)
	• Доходы от платных скачиваний и просмотров на цифровых платформах (например, в период после кинотеатрального окна).
	• Может принести дополнительно 20–100 млн руб. в зависимости от популярности.
6. Спонсорство и продакт-плейсмент
	• Интеграция брендов в контент: от 10 млн руб. до 100–150 млн руб. для крупных проектов.
	• Часть спонсорских средств может поступать ещё на этапе производства, снижая потребность в инвестициях.
7. Государственная поддержка (Фонд кино, Минкульт)
	• Безвозвратные субсидии или возвратные инвестиции (в т.ч. на безвозмездной основе).
	• Могут составлять 30–50% от бюджета (до 500–700 млн руб.).
	• В модели это уменьшает объём привлекаемых инвестиций, но не увеличивает выручку напрямую; влияет на структуру капитала.
8. Налоговые льготы (рибейты)
	• В ряде регионов РФ (Москва, Калининградская область и др.) возможен возврат части затрат (до 30% от потраченного в регионе).
	• Не увеличивает выручку, но снижает фактические расходы.
9. Сопутствующие права (мерчандайзинг, музыка, издание)
	• Для семейных и анимационных проектов – продажа лицензий на игрушки, одежду, издание книг.
	• Может дать 20–100 млн руб. в течение нескольких лет.
10. Продажа прав на ремейки / адаптации
	• Если проект имеет успех, можно продать права на адаптацию зарубежным студиям.
	• Сумма от 50 млн руб. до нескольких сотен миллионов для громких хитов.</t>
        </is>
      </c>
      <c r="B1" s="2" t="n"/>
      <c r="C1" s="2" t="n"/>
      <c r="D1" s="2" t="n"/>
    </row>
    <row r="2" ht="15" customHeight="1">
      <c r="B2" s="2" t="n"/>
      <c r="C2" s="2" t="n"/>
      <c r="D2" s="2" t="n"/>
    </row>
    <row r="3" ht="15" customHeight="1">
      <c r="B3" s="2" t="n"/>
      <c r="C3" s="2" t="n"/>
      <c r="D3" s="2" t="n"/>
    </row>
    <row r="4" ht="15" customHeight="1">
      <c r="B4" s="2" t="n"/>
      <c r="C4" s="2" t="n"/>
      <c r="D4" s="2" t="n"/>
    </row>
    <row r="5" ht="15" customHeight="1">
      <c r="B5" s="2" t="n"/>
      <c r="C5" s="2" t="n"/>
      <c r="D5" s="2" t="n"/>
    </row>
    <row r="6" ht="15" customHeight="1">
      <c r="B6" s="2" t="n"/>
      <c r="C6" s="2" t="n"/>
      <c r="D6" s="2" t="n"/>
    </row>
    <row r="7" ht="15" customHeight="1">
      <c r="B7" s="2" t="n"/>
      <c r="C7" s="2" t="n"/>
      <c r="D7" s="2" t="n"/>
    </row>
    <row r="8" ht="15" customHeight="1">
      <c r="B8" s="2" t="n"/>
      <c r="C8" s="2" t="n"/>
      <c r="D8" s="2" t="n"/>
    </row>
    <row r="9" ht="15" customHeight="1">
      <c r="B9" s="2" t="n"/>
      <c r="C9" s="2" t="n"/>
      <c r="D9" s="2" t="n"/>
    </row>
    <row r="10" ht="15" customHeight="1">
      <c r="B10" s="2" t="n"/>
      <c r="C10" s="2" t="n"/>
      <c r="D10" s="2" t="n"/>
    </row>
    <row r="11" ht="15" customHeight="1">
      <c r="B11" s="2" t="n"/>
      <c r="C11" s="2" t="n"/>
      <c r="D11" s="2" t="n"/>
    </row>
    <row r="12" ht="15" customHeight="1">
      <c r="B12" s="2" t="n"/>
      <c r="C12" s="2" t="n"/>
      <c r="D12" s="2" t="n"/>
    </row>
    <row r="13" ht="15" customHeight="1">
      <c r="B13" s="2" t="n"/>
      <c r="C13" s="2" t="n"/>
      <c r="D13" s="2" t="n"/>
    </row>
    <row r="14" ht="15" customHeight="1">
      <c r="B14" s="2" t="n"/>
      <c r="C14" s="2" t="n"/>
      <c r="D14" s="2" t="n"/>
    </row>
    <row r="15" ht="15" customHeight="1">
      <c r="B15" s="2" t="n"/>
      <c r="C15" s="2" t="n"/>
      <c r="D15" s="2" t="n"/>
    </row>
    <row r="16" ht="15" customHeight="1">
      <c r="B16" s="2" t="n"/>
      <c r="C16" s="2" t="n"/>
      <c r="D16" s="2" t="n"/>
    </row>
    <row r="17" ht="15" customHeight="1">
      <c r="B17" s="2" t="n"/>
      <c r="C17" s="2" t="n"/>
      <c r="D17" s="2" t="n"/>
    </row>
    <row r="18" ht="15" customHeight="1">
      <c r="B18" s="2" t="n"/>
      <c r="C18" s="2" t="n"/>
      <c r="D18" s="2" t="n"/>
    </row>
    <row r="19" ht="15" customHeight="1">
      <c r="B19" s="2" t="n"/>
      <c r="C19" s="2" t="n"/>
      <c r="D19" s="2" t="n"/>
    </row>
    <row r="20" ht="15" customHeight="1">
      <c r="B20" s="2" t="n"/>
      <c r="C20" s="2" t="n"/>
      <c r="D20" s="2" t="n"/>
    </row>
    <row r="21" ht="15" customHeight="1">
      <c r="B21" s="2" t="n"/>
      <c r="C21" s="2" t="n"/>
      <c r="D21" s="2" t="n"/>
    </row>
    <row r="22" ht="15" customHeight="1">
      <c r="B22" s="2" t="n"/>
      <c r="C22" s="2" t="n"/>
      <c r="D22" s="2" t="n"/>
    </row>
    <row r="23" ht="15" customHeight="1">
      <c r="B23" s="2" t="n"/>
      <c r="C23" s="2" t="n"/>
      <c r="D23" s="2" t="n"/>
    </row>
    <row r="24" ht="15" customHeight="1">
      <c r="B24" s="2" t="n"/>
      <c r="C24" s="2" t="n"/>
      <c r="D24" s="2" t="n"/>
    </row>
    <row r="25" ht="15" customHeight="1">
      <c r="B25" s="2" t="n"/>
      <c r="C25" s="2" t="n"/>
      <c r="D25" s="2" t="n"/>
    </row>
    <row r="26" ht="15" customHeight="1">
      <c r="B26" s="2" t="n"/>
      <c r="C26" s="2" t="n"/>
      <c r="D26" s="2" t="n"/>
    </row>
    <row r="27" ht="15" customHeight="1">
      <c r="B27" s="2" t="n"/>
      <c r="C27" s="2" t="n"/>
      <c r="D27" s="2" t="n"/>
    </row>
    <row r="28" ht="15" customHeight="1">
      <c r="B28" s="2" t="n"/>
      <c r="C28" s="2" t="n"/>
      <c r="D28" s="2" t="n"/>
    </row>
    <row r="29" ht="15" customHeight="1">
      <c r="B29" s="2" t="n"/>
      <c r="C29" s="2" t="n"/>
      <c r="D29" s="2" t="n"/>
    </row>
    <row r="30" ht="15" customHeight="1">
      <c r="B30" s="2" t="n"/>
      <c r="C30" s="2" t="n"/>
      <c r="D30" s="2" t="n"/>
    </row>
    <row r="31" ht="15" customHeight="1">
      <c r="B31" s="2" t="n"/>
      <c r="C31" s="2" t="n"/>
      <c r="D31" s="2" t="n"/>
    </row>
    <row r="32" ht="15" customHeight="1">
      <c r="B32" s="2" t="n"/>
      <c r="C32" s="2" t="n"/>
      <c r="D32" s="2" t="n"/>
    </row>
    <row r="33" ht="15" customHeight="1">
      <c r="B33" s="2" t="n"/>
      <c r="C33" s="2" t="n"/>
      <c r="D33" s="2" t="n"/>
    </row>
    <row r="34" ht="15" customHeight="1">
      <c r="B34" s="2" t="n"/>
      <c r="C34" s="2" t="n"/>
      <c r="D34" s="2" t="n"/>
    </row>
    <row r="35" ht="15" customHeight="1">
      <c r="B35" s="2" t="n"/>
      <c r="C35" s="2" t="n"/>
      <c r="D35" s="2" t="n"/>
    </row>
    <row r="36" ht="15" customHeight="1">
      <c r="B36" s="2" t="n"/>
      <c r="C36" s="2" t="n"/>
      <c r="D36" s="2" t="n"/>
    </row>
    <row r="37" ht="15" customHeight="1">
      <c r="B37" s="2" t="n"/>
      <c r="C37" s="2" t="n"/>
      <c r="D37" s="2" t="n"/>
    </row>
    <row r="38" ht="15" customHeight="1">
      <c r="B38" s="2" t="n"/>
      <c r="C38" s="2" t="n"/>
      <c r="D38" s="2" t="n"/>
    </row>
    <row r="39" ht="15" customHeight="1">
      <c r="B39" s="2" t="n"/>
      <c r="C39" s="2" t="n"/>
      <c r="D39" s="2" t="n"/>
    </row>
    <row r="40" ht="15" customHeight="1">
      <c r="B40" s="2" t="n"/>
      <c r="C40" s="2" t="n"/>
      <c r="D40" s="2" t="n"/>
    </row>
    <row r="41" ht="15" customHeight="1">
      <c r="B41" s="2" t="n"/>
      <c r="C41" s="2" t="n"/>
      <c r="D41" s="2" t="n"/>
    </row>
    <row r="42" ht="15" customHeight="1">
      <c r="B42" s="2" t="n"/>
      <c r="C42" s="2" t="n"/>
      <c r="D42" s="2" t="n"/>
    </row>
    <row r="43" ht="15" customHeight="1">
      <c r="B43" s="2" t="n"/>
      <c r="C43" s="2" t="n"/>
      <c r="D43" s="2" t="n"/>
    </row>
    <row r="44" ht="15" customHeight="1">
      <c r="B44" s="2" t="n"/>
      <c r="C44" s="2" t="n"/>
      <c r="D44" s="2" t="n"/>
    </row>
    <row r="45" ht="15" customHeight="1">
      <c r="B45" s="2" t="n"/>
      <c r="C45" s="2" t="n"/>
      <c r="D45" s="2" t="n"/>
    </row>
    <row r="46" ht="15" customHeight="1">
      <c r="A46" s="20" t="n"/>
      <c r="B46" s="2" t="n"/>
      <c r="C46" s="2" t="n"/>
      <c r="D46" s="2" t="n"/>
    </row>
    <row r="47" ht="15" customHeight="1">
      <c r="A47" s="19" t="inlineStr">
        <is>
          <t>Пример структуры доходов для целевого показателя (млн руб.)</t>
        </is>
      </c>
      <c r="B47" s="2" t="n"/>
      <c r="C47" s="2" t="n"/>
      <c r="D47" s="2" t="n"/>
    </row>
    <row r="48" ht="30" customHeight="1">
      <c r="A48" s="6" t="inlineStr">
        <is>
          <t>Источник</t>
        </is>
      </c>
      <c r="B48" s="6" t="inlineStr">
        <is>
          <t>Нижняя граница</t>
        </is>
      </c>
      <c r="C48" s="6" t="inlineStr">
        <is>
          <t>Верхняя граница</t>
        </is>
      </c>
      <c r="D48" s="6" t="inlineStr">
        <is>
          <t>Реалистичный целевой вклад</t>
        </is>
      </c>
    </row>
    <row r="49" ht="15.75" customHeight="1">
      <c r="A49" s="4" t="inlineStr">
        <is>
          <t>Кинотеатральный прокат</t>
        </is>
      </c>
      <c r="B49" s="4" t="n">
        <v>400</v>
      </c>
      <c r="C49" s="21" t="n">
        <v>1200</v>
      </c>
      <c r="D49" s="4" t="n">
        <v>800</v>
      </c>
    </row>
    <row r="50" ht="15.75" customHeight="1">
      <c r="A50" s="4" t="inlineStr">
        <is>
          <t>Онлайн-кинотеатры (SVOD)</t>
        </is>
      </c>
      <c r="B50" s="4" t="n">
        <v>150</v>
      </c>
      <c r="C50" s="4" t="n">
        <v>500</v>
      </c>
      <c r="D50" s="4" t="n">
        <v>300</v>
      </c>
    </row>
    <row r="51" ht="15.75" customHeight="1">
      <c r="A51" s="4" t="inlineStr">
        <is>
          <t>ТВ-права</t>
        </is>
      </c>
      <c r="B51" s="4" t="n">
        <v>50</v>
      </c>
      <c r="C51" s="4" t="n">
        <v>200</v>
      </c>
      <c r="D51" s="4" t="n">
        <v>100</v>
      </c>
    </row>
    <row r="52" ht="15.75" customHeight="1">
      <c r="A52" s="4" t="inlineStr">
        <is>
          <t>Международные продажи</t>
        </is>
      </c>
      <c r="B52" s="4" t="n">
        <v>30</v>
      </c>
      <c r="C52" s="4" t="n">
        <v>500</v>
      </c>
      <c r="D52" s="4" t="n">
        <v>150</v>
      </c>
    </row>
    <row r="53" ht="15" customHeight="1">
      <c r="A53" s="4" t="inlineStr">
        <is>
          <t>VOD / TVOD</t>
        </is>
      </c>
      <c r="B53" s="4" t="n">
        <v>20</v>
      </c>
      <c r="C53" s="4" t="n">
        <v>100</v>
      </c>
      <c r="D53" s="4" t="n">
        <v>50</v>
      </c>
    </row>
    <row r="54" ht="15.75" customHeight="1">
      <c r="A54" s="4" t="inlineStr">
        <is>
          <t>Спонсорство / product placement</t>
        </is>
      </c>
      <c r="B54" s="4" t="n">
        <v>20</v>
      </c>
      <c r="C54" s="4" t="n">
        <v>150</v>
      </c>
      <c r="D54" s="4" t="n">
        <v>80</v>
      </c>
    </row>
    <row r="55" ht="15.75" customHeight="1">
      <c r="A55" s="4" t="inlineStr">
        <is>
          <t>Сопутствующие права</t>
        </is>
      </c>
      <c r="B55" s="4" t="n">
        <v>10</v>
      </c>
      <c r="C55" s="4" t="n">
        <v>100</v>
      </c>
      <c r="D55" s="4" t="n">
        <v>35</v>
      </c>
    </row>
    <row r="56" ht="15.75" customHeight="1">
      <c r="A56" s="4" t="inlineStr">
        <is>
          <t>ИТОГО</t>
        </is>
      </c>
      <c r="B56" s="4" t="n">
        <v>680</v>
      </c>
      <c r="C56" s="21" t="n">
        <v>2750</v>
      </c>
      <c r="D56" s="4" t="inlineStr">
        <is>
          <t>~1 515</t>
        </is>
      </c>
    </row>
    <row r="57" ht="15" customHeight="1">
      <c r="A57" s="20" t="inlineStr">
        <is>
          <t>Примечание: Если проект является сериалом (например, 8–12 серий), доходы от стримингов и ТВ могут быть значительно выше (до 800–1 000 млн руб.), а кинотеатральный прокат отсутствует.</t>
        </is>
      </c>
      <c r="B57" s="2" t="n"/>
      <c r="C57" s="2" t="n"/>
      <c r="D57" s="2" t="n"/>
    </row>
    <row r="58" ht="15" customHeight="1">
      <c r="A58" s="20" t="n"/>
      <c r="B58" s="2" t="n"/>
      <c r="C58" s="2" t="n"/>
      <c r="D58" s="2" t="n"/>
    </row>
    <row r="59" ht="15" customHeight="1">
      <c r="A59" s="19" t="inlineStr">
        <is>
          <t>Как доходы распределяются во времени (cash flow)</t>
        </is>
      </c>
      <c r="B59" s="2" t="n"/>
      <c r="C59" s="2" t="n"/>
      <c r="D59" s="2" t="n"/>
    </row>
    <row r="60" ht="15" customHeight="1">
      <c r="A60" s="2" t="inlineStr">
        <is>
          <t xml:space="preserve">	• Предпродажи / спонсорство: часть средств поступает до или во время производства → улучшает график финансирования.</t>
        </is>
      </c>
      <c r="B60" s="2" t="n"/>
      <c r="C60" s="2" t="n"/>
      <c r="D60" s="2" t="n"/>
    </row>
    <row r="61" ht="15" customHeight="1">
      <c r="A61" s="2" t="inlineStr">
        <is>
          <t xml:space="preserve">	• Кинотеатральный прокат: основной поток в первые 3–6 месяцев после релиза (обычно 5–8 квартал в нашей модели).</t>
        </is>
      </c>
      <c r="B61" s="2" t="n"/>
      <c r="C61" s="2" t="n"/>
      <c r="D61" s="2" t="n"/>
    </row>
    <row r="62" ht="15" customHeight="1">
      <c r="A62" s="2" t="inlineStr">
        <is>
          <t xml:space="preserve">	• Продажи стримингам и ТВ: могут иметь авансы на этапе производства, финальный платёж – при передаче прав (часто после окончания производства).</t>
        </is>
      </c>
      <c r="B62" s="2" t="n"/>
      <c r="C62" s="2" t="n"/>
      <c r="D62" s="2" t="n"/>
    </row>
    <row r="63" ht="15" customHeight="1">
      <c r="A63" s="2" t="inlineStr">
        <is>
          <t xml:space="preserve">	• Международные продажи: распределены во времени (сделки могут закрываться в течение 1–2 лет после премьеры).</t>
        </is>
      </c>
      <c r="B63" s="2" t="n"/>
      <c r="C63" s="2" t="n"/>
      <c r="D63" s="2" t="n"/>
    </row>
    <row r="64" ht="15" customHeight="1">
      <c r="A64" s="20" t="n"/>
      <c r="B64" s="2" t="n"/>
      <c r="C64" s="2" t="n"/>
      <c r="D64" s="2" t="n"/>
    </row>
    <row r="65" ht="15" customHeight="1">
      <c r="A65" s="19" t="inlineStr">
        <is>
          <t>Вывод</t>
        </is>
      </c>
      <c r="B65" s="2" t="n"/>
      <c r="C65" s="2" t="n"/>
      <c r="D65" s="2" t="n"/>
    </row>
    <row r="66" ht="15" customHeight="1">
      <c r="A66" s="1" t="inlineStr">
        <is>
          <t>Для покрытия совокупных затрат (производство 1 250 млн руб. + операционные расходы ~265 млн руб. за 3 года) и выхода на окупаемость за 3 года компании необходимо реализовать комплексную монетизацию, ориентированную в первую очередь на сочетание кинотеатрального проката и продажи прав ведущим стримингам. При грамотной стратегии продаж и успешном проекте целевой уровень доходов (1,5–1,9 млрд руб.) достижим даже в текущих рыночных условиях.</t>
        </is>
      </c>
      <c r="B66" s="2" t="n"/>
      <c r="C66" s="2" t="n"/>
      <c r="D66" s="2" t="n"/>
    </row>
    <row r="67" ht="15" customHeight="1">
      <c r="B67" s="2" t="n"/>
      <c r="C67" s="2" t="n"/>
      <c r="D67" s="2" t="n"/>
    </row>
    <row r="68" ht="15" customHeight="1">
      <c r="B68" s="2" t="n"/>
      <c r="C68" s="2" t="n"/>
      <c r="D68" s="2" t="n"/>
    </row>
    <row r="69" ht="15" customHeight="1">
      <c r="B69" s="2" t="n"/>
      <c r="C69" s="2" t="n"/>
      <c r="D69" s="2" t="n"/>
    </row>
  </sheetData>
  <mergeCells count="2">
    <mergeCell ref="A66:A69"/>
    <mergeCell ref="A1:A45"/>
  </mergeCells>
  <pageMargins left="0.7" right="0.7" top="0.75" bottom="0.75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1"/>
  <sheetViews>
    <sheetView zoomScale="75" workbookViewId="0">
      <selection activeCell="A1" sqref="A1"/>
    </sheetView>
  </sheetViews>
  <sheetFormatPr baseColWidth="8" defaultRowHeight="15"/>
  <cols>
    <col width="10.85" customWidth="1" min="1" max="1"/>
    <col width="70.16" customWidth="1" min="2" max="2"/>
    <col width="30.33" customWidth="1" min="3" max="3"/>
    <col width="51.3" customWidth="1" min="4" max="4"/>
    <col width="55.86" customWidth="1" min="5" max="5"/>
    <col width="14.05" customWidth="1" min="6" max="6"/>
  </cols>
  <sheetData>
    <row r="1" ht="41.1" customHeight="1">
      <c r="A1" s="22" t="inlineStr">
        <is>
          <t>ФИНАНСОВАЯ МОДЕЛЬ: ФИЛЬМЫ, ДИСТРИБУЦИЯ, ГРАНТЫ - Верхнеуровневая.</t>
        </is>
      </c>
      <c r="B1" s="23" t="n"/>
      <c r="C1" s="23" t="n"/>
      <c r="D1" s="23" t="n"/>
      <c r="E1" s="23" t="n"/>
      <c r="F1" s="24" t="n"/>
    </row>
    <row r="2" ht="33" customHeight="1">
      <c r="A2" s="25" t="inlineStr">
        <is>
          <t>1.</t>
        </is>
      </c>
      <c r="B2" s="26" t="inlineStr">
        <is>
          <t>Параметр</t>
        </is>
      </c>
      <c r="C2" s="27" t="inlineStr">
        <is>
          <t>Значение, руб.</t>
        </is>
      </c>
      <c r="D2" s="26" t="inlineStr">
        <is>
          <t>Комментарий</t>
        </is>
      </c>
      <c r="E2" s="28" t="n"/>
      <c r="F2" s="2" t="n"/>
    </row>
    <row r="3" ht="62.1" customHeight="1">
      <c r="A3" s="29" t="inlineStr">
        <is>
          <t>1.1.</t>
        </is>
      </c>
      <c r="B3" s="30" t="inlineStr">
        <is>
          <t>Общий бюджет проекта</t>
        </is>
      </c>
      <c r="C3" s="31">
        <f>C4+C5</f>
        <v/>
      </c>
      <c r="D3" s="32" t="inlineStr">
        <is>
          <t xml:space="preserve">Рассчитано: инвестиции инвестор и продюсеры. В стоимость не включены налоги </t>
        </is>
      </c>
      <c r="E3" s="33" t="n"/>
      <c r="F3" s="2" t="n"/>
    </row>
    <row r="4" ht="27.95" customHeight="1">
      <c r="A4" s="34" t="inlineStr">
        <is>
          <t>1.2.</t>
        </is>
      </c>
      <c r="B4" s="30" t="inlineStr">
        <is>
          <t xml:space="preserve">Вложения инвестор </t>
        </is>
      </c>
      <c r="C4" s="31">
        <f>D29</f>
        <v/>
      </c>
      <c r="D4" s="35" t="n"/>
      <c r="E4" s="33" t="n"/>
      <c r="F4" s="2" t="n"/>
    </row>
    <row r="5" ht="27.95" customHeight="1">
      <c r="A5" s="34" t="inlineStr">
        <is>
          <t>1.3.</t>
        </is>
      </c>
      <c r="B5" s="30" t="inlineStr">
        <is>
          <t>Вложения продюсеры</t>
        </is>
      </c>
      <c r="C5" s="31" t="n">
        <v>600000000</v>
      </c>
      <c r="D5" s="35" t="inlineStr">
        <is>
          <t>Правами и имеющимися проектами.</t>
        </is>
      </c>
      <c r="E5" s="33" t="n"/>
      <c r="F5" s="2" t="n"/>
    </row>
    <row r="6" ht="48.95" customHeight="1">
      <c r="A6" s="34" t="inlineStr">
        <is>
          <t>1.4.</t>
        </is>
      </c>
      <c r="B6" s="30" t="inlineStr">
        <is>
          <t>Прибыль инвестора</t>
        </is>
      </c>
      <c r="C6" s="31">
        <f>(C22-120000000)*50%</f>
        <v/>
      </c>
      <c r="D6" s="36" t="n"/>
      <c r="E6" s="28" t="n"/>
      <c r="F6" s="2" t="n"/>
    </row>
    <row r="7" ht="48.95" customHeight="1">
      <c r="A7" s="34" t="inlineStr">
        <is>
          <t>1.5.</t>
        </is>
      </c>
      <c r="B7" s="37" t="inlineStr">
        <is>
          <t>Прибыль продюсеры</t>
        </is>
      </c>
      <c r="C7" s="38">
        <f>C13-C4-C5-C6</f>
        <v/>
      </c>
      <c r="D7" s="36" t="n"/>
      <c r="E7" s="28" t="n"/>
      <c r="F7" s="2" t="n"/>
    </row>
    <row r="8" ht="47.1" customHeight="1">
      <c r="A8" s="34" t="inlineStr">
        <is>
          <t>1.6.</t>
        </is>
      </c>
      <c r="B8" s="39" t="inlineStr">
        <is>
          <t>Доп.доход инвестора от пролоннгации прав в течении 5 лет</t>
        </is>
      </c>
      <c r="C8" s="38" t="n"/>
      <c r="D8" s="40" t="n"/>
      <c r="E8" s="28" t="n"/>
      <c r="F8" s="2" t="n"/>
    </row>
    <row r="9" ht="47.1" customHeight="1">
      <c r="A9" s="34" t="n"/>
      <c r="B9" s="39" t="inlineStr">
        <is>
          <t>Доп.доход продюсеры от пролоннгации прав в течении 5 лет</t>
        </is>
      </c>
      <c r="C9" s="38" t="n"/>
      <c r="D9" s="40" t="n"/>
      <c r="E9" s="28" t="n"/>
      <c r="F9" s="2" t="n"/>
    </row>
    <row r="10" ht="47.1" customHeight="1">
      <c r="A10" s="34" t="inlineStr">
        <is>
          <t>1.7.</t>
        </is>
      </c>
      <c r="B10" s="39" t="inlineStr">
        <is>
          <t>Итого прибыль инвестора</t>
        </is>
      </c>
      <c r="C10" s="41">
        <f>C8+C6</f>
        <v/>
      </c>
      <c r="D10" s="40" t="n"/>
      <c r="E10" s="28" t="n"/>
      <c r="F10" s="2" t="n"/>
    </row>
    <row r="11" ht="47.1" customHeight="1">
      <c r="A11" s="34" t="n"/>
      <c r="B11" s="39" t="inlineStr">
        <is>
          <t>Итого прибыль продюсеры</t>
        </is>
      </c>
      <c r="C11" s="41">
        <f>C7+C9</f>
        <v/>
      </c>
      <c r="D11" s="40" t="n"/>
      <c r="E11" s="28" t="n"/>
      <c r="F11" s="2" t="n"/>
    </row>
    <row r="12" ht="38.1" customHeight="1">
      <c r="A12" s="42" t="inlineStr">
        <is>
          <t>1.8.</t>
        </is>
      </c>
      <c r="B12" s="30" t="inlineStr">
        <is>
          <t>Предполагаемый срок окупаемости</t>
        </is>
      </c>
      <c r="C12" s="31" t="inlineStr">
        <is>
          <t>36-48 месяцев</t>
        </is>
      </c>
      <c r="D12" s="36" t="n"/>
      <c r="E12" s="28" t="n"/>
      <c r="F12" s="2" t="n"/>
    </row>
    <row r="13" ht="47.1" customHeight="1">
      <c r="A13" s="42" t="inlineStr">
        <is>
          <t>1.9.</t>
        </is>
      </c>
      <c r="B13" s="30" t="inlineStr">
        <is>
          <t>Прибыль от проекта (всего)</t>
        </is>
      </c>
      <c r="C13" s="43" t="n">
        <v>4850000000</v>
      </c>
      <c r="D13" s="36" t="inlineStr">
        <is>
          <t>Расчитоно без учета доходов от пролонгации прав</t>
        </is>
      </c>
      <c r="E13" s="44" t="n"/>
      <c r="F13" s="2" t="n"/>
    </row>
    <row r="14" ht="54" customHeight="1">
      <c r="A14" s="42" t="inlineStr">
        <is>
          <t>1.10.</t>
        </is>
      </c>
      <c r="B14" s="37" t="inlineStr">
        <is>
          <t>Распределение прибыли до окупаемости</t>
        </is>
      </c>
      <c r="C14" s="45" t="inlineStr">
        <is>
          <t>60% инвестор / 40% продюсеры</t>
        </is>
      </c>
      <c r="D14" s="40" t="n"/>
      <c r="E14" s="28" t="n"/>
      <c r="F14" s="2" t="n"/>
    </row>
    <row r="15" ht="51" customHeight="1">
      <c r="A15" s="42" t="inlineStr">
        <is>
          <t>1.11.</t>
        </is>
      </c>
      <c r="B15" s="30" t="inlineStr">
        <is>
          <t>Распределение прибыли после окупаемости</t>
        </is>
      </c>
      <c r="C15" s="45" t="inlineStr">
        <is>
          <t>50% инвестор / 50% продюсеры</t>
        </is>
      </c>
      <c r="D15" s="46" t="n"/>
      <c r="E15" s="28" t="n"/>
      <c r="F15" s="2" t="n"/>
    </row>
    <row r="16" ht="38.1" customHeight="1">
      <c r="A16" s="47" t="inlineStr">
        <is>
          <t>ДОХОДЫ ОТ ПРОЕКТА (разбивка):</t>
        </is>
      </c>
      <c r="E16" s="48" t="n"/>
      <c r="F16" s="2" t="n"/>
    </row>
    <row r="17" ht="27.95" customHeight="1">
      <c r="A17" s="25" t="inlineStr">
        <is>
          <t>2.</t>
        </is>
      </c>
      <c r="B17" s="49" t="inlineStr">
        <is>
          <t>Источник дохода</t>
        </is>
      </c>
      <c r="C17" s="50" t="inlineStr">
        <is>
          <t>Сумма (руб.)</t>
        </is>
      </c>
      <c r="D17" s="50" t="inlineStr">
        <is>
          <t>Примечание</t>
        </is>
      </c>
      <c r="E17" s="28" t="n"/>
      <c r="F17" s="2" t="n"/>
    </row>
    <row r="18" ht="63.95" customHeight="1">
      <c r="A18" s="34" t="inlineStr">
        <is>
          <t>2.1.</t>
        </is>
      </c>
      <c r="B18" s="30" t="inlineStr">
        <is>
          <t>Прокаты в РФ</t>
        </is>
      </c>
      <c r="C18" s="31" t="n">
        <v>2950000000</v>
      </c>
      <c r="D18" s="36" t="inlineStr">
        <is>
          <t>После вычета кинотеатров и прокатчика (прокат в РФ: 50% кинотеатры - 25% прокатчик)</t>
        </is>
      </c>
      <c r="E18" s="28" t="n"/>
      <c r="F18" s="2" t="n"/>
    </row>
    <row r="19" ht="30.95" customHeight="1">
      <c r="A19" s="34" t="inlineStr">
        <is>
          <t>2.2.</t>
        </is>
      </c>
      <c r="B19" s="30" t="inlineStr">
        <is>
          <t>Цифровые платформы РФ (пакет)</t>
        </is>
      </c>
      <c r="C19" s="31" t="n">
        <v>600000000</v>
      </c>
      <c r="D19" s="36" t="inlineStr">
        <is>
          <t>Диджитал платформы РФ за пакеты</t>
        </is>
      </c>
      <c r="E19" s="28" t="n"/>
      <c r="F19" s="2" t="n"/>
    </row>
    <row r="20" ht="33" customHeight="1">
      <c r="A20" s="34" t="inlineStr">
        <is>
          <t>2.3.</t>
        </is>
      </c>
      <c r="B20" s="30" t="inlineStr">
        <is>
          <t>ТВ-права РФ (пакет)</t>
        </is>
      </c>
      <c r="C20" s="31" t="n">
        <v>400000000</v>
      </c>
      <c r="D20" s="36" t="inlineStr">
        <is>
          <t>ТВ-права РФ за пакеты</t>
        </is>
      </c>
      <c r="E20" s="28" t="n"/>
      <c r="F20" s="2" t="n"/>
    </row>
    <row r="21" ht="60" customHeight="1">
      <c r="A21" s="34" t="inlineStr">
        <is>
          <t>2.4.</t>
        </is>
      </c>
      <c r="B21" s="30" t="inlineStr">
        <is>
          <t>Международные права</t>
        </is>
      </c>
      <c r="C21" s="31" t="n">
        <v>600000000</v>
      </c>
      <c r="D21" s="36" t="inlineStr">
        <is>
          <t>После вычета дистрибьютора 25% (международные права, 25% дистрибьютора)</t>
        </is>
      </c>
      <c r="E21" s="28" t="n"/>
      <c r="F21" s="2" t="n"/>
    </row>
    <row r="22" ht="27.95" customHeight="1">
      <c r="A22" s="34" t="inlineStr">
        <is>
          <t>2.5.</t>
        </is>
      </c>
      <c r="B22" s="30" t="inlineStr">
        <is>
          <t>Итого доходов</t>
        </is>
      </c>
      <c r="C22" s="43">
        <f>SUM(C18:C21)</f>
        <v/>
      </c>
      <c r="D22" s="36" t="n"/>
      <c r="E22" s="28" t="n"/>
      <c r="F22" s="2" t="n"/>
    </row>
    <row r="23" ht="38.1" customHeight="1">
      <c r="A23" s="34" t="n"/>
      <c r="B23" s="51" t="inlineStr">
        <is>
          <t>ГРАФИК ИНВЕСТИЦИЙ (поэтапное финансирование инвестора):</t>
        </is>
      </c>
      <c r="E23" s="52" t="n"/>
      <c r="F23" s="2" t="n"/>
    </row>
    <row r="24" ht="30.95" customHeight="1">
      <c r="A24" s="25" t="inlineStr">
        <is>
          <t>3.</t>
        </is>
      </c>
      <c r="B24" s="53" t="inlineStr">
        <is>
          <t>Этап</t>
        </is>
      </c>
      <c r="C24" s="54" t="inlineStr">
        <is>
          <t>% от инвестиций</t>
        </is>
      </c>
      <c r="D24" s="55" t="inlineStr">
        <is>
          <t>Сумма (руб.)</t>
        </is>
      </c>
      <c r="E24" s="55" t="n"/>
      <c r="F24" s="2" t="n"/>
    </row>
    <row r="25" ht="27" customHeight="1">
      <c r="A25" s="34" t="inlineStr">
        <is>
          <t>3.1.</t>
        </is>
      </c>
      <c r="B25" s="56" t="inlineStr">
        <is>
          <t>Подписание контракта</t>
        </is>
      </c>
      <c r="C25" s="57" t="n">
        <v>0.2</v>
      </c>
      <c r="D25" s="58" t="n">
        <v>250000000</v>
      </c>
      <c r="E25" s="59" t="n"/>
      <c r="F25" s="2" t="n"/>
    </row>
    <row r="26" ht="42" customHeight="1">
      <c r="A26" s="34" t="inlineStr">
        <is>
          <t>3.2.</t>
        </is>
      </c>
      <c r="B26" s="56" t="inlineStr">
        <is>
          <t>Первый транш после подписания устава новым советом учредителей</t>
        </is>
      </c>
      <c r="C26" s="57" t="n">
        <v>0.28</v>
      </c>
      <c r="D26" s="38" t="n">
        <v>350000000</v>
      </c>
      <c r="E26" s="59" t="n"/>
      <c r="F26" s="2" t="n"/>
    </row>
    <row r="27" ht="35.1" customHeight="1">
      <c r="A27" s="34" t="inlineStr">
        <is>
          <t>3.3.</t>
        </is>
      </c>
      <c r="B27" s="56" t="inlineStr">
        <is>
          <t>Второй транш после аудита о проделанной работе</t>
        </is>
      </c>
      <c r="C27" s="57" t="n">
        <v>0.28</v>
      </c>
      <c r="D27" s="58" t="n">
        <v>350000000</v>
      </c>
      <c r="E27" s="59" t="n"/>
      <c r="F27" s="2" t="n"/>
    </row>
    <row r="28" ht="42.95" customHeight="1">
      <c r="A28" s="34" t="inlineStr">
        <is>
          <t>3.4.</t>
        </is>
      </c>
      <c r="B28" s="60" t="inlineStr">
        <is>
          <t>Третий транш после аудита о проделанной работе</t>
        </is>
      </c>
      <c r="C28" s="61" t="n">
        <v>0.24</v>
      </c>
      <c r="D28" s="38" t="n">
        <v>300000000</v>
      </c>
      <c r="E28" s="59" t="n"/>
      <c r="F28" s="2" t="n"/>
    </row>
    <row r="29" ht="35.1" customHeight="1">
      <c r="A29" s="34" t="inlineStr">
        <is>
          <t>3.5.</t>
        </is>
      </c>
      <c r="B29" s="62" t="inlineStr">
        <is>
          <t>Всего инвестиций</t>
        </is>
      </c>
      <c r="C29" s="63">
        <f>SUM(C25:C28)</f>
        <v/>
      </c>
      <c r="D29" s="58">
        <f>SUM(D25:D28)</f>
        <v/>
      </c>
      <c r="E29" s="59" t="n"/>
      <c r="F29" s="2" t="n"/>
    </row>
    <row r="30" ht="35.1" customHeight="1">
      <c r="A30" s="47" t="inlineStr">
        <is>
          <t>ПАРТНЕРЫ</t>
        </is>
      </c>
      <c r="E30" s="48" t="n"/>
      <c r="F30" s="2" t="n"/>
    </row>
    <row r="31" ht="42.95" customHeight="1">
      <c r="A31" s="64" t="inlineStr">
        <is>
          <t>4.</t>
        </is>
      </c>
      <c r="B31" s="65" t="inlineStr">
        <is>
          <t xml:space="preserve">Прокатчики (РФ): </t>
        </is>
      </c>
      <c r="C31" s="66" t="inlineStr">
        <is>
          <t>Вольга, Централ Партнершип, Наше Кино</t>
        </is>
      </c>
      <c r="D31" s="67" t="n"/>
      <c r="E31" s="68" t="n"/>
      <c r="F31" s="2" t="n"/>
    </row>
    <row r="32" ht="42.95" customHeight="1">
      <c r="A32" s="34" t="inlineStr">
        <is>
          <t>4.1.</t>
        </is>
      </c>
      <c r="B32" s="65" t="inlineStr">
        <is>
          <t xml:space="preserve">Платформенный дистрибьютор: </t>
        </is>
      </c>
      <c r="C32" s="69" t="inlineStr">
        <is>
          <t>Премьер (ГПМ), ОлМедиа (YBW), Корневая платформа - ИВИ, Винк (НМГ).</t>
        </is>
      </c>
      <c r="D32" s="67" t="n"/>
      <c r="E32" s="68" t="n"/>
      <c r="F32" s="2" t="n"/>
    </row>
    <row r="33" ht="39.95" customHeight="1">
      <c r="A33" s="34" t="inlineStr">
        <is>
          <t>4.2.</t>
        </is>
      </c>
      <c r="B33" s="65" t="inlineStr">
        <is>
          <t xml:space="preserve">ТВ-права: </t>
        </is>
      </c>
      <c r="C33" s="66" t="inlineStr">
        <is>
          <t>Телеканал ТНТ, ТВ3, Россия 1, Рен-ТВ.</t>
        </is>
      </c>
      <c r="D33" s="67" t="n"/>
      <c r="E33" s="68" t="n"/>
      <c r="F33" s="2" t="n"/>
    </row>
    <row r="34" ht="54" customHeight="1">
      <c r="A34" s="34" t="inlineStr">
        <is>
          <t>4.1.</t>
        </is>
      </c>
      <c r="B34" s="65" t="inlineStr">
        <is>
          <t xml:space="preserve">Международные права (дистрибьюция): </t>
        </is>
      </c>
      <c r="C34" s="69" t="inlineStr">
        <is>
          <t>ЦПШ, ВОЛЬГА, Международный партнер.</t>
        </is>
      </c>
      <c r="D34" s="67" t="n"/>
      <c r="E34" s="68" t="n"/>
      <c r="F34" s="2" t="n"/>
    </row>
    <row r="35" ht="35.1" customHeight="1">
      <c r="A35" s="47" t="inlineStr">
        <is>
          <t>ВЫВОД ДЛЯ ИНВЕСТОРА</t>
        </is>
      </c>
      <c r="E35" s="48" t="n"/>
      <c r="F35" s="2" t="n"/>
    </row>
    <row r="36" ht="35.1" customHeight="1">
      <c r="A36" s="25" t="inlineStr">
        <is>
          <t>5.</t>
        </is>
      </c>
      <c r="B36" s="70" t="inlineStr">
        <is>
          <t xml:space="preserve">Срок окупаемости: </t>
        </is>
      </c>
      <c r="C36" s="71" t="inlineStr">
        <is>
          <t>36-48 месяцев</t>
        </is>
      </c>
      <c r="D36" s="72" t="n"/>
      <c r="E36" s="73" t="n"/>
      <c r="F36" s="2" t="n"/>
    </row>
    <row r="37" ht="19.5" customHeight="1">
      <c r="A37" s="74" t="inlineStr">
        <is>
          <t>5.1.</t>
        </is>
      </c>
      <c r="B37" s="75" t="inlineStr">
        <is>
          <t xml:space="preserve">Общая доходность проекта для инвестора: </t>
        </is>
      </c>
      <c r="C37" s="76" t="inlineStr">
        <is>
          <t>3 465 000 000 (без учета продажи холдинга в будущем)</t>
        </is>
      </c>
      <c r="D37" s="77" t="n"/>
      <c r="E37" s="73" t="n"/>
      <c r="F37" s="2" t="n"/>
    </row>
    <row r="38" ht="81.95" customHeight="1">
      <c r="A38" s="78" t="inlineStr">
        <is>
          <t>5.2.</t>
        </is>
      </c>
      <c r="B38" s="79" t="inlineStr">
        <is>
          <t xml:space="preserve">Риски: </t>
        </is>
      </c>
      <c r="C38" s="80" t="inlineStr">
        <is>
          <t>Минимизированы за счёт поэтапного финансирования и предварительных договорённостей с партнёрами (прокатчики, платформы, ТВ).</t>
        </is>
      </c>
      <c r="D38" s="67" t="n"/>
      <c r="E38" s="68" t="n"/>
      <c r="F38" s="2" t="n"/>
    </row>
    <row r="39" ht="35.1" customHeight="1">
      <c r="A39" s="81" t="n"/>
      <c r="B39" s="82" t="n"/>
      <c r="C39" s="83" t="n"/>
      <c r="D39" s="84" t="n"/>
      <c r="E39" s="73" t="n"/>
      <c r="F39" s="2" t="n"/>
    </row>
    <row r="40" ht="47.1" customHeight="1">
      <c r="A40" s="2" t="n"/>
      <c r="B40" s="2" t="n"/>
      <c r="C40" s="2" t="n"/>
      <c r="D40" s="2" t="n"/>
      <c r="E40" s="73" t="n"/>
      <c r="F40" s="2" t="n"/>
    </row>
    <row r="41">
      <c r="A41" s="2" t="n"/>
      <c r="B41" s="2" t="n"/>
      <c r="C41" s="2" t="n"/>
      <c r="D41" s="2" t="n"/>
      <c r="E41" s="73" t="n"/>
      <c r="F41" s="2" t="n"/>
    </row>
    <row r="42">
      <c r="A42" s="2" t="n"/>
      <c r="B42" s="2" t="n"/>
      <c r="C42" s="2" t="n"/>
      <c r="D42" s="2" t="n"/>
      <c r="E42" s="73" t="n"/>
      <c r="F42" s="2" t="n"/>
    </row>
    <row r="43" ht="35.1" customHeight="1">
      <c r="A43" s="2" t="n"/>
      <c r="B43" s="2" t="n"/>
      <c r="C43" s="2" t="n"/>
      <c r="D43" s="2" t="n"/>
      <c r="E43" s="85" t="n"/>
      <c r="F43" s="2" t="n"/>
    </row>
    <row r="44" ht="35.1" customHeight="1">
      <c r="A44" s="2" t="n"/>
      <c r="B44" s="2" t="n"/>
      <c r="C44" s="2" t="n"/>
      <c r="D44" s="2" t="n"/>
      <c r="E44" s="85" t="n"/>
      <c r="F44" s="2" t="n"/>
    </row>
    <row r="45" ht="35.1" customHeight="1">
      <c r="A45" s="2" t="n"/>
      <c r="B45" s="2" t="n"/>
      <c r="C45" s="2" t="n"/>
      <c r="D45" s="2" t="n"/>
      <c r="E45" s="85" t="n"/>
      <c r="F45" s="2" t="n"/>
    </row>
    <row r="46" ht="35.1" customHeight="1">
      <c r="A46" s="2" t="n"/>
      <c r="B46" s="2" t="n"/>
      <c r="C46" s="2" t="n"/>
      <c r="D46" s="2" t="n"/>
      <c r="E46" s="85" t="n"/>
      <c r="F46" s="2" t="n"/>
    </row>
    <row r="47" ht="35.1" customHeight="1">
      <c r="A47" s="2" t="n"/>
      <c r="B47" s="2" t="n"/>
      <c r="C47" s="2" t="n"/>
      <c r="D47" s="2" t="n"/>
      <c r="E47" s="85" t="n"/>
      <c r="F47" s="2" t="n"/>
    </row>
    <row r="48" ht="38.1" customHeight="1">
      <c r="A48" s="2" t="n"/>
      <c r="B48" s="2" t="n"/>
      <c r="C48" s="2" t="n"/>
      <c r="D48" s="2" t="n"/>
      <c r="E48" s="85" t="n"/>
      <c r="F48" s="2" t="n"/>
    </row>
    <row r="49" ht="35.1" customHeight="1">
      <c r="A49" s="2" t="n"/>
      <c r="B49" s="2" t="n"/>
      <c r="C49" s="2" t="n"/>
      <c r="D49" s="2" t="n"/>
      <c r="E49" s="2" t="n"/>
      <c r="F49" s="2" t="n"/>
    </row>
    <row r="50" ht="35.1" customHeight="1">
      <c r="A50" s="2" t="n"/>
      <c r="B50" s="2" t="n"/>
      <c r="C50" s="2" t="n"/>
      <c r="D50" s="2" t="n"/>
      <c r="E50" s="2" t="n"/>
      <c r="F50" s="2" t="n"/>
    </row>
    <row r="51" ht="35.1" customHeight="1">
      <c r="A51" s="2" t="n"/>
      <c r="B51" s="2" t="n"/>
      <c r="C51" s="2" t="n"/>
      <c r="D51" s="2" t="n"/>
      <c r="E51" s="86" t="n"/>
      <c r="F51" s="87" t="n"/>
    </row>
    <row r="52" ht="35.1" customHeight="1">
      <c r="A52" s="2" t="n"/>
      <c r="B52" s="2" t="n"/>
      <c r="C52" s="2" t="n"/>
      <c r="D52" s="2" t="n"/>
      <c r="E52" s="88" t="n"/>
      <c r="F52" s="87" t="n"/>
    </row>
    <row r="53" ht="35.1" customHeight="1">
      <c r="A53" s="2" t="n"/>
      <c r="B53" s="2" t="n"/>
      <c r="C53" s="2" t="n"/>
      <c r="D53" s="2" t="n"/>
      <c r="E53" s="86" t="n"/>
      <c r="F53" s="87" t="n"/>
    </row>
    <row r="54" ht="35.1" customHeight="1">
      <c r="A54" s="2" t="n"/>
      <c r="B54" s="2" t="n"/>
      <c r="C54" s="2" t="n"/>
      <c r="D54" s="2" t="n"/>
      <c r="E54" s="86" t="n"/>
      <c r="F54" s="87" t="n"/>
    </row>
    <row r="55" ht="35.1" customHeight="1">
      <c r="A55" s="2" t="n"/>
      <c r="B55" s="2" t="n"/>
      <c r="C55" s="2" t="n"/>
      <c r="D55" s="2" t="n"/>
      <c r="E55" s="86" t="n"/>
      <c r="F55" s="87" t="n"/>
    </row>
    <row r="56" ht="35.1" customHeight="1">
      <c r="A56" s="2" t="n"/>
      <c r="B56" s="2" t="n"/>
      <c r="C56" s="2" t="n"/>
      <c r="D56" s="2" t="n"/>
      <c r="E56" s="73" t="n"/>
      <c r="F56" s="87" t="n"/>
    </row>
    <row r="57" ht="35.1" customHeight="1">
      <c r="A57" s="2" t="n"/>
      <c r="B57" s="2" t="n"/>
      <c r="C57" s="2" t="n"/>
      <c r="D57" s="2" t="n"/>
      <c r="E57" s="73" t="n"/>
      <c r="F57" s="87" t="n"/>
    </row>
    <row r="58" ht="35.1" customHeight="1">
      <c r="A58" s="2" t="n"/>
      <c r="B58" s="2" t="n"/>
      <c r="C58" s="2" t="n"/>
      <c r="D58" s="2" t="n"/>
      <c r="E58" s="73" t="n"/>
      <c r="F58" s="87" t="n"/>
    </row>
    <row r="59" ht="35.1" customHeight="1">
      <c r="A59" s="2" t="n"/>
      <c r="B59" s="2" t="n"/>
      <c r="C59" s="2" t="n"/>
      <c r="D59" s="2" t="n"/>
      <c r="E59" s="73" t="n"/>
      <c r="F59" s="87" t="n"/>
    </row>
    <row r="60" ht="35.1" customHeight="1">
      <c r="A60" s="2" t="n"/>
      <c r="B60" s="2" t="n"/>
      <c r="C60" s="2" t="n"/>
      <c r="D60" s="2" t="n"/>
      <c r="E60" s="73" t="n"/>
      <c r="F60" s="87" t="n"/>
    </row>
    <row r="61" ht="35.1" customHeight="1">
      <c r="A61" s="2" t="n"/>
      <c r="B61" s="2" t="n"/>
      <c r="C61" s="2" t="n"/>
      <c r="D61" s="2" t="n"/>
      <c r="E61" s="73" t="n"/>
      <c r="F61" s="87" t="n"/>
    </row>
    <row r="62" ht="35.1" customHeight="1">
      <c r="A62" s="2" t="n"/>
      <c r="B62" s="2" t="n"/>
      <c r="C62" s="2" t="n"/>
      <c r="D62" s="2" t="n"/>
      <c r="E62" s="73" t="n"/>
      <c r="F62" s="87" t="n"/>
    </row>
    <row r="63" ht="35.1" customHeight="1">
      <c r="A63" s="2" t="n"/>
      <c r="B63" s="2" t="n"/>
      <c r="C63" s="2" t="n"/>
      <c r="D63" s="2" t="n"/>
      <c r="E63" s="73" t="n"/>
      <c r="F63" s="87" t="n"/>
    </row>
    <row r="64" ht="35.1" customHeight="1">
      <c r="A64" s="2" t="n"/>
      <c r="B64" s="2" t="n"/>
      <c r="C64" s="2" t="n"/>
      <c r="D64" s="2" t="n"/>
      <c r="E64" s="73" t="n"/>
      <c r="F64" s="87" t="n"/>
    </row>
    <row r="65" ht="35.1" customHeight="1">
      <c r="A65" s="2" t="n"/>
      <c r="B65" s="2" t="n"/>
      <c r="C65" s="2" t="n"/>
      <c r="D65" s="2" t="n"/>
      <c r="E65" s="73" t="n"/>
      <c r="F65" s="87" t="n"/>
    </row>
    <row r="66" ht="32.1" customHeight="1">
      <c r="A66" s="2" t="n"/>
      <c r="B66" s="2" t="n"/>
      <c r="C66" s="2" t="n"/>
      <c r="D66" s="2" t="n"/>
      <c r="E66" s="73" t="n"/>
      <c r="F66" s="2" t="n"/>
    </row>
    <row r="67" ht="32.1" customHeight="1">
      <c r="A67" s="2" t="n"/>
      <c r="B67" s="2" t="n"/>
      <c r="C67" s="2" t="n"/>
      <c r="D67" s="2" t="n"/>
      <c r="E67" s="73" t="n"/>
      <c r="F67" s="2" t="n"/>
    </row>
    <row r="68" ht="35.1" customHeight="1">
      <c r="A68" s="2" t="n"/>
      <c r="B68" s="2" t="n"/>
      <c r="C68" s="2" t="n"/>
      <c r="D68" s="2" t="n"/>
      <c r="E68" s="73" t="n"/>
      <c r="F68" s="2" t="n"/>
    </row>
    <row r="69" ht="35.1" customHeight="1">
      <c r="A69" s="2" t="n"/>
      <c r="B69" s="2" t="n"/>
      <c r="C69" s="2" t="n"/>
      <c r="D69" s="2" t="n"/>
      <c r="E69" s="73" t="n"/>
      <c r="F69" s="2" t="n"/>
    </row>
    <row r="70" ht="35.1" customHeight="1">
      <c r="A70" s="2" t="n"/>
      <c r="B70" s="2" t="n"/>
      <c r="C70" s="2" t="n"/>
      <c r="D70" s="2" t="n"/>
      <c r="E70" s="73" t="n"/>
      <c r="F70" s="2" t="n"/>
    </row>
    <row r="71" ht="35.1" customHeight="1">
      <c r="A71" s="2" t="n"/>
      <c r="B71" s="2" t="n"/>
      <c r="C71" s="2" t="n"/>
      <c r="D71" s="2" t="n"/>
      <c r="E71" s="73" t="n"/>
      <c r="F71" s="2" t="n"/>
    </row>
    <row r="72" ht="35.1" customHeight="1">
      <c r="A72" s="34" t="n"/>
      <c r="B72" s="89" t="n"/>
      <c r="C72" s="90" t="n"/>
      <c r="D72" s="84" t="n"/>
      <c r="E72" s="73" t="n"/>
      <c r="F72" s="2" t="n"/>
    </row>
    <row r="73" ht="35.1" customHeight="1">
      <c r="A73" s="34" t="n"/>
      <c r="B73" s="89" t="n"/>
      <c r="C73" s="91" t="n"/>
      <c r="D73" s="92" t="n"/>
      <c r="E73" s="73" t="n"/>
      <c r="F73" s="2" t="n"/>
    </row>
    <row r="74" ht="35.1" customHeight="1">
      <c r="A74" s="34" t="n"/>
      <c r="B74" s="89" t="n"/>
      <c r="C74" s="91" t="n"/>
      <c r="D74" s="92" t="n"/>
      <c r="E74" s="73" t="n"/>
      <c r="F74" s="2" t="n"/>
    </row>
    <row r="75" ht="35.1" customHeight="1">
      <c r="A75" s="34" t="n"/>
      <c r="B75" s="89" t="n"/>
      <c r="C75" s="91" t="n"/>
      <c r="D75" s="92" t="n"/>
      <c r="E75" s="73" t="n"/>
      <c r="F75" s="2" t="n"/>
    </row>
    <row r="76" ht="35.1" customHeight="1">
      <c r="A76" s="34" t="n"/>
      <c r="B76" s="89" t="n"/>
      <c r="C76" s="91" t="n"/>
      <c r="D76" s="92" t="n"/>
      <c r="E76" s="73" t="n"/>
      <c r="F76" s="2" t="n"/>
    </row>
    <row r="77" ht="35.1" customHeight="1">
      <c r="A77" s="34" t="n"/>
      <c r="B77" s="89" t="n"/>
      <c r="C77" s="91" t="n"/>
      <c r="D77" s="92" t="n"/>
      <c r="E77" s="73" t="n"/>
      <c r="F77" s="2" t="n"/>
    </row>
    <row r="78" ht="35.1" customHeight="1">
      <c r="A78" s="34" t="n"/>
      <c r="B78" s="89" t="n"/>
      <c r="C78" s="91" t="n"/>
      <c r="D78" s="92" t="n"/>
      <c r="E78" s="73" t="n"/>
      <c r="F78" s="2" t="n"/>
    </row>
    <row r="79" ht="35.1" customHeight="1">
      <c r="A79" s="34" t="n"/>
      <c r="B79" s="89" t="n"/>
      <c r="C79" s="91" t="n"/>
      <c r="D79" s="92" t="n"/>
      <c r="E79" s="73" t="n"/>
      <c r="F79" s="2" t="n"/>
    </row>
    <row r="80" ht="35.1" customHeight="1">
      <c r="A80" s="34" t="n"/>
      <c r="B80" s="89" t="n"/>
      <c r="C80" s="91" t="n"/>
      <c r="D80" s="92" t="n"/>
      <c r="E80" s="73" t="n"/>
      <c r="F80" s="2" t="n"/>
    </row>
    <row r="81" ht="35.1" customHeight="1">
      <c r="A81" s="34" t="n"/>
      <c r="B81" s="89" t="n"/>
      <c r="C81" s="91" t="n"/>
      <c r="D81" s="92" t="n"/>
      <c r="E81" s="73" t="n"/>
      <c r="F81" s="2" t="n"/>
    </row>
    <row r="82" ht="35.1" customHeight="1">
      <c r="A82" s="34" t="n"/>
      <c r="B82" s="89" t="n"/>
      <c r="C82" s="91" t="n"/>
      <c r="D82" s="92" t="n"/>
      <c r="E82" s="73" t="n"/>
      <c r="F82" s="2" t="n"/>
    </row>
    <row r="83">
      <c r="A83" s="2" t="n"/>
      <c r="B83" s="2" t="n"/>
      <c r="C83" s="2" t="n"/>
      <c r="D83" s="2" t="n"/>
      <c r="E83" s="2" t="n"/>
      <c r="F83" s="2" t="n"/>
    </row>
    <row r="84">
      <c r="A84" s="2" t="n"/>
      <c r="B84" s="2" t="n"/>
      <c r="C84" s="2" t="n"/>
      <c r="D84" s="2" t="n"/>
      <c r="E84" s="2" t="n"/>
      <c r="F84" s="2" t="n"/>
    </row>
    <row r="85">
      <c r="A85" s="2" t="n"/>
      <c r="B85" s="2" t="n"/>
      <c r="C85" s="2" t="n"/>
      <c r="D85" s="2" t="n"/>
      <c r="E85" s="2" t="n"/>
      <c r="F85" s="2" t="n"/>
    </row>
    <row r="86" ht="20.25" customHeight="1">
      <c r="A86" s="34" t="n"/>
      <c r="B86" s="93" t="n"/>
      <c r="C86" s="94" t="n"/>
      <c r="D86" s="95" t="n"/>
      <c r="E86" s="28" t="n"/>
      <c r="F86" s="2" t="n"/>
    </row>
    <row r="87" ht="20.25" customHeight="1">
      <c r="A87" s="34" t="n"/>
      <c r="B87" s="96" t="inlineStr">
        <is>
          <t>Итоговая прибыль инвестора за проект:</t>
        </is>
      </c>
      <c r="C87" s="97" t="n"/>
      <c r="D87" s="98" t="n"/>
      <c r="E87" s="28" t="n"/>
      <c r="F87" s="2" t="n"/>
    </row>
    <row r="88" ht="20.25" customHeight="1">
      <c r="A88" s="34" t="n"/>
      <c r="B88" s="99" t="inlineStr">
        <is>
          <t>Основная прибыль: 61 500 000 руб.</t>
        </is>
      </c>
      <c r="C88" s="100" t="n"/>
      <c r="D88" s="95" t="n"/>
      <c r="E88" s="28" t="n"/>
      <c r="F88" s="2" t="n"/>
    </row>
    <row r="89" ht="20.25" customHeight="1">
      <c r="A89" s="34" t="n"/>
      <c r="B89" s="101" t="inlineStr">
        <is>
          <t>Ежегодная выплата через 5 лет: 1 500 000 руб./год (пролонгация прав)</t>
        </is>
      </c>
      <c r="C89" s="94" t="n"/>
      <c r="D89" s="102" t="n"/>
      <c r="E89" s="28" t="n"/>
      <c r="F89" s="2" t="n"/>
    </row>
    <row r="90">
      <c r="A90" s="34" t="n"/>
      <c r="B90" s="103" t="n"/>
      <c r="C90" s="104" t="n"/>
      <c r="D90" s="105" t="n"/>
      <c r="E90" s="28" t="n"/>
      <c r="F90" s="2" t="n"/>
    </row>
    <row r="91" ht="18" customHeight="1">
      <c r="A91" s="34" t="n"/>
      <c r="B91" s="106" t="inlineStr">
        <is>
          <t>ВЫВОД ДЛЯ ИНВЕСТОРА:</t>
        </is>
      </c>
      <c r="C91" s="104" t="n"/>
      <c r="D91" s="105" t="n"/>
      <c r="E91" s="107" t="n"/>
      <c r="F91" s="2" t="n"/>
    </row>
    <row r="92" ht="20.25" customHeight="1">
      <c r="A92" s="2" t="n"/>
      <c r="B92" s="108" t="inlineStr">
        <is>
          <t>Срок окупаемости: 16 месяцев</t>
        </is>
      </c>
      <c r="C92" s="109" t="n"/>
      <c r="D92" s="72" t="n"/>
      <c r="E92" s="2" t="n"/>
      <c r="F92" s="2" t="n"/>
    </row>
    <row r="93" ht="20.25" customHeight="1">
      <c r="A93" s="2" t="n"/>
      <c r="B93" s="108" t="inlineStr">
        <is>
          <t>Общая доходность проекта для инвестора: 61 500 000 руб. + ежегодные выплаты</t>
        </is>
      </c>
      <c r="C93" s="110" t="n"/>
      <c r="D93" s="72" t="n"/>
      <c r="E93" s="2" t="n"/>
      <c r="F93" s="2" t="n"/>
    </row>
    <row r="94" ht="20.25" customHeight="1">
      <c r="A94" s="2" t="n"/>
      <c r="B94" s="111" t="inlineStr">
        <is>
          <t>Риски минимизированы за счёт поэтапного финансирования и предварительных договорённостей с партнёрами (прокатчики, платформы, ТВ).</t>
        </is>
      </c>
      <c r="C94" s="112" t="n"/>
      <c r="D94" s="113" t="n"/>
      <c r="E94" s="2" t="n"/>
      <c r="F94" s="2" t="n"/>
    </row>
    <row r="95">
      <c r="A95" s="2" t="n"/>
      <c r="B95" s="114" t="n"/>
      <c r="C95" s="2" t="n"/>
      <c r="D95" s="2" t="n"/>
      <c r="E95" s="2" t="n"/>
      <c r="F95" s="2" t="n"/>
    </row>
    <row r="96">
      <c r="A96" s="2" t="n"/>
      <c r="B96" s="2" t="n"/>
      <c r="C96" s="2" t="n"/>
      <c r="D96" s="2" t="n"/>
      <c r="E96" s="2" t="n"/>
      <c r="F96" s="2" t="n"/>
    </row>
    <row r="97">
      <c r="A97" s="2" t="n"/>
      <c r="B97" s="2" t="n"/>
      <c r="C97" s="2" t="n"/>
      <c r="D97" s="2" t="n"/>
      <c r="E97" s="2" t="n"/>
      <c r="F97" s="2" t="n"/>
    </row>
    <row r="98">
      <c r="A98" s="2" t="n"/>
      <c r="B98" s="2" t="n"/>
      <c r="C98" s="2" t="n"/>
      <c r="D98" s="2" t="n"/>
      <c r="E98" s="2" t="n"/>
      <c r="F98" s="2" t="n"/>
    </row>
    <row r="99" ht="17.25" customHeight="1">
      <c r="A99" s="2" t="n"/>
      <c r="B99" s="115" t="inlineStr">
        <is>
          <t>Месяц</t>
        </is>
      </c>
      <c r="C99" s="115" t="inlineStr">
        <is>
          <t>Инвестиции, руб.</t>
        </is>
      </c>
      <c r="D99" s="115" t="inlineStr">
        <is>
          <t>Доход инвестора, руб.</t>
        </is>
      </c>
      <c r="E99" s="2" t="n"/>
      <c r="F99" s="2" t="n"/>
    </row>
    <row r="100" ht="18" customHeight="1">
      <c r="A100" s="2" t="n"/>
      <c r="B100" s="116" t="n">
        <v>0</v>
      </c>
      <c r="C100" s="117" t="n">
        <v>-24000000</v>
      </c>
      <c r="D100" s="116" t="n">
        <v>0</v>
      </c>
      <c r="E100" s="2" t="n"/>
      <c r="F100" s="2" t="n"/>
    </row>
    <row r="101" ht="18" customHeight="1">
      <c r="A101" s="2" t="n"/>
      <c r="B101" s="116" t="n">
        <v>1</v>
      </c>
      <c r="C101" s="116" t="n">
        <v>0</v>
      </c>
      <c r="D101" s="116" t="n">
        <v>0</v>
      </c>
      <c r="E101" s="2" t="n"/>
      <c r="F101" s="2" t="n"/>
    </row>
    <row r="102" ht="18" customHeight="1">
      <c r="A102" s="2" t="n"/>
      <c r="B102" s="116" t="inlineStr">
        <is>
          <t>...</t>
        </is>
      </c>
      <c r="C102" s="116" t="inlineStr">
        <is>
          <t>...</t>
        </is>
      </c>
      <c r="D102" s="116" t="inlineStr">
        <is>
          <t>...</t>
        </is>
      </c>
      <c r="E102" s="2" t="n"/>
      <c r="F102" s="2" t="n"/>
    </row>
    <row r="103" ht="18" customHeight="1">
      <c r="A103" s="2" t="n"/>
      <c r="B103" s="116" t="n">
        <v>4</v>
      </c>
      <c r="C103" s="117" t="n">
        <v>-36000000</v>
      </c>
      <c r="D103" s="116" t="n">
        <v>0</v>
      </c>
      <c r="E103" s="2" t="n"/>
      <c r="F103" s="2" t="n"/>
    </row>
    <row r="104" ht="18" customHeight="1">
      <c r="A104" s="2" t="n"/>
      <c r="B104" s="116" t="n">
        <v>8</v>
      </c>
      <c r="C104" s="117" t="n">
        <v>-36000000</v>
      </c>
      <c r="D104" s="116" t="n">
        <v>0</v>
      </c>
      <c r="E104" s="2" t="n"/>
      <c r="F104" s="2" t="n"/>
    </row>
    <row r="105" ht="18" customHeight="1">
      <c r="A105" s="2" t="n"/>
      <c r="B105" s="116" t="n">
        <v>12</v>
      </c>
      <c r="C105" s="117" t="n">
        <v>-24000000</v>
      </c>
      <c r="D105" s="116" t="n">
        <v>0</v>
      </c>
      <c r="E105" s="2" t="n"/>
      <c r="F105" s="2" t="n"/>
    </row>
    <row r="106" ht="18" customHeight="1">
      <c r="A106" s="2" t="n"/>
      <c r="B106" s="116" t="n">
        <v>16</v>
      </c>
      <c r="C106" s="116" t="n">
        <v>0</v>
      </c>
      <c r="D106" s="117" t="n">
        <v>21666666</v>
      </c>
      <c r="E106" s="2" t="n"/>
      <c r="F106" s="2" t="n"/>
    </row>
    <row r="107" ht="18" customHeight="1">
      <c r="A107" s="2" t="n"/>
      <c r="B107" s="116" t="n">
        <v>17</v>
      </c>
      <c r="C107" s="116" t="n">
        <v>0</v>
      </c>
      <c r="D107" s="117" t="n">
        <v>21666666</v>
      </c>
      <c r="E107" s="2" t="n"/>
      <c r="F107" s="2" t="n"/>
    </row>
    <row r="108" ht="18" customHeight="1">
      <c r="A108" s="2" t="n"/>
      <c r="B108" s="116" t="n">
        <v>18</v>
      </c>
      <c r="C108" s="116" t="n">
        <v>0</v>
      </c>
      <c r="D108" s="117" t="n">
        <v>21666666</v>
      </c>
      <c r="E108" s="2" t="n"/>
      <c r="F108" s="2" t="n"/>
    </row>
    <row r="109" ht="18" customHeight="1">
      <c r="A109" s="2" t="n"/>
      <c r="B109" s="116" t="n">
        <v>19</v>
      </c>
      <c r="C109" s="116" t="n">
        <v>0</v>
      </c>
      <c r="D109" s="117" t="n">
        <v>21666666</v>
      </c>
      <c r="E109" s="2" t="n"/>
      <c r="F109" s="2" t="n"/>
    </row>
    <row r="110" ht="18" customHeight="1">
      <c r="A110" s="2" t="n"/>
      <c r="B110" s="116" t="n">
        <v>20</v>
      </c>
      <c r="C110" s="116" t="n">
        <v>0</v>
      </c>
      <c r="D110" s="117" t="n">
        <v>21666666</v>
      </c>
      <c r="E110" s="2" t="n"/>
      <c r="F110" s="2" t="n"/>
    </row>
    <row r="111" ht="18" customHeight="1">
      <c r="A111" s="2" t="n"/>
      <c r="B111" s="116" t="n">
        <v>21</v>
      </c>
      <c r="C111" s="116" t="n">
        <v>0</v>
      </c>
      <c r="D111" s="116" t="inlineStr">
        <is>
          <t>8 124 999.9</t>
        </is>
      </c>
      <c r="E111" s="2" t="n"/>
      <c r="F111" s="2" t="n"/>
    </row>
    <row r="112" ht="18" customHeight="1">
      <c r="A112" s="2" t="n"/>
      <c r="B112" s="116" t="n">
        <v>22</v>
      </c>
      <c r="C112" s="116" t="n">
        <v>0</v>
      </c>
      <c r="D112" s="116" t="inlineStr">
        <is>
          <t>8 124 999.9</t>
        </is>
      </c>
      <c r="E112" s="2" t="n"/>
      <c r="F112" s="2" t="n"/>
    </row>
    <row r="113" ht="18" customHeight="1">
      <c r="A113" s="2" t="n"/>
      <c r="B113" s="116" t="inlineStr">
        <is>
          <t>...</t>
        </is>
      </c>
      <c r="C113" s="116" t="inlineStr">
        <is>
          <t>...</t>
        </is>
      </c>
      <c r="D113" s="116" t="inlineStr">
        <is>
          <t>...</t>
        </is>
      </c>
      <c r="E113" s="2" t="n"/>
      <c r="F113" s="2" t="n"/>
    </row>
    <row r="114" ht="18" customHeight="1">
      <c r="A114" s="2" t="n"/>
      <c r="B114" s="116" t="n">
        <v>27</v>
      </c>
      <c r="C114" s="116" t="n">
        <v>0</v>
      </c>
      <c r="D114" s="116" t="inlineStr">
        <is>
          <t>8 124 999.9</t>
        </is>
      </c>
      <c r="E114" s="2" t="n"/>
      <c r="F114" s="2" t="n"/>
    </row>
    <row r="115" ht="18" customHeight="1">
      <c r="A115" s="2" t="n"/>
      <c r="B115" s="116" t="inlineStr">
        <is>
          <t>28-59</t>
        </is>
      </c>
      <c r="C115" s="116" t="n">
        <v>0</v>
      </c>
      <c r="D115" s="116" t="n">
        <v>0</v>
      </c>
      <c r="E115" s="2" t="n"/>
      <c r="F115" s="2" t="n"/>
    </row>
    <row r="116" ht="18" customHeight="1">
      <c r="A116" s="2" t="n"/>
      <c r="B116" s="116" t="n">
        <v>60</v>
      </c>
      <c r="C116" s="116" t="n">
        <v>0</v>
      </c>
      <c r="D116" s="117" t="n">
        <v>1500000</v>
      </c>
      <c r="E116" s="2" t="n"/>
      <c r="F116" s="2" t="n"/>
    </row>
    <row r="117" ht="18" customHeight="1">
      <c r="A117" s="2" t="n"/>
      <c r="B117" s="116" t="n">
        <v>72</v>
      </c>
      <c r="C117" s="116" t="n">
        <v>0</v>
      </c>
      <c r="D117" s="117" t="n">
        <v>1500000</v>
      </c>
      <c r="E117" s="2" t="n"/>
      <c r="F117" s="2" t="n"/>
    </row>
    <row r="118" ht="18" customHeight="1">
      <c r="A118" s="2" t="n"/>
      <c r="B118" s="116" t="n">
        <v>84</v>
      </c>
      <c r="C118" s="116" t="n">
        <v>0</v>
      </c>
      <c r="D118" s="117" t="n">
        <v>1500000</v>
      </c>
      <c r="E118" s="2" t="n"/>
      <c r="F118" s="2" t="n"/>
    </row>
    <row r="119" ht="18" customHeight="1">
      <c r="A119" s="2" t="n"/>
      <c r="B119" s="116" t="n">
        <v>96</v>
      </c>
      <c r="C119" s="116" t="n">
        <v>0</v>
      </c>
      <c r="D119" s="117" t="n">
        <v>1500000</v>
      </c>
      <c r="E119" s="2" t="n"/>
      <c r="F119" s="2" t="n"/>
    </row>
    <row r="120" ht="18" customHeight="1">
      <c r="A120" s="2" t="n"/>
      <c r="B120" s="116" t="n">
        <v>108</v>
      </c>
      <c r="C120" s="116" t="n">
        <v>0</v>
      </c>
      <c r="D120" s="117" t="n">
        <v>1500000</v>
      </c>
      <c r="E120" s="2" t="n"/>
      <c r="F120" s="2" t="n"/>
    </row>
    <row r="121" ht="18" customHeight="1">
      <c r="A121" s="2" t="n"/>
      <c r="B121" s="116" t="n">
        <v>120</v>
      </c>
      <c r="C121" s="116" t="n">
        <v>0</v>
      </c>
      <c r="D121" s="117" t="n">
        <v>1500000</v>
      </c>
      <c r="E121" s="2" t="n"/>
      <c r="F121" s="2" t="n"/>
    </row>
  </sheetData>
  <mergeCells count="11">
    <mergeCell ref="A30:E30"/>
    <mergeCell ref="C34:D34"/>
    <mergeCell ref="A35:E35"/>
    <mergeCell ref="C32:D32"/>
    <mergeCell ref="C38:D38"/>
    <mergeCell ref="A16:E16"/>
    <mergeCell ref="B23:D23"/>
    <mergeCell ref="C33:D33"/>
    <mergeCell ref="C37:D37"/>
    <mergeCell ref="A1:E1"/>
    <mergeCell ref="C31:D31"/>
  </mergeCells>
  <pageMargins left="0.7" right="0.7" top="0.75" bottom="0.75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2026-04-10T23:00:52Z</dcterms:created>
  <dcterms:modified xmlns:dcterms="http://purl.org/dc/terms/" xmlns:xsi="http://www.w3.org/2001/XMLSchema-instance" xsi:type="dcterms:W3CDTF">2026-04-10T23:00:52Z</dcterms:modified>
</cp:coreProperties>
</file>