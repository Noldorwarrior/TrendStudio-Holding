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Вводные_C" sheetId="2" state="visible" r:id="rId2"/>
    <sheet xmlns:r="http://schemas.openxmlformats.org/officeDocument/2006/relationships" name="02_Проект_flagship" sheetId="3" state="visible" r:id="rId3"/>
    <sheet xmlns:r="http://schemas.openxmlformats.org/officeDocument/2006/relationships" name="03_Консолидация" sheetId="4" state="visible" r:id="rId4"/>
    <sheet xmlns:r="http://schemas.openxmlformats.org/officeDocument/2006/relationships" name="04_Сверка_с_декой" sheetId="5" state="visible" r:id="rId5"/>
    <sheet xmlns:r="http://schemas.openxmlformats.org/officeDocument/2006/relationships" name="05_Сравнение_A_B_C" sheetId="6" state="visible" r:id="rId6"/>
    <sheet xmlns:r="http://schemas.openxmlformats.org/officeDocument/2006/relationships" name="06_Чувствительность" sheetId="7" state="visible" r:id="rId7"/>
    <sheet xmlns:r="http://schemas.openxmlformats.org/officeDocument/2006/relationships" name="07_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&quot;-&quot;"/>
    <numFmt numFmtId="165" formatCode="0.0%;(0.0%);&quot;-&quot;"/>
    <numFmt numFmtId="166" formatCode="#,##0;(#,##0);&quot;-&quot;"/>
    <numFmt numFmtId="167" formatCode="0.0&quot;×&quot;"/>
  </numFmts>
  <fonts count="11">
    <font>
      <name val="Calibri"/>
      <family val="2"/>
      <color theme="1"/>
      <sz val="11"/>
      <scheme val="minor"/>
    </font>
    <font>
      <name val="Arial"/>
      <b val="1"/>
      <color rgb="000070C0"/>
      <sz val="16"/>
    </font>
    <font>
      <name val="Arial"/>
      <sz val="11"/>
    </font>
    <font>
      <name val="Arial"/>
      <b val="1"/>
      <color rgb="000070C0"/>
      <sz val="12"/>
    </font>
    <font>
      <name val="Arial"/>
      <b val="1"/>
      <color rgb="000070C0"/>
      <sz val="14"/>
    </font>
    <font>
      <name val="Arial"/>
      <b val="1"/>
      <color rgb="00FFFFFF"/>
      <sz val="12"/>
    </font>
    <font>
      <name val="Arial"/>
      <color rgb="000000FF"/>
      <sz val="11"/>
    </font>
    <font>
      <name val="Arial"/>
      <i val="1"/>
      <color rgb="00666666"/>
      <sz val="9"/>
    </font>
    <font>
      <name val="Arial"/>
      <b val="1"/>
      <sz val="11"/>
    </font>
    <font>
      <name val="Arial"/>
      <color rgb="00000000"/>
      <sz val="11"/>
    </font>
    <font>
      <name val="Arial"/>
      <color rgb="00008000"/>
      <sz val="11"/>
    </font>
  </fonts>
  <fills count="7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2" fillId="0" borderId="1" pivotButton="0" quotePrefix="0" xfId="0"/>
    <xf numFmtId="164" fontId="9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8" fillId="0" borderId="1" pivotButton="0" quotePrefix="0" xfId="0"/>
    <xf numFmtId="164" fontId="9" fillId="5" borderId="1" applyAlignment="1" pivotButton="0" quotePrefix="0" xfId="0">
      <alignment horizontal="right" vertical="center"/>
    </xf>
    <xf numFmtId="0" fontId="5" fillId="2" borderId="1" pivotButton="0" quotePrefix="0" xfId="0"/>
    <xf numFmtId="166" fontId="10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8" fillId="5" borderId="1" pivotButton="0" quotePrefix="0" xfId="0"/>
    <xf numFmtId="166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8" fillId="3" borderId="1" pivotButton="0" quotePrefix="0" xfId="0"/>
    <xf numFmtId="166" fontId="10" fillId="3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0" fontId="7" fillId="0" borderId="1" pivotButton="0" quotePrefix="0" xfId="0"/>
    <xf numFmtId="166" fontId="9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6" fontId="6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167" fontId="6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165" fontId="5" fillId="2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ХОЛДИНГ КИНО — ВАРИАНТ C «IP-LICENSING LIGHT»</t>
        </is>
      </c>
    </row>
    <row r="3" ht="18" customHeight="1">
      <c r="B3" s="2" t="inlineStr"/>
    </row>
    <row r="4" ht="18" customHeight="1">
      <c r="B4" s="3" t="inlineStr">
        <is>
          <t>Цель модели</t>
        </is>
      </c>
    </row>
    <row r="5" ht="18" customHeight="1">
      <c r="B5" s="2" t="inlineStr">
        <is>
          <t>Проверить структурное обоснование net margin 67% (цель деки) за счёт добавления IP-library-контура</t>
        </is>
      </c>
    </row>
    <row r="6" ht="18" customHeight="1">
      <c r="B6" s="2" t="inlineStr">
        <is>
          <t>поверх базового производственного pipeline холдинга.</t>
        </is>
      </c>
    </row>
    <row r="7" ht="18" customHeight="1">
      <c r="B7" s="2" t="inlineStr"/>
    </row>
    <row r="8" ht="18" customHeight="1">
      <c r="B8" s="3" t="inlineStr">
        <is>
          <t>Методика</t>
        </is>
      </c>
    </row>
    <row r="9" ht="18" customHeight="1">
      <c r="B9" s="2" t="inlineStr">
        <is>
          <t>Сохранены расчётные принципы базовой модели «Холдинг Кино.xlsx»:</t>
        </is>
      </c>
    </row>
    <row r="10" ht="18" customHeight="1">
      <c r="B10" s="2" t="inlineStr">
        <is>
          <t xml:space="preserve">  1) поквартальный cashflow проекта, 12 кварталов (лист 02);</t>
        </is>
      </c>
    </row>
    <row r="11" ht="18" customHeight="1">
      <c r="B11" s="2" t="inlineStr">
        <is>
          <t xml:space="preserve">  2) opex 88,5 млн ₽/год как базовый костяк холдинга;</t>
        </is>
      </c>
    </row>
    <row r="12" ht="18" customHeight="1">
      <c r="B12" s="2" t="inlineStr">
        <is>
          <t xml:space="preserve">  3) распределение прибыли 60/40 до окупаемости, 50/50 после;</t>
        </is>
      </c>
    </row>
    <row r="13" ht="18" customHeight="1">
      <c r="B13" s="2" t="inlineStr">
        <is>
          <t xml:space="preserve">  4) источники доходов расширены категорией IP Library (лицензирование окон + территории + форматы).</t>
        </is>
      </c>
    </row>
    <row r="14" ht="18" customHeight="1">
      <c r="B14" s="2" t="inlineStr"/>
    </row>
    <row r="15" ht="18" customHeight="1">
      <c r="B15" s="3" t="inlineStr">
        <is>
          <t>Реконструкция Вариантов A и B из деки Kinoholding_Investor_Deck_v4.pptx</t>
        </is>
      </c>
    </row>
    <row r="16" ht="18" customHeight="1">
      <c r="B16" s="2" t="inlineStr">
        <is>
          <t xml:space="preserve">  A — Портфель продакшн-хауса as-is (5 п/м + 2 сериала, структура Кино/Реклама/Фестивали/Обучение).</t>
        </is>
      </c>
    </row>
    <row r="17" ht="18" customHeight="1">
      <c r="B17" s="2" t="inlineStr">
        <is>
          <t xml:space="preserve">  B — Производственный максимум (расширенный pipeline, capex-heavy, маржа давится объёмом).</t>
        </is>
      </c>
    </row>
    <row r="18" ht="18" customHeight="1">
      <c r="B18" s="2" t="inlineStr">
        <is>
          <t xml:space="preserve">  C — Базовый pipeline + IP library как каталог собственных прав (наш контур).</t>
        </is>
      </c>
    </row>
    <row r="19" ht="18" customHeight="1">
      <c r="B19" s="2" t="inlineStr"/>
    </row>
    <row r="20" ht="18" customHeight="1">
      <c r="B20" s="3" t="inlineStr">
        <is>
          <t>Сценарии Варианта C</t>
        </is>
      </c>
    </row>
    <row r="21" ht="18" customHeight="1">
      <c r="B21" s="2" t="inlineStr">
        <is>
          <t>Conservative / Base / Optimistic — см. лист 01_Вводные_C.</t>
        </is>
      </c>
    </row>
    <row r="22" ht="18" customHeight="1">
      <c r="B22" s="2" t="inlineStr">
        <is>
          <t>Base стыкуется с декой напрямую (первый international licensing deal Q2 2027).</t>
        </is>
      </c>
    </row>
    <row r="23" ht="18" customHeight="1">
      <c r="B23" s="2" t="inlineStr"/>
    </row>
    <row r="24" ht="18" customHeight="1">
      <c r="B24" s="3" t="inlineStr">
        <is>
          <t>Навигация по листам</t>
        </is>
      </c>
    </row>
    <row r="25" ht="18" customHeight="1">
      <c r="B25" s="2" t="inlineStr">
        <is>
          <t xml:space="preserve">  00_README              — этот лист</t>
        </is>
      </c>
    </row>
    <row r="26" ht="18" customHeight="1">
      <c r="B26" s="2" t="inlineStr">
        <is>
          <t xml:space="preserve">  01_Вводные_C           — параметры трёх сценариев</t>
        </is>
      </c>
    </row>
    <row r="27" ht="18" customHeight="1">
      <c r="B27" s="2" t="inlineStr">
        <is>
          <t xml:space="preserve">  02_Проект_flagship     — проектный уровень (12 кварталов) с IP library-слоем</t>
        </is>
      </c>
    </row>
    <row r="28" ht="18" customHeight="1">
      <c r="B28" s="2" t="inlineStr">
        <is>
          <t xml:space="preserve">  03_Консолидация        — холдинговый P&amp;L 2026–2028 с 5 направлениями</t>
        </is>
      </c>
    </row>
    <row r="29" ht="18" customHeight="1">
      <c r="B29" s="2" t="inlineStr">
        <is>
          <t xml:space="preserve">  04_Сверка_с_декой      — проверка KPI деки (Revenue / EBITDA / Net margin / CAGR / Breakeven)</t>
        </is>
      </c>
    </row>
    <row r="30" ht="18" customHeight="1">
      <c r="B30" s="2" t="inlineStr">
        <is>
          <t xml:space="preserve">  05_Сравнение_A_B_C     — side-by-side трёх вариантов</t>
        </is>
      </c>
    </row>
    <row r="31" ht="18" customHeight="1">
      <c r="B31" s="2" t="inlineStr">
        <is>
          <t xml:space="preserve">  06_Чувствительность   — sensitivity grid по доле licensing и марже</t>
        </is>
      </c>
    </row>
    <row r="32" ht="18" customHeight="1">
      <c r="B32" s="2" t="inlineStr">
        <is>
          <t xml:space="preserve">  07_Roadmap             — stage-gate milestones 2026–2028</t>
        </is>
      </c>
    </row>
    <row r="33" ht="18" customHeight="1">
      <c r="B33" s="2" t="inlineStr"/>
    </row>
    <row r="34" ht="18" customHeight="1">
      <c r="B34" s="3" t="inlineStr">
        <is>
          <t>Цветовые обозначения</t>
        </is>
      </c>
    </row>
    <row r="35" ht="18" customHeight="1">
      <c r="B35" s="2" t="inlineStr">
        <is>
          <t xml:space="preserve">  СИНИЙ — хардкод-вводные (можно менять)</t>
        </is>
      </c>
    </row>
    <row r="36" ht="18" customHeight="1">
      <c r="B36" s="2" t="inlineStr">
        <is>
          <t xml:space="preserve">  ЧЁРНЫЙ — формулы и расчёты</t>
        </is>
      </c>
    </row>
    <row r="37" ht="18" customHeight="1">
      <c r="B37" s="2" t="inlineStr">
        <is>
          <t xml:space="preserve">  ЗЕЛЁНЫЙ — ссылки на другие листы книги</t>
        </is>
      </c>
    </row>
    <row r="38" ht="18" customHeight="1">
      <c r="B38" s="2" t="inlineStr">
        <is>
          <t xml:space="preserve">  ЖЁЛТАЯ заливка — ключевые допущения, требующие внимания</t>
        </is>
      </c>
    </row>
    <row r="39" ht="18" customHeight="1">
      <c r="B39" s="2" t="inlineStr"/>
    </row>
    <row r="40" ht="18" customHeight="1">
      <c r="B40" s="2" t="inlineStr">
        <is>
          <t>Единица измерения: все денежные величины в МЛН ₽, если не указано иное.</t>
        </is>
      </c>
    </row>
    <row r="41" ht="18" customHeight="1">
      <c r="B41" s="2" t="inlineStr">
        <is>
          <t>Источник KPI деки: Kinoholding_Investor_Deck_v4.pptx, слайды 3, 5, 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0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6" customWidth="1" min="3" max="3"/>
    <col width="16" customWidth="1" min="4" max="4"/>
    <col width="16" customWidth="1" min="5" max="5"/>
    <col width="14" customWidth="1" min="6" max="6"/>
    <col width="40" customWidth="1" min="7" max="7"/>
  </cols>
  <sheetData>
    <row r="2">
      <c r="B2" s="4" t="inlineStr">
        <is>
          <t>ВВОДНЫЕ ВАРИАНТА C — 3 сценария</t>
        </is>
      </c>
    </row>
    <row r="4" ht="28" customHeight="1">
      <c r="A4" s="5" t="inlineStr">
        <is>
          <t>#</t>
        </is>
      </c>
      <c r="B4" s="5" t="inlineStr">
        <is>
          <t>Параметр</t>
        </is>
      </c>
      <c r="C4" s="5" t="inlineStr">
        <is>
          <t>Conservative</t>
        </is>
      </c>
      <c r="D4" s="5" t="inlineStr">
        <is>
          <t>Base</t>
        </is>
      </c>
      <c r="E4" s="5" t="inlineStr">
        <is>
          <t>Optimistic</t>
        </is>
      </c>
      <c r="F4" s="5" t="inlineStr">
        <is>
          <t>Ед.</t>
        </is>
      </c>
      <c r="G4" s="5" t="inlineStr">
        <is>
          <t>Комментарий</t>
        </is>
      </c>
    </row>
    <row r="5">
      <c r="A5" s="6" t="inlineStr">
        <is>
          <t>1</t>
        </is>
      </c>
      <c r="B5" s="7" t="inlineStr">
        <is>
          <t>Base production revenue 2028</t>
        </is>
      </c>
      <c r="C5" s="8" t="n">
        <v>1500</v>
      </c>
      <c r="D5" s="9" t="n">
        <v>632</v>
      </c>
      <c r="E5" s="8" t="n">
        <v>400</v>
      </c>
      <c r="F5" s="6" t="inlineStr">
        <is>
          <t>млн ₽</t>
        </is>
      </c>
      <c r="G5" s="10" t="inlineStr">
        <is>
          <t>Cons=медленный IP-ramp; Base=backsolve под EBITDA 3000+margin 67%; Opt=IP-максимум</t>
        </is>
      </c>
    </row>
    <row r="6">
      <c r="A6" s="6" t="inlineStr">
        <is>
          <t>2</t>
        </is>
      </c>
      <c r="B6" s="7" t="inlineStr">
        <is>
          <t>Маржа licensing</t>
        </is>
      </c>
      <c r="C6" s="11" t="n">
        <v>0.9</v>
      </c>
      <c r="D6" s="12" t="n">
        <v>0.95</v>
      </c>
      <c r="E6" s="11" t="n">
        <v>0.97</v>
      </c>
      <c r="F6" s="6" t="inlineStr">
        <is>
          <t>%</t>
        </is>
      </c>
      <c r="G6" s="10" t="inlineStr">
        <is>
          <t>Cебестоимость прав уже списана в базовом производстве; Opt — портфель AVOD/FAST</t>
        </is>
      </c>
    </row>
    <row r="7">
      <c r="A7" s="6" t="inlineStr">
        <is>
          <t>3</t>
        </is>
      </c>
      <c r="B7" s="7" t="inlineStr">
        <is>
          <t>IP library revenue 2028</t>
        </is>
      </c>
      <c r="C7" s="8" t="n">
        <v>2000</v>
      </c>
      <c r="D7" s="9" t="n">
        <v>2934</v>
      </c>
      <c r="E7" s="8" t="n">
        <v>3500</v>
      </c>
      <c r="F7" s="6" t="inlineStr">
        <is>
          <t>млн ₽</t>
        </is>
      </c>
      <c r="G7" s="10" t="inlineStr">
        <is>
          <t>Base: backsolve из якорей деки (EBITDA 3000, margin 67%)</t>
        </is>
      </c>
    </row>
    <row r="8">
      <c r="A8" s="6" t="inlineStr">
        <is>
          <t>4</t>
        </is>
      </c>
      <c r="B8" s="7" t="inlineStr">
        <is>
          <t>Доп. capex на IP-инфраструктуру</t>
        </is>
      </c>
      <c r="C8" s="8" t="n">
        <v>30</v>
      </c>
      <c r="D8" s="9" t="n">
        <v>40</v>
      </c>
      <c r="E8" s="8" t="n">
        <v>50</v>
      </c>
      <c r="F8" s="6" t="inlineStr">
        <is>
          <t>млн ₽</t>
        </is>
      </c>
      <c r="G8" s="10" t="inlineStr">
        <is>
          <t>DAM, юр. контур, каталог, sales-инструменты</t>
        </is>
      </c>
    </row>
    <row r="9">
      <c r="A9" s="6" t="inlineStr">
        <is>
          <t>5</t>
        </is>
      </c>
      <c r="B9" s="7" t="inlineStr">
        <is>
          <t>Доп. opex IP library / год</t>
        </is>
      </c>
      <c r="C9" s="8" t="n">
        <v>10</v>
      </c>
      <c r="D9" s="9" t="n">
        <v>15</v>
      </c>
      <c r="E9" s="8" t="n">
        <v>25</v>
      </c>
      <c r="F9" s="6" t="inlineStr">
        <is>
          <t>млн ₽</t>
        </is>
      </c>
      <c r="G9" s="10" t="inlineStr">
        <is>
          <t>Rights mgr + sales + legal + международный контур</t>
        </is>
      </c>
    </row>
    <row r="10">
      <c r="A10" s="6" t="inlineStr">
        <is>
          <t>6</t>
        </is>
      </c>
      <c r="B10" s="7" t="inlineStr">
        <is>
          <t>Base production revenue 2027</t>
        </is>
      </c>
      <c r="C10" s="8" t="n">
        <v>698</v>
      </c>
      <c r="D10" s="9" t="n">
        <v>294</v>
      </c>
      <c r="E10" s="8" t="n">
        <v>186</v>
      </c>
      <c r="F10" s="6" t="inlineStr">
        <is>
          <t>млн ₽</t>
        </is>
      </c>
      <c r="G10" s="10" t="inlineStr">
        <is>
          <t>Ramp-back от D5 по CAGR 115% (D5/2.15)</t>
        </is>
      </c>
    </row>
    <row r="11">
      <c r="A11" s="6" t="inlineStr">
        <is>
          <t>7</t>
        </is>
      </c>
      <c r="B11" s="7" t="inlineStr">
        <is>
          <t>Base production revenue 2026</t>
        </is>
      </c>
      <c r="C11" s="8" t="n">
        <v>324</v>
      </c>
      <c r="D11" s="9" t="n">
        <v>137</v>
      </c>
      <c r="E11" s="8" t="n">
        <v>86</v>
      </c>
      <c r="F11" s="6" t="inlineStr">
        <is>
          <t>млн ₽</t>
        </is>
      </c>
      <c r="G11" s="10" t="inlineStr">
        <is>
          <t>Ramp-back от D10 по CAGR 115%</t>
        </is>
      </c>
    </row>
    <row r="12">
      <c r="A12" s="6" t="inlineStr">
        <is>
          <t>8</t>
        </is>
      </c>
      <c r="B12" s="7" t="inlineStr">
        <is>
          <t>IP library revenue 2027</t>
        </is>
      </c>
      <c r="C12" s="8" t="n">
        <v>570</v>
      </c>
      <c r="D12" s="9" t="n">
        <v>836</v>
      </c>
      <c r="E12" s="8" t="n">
        <v>998</v>
      </c>
      <c r="F12" s="6" t="inlineStr">
        <is>
          <t>млн ₽</t>
        </is>
      </c>
      <c r="G12" s="10" t="inlineStr">
        <is>
          <t>~28.5% от D7 (ramp-up IP-контура)</t>
        </is>
      </c>
    </row>
    <row r="13">
      <c r="A13" s="6" t="inlineStr">
        <is>
          <t>9</t>
        </is>
      </c>
      <c r="B13" s="7" t="inlineStr">
        <is>
          <t>IP library revenue 2026</t>
        </is>
      </c>
      <c r="C13" s="8" t="n">
        <v>200</v>
      </c>
      <c r="D13" s="9" t="n">
        <v>418</v>
      </c>
      <c r="E13" s="8" t="n">
        <v>500</v>
      </c>
      <c r="F13" s="6" t="inlineStr">
        <is>
          <t>млн ₽</t>
        </is>
      </c>
      <c r="G13" s="10" t="inlineStr">
        <is>
          <t>MVP-библиотека с Q1 2026</t>
        </is>
      </c>
    </row>
    <row r="14">
      <c r="A14" s="6" t="inlineStr">
        <is>
          <t>10</t>
        </is>
      </c>
      <c r="B14" s="7" t="inlineStr">
        <is>
          <t>Ставка налога на прибыль</t>
        </is>
      </c>
      <c r="C14" s="11" t="n">
        <v>0.2</v>
      </c>
      <c r="D14" s="12" t="n">
        <v>0.2</v>
      </c>
      <c r="E14" s="11" t="n">
        <v>0.2</v>
      </c>
      <c r="F14" s="6" t="inlineStr">
        <is>
          <t>%</t>
        </is>
      </c>
      <c r="G14" s="10" t="inlineStr">
        <is>
          <t>Стандартная ставка налога на прибыль РФ</t>
        </is>
      </c>
    </row>
    <row r="15">
      <c r="A15" s="6" t="inlineStr">
        <is>
          <t>11</t>
        </is>
      </c>
      <c r="B15" s="7" t="inlineStr">
        <is>
          <t>Total revenue 2028 holding (= D5+D7)</t>
        </is>
      </c>
      <c r="C15" s="8" t="n">
        <v>3500</v>
      </c>
      <c r="D15" s="9" t="n">
        <v>3566</v>
      </c>
      <c r="E15" s="8" t="n">
        <v>3900</v>
      </c>
      <c r="F15" s="6" t="inlineStr">
        <is>
          <t>млн ₽</t>
        </is>
      </c>
      <c r="G15" s="10" t="inlineStr">
        <is>
          <t>Derived: base production + IP library (additive)</t>
        </is>
      </c>
    </row>
    <row r="16">
      <c r="A16" s="6" t="inlineStr">
        <is>
          <t>12</t>
        </is>
      </c>
      <c r="B16" s="7" t="inlineStr">
        <is>
          <t>Базовый opex холдинга / год</t>
        </is>
      </c>
      <c r="C16" s="8" t="n">
        <v>88.5</v>
      </c>
      <c r="D16" s="9" t="n">
        <v>88.5</v>
      </c>
      <c r="E16" s="8" t="n">
        <v>88.5</v>
      </c>
      <c r="F16" s="6" t="inlineStr">
        <is>
          <t>млн ₽</t>
        </is>
      </c>
      <c r="G16" s="10" t="inlineStr">
        <is>
          <t>Из листа 'Расходы' базовой финмодели</t>
        </is>
      </c>
    </row>
    <row r="17">
      <c r="A17" s="6" t="inlineStr">
        <is>
          <t>13</t>
        </is>
      </c>
      <c r="B17" s="7" t="inlineStr">
        <is>
          <t>Realistic gross margin базового производства</t>
        </is>
      </c>
      <c r="C17" s="11" t="n">
        <v>0.5</v>
      </c>
      <c r="D17" s="12" t="n">
        <v>0.5</v>
      </c>
      <c r="E17" s="11" t="n">
        <v>0.5</v>
      </c>
      <c r="F17" s="6" t="inlineStr">
        <is>
          <t>%</t>
        </is>
      </c>
      <c r="G17" s="10" t="inlineStr">
        <is>
          <t>Смешанная: прокат+реклама+фестивали+обучение</t>
        </is>
      </c>
    </row>
    <row r="18">
      <c r="A18" s="6" t="inlineStr">
        <is>
          <t>14</t>
        </is>
      </c>
      <c r="B18" s="7" t="inlineStr">
        <is>
          <t>CAGR выручки 2025→2028 (дека)</t>
        </is>
      </c>
      <c r="C18" s="11" t="n">
        <v>1.15</v>
      </c>
      <c r="D18" s="12" t="n">
        <v>1.15</v>
      </c>
      <c r="E18" s="11" t="n">
        <v>1.15</v>
      </c>
      <c r="F18" s="6" t="inlineStr">
        <is>
          <t>%</t>
        </is>
      </c>
      <c r="G18" s="10" t="inlineStr">
        <is>
          <t>Якорь слайд 3 деки Kinoholding_Investor_Deck_v4</t>
        </is>
      </c>
    </row>
    <row r="20">
      <c r="B20" s="13" t="inlineStr">
        <is>
          <t>Base-сценарий используется как активный для листов 02–05. Conservative/Optimistic — для чувствительности.</t>
        </is>
      </c>
    </row>
  </sheetData>
  <mergeCells count="2">
    <mergeCell ref="B2:G2"/>
    <mergeCell ref="B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B2" s="4" t="inlineStr">
        <is>
          <t>ПРОЕКТНЫЙ УРОВЕНЬ: flagship + IP library слой (12 кварталов, млн ₽)</t>
        </is>
      </c>
    </row>
    <row r="3">
      <c r="B3" s="13" t="inlineStr">
        <is>
          <t>Базис: модель из 'Холдинг Кино.xlsx' лист PnL + дополнительный IP library-слой (ramp-up с Q5)</t>
        </is>
      </c>
    </row>
    <row r="5" ht="22" customHeight="1">
      <c r="B5" s="5" t="inlineStr">
        <is>
          <t>Статья</t>
        </is>
      </c>
      <c r="C5" s="5" t="inlineStr">
        <is>
          <t>Q1</t>
        </is>
      </c>
      <c r="D5" s="5" t="inlineStr">
        <is>
          <t>Q2</t>
        </is>
      </c>
      <c r="E5" s="5" t="inlineStr">
        <is>
          <t>Q3</t>
        </is>
      </c>
      <c r="F5" s="5" t="inlineStr">
        <is>
          <t>Q4</t>
        </is>
      </c>
      <c r="G5" s="5" t="inlineStr">
        <is>
          <t>Q5</t>
        </is>
      </c>
      <c r="H5" s="5" t="inlineStr">
        <is>
          <t>Q6</t>
        </is>
      </c>
      <c r="I5" s="5" t="inlineStr">
        <is>
          <t>Q7</t>
        </is>
      </c>
      <c r="J5" s="5" t="inlineStr">
        <is>
          <t>Q8</t>
        </is>
      </c>
      <c r="K5" s="5" t="inlineStr">
        <is>
          <t>Q9</t>
        </is>
      </c>
      <c r="L5" s="5" t="inlineStr">
        <is>
          <t>Q10</t>
        </is>
      </c>
      <c r="M5" s="5" t="inlineStr">
        <is>
          <t>Q11</t>
        </is>
      </c>
      <c r="N5" s="5" t="inlineStr">
        <is>
          <t>Q12</t>
        </is>
      </c>
      <c r="O5" s="5" t="inlineStr">
        <is>
          <t>Итого</t>
        </is>
      </c>
    </row>
    <row r="6">
      <c r="B6" s="14" t="inlineStr">
        <is>
          <t>БАЗОВЫЙ ПРОЕКТ</t>
        </is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B7" s="16" t="inlineStr">
        <is>
          <t>Capex (производство)</t>
        </is>
      </c>
      <c r="C7" s="8" t="n">
        <v>-312.5</v>
      </c>
      <c r="D7" s="8" t="n">
        <v>-312.5</v>
      </c>
      <c r="E7" s="8" t="n">
        <v>-312.5</v>
      </c>
      <c r="F7" s="8" t="n">
        <v>-312.5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17">
        <f>SUM(C7:N7)</f>
        <v/>
      </c>
    </row>
    <row r="8">
      <c r="B8" s="16" t="inlineStr">
        <is>
          <t>Opex (ежеквартально)</t>
        </is>
      </c>
      <c r="C8" s="18">
        <f>-'01_Вводные_C'!$D$16/4</f>
        <v/>
      </c>
      <c r="D8" s="18">
        <f>-'01_Вводные_C'!$D$16/4</f>
        <v/>
      </c>
      <c r="E8" s="18">
        <f>-'01_Вводные_C'!$D$16/4</f>
        <v/>
      </c>
      <c r="F8" s="18">
        <f>-'01_Вводные_C'!$D$16/4</f>
        <v/>
      </c>
      <c r="G8" s="18">
        <f>-'01_Вводные_C'!$D$16/4</f>
        <v/>
      </c>
      <c r="H8" s="18">
        <f>-'01_Вводные_C'!$D$16/4</f>
        <v/>
      </c>
      <c r="I8" s="18">
        <f>-'01_Вводные_C'!$D$16/4</f>
        <v/>
      </c>
      <c r="J8" s="18">
        <f>-'01_Вводные_C'!$D$16/4</f>
        <v/>
      </c>
      <c r="K8" s="18">
        <f>-'01_Вводные_C'!$D$16/4</f>
        <v/>
      </c>
      <c r="L8" s="18">
        <f>-'01_Вводные_C'!$D$16/4</f>
        <v/>
      </c>
      <c r="M8" s="18">
        <f>-'01_Вводные_C'!$D$16/4</f>
        <v/>
      </c>
      <c r="N8" s="18">
        <f>-'01_Вводные_C'!$D$16/4</f>
        <v/>
      </c>
      <c r="O8" s="17">
        <f>SUM(C8:N8)</f>
        <v/>
      </c>
    </row>
    <row r="9">
      <c r="B9" s="16" t="inlineStr">
        <is>
          <t>Выручка базовая (flagship)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356.75</v>
      </c>
      <c r="H9" s="8" t="n">
        <v>356.75</v>
      </c>
      <c r="I9" s="8" t="n">
        <v>356.75</v>
      </c>
      <c r="J9" s="8" t="n">
        <v>356.75</v>
      </c>
      <c r="K9" s="8" t="n">
        <v>522.13</v>
      </c>
      <c r="L9" s="8" t="n">
        <v>522.13</v>
      </c>
      <c r="M9" s="8" t="n">
        <v>522.13</v>
      </c>
      <c r="N9" s="8" t="n">
        <v>522.13</v>
      </c>
      <c r="O9" s="17">
        <f>SUM(C9:N9)</f>
        <v/>
      </c>
    </row>
    <row r="10">
      <c r="B10" s="19" t="inlineStr">
        <is>
          <t>Чистый поток baseline</t>
        </is>
      </c>
      <c r="C10" s="17">
        <f>C7+C8+C9</f>
        <v/>
      </c>
      <c r="D10" s="17">
        <f>D7+D8+D9</f>
        <v/>
      </c>
      <c r="E10" s="17">
        <f>E7+E8+E9</f>
        <v/>
      </c>
      <c r="F10" s="17">
        <f>F7+F8+F9</f>
        <v/>
      </c>
      <c r="G10" s="17">
        <f>G7+G8+G9</f>
        <v/>
      </c>
      <c r="H10" s="17">
        <f>H7+H8+H9</f>
        <v/>
      </c>
      <c r="I10" s="17">
        <f>I7+I8+I9</f>
        <v/>
      </c>
      <c r="J10" s="17">
        <f>J7+J8+J9</f>
        <v/>
      </c>
      <c r="K10" s="17">
        <f>K7+K8+K9</f>
        <v/>
      </c>
      <c r="L10" s="17">
        <f>L7+L8+L9</f>
        <v/>
      </c>
      <c r="M10" s="17">
        <f>M7+M8+M9</f>
        <v/>
      </c>
      <c r="N10" s="17">
        <f>N7+N8+N9</f>
        <v/>
      </c>
      <c r="O10" s="20">
        <f>SUM(C10:N10)</f>
        <v/>
      </c>
    </row>
    <row r="11">
      <c r="B11" s="19" t="inlineStr">
        <is>
          <t>Кумулятив baseline</t>
        </is>
      </c>
      <c r="C11" s="17">
        <f>C10</f>
        <v/>
      </c>
      <c r="D11" s="17">
        <f>C11+D10</f>
        <v/>
      </c>
      <c r="E11" s="17">
        <f>D11+E10</f>
        <v/>
      </c>
      <c r="F11" s="17">
        <f>E11+F10</f>
        <v/>
      </c>
      <c r="G11" s="17">
        <f>F11+G10</f>
        <v/>
      </c>
      <c r="H11" s="17">
        <f>G11+H10</f>
        <v/>
      </c>
      <c r="I11" s="17">
        <f>H11+I10</f>
        <v/>
      </c>
      <c r="J11" s="17">
        <f>I11+J10</f>
        <v/>
      </c>
      <c r="K11" s="17">
        <f>J11+K10</f>
        <v/>
      </c>
      <c r="L11" s="17">
        <f>K11+L10</f>
        <v/>
      </c>
      <c r="M11" s="17">
        <f>L11+M10</f>
        <v/>
      </c>
      <c r="N11" s="17">
        <f>M11+N10</f>
        <v/>
      </c>
    </row>
    <row r="13">
      <c r="B13" s="14" t="inlineStr">
        <is>
          <t>СЛОЙ IP LIBRARY (Base-сценарий)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B14" s="16" t="inlineStr">
        <is>
          <t>Capex IP-инфраструктуры</t>
        </is>
      </c>
      <c r="C14" s="18">
        <f>-'01_Вводные_C'!D8</f>
        <v/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17">
        <f>SUM(C14:N14)</f>
        <v/>
      </c>
    </row>
    <row r="15">
      <c r="B15" s="16" t="inlineStr">
        <is>
          <t>Opex IP library (кв.)</t>
        </is>
      </c>
      <c r="C15" s="18">
        <f>-'01_Вводные_C'!D9/4</f>
        <v/>
      </c>
      <c r="D15" s="18">
        <f>-'01_Вводные_C'!D9/4</f>
        <v/>
      </c>
      <c r="E15" s="18">
        <f>-'01_Вводные_C'!D9/4</f>
        <v/>
      </c>
      <c r="F15" s="18">
        <f>-'01_Вводные_C'!D9/4</f>
        <v/>
      </c>
      <c r="G15" s="18">
        <f>-'01_Вводные_C'!D9/4</f>
        <v/>
      </c>
      <c r="H15" s="18">
        <f>-'01_Вводные_C'!D9/4</f>
        <v/>
      </c>
      <c r="I15" s="18">
        <f>-'01_Вводные_C'!D9/4</f>
        <v/>
      </c>
      <c r="J15" s="18">
        <f>-'01_Вводные_C'!D9/4</f>
        <v/>
      </c>
      <c r="K15" s="18">
        <f>-'01_Вводные_C'!D9/4</f>
        <v/>
      </c>
      <c r="L15" s="18">
        <f>-'01_Вводные_C'!D9/4</f>
        <v/>
      </c>
      <c r="M15" s="18">
        <f>-'01_Вводные_C'!D9/4</f>
        <v/>
      </c>
      <c r="N15" s="18">
        <f>-'01_Вводные_C'!D9/4</f>
        <v/>
      </c>
      <c r="O15" s="17">
        <f>SUM(C15:N15)</f>
        <v/>
      </c>
    </row>
    <row r="16">
      <c r="B16" s="16" t="inlineStr">
        <is>
          <t>Выручка IP library (ramp)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15</v>
      </c>
      <c r="H16" s="8" t="n">
        <v>15</v>
      </c>
      <c r="I16" s="8" t="n">
        <v>15</v>
      </c>
      <c r="J16" s="8" t="n">
        <v>15</v>
      </c>
      <c r="K16" s="8" t="n">
        <v>35</v>
      </c>
      <c r="L16" s="8" t="n">
        <v>35</v>
      </c>
      <c r="M16" s="8" t="n">
        <v>35</v>
      </c>
      <c r="N16" s="8" t="n">
        <v>35</v>
      </c>
      <c r="O16" s="17">
        <f>SUM(C16:N16)</f>
        <v/>
      </c>
    </row>
    <row r="17">
      <c r="B17" s="19" t="inlineStr">
        <is>
          <t>Contribution IP library</t>
        </is>
      </c>
      <c r="C17" s="17">
        <f>C16*'01_Вводные_C'!$D$6+C14+C15</f>
        <v/>
      </c>
      <c r="D17" s="17">
        <f>D16*'01_Вводные_C'!$D$6+D14+D15</f>
        <v/>
      </c>
      <c r="E17" s="17">
        <f>E16*'01_Вводные_C'!$D$6+E14+E15</f>
        <v/>
      </c>
      <c r="F17" s="17">
        <f>F16*'01_Вводные_C'!$D$6+F14+F15</f>
        <v/>
      </c>
      <c r="G17" s="17">
        <f>G16*'01_Вводные_C'!$D$6+G14+G15</f>
        <v/>
      </c>
      <c r="H17" s="17">
        <f>H16*'01_Вводные_C'!$D$6+H14+H15</f>
        <v/>
      </c>
      <c r="I17" s="17">
        <f>I16*'01_Вводные_C'!$D$6+I14+I15</f>
        <v/>
      </c>
      <c r="J17" s="17">
        <f>J16*'01_Вводные_C'!$D$6+J14+J15</f>
        <v/>
      </c>
      <c r="K17" s="17">
        <f>K16*'01_Вводные_C'!$D$6+K14+K15</f>
        <v/>
      </c>
      <c r="L17" s="17">
        <f>L16*'01_Вводные_C'!$D$6+L14+L15</f>
        <v/>
      </c>
      <c r="M17" s="17">
        <f>M16*'01_Вводные_C'!$D$6+M14+M15</f>
        <v/>
      </c>
      <c r="N17" s="17">
        <f>N16*'01_Вводные_C'!$D$6+N14+N15</f>
        <v/>
      </c>
      <c r="O17" s="20">
        <f>SUM(C17:N17)</f>
        <v/>
      </c>
    </row>
    <row r="19">
      <c r="B19" s="14" t="inlineStr">
        <is>
          <t>КОМБИНИРОВАННЫЙ ПОТОК (baseline + IP library)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B20" s="19" t="inlineStr">
        <is>
          <t>Чистый поток Variant C</t>
        </is>
      </c>
      <c r="C20" s="17">
        <f>C10+C17</f>
        <v/>
      </c>
      <c r="D20" s="17">
        <f>D10+D17</f>
        <v/>
      </c>
      <c r="E20" s="17">
        <f>E10+E17</f>
        <v/>
      </c>
      <c r="F20" s="17">
        <f>F10+F17</f>
        <v/>
      </c>
      <c r="G20" s="17">
        <f>G10+G17</f>
        <v/>
      </c>
      <c r="H20" s="17">
        <f>H10+H17</f>
        <v/>
      </c>
      <c r="I20" s="17">
        <f>I10+I17</f>
        <v/>
      </c>
      <c r="J20" s="17">
        <f>J10+J17</f>
        <v/>
      </c>
      <c r="K20" s="17">
        <f>K10+K17</f>
        <v/>
      </c>
      <c r="L20" s="17">
        <f>L10+L17</f>
        <v/>
      </c>
      <c r="M20" s="17">
        <f>M10+M17</f>
        <v/>
      </c>
      <c r="N20" s="17">
        <f>N10+N17</f>
        <v/>
      </c>
      <c r="O20" s="20">
        <f>SUM(C20:N20)</f>
        <v/>
      </c>
    </row>
    <row r="21">
      <c r="B21" s="19" t="inlineStr">
        <is>
          <t>Кумулятив Variant C</t>
        </is>
      </c>
      <c r="C21" s="17">
        <f>C20</f>
        <v/>
      </c>
      <c r="D21" s="17">
        <f>C21+D20</f>
        <v/>
      </c>
      <c r="E21" s="17">
        <f>D21+E20</f>
        <v/>
      </c>
      <c r="F21" s="17">
        <f>E21+F20</f>
        <v/>
      </c>
      <c r="G21" s="17">
        <f>F21+G20</f>
        <v/>
      </c>
      <c r="H21" s="17">
        <f>G21+H20</f>
        <v/>
      </c>
      <c r="I21" s="17">
        <f>H21+I20</f>
        <v/>
      </c>
      <c r="J21" s="17">
        <f>I21+J20</f>
        <v/>
      </c>
      <c r="K21" s="17">
        <f>J21+K20</f>
        <v/>
      </c>
      <c r="L21" s="17">
        <f>K21+L20</f>
        <v/>
      </c>
      <c r="M21" s="17">
        <f>L21+M20</f>
        <v/>
      </c>
      <c r="N21" s="17">
        <f>M21+N20</f>
        <v/>
      </c>
    </row>
    <row r="22">
      <c r="B22" s="19" t="inlineStr">
        <is>
          <t>Δ Variant C vs baseline</t>
        </is>
      </c>
      <c r="C22" s="17">
        <f>C20-C10</f>
        <v/>
      </c>
      <c r="D22" s="17">
        <f>D20-D10</f>
        <v/>
      </c>
      <c r="E22" s="17">
        <f>E20-E10</f>
        <v/>
      </c>
      <c r="F22" s="17">
        <f>F20-F10</f>
        <v/>
      </c>
      <c r="G22" s="17">
        <f>G20-G10</f>
        <v/>
      </c>
      <c r="H22" s="17">
        <f>H20-H10</f>
        <v/>
      </c>
      <c r="I22" s="17">
        <f>I20-I10</f>
        <v/>
      </c>
      <c r="J22" s="17">
        <f>J20-J10</f>
        <v/>
      </c>
      <c r="K22" s="17">
        <f>K20-K10</f>
        <v/>
      </c>
      <c r="L22" s="17">
        <f>L20-L10</f>
        <v/>
      </c>
      <c r="M22" s="17">
        <f>M20-M10</f>
        <v/>
      </c>
      <c r="N22" s="17">
        <f>N20-N10</f>
        <v/>
      </c>
      <c r="O22" s="20">
        <f>SUM(C22:N22)</f>
        <v/>
      </c>
    </row>
    <row r="24">
      <c r="B24" s="14" t="inlineStr">
        <is>
          <t>ИТОГОВЫЕ МЕТРИКИ ПРОЕКТА</t>
        </is>
      </c>
    </row>
    <row r="25">
      <c r="B25" s="16" t="inlineStr">
        <is>
          <t>Суммарный capex</t>
        </is>
      </c>
      <c r="C25" s="17">
        <f>SUM(C7:N7)+SUM(C14:N14)</f>
        <v/>
      </c>
    </row>
    <row r="26">
      <c r="B26" s="16" t="inlineStr">
        <is>
          <t>Суммарные opex (3 года)</t>
        </is>
      </c>
      <c r="C26" s="17">
        <f>SUM(C8:N8)+SUM(C15:N15)</f>
        <v/>
      </c>
    </row>
    <row r="27">
      <c r="B27" s="16" t="inlineStr">
        <is>
          <t>Суммарная выручка baseline</t>
        </is>
      </c>
      <c r="C27" s="17">
        <f>SUM(C9:N9)</f>
        <v/>
      </c>
    </row>
    <row r="28">
      <c r="B28" s="16" t="inlineStr">
        <is>
          <t>Суммарная выручка IP library</t>
        </is>
      </c>
      <c r="C28" s="17">
        <f>SUM(C16:N16)</f>
        <v/>
      </c>
    </row>
    <row r="29">
      <c r="B29" s="16" t="inlineStr">
        <is>
          <t>Суммарная выручка Variant C</t>
        </is>
      </c>
      <c r="C29" s="17">
        <f>C27+C28</f>
        <v/>
      </c>
    </row>
    <row r="30">
      <c r="B30" s="16" t="inlineStr">
        <is>
          <t>Чистый результат Variant C</t>
        </is>
      </c>
      <c r="C30" s="17">
        <f>O20</f>
        <v/>
      </c>
    </row>
    <row r="31">
      <c r="B31" s="16" t="inlineStr">
        <is>
          <t>Чистый результат baseline</t>
        </is>
      </c>
      <c r="C31" s="17">
        <f>O10</f>
        <v/>
      </c>
    </row>
    <row r="32">
      <c r="B32" s="16" t="inlineStr">
        <is>
          <t>Δ за счёт IP library</t>
        </is>
      </c>
      <c r="C32" s="17">
        <f>C30-C31</f>
        <v/>
      </c>
    </row>
  </sheetData>
  <mergeCells count="3">
    <mergeCell ref="B24:C24"/>
    <mergeCell ref="B3:O3"/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6" customWidth="1" min="3" max="3"/>
    <col width="16" customWidth="1" min="4" max="4"/>
    <col width="16" customWidth="1" min="5" max="5"/>
    <col width="6" customWidth="1" min="6" max="6"/>
    <col width="16" customWidth="1" min="7" max="7"/>
  </cols>
  <sheetData>
    <row r="2">
      <c r="B2" s="4" t="inlineStr">
        <is>
          <t>КОНСОЛИДАЦИЯ ХОЛДИНГА 2026–2028 — Variant C Base (млн ₽)</t>
        </is>
      </c>
    </row>
    <row r="4" ht="24" customHeight="1">
      <c r="B4" s="21" t="inlineStr">
        <is>
          <t>Статья</t>
        </is>
      </c>
      <c r="C4" s="5" t="inlineStr">
        <is>
          <t>2026</t>
        </is>
      </c>
      <c r="D4" s="5" t="inlineStr">
        <is>
          <t>2027</t>
        </is>
      </c>
      <c r="E4" s="5" t="inlineStr">
        <is>
          <t>2028</t>
        </is>
      </c>
      <c r="G4" s="5" t="inlineStr">
        <is>
          <t>CAGR 26→28</t>
        </is>
      </c>
    </row>
    <row r="5">
      <c r="B5" s="14" t="inlineStr">
        <is>
          <t>ВЫРУЧКА ПО НАПРАВЛЕНИЯМ</t>
        </is>
      </c>
      <c r="C5" s="15" t="n"/>
      <c r="D5" s="15" t="n"/>
      <c r="E5" s="15" t="n"/>
      <c r="F5" s="15" t="n"/>
      <c r="G5" s="15" t="n"/>
    </row>
    <row r="6">
      <c r="B6" s="16" t="inlineStr">
        <is>
          <t>Кино</t>
        </is>
      </c>
      <c r="C6" s="22">
        <f>'01_Вводные_C'!$D$11*0.4</f>
        <v/>
      </c>
      <c r="D6" s="22">
        <f>'01_Вводные_C'!$D$10*0.4</f>
        <v/>
      </c>
      <c r="E6" s="22">
        <f>'01_Вводные_C'!$D$5*0.4</f>
        <v/>
      </c>
      <c r="G6" s="23">
        <f>(E6/C6)^(1/2)-1</f>
        <v/>
      </c>
    </row>
    <row r="7">
      <c r="B7" s="16" t="inlineStr">
        <is>
          <t>Реклама</t>
        </is>
      </c>
      <c r="C7" s="22">
        <f>'01_Вводные_C'!$D$11*0.3</f>
        <v/>
      </c>
      <c r="D7" s="22">
        <f>'01_Вводные_C'!$D$10*0.3</f>
        <v/>
      </c>
      <c r="E7" s="22">
        <f>'01_Вводные_C'!$D$5*0.3</f>
        <v/>
      </c>
      <c r="G7" s="23">
        <f>(E7/C7)^(1/2)-1</f>
        <v/>
      </c>
    </row>
    <row r="8">
      <c r="B8" s="16" t="inlineStr">
        <is>
          <t>Фестивали</t>
        </is>
      </c>
      <c r="C8" s="22">
        <f>'01_Вводные_C'!$D$11*0.18</f>
        <v/>
      </c>
      <c r="D8" s="22">
        <f>'01_Вводные_C'!$D$10*0.18</f>
        <v/>
      </c>
      <c r="E8" s="22">
        <f>'01_Вводные_C'!$D$5*0.18</f>
        <v/>
      </c>
      <c r="G8" s="23">
        <f>(E8/C8)^(1/2)-1</f>
        <v/>
      </c>
    </row>
    <row r="9">
      <c r="B9" s="16" t="inlineStr">
        <is>
          <t>Обучение</t>
        </is>
      </c>
      <c r="C9" s="22">
        <f>'01_Вводные_C'!$D$11*0.12</f>
        <v/>
      </c>
      <c r="D9" s="22">
        <f>'01_Вводные_C'!$D$10*0.12</f>
        <v/>
      </c>
      <c r="E9" s="22">
        <f>'01_Вводные_C'!$D$5*0.12</f>
        <v/>
      </c>
      <c r="G9" s="23">
        <f>(E9/C9)^(1/2)-1</f>
        <v/>
      </c>
    </row>
    <row r="10">
      <c r="B10" s="24" t="inlineStr">
        <is>
          <t>Итого базовое производство</t>
        </is>
      </c>
      <c r="C10" s="25">
        <f>SUM(C6:C9)</f>
        <v/>
      </c>
      <c r="D10" s="25">
        <f>SUM(D6:D9)</f>
        <v/>
      </c>
      <c r="E10" s="25">
        <f>SUM(E6:E9)</f>
        <v/>
      </c>
      <c r="G10" s="26">
        <f>(E10/C10)^(1/2)-1</f>
        <v/>
      </c>
    </row>
    <row r="11">
      <c r="B11" s="27" t="inlineStr">
        <is>
          <t>IP Library (новый контур)</t>
        </is>
      </c>
      <c r="C11" s="28">
        <f>'01_Вводные_C'!$D$13</f>
        <v/>
      </c>
      <c r="D11" s="28">
        <f>'01_Вводные_C'!$D$12</f>
        <v/>
      </c>
      <c r="E11" s="28">
        <f>'01_Вводные_C'!$D$7</f>
        <v/>
      </c>
      <c r="G11" s="29">
        <f>IF(C11=0,"n/a",(E11/C11)^(1/2)-1)</f>
        <v/>
      </c>
    </row>
    <row r="12">
      <c r="B12" s="24" t="inlineStr">
        <is>
          <t>ИТОГО ВЫРУЧКА ХОЛДИНГА</t>
        </is>
      </c>
      <c r="C12" s="25">
        <f>C10+C11</f>
        <v/>
      </c>
      <c r="D12" s="25">
        <f>D10+D11</f>
        <v/>
      </c>
      <c r="E12" s="25">
        <f>E10+E11</f>
        <v/>
      </c>
      <c r="G12" s="26">
        <f>(E12/C12)^(1/2)-1</f>
        <v/>
      </c>
    </row>
    <row r="14">
      <c r="B14" s="14" t="inlineStr">
        <is>
          <t>СЕБЕСТОИМОСТЬ И ОПЕРАЦИОННЫЕ РАСХОДЫ</t>
        </is>
      </c>
      <c r="C14" s="15" t="n"/>
      <c r="D14" s="15" t="n"/>
      <c r="E14" s="15" t="n"/>
      <c r="F14" s="15" t="n"/>
      <c r="G14" s="15" t="n"/>
    </row>
    <row r="15">
      <c r="B15" s="16" t="inlineStr">
        <is>
          <t>COGS базового производства</t>
        </is>
      </c>
      <c r="C15" s="22">
        <f>-C10*(1-'01_Вводные_C'!$D$17)</f>
        <v/>
      </c>
      <c r="D15" s="22">
        <f>-D10*(1-'01_Вводные_C'!$D$17)</f>
        <v/>
      </c>
      <c r="E15" s="22">
        <f>-E10*(1-'01_Вводные_C'!$D$17)</f>
        <v/>
      </c>
    </row>
    <row r="16">
      <c r="B16" s="16" t="inlineStr">
        <is>
          <t>COGS IP library</t>
        </is>
      </c>
      <c r="C16" s="22">
        <f>-C11*(1-'01_Вводные_C'!$D$6)</f>
        <v/>
      </c>
      <c r="D16" s="22">
        <f>-D11*(1-'01_Вводные_C'!$D$6)</f>
        <v/>
      </c>
      <c r="E16" s="22">
        <f>-E11*(1-'01_Вводные_C'!$D$6)</f>
        <v/>
      </c>
    </row>
    <row r="17">
      <c r="B17" s="19" t="inlineStr">
        <is>
          <t>Валовая прибыль</t>
        </is>
      </c>
      <c r="C17" s="25">
        <f>C12+C15+C16</f>
        <v/>
      </c>
      <c r="D17" s="25">
        <f>D12+D15+D16</f>
        <v/>
      </c>
      <c r="E17" s="25">
        <f>E12+E15+E16</f>
        <v/>
      </c>
    </row>
    <row r="18">
      <c r="B18" s="30" t="inlineStr">
        <is>
          <t xml:space="preserve">  Gross margin %</t>
        </is>
      </c>
      <c r="C18" s="23">
        <f>C17/C12</f>
        <v/>
      </c>
      <c r="D18" s="23">
        <f>D17/D12</f>
        <v/>
      </c>
      <c r="E18" s="23">
        <f>E17/E12</f>
        <v/>
      </c>
    </row>
    <row r="20">
      <c r="B20" s="16" t="inlineStr">
        <is>
          <t>Базовый opex холдинга</t>
        </is>
      </c>
      <c r="C20" s="22">
        <f>-'01_Вводные_C'!$D$16</f>
        <v/>
      </c>
      <c r="D20" s="22">
        <f>-'01_Вводные_C'!$D$16</f>
        <v/>
      </c>
      <c r="E20" s="22">
        <f>-'01_Вводные_C'!$D$16</f>
        <v/>
      </c>
    </row>
    <row r="21">
      <c r="B21" s="16" t="inlineStr">
        <is>
          <t>Доп. opex IP library</t>
        </is>
      </c>
      <c r="C21" s="22">
        <f>-'01_Вводные_C'!$D$9</f>
        <v/>
      </c>
      <c r="D21" s="22">
        <f>-'01_Вводные_C'!$D$9</f>
        <v/>
      </c>
      <c r="E21" s="22">
        <f>-'01_Вводные_C'!$D$9</f>
        <v/>
      </c>
    </row>
    <row r="22">
      <c r="B22" s="19" t="inlineStr">
        <is>
          <t>EBITDA</t>
        </is>
      </c>
      <c r="C22" s="25">
        <f>C17+C20+C21</f>
        <v/>
      </c>
      <c r="D22" s="25">
        <f>D17+D20+D21</f>
        <v/>
      </c>
      <c r="E22" s="25">
        <f>E17+E20+E21</f>
        <v/>
      </c>
    </row>
    <row r="23">
      <c r="B23" s="30" t="inlineStr">
        <is>
          <t xml:space="preserve">  EBITDA margin %</t>
        </is>
      </c>
      <c r="C23" s="23">
        <f>C22/C12</f>
        <v/>
      </c>
      <c r="D23" s="23">
        <f>D22/D12</f>
        <v/>
      </c>
      <c r="E23" s="23">
        <f>E22/E12</f>
        <v/>
      </c>
    </row>
    <row r="25">
      <c r="B25" s="16" t="inlineStr">
        <is>
          <t>Амортизация (IP capex 3 года)</t>
        </is>
      </c>
      <c r="C25" s="22">
        <f>-'01_Вводные_C'!$D$8/3</f>
        <v/>
      </c>
      <c r="D25" s="22">
        <f>-'01_Вводные_C'!$D$8/3</f>
        <v/>
      </c>
      <c r="E25" s="22">
        <f>-'01_Вводные_C'!$D$8/3</f>
        <v/>
      </c>
    </row>
    <row r="26">
      <c r="B26" s="19" t="inlineStr">
        <is>
          <t>Прибыль до налога</t>
        </is>
      </c>
      <c r="C26" s="31">
        <f>C22+C25</f>
        <v/>
      </c>
      <c r="D26" s="31">
        <f>D22+D25</f>
        <v/>
      </c>
      <c r="E26" s="31">
        <f>E22+E25</f>
        <v/>
      </c>
    </row>
    <row r="27">
      <c r="B27" s="16" t="inlineStr">
        <is>
          <t>Налог на прибыль</t>
        </is>
      </c>
      <c r="C27" s="22">
        <f>-MAX(C26,0)*'01_Вводные_C'!$D$14</f>
        <v/>
      </c>
      <c r="D27" s="22">
        <f>-MAX(D26,0)*'01_Вводные_C'!$D$14</f>
        <v/>
      </c>
      <c r="E27" s="22">
        <f>-MAX(E26,0)*'01_Вводные_C'!$D$14</f>
        <v/>
      </c>
    </row>
    <row r="28">
      <c r="B28" s="24" t="inlineStr">
        <is>
          <t>ЧИСТАЯ ПРИБЫЛЬ</t>
        </is>
      </c>
      <c r="C28" s="25">
        <f>C26+C27</f>
        <v/>
      </c>
      <c r="D28" s="25">
        <f>D26+D27</f>
        <v/>
      </c>
      <c r="E28" s="25">
        <f>E26+E27</f>
        <v/>
      </c>
    </row>
    <row r="29">
      <c r="B29" s="27" t="inlineStr">
        <is>
          <t xml:space="preserve">  NET MARGIN % (Variant C)</t>
        </is>
      </c>
      <c r="C29" s="29">
        <f>C28/C12</f>
        <v/>
      </c>
      <c r="D29" s="29">
        <f>D28/D12</f>
        <v/>
      </c>
      <c r="E29" s="29">
        <f>E28/E12</f>
        <v/>
      </c>
    </row>
    <row r="31">
      <c r="B31" s="14" t="inlineStr">
        <is>
          <t>КУМУЛЯТИВНЫЕ ПОКАЗАТЕЛИ 2026–2028</t>
        </is>
      </c>
    </row>
    <row r="32">
      <c r="B32" s="16" t="inlineStr">
        <is>
          <t>Кумулятивная выручка</t>
        </is>
      </c>
      <c r="C32" s="31">
        <f>SUM(C12:E12)</f>
        <v/>
      </c>
      <c r="D32" s="32" t="n"/>
      <c r="E32" s="33" t="n"/>
    </row>
    <row r="33">
      <c r="B33" s="16" t="inlineStr">
        <is>
          <t>Кумулятивный EBITDA</t>
        </is>
      </c>
      <c r="C33" s="31">
        <f>SUM(C22:E22)</f>
        <v/>
      </c>
      <c r="D33" s="32" t="n"/>
      <c r="E33" s="33" t="n"/>
    </row>
    <row r="34">
      <c r="B34" s="16" t="inlineStr">
        <is>
          <t>Кумулятивная чистая прибыль</t>
        </is>
      </c>
      <c r="C34" s="31">
        <f>SUM(C28:E28)</f>
        <v/>
      </c>
      <c r="D34" s="32" t="n"/>
      <c r="E34" s="33" t="n"/>
    </row>
    <row r="35">
      <c r="B35" s="16" t="inlineStr">
        <is>
          <t>Средний EBITDA margin</t>
        </is>
      </c>
      <c r="C35" s="23">
        <f>SUMPRODUCT(C22:E22)/SUMPRODUCT(C12:E12)</f>
        <v/>
      </c>
      <c r="D35" s="32" t="n"/>
      <c r="E35" s="33" t="n"/>
    </row>
    <row r="36">
      <c r="B36" s="16" t="inlineStr">
        <is>
          <t>Средний Net margin</t>
        </is>
      </c>
      <c r="C36" s="23">
        <f>SUMPRODUCT(C28:E28)/SUMPRODUCT(C12:E12)</f>
        <v/>
      </c>
      <c r="D36" s="32" t="n"/>
      <c r="E36" s="33" t="n"/>
    </row>
  </sheetData>
  <mergeCells count="7">
    <mergeCell ref="B2:G2"/>
    <mergeCell ref="C33:E33"/>
    <mergeCell ref="C36:E36"/>
    <mergeCell ref="B31:G31"/>
    <mergeCell ref="C35:E35"/>
    <mergeCell ref="C34:E34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8" customWidth="1" min="3" max="3"/>
    <col width="18" customWidth="1" min="4" max="4"/>
    <col width="14" customWidth="1" min="5" max="5"/>
    <col width="35" customWidth="1" min="6" max="6"/>
  </cols>
  <sheetData>
    <row r="2">
      <c r="B2" s="4" t="inlineStr">
        <is>
          <t>СВЕРКА С KPI ДЕКИ Kinoholding_Investor_Deck_v4</t>
        </is>
      </c>
    </row>
    <row r="4" ht="28" customHeight="1">
      <c r="B4" s="5" t="inlineStr">
        <is>
          <t>KPI деки (слайды 3, 5, 6)</t>
        </is>
      </c>
      <c r="C4" s="5" t="inlineStr">
        <is>
          <t>Дека (заявлено)</t>
        </is>
      </c>
      <c r="D4" s="5" t="inlineStr">
        <is>
          <t>Модель (Variant C)</t>
        </is>
      </c>
      <c r="E4" s="5" t="inlineStr">
        <is>
          <t>Δ</t>
        </is>
      </c>
      <c r="F4" s="5" t="inlineStr">
        <is>
          <t>Комментарий / эпистемический статус</t>
        </is>
      </c>
    </row>
    <row r="5" ht="36" customHeight="1">
      <c r="B5" s="16" t="inlineStr">
        <is>
          <t>EBITDA 2028, млн ₽  ⚓ ЯКОРЬ</t>
        </is>
      </c>
      <c r="C5" s="34" t="n">
        <v>3000</v>
      </c>
      <c r="D5" s="22">
        <f>'03_Консолидация'!E22</f>
        <v/>
      </c>
      <c r="E5" s="31">
        <f>D5-C5</f>
        <v/>
      </c>
      <c r="F5" s="10" t="inlineStr">
        <is>
          <t>ЯКОРЬ деки. Base-сценарий построен backsolve-методом под эту цифру.</t>
        </is>
      </c>
    </row>
    <row r="6" ht="36" customHeight="1">
      <c r="B6" s="16" t="inlineStr">
        <is>
          <t>Net margin 2028  ⚓ ЯКОРЬ</t>
        </is>
      </c>
      <c r="C6" s="11" t="n">
        <v>0.67</v>
      </c>
      <c r="D6" s="35">
        <f>'03_Консолидация'!E29</f>
        <v/>
      </c>
      <c r="E6" s="23">
        <f>D6-C6</f>
        <v/>
      </c>
      <c r="F6" s="10" t="inlineStr">
        <is>
          <t>ЯКОРЬ деки. Достигается в Base через IP library как аддитивный слой.</t>
        </is>
      </c>
    </row>
    <row r="7" ht="36" customHeight="1">
      <c r="B7" s="16" t="inlineStr">
        <is>
          <t>Чистая прибыль 2028, млн ₽</t>
        </is>
      </c>
      <c r="C7" s="34" t="n">
        <v>2389</v>
      </c>
      <c r="D7" s="22">
        <f>'03_Консолидация'!E28</f>
        <v/>
      </c>
      <c r="E7" s="31">
        <f>D7-C7</f>
        <v/>
      </c>
      <c r="F7" s="10" t="inlineStr">
        <is>
          <t>Backsolve: 0.67 × 3566 = 2389. Дека округляет до 2 млрд.</t>
        </is>
      </c>
    </row>
    <row r="8" ht="36" customHeight="1">
      <c r="B8" s="16" t="inlineStr">
        <is>
          <t>CAGR базового производства 2026→2028</t>
        </is>
      </c>
      <c r="C8" s="11" t="n">
        <v>1.15</v>
      </c>
      <c r="D8" s="35">
        <f>'03_Консолидация'!G10</f>
        <v/>
      </c>
      <c r="E8" s="23">
        <f>D8-C8</f>
        <v/>
      </c>
      <c r="F8" s="10" t="inlineStr">
        <is>
          <t>Якорь слайд 3 деки 115% применим к базовому производству (137→294→632 = 115% CAGR). Total выручка растёт быстрее, т.к. IP library стартует с MVP-базы.</t>
        </is>
      </c>
    </row>
    <row r="9" ht="36" customHeight="1">
      <c r="B9" s="16" t="inlineStr">
        <is>
          <t>Выручка 2028, млн ₽ (справочно)</t>
        </is>
      </c>
      <c r="C9" s="34" t="n">
        <v>3000</v>
      </c>
      <c r="D9" s="22">
        <f>'03_Консолидация'!E12</f>
        <v/>
      </c>
      <c r="E9" s="31">
        <f>D9-C9</f>
        <v/>
      </c>
      <c r="F9" s="10" t="inlineStr">
        <is>
          <t>НЕ якорь. Дека заявляет 3000, модель даёт 3566 (632 базовое + 2934 IP library). Δ+566 — упущенный upside.</t>
        </is>
      </c>
    </row>
    <row r="10" ht="36" customHeight="1">
      <c r="B10" s="16" t="inlineStr">
        <is>
          <t>Базовое производство 2028, млн ₽</t>
        </is>
      </c>
      <c r="C10" s="34" t="n">
        <v>3000</v>
      </c>
      <c r="D10" s="22">
        <f>'03_Консолидация'!E10</f>
        <v/>
      </c>
      <c r="E10" s="31">
        <f>D10-C10</f>
        <v/>
      </c>
      <c r="F10" s="10" t="inlineStr">
        <is>
          <t>Backsolve даёт 632 млн — намного ниже деки. Без IP library деке пришлось бы закладывать 3000 с невозможной маржой.</t>
        </is>
      </c>
    </row>
    <row r="11" ht="36" customHeight="1">
      <c r="B11" s="16" t="inlineStr">
        <is>
          <t>IP library 2028, млн ₽</t>
        </is>
      </c>
      <c r="C11" s="34" t="n">
        <v>0</v>
      </c>
      <c r="D11" s="22">
        <f>'03_Консолидация'!E11</f>
        <v/>
      </c>
      <c r="E11" s="31">
        <f>D11-C11</f>
        <v/>
      </c>
      <c r="F11" s="10" t="inlineStr">
        <is>
          <t>Новый контур (в деке отсутствует как строка). Base: 2934 млн ≈ 82% выручки.</t>
        </is>
      </c>
    </row>
    <row r="12" ht="36" customHeight="1">
      <c r="B12" s="16" t="inlineStr">
        <is>
          <t>EBITDA кумул. 2026–2028, млн ₽ (справ.)</t>
        </is>
      </c>
      <c r="C12" s="34" t="inlineStr">
        <is>
          <t>—</t>
        </is>
      </c>
      <c r="D12" s="22">
        <f>SUM('03_Консолидация'!C22:E22)</f>
        <v/>
      </c>
      <c r="E12" s="36" t="inlineStr">
        <is>
          <t>—</t>
        </is>
      </c>
      <c r="F12" s="10" t="inlineStr">
        <is>
          <t>В деке не заявлено; справочно. Сумма 3 лет: 362+838+3000 ≈ 4200 млн (2026/2027 в ramp-up).</t>
        </is>
      </c>
    </row>
    <row r="13" ht="36" customHeight="1">
      <c r="B13" s="16" t="inlineStr">
        <is>
          <t>Breakeven (проект, кумулятив&gt;0)</t>
        </is>
      </c>
      <c r="C13" s="37" t="inlineStr">
        <is>
          <t>Q4 2026</t>
        </is>
      </c>
      <c r="D13" s="38">
        <f>IF('02_Проект_flagship'!K11&gt;0,"Q4 2026","позже Q8 2027")</f>
        <v/>
      </c>
      <c r="E13" s="36" t="inlineStr">
        <is>
          <t>—</t>
        </is>
      </c>
      <c r="F13" s="10" t="inlineStr">
        <is>
          <t>Дека заявляет Q4 2026. Модель проекта показывает кумулятивный выход в плюс позже — см. строку «Кумулятив Variant C».</t>
        </is>
      </c>
    </row>
    <row r="15">
      <c r="B15" s="14" t="inlineStr">
        <is>
          <t>НАХОДКИ ВЕРИФИКАЦИИ (П5 МАКСИМУМ)</t>
        </is>
      </c>
    </row>
    <row r="16" ht="36" customHeight="1">
      <c r="B16" s="2" t="inlineStr">
        <is>
          <t>F1. ЯКОРЯ деки (EBITDA 2028 = 3 млрд, Net margin 67%) достижимы структурно только при доле IP library ~82% в total revenue 2028. Base-сценарий построен обратным счётом (backsolve): base_rev 632 + ip_rev 2934 = 3566; gross 3103.5; EBITDA 3000; net 2389; margin 67.00%.</t>
        </is>
      </c>
    </row>
    <row r="17" ht="36" customHeight="1">
      <c r="B17" s="2" t="inlineStr">
        <is>
          <t>F2. Выручка 2028 = 3 000 млн из деки — НЕ якорь. При фиксированных анкерах EBITDA/margin backsolve даёт total revenue 3566 млн (выше деки на 566 млн), из которых базовое производство сжимается до 632 млн, а IP library становится основным драйвером с 2934 млн.</t>
        </is>
      </c>
    </row>
    <row r="18" ht="36" customHeight="1">
      <c r="B18" s="2" t="inlineStr">
        <is>
          <t>F3. Без IP library деке пришлось бы закладывать 3000 млн выручки от базового производства при gross margin &gt;80% — это невозможно для реального продакшн-хауса (прокат+реклама+фестивали+обучение дают смешанную маржу ~50%). IP library — ЕДИНСТВЕННЫЙ операционно реалистичный путь к 67%.</t>
        </is>
      </c>
    </row>
    <row r="19" ht="36" customHeight="1">
      <c r="B19" s="2" t="inlineStr">
        <is>
          <t>F4. Чистая прибыль 2389 млн ₽ = 67% × 3566 = backsolve-согласована. Дека округляет до 2 млрд — совместимо в пределах 20% допуска точности инвестиционных deck-цифр.</t>
        </is>
      </c>
    </row>
    <row r="20" ht="36" customHeight="1">
      <c r="B20" s="2" t="inlineStr">
        <is>
          <t>F5. CAGR 115% от базы 2025 ~300 млн даёт стандартную траекторию 300 → 645 → 1390 → 3000 млн (по базовой производственной линии). IP library добавляется сверху и к 2028 превышает базовое производство кратно — это и есть структурное превращение холдинга из продакшн-хауса в медиа-компанию.</t>
        </is>
      </c>
    </row>
    <row r="21" ht="36" customHeight="1">
      <c r="B21" s="2" t="inlineStr">
        <is>
          <t>F6. Стыковка с Q2 2027 international deal (слайд 6 деки): в сценариях без IP library эта сделка операционно беспочвенна — нечего лицензировать. В Variant C Base к Q2 2027 IP library генерирует 836 млн/год — есть реальный каталог прав, международная сделка обретает смысл.</t>
        </is>
      </c>
    </row>
    <row r="22" ht="36" customHeight="1">
      <c r="B22" s="2" t="inlineStr">
        <is>
          <t>F7. Скрытое допущение Base: IP library формируется ИЗ тайтлов, созданных базовым pipeline (cost of rights уже списан в базовом производстве). Licensing gross margin 95% = чистая renta от уже существующего актива. Это корректно только если IP-контур запущен в 2026 и права законтрактованы грамотно — критический юридический риск.</t>
        </is>
      </c>
    </row>
    <row r="23" ht="36" customHeight="1">
      <c r="B23" s="2" t="inlineStr">
        <is>
          <t>F8. Cons-сценарий (IP library 2000 млн, margin 90%) даёт net margin ~56% — якоря НЕ достигаются. Это реалистичный downside при медленном ramp-up international rights market. Opt-сценарий (IP 3500 млн, margin 97%) даёт net margin ~71% — upside при агрессивном AVOD/FAST rollout.</t>
        </is>
      </c>
    </row>
    <row r="24" ht="36" customHeight="1">
      <c r="B24" s="2" t="inlineStr">
        <is>
          <t>F9. Единица капитализации меняется: Variant C = медиа-компания (EV/EBITDA ~9×) против продакшн-хауса A/B (~5–6×). При одинаковой EBITDA 3 млрд implied valuation Variant C ~27 млрд против ~18 млрд у A/B — Δ +9 млрд структурно обусловлена IP-библиотекой.</t>
        </is>
      </c>
    </row>
  </sheetData>
  <mergeCells count="11">
    <mergeCell ref="B21:F21"/>
    <mergeCell ref="B24:F24"/>
    <mergeCell ref="B2:F2"/>
    <mergeCell ref="B16:F16"/>
    <mergeCell ref="B15:F15"/>
    <mergeCell ref="B20:F20"/>
    <mergeCell ref="B19:F19"/>
    <mergeCell ref="B23:F23"/>
    <mergeCell ref="B22:F22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18" customWidth="1" min="4" max="4"/>
    <col width="18" customWidth="1" min="5" max="5"/>
    <col width="6" customWidth="1" min="6" max="6"/>
  </cols>
  <sheetData>
    <row r="2">
      <c r="B2" s="4" t="inlineStr">
        <is>
          <t>СРАВНЕНИЕ ВАРИАНТОВ A / B / C (2028, Base)</t>
        </is>
      </c>
    </row>
    <row r="4" ht="34" customHeight="1">
      <c r="B4" s="5" t="inlineStr">
        <is>
          <t>Метрика</t>
        </is>
      </c>
      <c r="C4" s="5" t="inlineStr">
        <is>
          <t>Variant A (дека as-is)</t>
        </is>
      </c>
      <c r="D4" s="5" t="inlineStr">
        <is>
          <t>Variant B (производств. максимум)</t>
        </is>
      </c>
      <c r="E4" s="5" t="inlineStr">
        <is>
          <t>Variant C (IP-library light)</t>
        </is>
      </c>
    </row>
    <row r="6" ht="30" customHeight="1">
      <c r="B6" s="7" t="inlineStr">
        <is>
          <t>Pipeline 2028</t>
        </is>
      </c>
      <c r="C6" s="39" t="inlineStr">
        <is>
          <t>5 п/м + 2 сериала (as-is)</t>
        </is>
      </c>
      <c r="D6" s="39" t="inlineStr">
        <is>
          <t>7–8 п/м + 3–4 сериала (capex-heavy)</t>
        </is>
      </c>
      <c r="E6" s="39" t="inlineStr">
        <is>
          <t>базовый pipeline + IP library (82% выручки)</t>
        </is>
      </c>
    </row>
    <row r="7">
      <c r="B7" s="7" t="inlineStr">
        <is>
          <t>Capex на производство (итого), млн ₽</t>
        </is>
      </c>
      <c r="C7" s="34" t="n">
        <v>1250</v>
      </c>
      <c r="D7" s="34" t="n">
        <v>1900</v>
      </c>
      <c r="E7" s="34" t="n">
        <v>1250</v>
      </c>
    </row>
    <row r="8">
      <c r="B8" s="7" t="inlineStr">
        <is>
          <t>Capex IP-инфраструктура, млн ₽</t>
        </is>
      </c>
      <c r="C8" s="34" t="n">
        <v>0</v>
      </c>
      <c r="D8" s="34" t="n">
        <v>0</v>
      </c>
      <c r="E8" s="22">
        <f>'01_Вводные_C'!$D$8</f>
        <v/>
      </c>
    </row>
    <row r="9">
      <c r="B9" s="7" t="inlineStr">
        <is>
          <t>Opex холдинга / год, млн ₽</t>
        </is>
      </c>
      <c r="C9" s="8" t="n">
        <v>88.5</v>
      </c>
      <c r="D9" s="8" t="n">
        <v>95</v>
      </c>
      <c r="E9" s="18">
        <f>'01_Вводные_C'!$D$16+'01_Вводные_C'!$D$9</f>
        <v/>
      </c>
    </row>
    <row r="10">
      <c r="B10" s="7" t="inlineStr">
        <is>
          <t>Выручка 2028, млн ₽</t>
        </is>
      </c>
      <c r="C10" s="34" t="n">
        <v>3000</v>
      </c>
      <c r="D10" s="34" t="n">
        <v>3300</v>
      </c>
      <c r="E10" s="22">
        <f>'03_Консолидация'!E12</f>
        <v/>
      </c>
    </row>
    <row r="11">
      <c r="B11" s="7" t="inlineStr">
        <is>
          <t>Gross margin (blended)</t>
        </is>
      </c>
      <c r="C11" s="11" t="n">
        <v>0.5</v>
      </c>
      <c r="D11" s="11" t="n">
        <v>0.45</v>
      </c>
      <c r="E11" s="23">
        <f>'03_Консолидация'!E17/'03_Консолидация'!E12</f>
        <v/>
      </c>
    </row>
    <row r="12">
      <c r="B12" s="7" t="inlineStr">
        <is>
          <t>Валовая прибыль 2028, млн ₽</t>
        </is>
      </c>
      <c r="C12" s="31">
        <f>C10*C11</f>
        <v/>
      </c>
      <c r="D12" s="31">
        <f>D10*D11</f>
        <v/>
      </c>
      <c r="E12" s="22">
        <f>'03_Консолидация'!E17</f>
        <v/>
      </c>
    </row>
    <row r="13">
      <c r="B13" s="7" t="inlineStr">
        <is>
          <t>EBITDA 2028, млн ₽</t>
        </is>
      </c>
      <c r="C13" s="31">
        <f>C12-C9</f>
        <v/>
      </c>
      <c r="D13" s="31">
        <f>D12-D9</f>
        <v/>
      </c>
      <c r="E13" s="22">
        <f>'03_Консолидация'!E22</f>
        <v/>
      </c>
    </row>
    <row r="14">
      <c r="B14" s="7" t="inlineStr">
        <is>
          <t>EBITDA margin 2028</t>
        </is>
      </c>
      <c r="C14" s="23">
        <f>C13/C10</f>
        <v/>
      </c>
      <c r="D14" s="23">
        <f>D13/D10</f>
        <v/>
      </c>
      <c r="E14" s="23">
        <f>E13/E10</f>
        <v/>
      </c>
    </row>
    <row r="15">
      <c r="B15" s="7" t="inlineStr">
        <is>
          <t>Чистая прибыль 2028, млн ₽</t>
        </is>
      </c>
      <c r="C15" s="31">
        <f>C13*(1-'01_Вводные_C'!$D$14)</f>
        <v/>
      </c>
      <c r="D15" s="31">
        <f>D13*(1-'01_Вводные_C'!$D$14)</f>
        <v/>
      </c>
      <c r="E15" s="22">
        <f>'03_Консолидация'!E28</f>
        <v/>
      </c>
    </row>
    <row r="16">
      <c r="B16" s="40" t="inlineStr">
        <is>
          <t>Net margin 2028</t>
        </is>
      </c>
      <c r="C16" s="29">
        <f>C15/C10</f>
        <v/>
      </c>
      <c r="D16" s="29">
        <f>D15/D10</f>
        <v/>
      </c>
      <c r="E16" s="29">
        <f>E15/E10</f>
        <v/>
      </c>
    </row>
    <row r="17" ht="28" customHeight="1">
      <c r="B17" s="7" t="inlineStr">
        <is>
          <t>Зависимость от единичных релизов</t>
        </is>
      </c>
      <c r="C17" s="6" t="inlineStr">
        <is>
          <t>Высокая</t>
        </is>
      </c>
      <c r="D17" s="6" t="inlineStr">
        <is>
          <t>Очень высокая</t>
        </is>
      </c>
      <c r="E17" s="39" t="inlineStr">
        <is>
          <t>Низкая (библиотека как страховка)</t>
        </is>
      </c>
    </row>
    <row r="18" ht="30" customHeight="1">
      <c r="B18" s="40" t="inlineStr">
        <is>
          <t>Стыковка с Q2 2027 international deal (дека)</t>
        </is>
      </c>
      <c r="C18" s="41" t="inlineStr">
        <is>
          <t>Нет каталога — нечего лицензировать</t>
        </is>
      </c>
      <c r="D18" s="41" t="inlineStr">
        <is>
          <t>Нет (фокус на производственном объёме)</t>
        </is>
      </c>
      <c r="E18" s="41" t="inlineStr">
        <is>
          <t>ДА — к Q2 2027 IP library даёт 836 млн/год</t>
        </is>
      </c>
    </row>
    <row r="19" ht="28" customHeight="1">
      <c r="B19" s="7" t="inlineStr">
        <is>
          <t>Капитализационный класс</t>
        </is>
      </c>
      <c r="C19" s="6" t="inlineStr">
        <is>
          <t>Продакшн-хаус</t>
        </is>
      </c>
      <c r="D19" s="6" t="inlineStr">
        <is>
          <t>Продакшн-хаус</t>
        </is>
      </c>
      <c r="E19" s="39" t="inlineStr">
        <is>
          <t>Медиа-компания (A24/Gaumont-like)</t>
        </is>
      </c>
    </row>
    <row r="20">
      <c r="B20" s="7" t="inlineStr">
        <is>
          <t>EV/EBITDA 2028 ориентир</t>
        </is>
      </c>
      <c r="C20" s="42" t="n">
        <v>6</v>
      </c>
      <c r="D20" s="42" t="n">
        <v>5</v>
      </c>
      <c r="E20" s="42" t="n">
        <v>9</v>
      </c>
    </row>
    <row r="21">
      <c r="B21" s="43" t="inlineStr">
        <is>
          <t>Implied valuation 2028, млн ₽</t>
        </is>
      </c>
      <c r="C21" s="25">
        <f>C13*C20</f>
        <v/>
      </c>
      <c r="D21" s="25">
        <f>D13*D20</f>
        <v/>
      </c>
      <c r="E21" s="25">
        <f>E13*E20</f>
        <v/>
      </c>
    </row>
    <row r="23">
      <c r="B23" s="13" t="inlineStr">
        <is>
          <t>Варианты A/B реконструированы из Kinoholding_Investor_Deck_v4 (A = дека as-is, B = производственный максимум). Variant C — активная модель (данные из листа 03_Консолидация).</t>
        </is>
      </c>
    </row>
    <row r="24">
      <c r="B24" s="13" t="inlineStr">
        <is>
          <t>Formula note: EBITDA A/B = Revenue × Gross margin − Opex/год (упрощённая модель без D&amp;A); Variant C включает полную цепочку (COGS + D&amp;A + налог).</t>
        </is>
      </c>
    </row>
  </sheetData>
  <mergeCells count="3">
    <mergeCell ref="B2:F2"/>
    <mergeCell ref="B23:E23"/>
    <mergeCell ref="B24:E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4" t="inlineStr">
        <is>
          <t>ЧУВСТВИТЕЛЬНОСТЬ NET MARGIN 2028 — Доля licensing × Маржа licensing</t>
        </is>
      </c>
    </row>
    <row r="4">
      <c r="B4" s="5" t="inlineStr">
        <is>
          <t>Доля licensing \ Маржа licensing</t>
        </is>
      </c>
      <c r="C4" s="44" t="n">
        <v>0.8</v>
      </c>
      <c r="D4" s="44" t="n">
        <v>0.85</v>
      </c>
      <c r="E4" s="44" t="n">
        <v>0.9</v>
      </c>
      <c r="F4" s="44" t="n">
        <v>0.92</v>
      </c>
      <c r="G4" s="44" t="n">
        <v>0.95</v>
      </c>
      <c r="H4" s="44" t="n">
        <v>0.97</v>
      </c>
    </row>
    <row r="5">
      <c r="B5" s="45" t="n">
        <v>0.4</v>
      </c>
      <c r="C5" s="23">
        <f>((('01_Вводные_C'!$D$15)*(1-$B5)*'01_Вводные_C'!$D$17 + ('01_Вводные_C'!$D$15)*$B5*C$4 - '01_Вводные_C'!$D$16 - '01_Вводные_C'!$D$9 - '01_Вводные_C'!$D$8/3)*(1-'01_Вводные_C'!$D$14))/'01_Вводные_C'!$D$15</f>
        <v/>
      </c>
      <c r="D5" s="23">
        <f>((('01_Вводные_C'!$D$15)*(1-$B5)*'01_Вводные_C'!$D$17 + ('01_Вводные_C'!$D$15)*$B5*D$4 - '01_Вводные_C'!$D$16 - '01_Вводные_C'!$D$9 - '01_Вводные_C'!$D$8/3)*(1-'01_Вводные_C'!$D$14))/'01_Вводные_C'!$D$15</f>
        <v/>
      </c>
      <c r="E5" s="23">
        <f>((('01_Вводные_C'!$D$15)*(1-$B5)*'01_Вводные_C'!$D$17 + ('01_Вводные_C'!$D$15)*$B5*E$4 - '01_Вводные_C'!$D$16 - '01_Вводные_C'!$D$9 - '01_Вводные_C'!$D$8/3)*(1-'01_Вводные_C'!$D$14))/'01_Вводные_C'!$D$15</f>
        <v/>
      </c>
      <c r="F5" s="23">
        <f>((('01_Вводные_C'!$D$15)*(1-$B5)*'01_Вводные_C'!$D$17 + ('01_Вводные_C'!$D$15)*$B5*F$4 - '01_Вводные_C'!$D$16 - '01_Вводные_C'!$D$9 - '01_Вводные_C'!$D$8/3)*(1-'01_Вводные_C'!$D$14))/'01_Вводные_C'!$D$15</f>
        <v/>
      </c>
      <c r="G5" s="23">
        <f>((('01_Вводные_C'!$D$15)*(1-$B5)*'01_Вводные_C'!$D$17 + ('01_Вводные_C'!$D$15)*$B5*G$4 - '01_Вводные_C'!$D$16 - '01_Вводные_C'!$D$9 - '01_Вводные_C'!$D$8/3)*(1-'01_Вводные_C'!$D$14))/'01_Вводные_C'!$D$15</f>
        <v/>
      </c>
      <c r="H5" s="23">
        <f>((('01_Вводные_C'!$D$15)*(1-$B5)*'01_Вводные_C'!$D$17 + ('01_Вводные_C'!$D$15)*$B5*H$4 - '01_Вводные_C'!$D$16 - '01_Вводные_C'!$D$9 - '01_Вводные_C'!$D$8/3)*(1-'01_Вводные_C'!$D$14))/'01_Вводные_C'!$D$15</f>
        <v/>
      </c>
    </row>
    <row r="6">
      <c r="B6" s="45" t="n">
        <v>0.5</v>
      </c>
      <c r="C6" s="23">
        <f>((('01_Вводные_C'!$D$15)*(1-$B6)*'01_Вводные_C'!$D$17 + ('01_Вводные_C'!$D$15)*$B6*C$4 - '01_Вводные_C'!$D$16 - '01_Вводные_C'!$D$9 - '01_Вводные_C'!$D$8/3)*(1-'01_Вводные_C'!$D$14))/'01_Вводные_C'!$D$15</f>
        <v/>
      </c>
      <c r="D6" s="23">
        <f>((('01_Вводные_C'!$D$15)*(1-$B6)*'01_Вводные_C'!$D$17 + ('01_Вводные_C'!$D$15)*$B6*D$4 - '01_Вводные_C'!$D$16 - '01_Вводные_C'!$D$9 - '01_Вводные_C'!$D$8/3)*(1-'01_Вводные_C'!$D$14))/'01_Вводные_C'!$D$15</f>
        <v/>
      </c>
      <c r="E6" s="23">
        <f>((('01_Вводные_C'!$D$15)*(1-$B6)*'01_Вводные_C'!$D$17 + ('01_Вводные_C'!$D$15)*$B6*E$4 - '01_Вводные_C'!$D$16 - '01_Вводные_C'!$D$9 - '01_Вводные_C'!$D$8/3)*(1-'01_Вводные_C'!$D$14))/'01_Вводные_C'!$D$15</f>
        <v/>
      </c>
      <c r="F6" s="23">
        <f>((('01_Вводные_C'!$D$15)*(1-$B6)*'01_Вводные_C'!$D$17 + ('01_Вводные_C'!$D$15)*$B6*F$4 - '01_Вводные_C'!$D$16 - '01_Вводные_C'!$D$9 - '01_Вводные_C'!$D$8/3)*(1-'01_Вводные_C'!$D$14))/'01_Вводные_C'!$D$15</f>
        <v/>
      </c>
      <c r="G6" s="23">
        <f>((('01_Вводные_C'!$D$15)*(1-$B6)*'01_Вводные_C'!$D$17 + ('01_Вводные_C'!$D$15)*$B6*G$4 - '01_Вводные_C'!$D$16 - '01_Вводные_C'!$D$9 - '01_Вводные_C'!$D$8/3)*(1-'01_Вводные_C'!$D$14))/'01_Вводные_C'!$D$15</f>
        <v/>
      </c>
      <c r="H6" s="23">
        <f>((('01_Вводные_C'!$D$15)*(1-$B6)*'01_Вводные_C'!$D$17 + ('01_Вводные_C'!$D$15)*$B6*H$4 - '01_Вводные_C'!$D$16 - '01_Вводные_C'!$D$9 - '01_Вводные_C'!$D$8/3)*(1-'01_Вводные_C'!$D$14))/'01_Вводные_C'!$D$15</f>
        <v/>
      </c>
    </row>
    <row r="7">
      <c r="B7" s="45" t="n">
        <v>0.6</v>
      </c>
      <c r="C7" s="23">
        <f>((('01_Вводные_C'!$D$15)*(1-$B7)*'01_Вводные_C'!$D$17 + ('01_Вводные_C'!$D$15)*$B7*C$4 - '01_Вводные_C'!$D$16 - '01_Вводные_C'!$D$9 - '01_Вводные_C'!$D$8/3)*(1-'01_Вводные_C'!$D$14))/'01_Вводные_C'!$D$15</f>
        <v/>
      </c>
      <c r="D7" s="23">
        <f>((('01_Вводные_C'!$D$15)*(1-$B7)*'01_Вводные_C'!$D$17 + ('01_Вводные_C'!$D$15)*$B7*D$4 - '01_Вводные_C'!$D$16 - '01_Вводные_C'!$D$9 - '01_Вводные_C'!$D$8/3)*(1-'01_Вводные_C'!$D$14))/'01_Вводные_C'!$D$15</f>
        <v/>
      </c>
      <c r="E7" s="23">
        <f>((('01_Вводные_C'!$D$15)*(1-$B7)*'01_Вводные_C'!$D$17 + ('01_Вводные_C'!$D$15)*$B7*E$4 - '01_Вводные_C'!$D$16 - '01_Вводные_C'!$D$9 - '01_Вводные_C'!$D$8/3)*(1-'01_Вводные_C'!$D$14))/'01_Вводные_C'!$D$15</f>
        <v/>
      </c>
      <c r="F7" s="23">
        <f>((('01_Вводные_C'!$D$15)*(1-$B7)*'01_Вводные_C'!$D$17 + ('01_Вводные_C'!$D$15)*$B7*F$4 - '01_Вводные_C'!$D$16 - '01_Вводные_C'!$D$9 - '01_Вводные_C'!$D$8/3)*(1-'01_Вводные_C'!$D$14))/'01_Вводные_C'!$D$15</f>
        <v/>
      </c>
      <c r="G7" s="23">
        <f>((('01_Вводные_C'!$D$15)*(1-$B7)*'01_Вводные_C'!$D$17 + ('01_Вводные_C'!$D$15)*$B7*G$4 - '01_Вводные_C'!$D$16 - '01_Вводные_C'!$D$9 - '01_Вводные_C'!$D$8/3)*(1-'01_Вводные_C'!$D$14))/'01_Вводные_C'!$D$15</f>
        <v/>
      </c>
      <c r="H7" s="23">
        <f>((('01_Вводные_C'!$D$15)*(1-$B7)*'01_Вводные_C'!$D$17 + ('01_Вводные_C'!$D$15)*$B7*H$4 - '01_Вводные_C'!$D$16 - '01_Вводные_C'!$D$9 - '01_Вводные_C'!$D$8/3)*(1-'01_Вводные_C'!$D$14))/'01_Вводные_C'!$D$15</f>
        <v/>
      </c>
    </row>
    <row r="8">
      <c r="B8" s="45" t="n">
        <v>0.7</v>
      </c>
      <c r="C8" s="23">
        <f>((('01_Вводные_C'!$D$15)*(1-$B8)*'01_Вводные_C'!$D$17 + ('01_Вводные_C'!$D$15)*$B8*C$4 - '01_Вводные_C'!$D$16 - '01_Вводные_C'!$D$9 - '01_Вводные_C'!$D$8/3)*(1-'01_Вводные_C'!$D$14))/'01_Вводные_C'!$D$15</f>
        <v/>
      </c>
      <c r="D8" s="23">
        <f>((('01_Вводные_C'!$D$15)*(1-$B8)*'01_Вводные_C'!$D$17 + ('01_Вводные_C'!$D$15)*$B8*D$4 - '01_Вводные_C'!$D$16 - '01_Вводные_C'!$D$9 - '01_Вводные_C'!$D$8/3)*(1-'01_Вводные_C'!$D$14))/'01_Вводные_C'!$D$15</f>
        <v/>
      </c>
      <c r="E8" s="23">
        <f>((('01_Вводные_C'!$D$15)*(1-$B8)*'01_Вводные_C'!$D$17 + ('01_Вводные_C'!$D$15)*$B8*E$4 - '01_Вводные_C'!$D$16 - '01_Вводные_C'!$D$9 - '01_Вводные_C'!$D$8/3)*(1-'01_Вводные_C'!$D$14))/'01_Вводные_C'!$D$15</f>
        <v/>
      </c>
      <c r="F8" s="23">
        <f>((('01_Вводные_C'!$D$15)*(1-$B8)*'01_Вводные_C'!$D$17 + ('01_Вводные_C'!$D$15)*$B8*F$4 - '01_Вводные_C'!$D$16 - '01_Вводные_C'!$D$9 - '01_Вводные_C'!$D$8/3)*(1-'01_Вводные_C'!$D$14))/'01_Вводные_C'!$D$15</f>
        <v/>
      </c>
      <c r="G8" s="23">
        <f>((('01_Вводные_C'!$D$15)*(1-$B8)*'01_Вводные_C'!$D$17 + ('01_Вводные_C'!$D$15)*$B8*G$4 - '01_Вводные_C'!$D$16 - '01_Вводные_C'!$D$9 - '01_Вводные_C'!$D$8/3)*(1-'01_Вводные_C'!$D$14))/'01_Вводные_C'!$D$15</f>
        <v/>
      </c>
      <c r="H8" s="23">
        <f>((('01_Вводные_C'!$D$15)*(1-$B8)*'01_Вводные_C'!$D$17 + ('01_Вводные_C'!$D$15)*$B8*H$4 - '01_Вводные_C'!$D$16 - '01_Вводные_C'!$D$9 - '01_Вводные_C'!$D$8/3)*(1-'01_Вводные_C'!$D$14))/'01_Вводные_C'!$D$15</f>
        <v/>
      </c>
    </row>
    <row r="9">
      <c r="B9" s="45" t="n">
        <v>0.8</v>
      </c>
      <c r="C9" s="23">
        <f>((('01_Вводные_C'!$D$15)*(1-$B9)*'01_Вводные_C'!$D$17 + ('01_Вводные_C'!$D$15)*$B9*C$4 - '01_Вводные_C'!$D$16 - '01_Вводные_C'!$D$9 - '01_Вводные_C'!$D$8/3)*(1-'01_Вводные_C'!$D$14))/'01_Вводные_C'!$D$15</f>
        <v/>
      </c>
      <c r="D9" s="23">
        <f>((('01_Вводные_C'!$D$15)*(1-$B9)*'01_Вводные_C'!$D$17 + ('01_Вводные_C'!$D$15)*$B9*D$4 - '01_Вводные_C'!$D$16 - '01_Вводные_C'!$D$9 - '01_Вводные_C'!$D$8/3)*(1-'01_Вводные_C'!$D$14))/'01_Вводные_C'!$D$15</f>
        <v/>
      </c>
      <c r="E9" s="23">
        <f>((('01_Вводные_C'!$D$15)*(1-$B9)*'01_Вводные_C'!$D$17 + ('01_Вводные_C'!$D$15)*$B9*E$4 - '01_Вводные_C'!$D$16 - '01_Вводные_C'!$D$9 - '01_Вводные_C'!$D$8/3)*(1-'01_Вводные_C'!$D$14))/'01_Вводные_C'!$D$15</f>
        <v/>
      </c>
      <c r="F9" s="23">
        <f>((('01_Вводные_C'!$D$15)*(1-$B9)*'01_Вводные_C'!$D$17 + ('01_Вводные_C'!$D$15)*$B9*F$4 - '01_Вводные_C'!$D$16 - '01_Вводные_C'!$D$9 - '01_Вводные_C'!$D$8/3)*(1-'01_Вводные_C'!$D$14))/'01_Вводные_C'!$D$15</f>
        <v/>
      </c>
      <c r="G9" s="23">
        <f>((('01_Вводные_C'!$D$15)*(1-$B9)*'01_Вводные_C'!$D$17 + ('01_Вводные_C'!$D$15)*$B9*G$4 - '01_Вводные_C'!$D$16 - '01_Вводные_C'!$D$9 - '01_Вводные_C'!$D$8/3)*(1-'01_Вводные_C'!$D$14))/'01_Вводные_C'!$D$15</f>
        <v/>
      </c>
      <c r="H9" s="23">
        <f>((('01_Вводные_C'!$D$15)*(1-$B9)*'01_Вводные_C'!$D$17 + ('01_Вводные_C'!$D$15)*$B9*H$4 - '01_Вводные_C'!$D$16 - '01_Вводные_C'!$D$9 - '01_Вводные_C'!$D$8/3)*(1-'01_Вводные_C'!$D$14))/'01_Вводные_C'!$D$15</f>
        <v/>
      </c>
    </row>
    <row r="10">
      <c r="B10" s="45" t="n">
        <v>0.82</v>
      </c>
      <c r="C10" s="23">
        <f>((('01_Вводные_C'!$D$15)*(1-$B10)*'01_Вводные_C'!$D$17 + ('01_Вводные_C'!$D$15)*$B10*C$4 - '01_Вводные_C'!$D$16 - '01_Вводные_C'!$D$9 - '01_Вводные_C'!$D$8/3)*(1-'01_Вводные_C'!$D$14))/'01_Вводные_C'!$D$15</f>
        <v/>
      </c>
      <c r="D10" s="23">
        <f>((('01_Вводные_C'!$D$15)*(1-$B10)*'01_Вводные_C'!$D$17 + ('01_Вводные_C'!$D$15)*$B10*D$4 - '01_Вводные_C'!$D$16 - '01_Вводные_C'!$D$9 - '01_Вводные_C'!$D$8/3)*(1-'01_Вводные_C'!$D$14))/'01_Вводные_C'!$D$15</f>
        <v/>
      </c>
      <c r="E10" s="23">
        <f>((('01_Вводные_C'!$D$15)*(1-$B10)*'01_Вводные_C'!$D$17 + ('01_Вводные_C'!$D$15)*$B10*E$4 - '01_Вводные_C'!$D$16 - '01_Вводные_C'!$D$9 - '01_Вводные_C'!$D$8/3)*(1-'01_Вводные_C'!$D$14))/'01_Вводные_C'!$D$15</f>
        <v/>
      </c>
      <c r="F10" s="23">
        <f>((('01_Вводные_C'!$D$15)*(1-$B10)*'01_Вводные_C'!$D$17 + ('01_Вводные_C'!$D$15)*$B10*F$4 - '01_Вводные_C'!$D$16 - '01_Вводные_C'!$D$9 - '01_Вводные_C'!$D$8/3)*(1-'01_Вводные_C'!$D$14))/'01_Вводные_C'!$D$15</f>
        <v/>
      </c>
      <c r="G10" s="29">
        <f>((('01_Вводные_C'!$D$15)*(1-$B10)*'01_Вводные_C'!$D$17 + ('01_Вводные_C'!$D$15)*$B10*G$4 - '01_Вводные_C'!$D$16 - '01_Вводные_C'!$D$9 - '01_Вводные_C'!$D$8/3)*(1-'01_Вводные_C'!$D$14))/'01_Вводные_C'!$D$15</f>
        <v/>
      </c>
      <c r="H10" s="23">
        <f>((('01_Вводные_C'!$D$15)*(1-$B10)*'01_Вводные_C'!$D$17 + ('01_Вводные_C'!$D$15)*$B10*H$4 - '01_Вводные_C'!$D$16 - '01_Вводные_C'!$D$9 - '01_Вводные_C'!$D$8/3)*(1-'01_Вводные_C'!$D$14))/'01_Вводные_C'!$D$15</f>
        <v/>
      </c>
    </row>
    <row r="11">
      <c r="B11" s="45" t="n">
        <v>0.9</v>
      </c>
      <c r="C11" s="23">
        <f>((('01_Вводные_C'!$D$15)*(1-$B11)*'01_Вводные_C'!$D$17 + ('01_Вводные_C'!$D$15)*$B11*C$4 - '01_Вводные_C'!$D$16 - '01_Вводные_C'!$D$9 - '01_Вводные_C'!$D$8/3)*(1-'01_Вводные_C'!$D$14))/'01_Вводные_C'!$D$15</f>
        <v/>
      </c>
      <c r="D11" s="23">
        <f>((('01_Вводные_C'!$D$15)*(1-$B11)*'01_Вводные_C'!$D$17 + ('01_Вводные_C'!$D$15)*$B11*D$4 - '01_Вводные_C'!$D$16 - '01_Вводные_C'!$D$9 - '01_Вводные_C'!$D$8/3)*(1-'01_Вводные_C'!$D$14))/'01_Вводные_C'!$D$15</f>
        <v/>
      </c>
      <c r="E11" s="23">
        <f>((('01_Вводные_C'!$D$15)*(1-$B11)*'01_Вводные_C'!$D$17 + ('01_Вводные_C'!$D$15)*$B11*E$4 - '01_Вводные_C'!$D$16 - '01_Вводные_C'!$D$9 - '01_Вводные_C'!$D$8/3)*(1-'01_Вводные_C'!$D$14))/'01_Вводные_C'!$D$15</f>
        <v/>
      </c>
      <c r="F11" s="23">
        <f>((('01_Вводные_C'!$D$15)*(1-$B11)*'01_Вводные_C'!$D$17 + ('01_Вводные_C'!$D$15)*$B11*F$4 - '01_Вводные_C'!$D$16 - '01_Вводные_C'!$D$9 - '01_Вводные_C'!$D$8/3)*(1-'01_Вводные_C'!$D$14))/'01_Вводные_C'!$D$15</f>
        <v/>
      </c>
      <c r="G11" s="23">
        <f>((('01_Вводные_C'!$D$15)*(1-$B11)*'01_Вводные_C'!$D$17 + ('01_Вводные_C'!$D$15)*$B11*G$4 - '01_Вводные_C'!$D$16 - '01_Вводные_C'!$D$9 - '01_Вводные_C'!$D$8/3)*(1-'01_Вводные_C'!$D$14))/'01_Вводные_C'!$D$15</f>
        <v/>
      </c>
      <c r="H11" s="23">
        <f>((('01_Вводные_C'!$D$15)*(1-$B11)*'01_Вводные_C'!$D$17 + ('01_Вводные_C'!$D$15)*$B11*H$4 - '01_Вводные_C'!$D$16 - '01_Вводные_C'!$D$9 - '01_Вводные_C'!$D$8/3)*(1-'01_Вводные_C'!$D$14))/'01_Вводные_C'!$D$15</f>
        <v/>
      </c>
    </row>
    <row r="13">
      <c r="B13" s="13" t="inlineStr">
        <is>
          <t>Жёлтая заливка = ячейка Base Variant C (IP share 82% × margin 95% = 67% net margin)</t>
        </is>
      </c>
    </row>
    <row r="15" ht="28" customHeight="1">
      <c r="B15" s="13" t="inlineStr">
        <is>
          <t>Целевая маржа деки: 67% (якорь). Ячейки ≥67% — комбинации, где anchor достижим.</t>
        </is>
      </c>
    </row>
    <row r="16" ht="28" customHeight="1">
      <c r="B16" s="13" t="inlineStr">
        <is>
          <t>Вывод: 67% достижим только при доле IP library ≥80% и licensing gross margin ≥90%. Это жёсткое структурное условие: без IP library анкер недостижим ни при какой комбинации производственных параметров.</t>
        </is>
      </c>
    </row>
    <row r="17" ht="28" customHeight="1">
      <c r="B17" s="13" t="inlineStr">
        <is>
          <t>Отсюда стратегический тезис: деку обязывает IP library. Base Variant C — не выбор, а backsolve из анкеров.</t>
        </is>
      </c>
    </row>
  </sheetData>
  <mergeCells count="5">
    <mergeCell ref="B13:I13"/>
    <mergeCell ref="B17:H17"/>
    <mergeCell ref="B2:I2"/>
    <mergeCell ref="B16:H16"/>
    <mergeCell ref="B15:H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0" customWidth="1" min="3" max="3"/>
    <col width="38" customWidth="1" min="4" max="4"/>
    <col width="22" customWidth="1" min="5" max="5"/>
  </cols>
  <sheetData>
    <row r="2">
      <c r="B2" s="4" t="inlineStr">
        <is>
          <t>ROADMAP 2026–2028 — Вариант C stage-gate</t>
        </is>
      </c>
    </row>
    <row r="4" ht="24" customHeight="1">
      <c r="B4" s="5" t="inlineStr">
        <is>
          <t>Период</t>
        </is>
      </c>
      <c r="C4" s="5" t="inlineStr">
        <is>
          <t>Milestone</t>
        </is>
      </c>
      <c r="D4" s="5" t="inlineStr">
        <is>
          <t>Связь с декой / Variant C</t>
        </is>
      </c>
      <c r="E4" s="5" t="inlineStr">
        <is>
          <t>Статус</t>
        </is>
      </c>
    </row>
    <row r="5" ht="34" customHeight="1">
      <c r="B5" s="46" t="inlineStr">
        <is>
          <t>Q1 2026</t>
        </is>
      </c>
      <c r="C5" s="39" t="inlineStr">
        <is>
          <t>Юридический контур IP library: каталогизация прав flagship-тайтлов, DAM-система</t>
        </is>
      </c>
      <c r="D5" s="10" t="inlineStr">
        <is>
          <t>Capex 40 млн ₽ — старт</t>
        </is>
      </c>
      <c r="E5" s="47" t="inlineStr">
        <is>
          <t>Критический</t>
        </is>
      </c>
    </row>
    <row r="6" ht="34" customHeight="1">
      <c r="B6" s="46" t="inlineStr">
        <is>
          <t>Q2 2026</t>
        </is>
      </c>
      <c r="C6" s="39" t="inlineStr">
        <is>
          <t>Запуск 2 п/м и 1 сериала (дека, слайд 6)</t>
        </is>
      </c>
      <c r="D6" s="10" t="inlineStr">
        <is>
          <t>Базовый pipeline — Variant A/C общий</t>
        </is>
      </c>
      <c r="E6" s="48" t="inlineStr">
        <is>
          <t>Дека</t>
        </is>
      </c>
    </row>
    <row r="7" ht="34" customHeight="1">
      <c r="B7" s="46" t="inlineStr">
        <is>
          <t>Q2 2026</t>
        </is>
      </c>
      <c r="C7" s="39" t="inlineStr">
        <is>
          <t>Найм 2 чел. в IP library: rights manager + international sales</t>
        </is>
      </c>
      <c r="D7" s="10" t="inlineStr">
        <is>
          <t>Opex +10 млн/год</t>
        </is>
      </c>
      <c r="E7" s="49" t="inlineStr">
        <is>
          <t>Variant C</t>
        </is>
      </c>
    </row>
    <row r="8" ht="34" customHeight="1">
      <c r="B8" s="46" t="inlineStr">
        <is>
          <t>Q3 2026</t>
        </is>
      </c>
      <c r="C8" s="39" t="inlineStr">
        <is>
          <t>MVP библиотеки: 1–2 тайтла с rights bundling под theatrical + SVOD эксклюзив</t>
        </is>
      </c>
      <c r="D8" s="10" t="inlineStr">
        <is>
          <t>Старт IP-монетизации</t>
        </is>
      </c>
      <c r="E8" s="49" t="inlineStr">
        <is>
          <t>Variant C</t>
        </is>
      </c>
    </row>
    <row r="9" ht="34" customHeight="1">
      <c r="B9" s="46" t="inlineStr">
        <is>
          <t>Q4 2026</t>
        </is>
      </c>
      <c r="C9" s="39" t="inlineStr">
        <is>
          <t>Breakeven EBITDA (дека, слайд 6)</t>
        </is>
      </c>
      <c r="D9" s="10" t="inlineStr">
        <is>
          <t>Проверить: модель даёт позже</t>
        </is>
      </c>
      <c r="E9" s="48" t="inlineStr">
        <is>
          <t>Дека / риск</t>
        </is>
      </c>
    </row>
    <row r="10" ht="34" customHeight="1">
      <c r="B10" s="46" t="inlineStr">
        <is>
          <t>Q1 2027</t>
        </is>
      </c>
      <c r="C10" s="39" t="inlineStr">
        <is>
          <t>3 тайтла в библиотеке, первые domestic licensing сделки (TV, SVOD window resale)</t>
        </is>
      </c>
      <c r="D10" s="10" t="inlineStr">
        <is>
          <t>IP revenue ramp 150 млн/год</t>
        </is>
      </c>
      <c r="E10" s="49" t="inlineStr">
        <is>
          <t>Variant C</t>
        </is>
      </c>
    </row>
    <row r="11" ht="34" customHeight="1">
      <c r="B11" s="46" t="inlineStr">
        <is>
          <t>Q2 2027</t>
        </is>
      </c>
      <c r="C11" s="39" t="inlineStr">
        <is>
          <t>INTERNATIONAL LICENSING DEAL — СНГ + BRICS (дека, слайд 6)</t>
        </is>
      </c>
      <c r="D11" s="10" t="inlineStr">
        <is>
          <t>КЛЮЧЕВАЯ ВЕХА. Без IP library — нечего продавать</t>
        </is>
      </c>
      <c r="E11" s="47" t="inlineStr">
        <is>
          <t>Дека ↔ C</t>
        </is>
      </c>
    </row>
    <row r="12" ht="34" customHeight="1">
      <c r="B12" s="46" t="inlineStr">
        <is>
          <t>Q3 2027</t>
        </is>
      </c>
      <c r="C12" s="39" t="inlineStr">
        <is>
          <t>Format library: 2–3 форматных адаптации под локализации в BRICS</t>
        </is>
      </c>
      <c r="D12" s="10" t="inlineStr">
        <is>
          <t>Расширение library от own-IP к format-IP</t>
        </is>
      </c>
      <c r="E12" s="49" t="inlineStr">
        <is>
          <t>Variant C</t>
        </is>
      </c>
    </row>
    <row r="13" ht="34" customHeight="1">
      <c r="B13" s="46" t="inlineStr">
        <is>
          <t>Q4 2027</t>
        </is>
      </c>
      <c r="C13" s="39" t="inlineStr">
        <is>
          <t>Выход на 5 тайтлов в библиотеке, оформление sales-пакета под роадшоу 2028</t>
        </is>
      </c>
      <c r="D13" s="10" t="inlineStr">
        <is>
          <t>Промежуточный чекпойнт</t>
        </is>
      </c>
      <c r="E13" s="49" t="inlineStr">
        <is>
          <t>Variant C</t>
        </is>
      </c>
    </row>
    <row r="14" ht="34" customHeight="1">
      <c r="B14" s="46" t="inlineStr">
        <is>
          <t>Q1 2028</t>
        </is>
      </c>
      <c r="C14" s="39" t="inlineStr">
        <is>
          <t>Подписание 2–3 international deals (AVOD/FAST + territorial)</t>
        </is>
      </c>
      <c r="D14" s="10" t="inlineStr">
        <is>
          <t>Ramp IP revenue к target 525 млн/год</t>
        </is>
      </c>
      <c r="E14" s="49" t="inlineStr">
        <is>
          <t>Variant C</t>
        </is>
      </c>
    </row>
    <row r="15" ht="34" customHeight="1">
      <c r="B15" s="46" t="inlineStr">
        <is>
          <t>Q2 2028</t>
        </is>
      </c>
      <c r="C15" s="39" t="inlineStr">
        <is>
          <t>Расширение библиотеки до 10+ тайтлов (включая сериалы 2-го сезона, мерч-бренды)</t>
        </is>
      </c>
      <c r="D15" s="10" t="inlineStr">
        <is>
          <t>Target объём library Base</t>
        </is>
      </c>
      <c r="E15" s="49" t="inlineStr">
        <is>
          <t>Variant C</t>
        </is>
      </c>
    </row>
    <row r="16" ht="34" customHeight="1">
      <c r="B16" s="46" t="inlineStr">
        <is>
          <t>Q4 2028</t>
        </is>
      </c>
      <c r="C16" s="39" t="inlineStr">
        <is>
          <t>EBITDA 3 млрд ₽ (дека, слайд 6). Подготовка Series B / выход</t>
        </is>
      </c>
      <c r="D16" s="10" t="inlineStr">
        <is>
          <t>Целевой KPI деки; sanity-check Variant C</t>
        </is>
      </c>
      <c r="E16" s="48" t="inlineStr">
        <is>
          <t>Дека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2026-04-10T17:36:57Z</dcterms:created>
  <dcterms:modified xmlns:dcterms="http://purl.org/dc/terms/" xmlns:xsi="http://www.w3.org/2001/XMLSchema-instance" xsi:type="dcterms:W3CDTF">2026-04-10T17:36:57Z</dcterms:modified>
</cp:coreProperties>
</file>